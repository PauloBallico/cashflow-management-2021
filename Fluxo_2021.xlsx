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pivotTables/pivotTable3.xml" ContentType="application/vnd.openxmlformats-officedocument.spreadsheetml.pivotTable+xml"/>
  <Override PartName="/xl/comments2.xml" ContentType="application/vnd.openxmlformats-officedocument.spreadsheetml.comments+xml"/>
  <Override PartName="/xl/pivotTables/pivotTable4.xml" ContentType="application/vnd.openxmlformats-officedocument.spreadsheetml.pivot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comments4.xml" ContentType="application/vnd.openxmlformats-officedocument.spreadsheetml.comments+xml"/>
  <Override PartName="/xl/pivotTables/pivotTable6.xml" ContentType="application/vnd.openxmlformats-officedocument.spreadsheetml.pivotTable+xml"/>
  <Override PartName="/xl/comments5.xml" ContentType="application/vnd.openxmlformats-officedocument.spreadsheetml.comments+xml"/>
  <Override PartName="/xl/pivotTables/pivotTable7.xml" ContentType="application/vnd.openxmlformats-officedocument.spreadsheetml.pivotTable+xml"/>
  <Override PartName="/xl/comments6.xml" ContentType="application/vnd.openxmlformats-officedocument.spreadsheetml.comments+xml"/>
  <Override PartName="/xl/pivotTables/pivotTable8.xml" ContentType="application/vnd.openxmlformats-officedocument.spreadsheetml.pivotTable+xml"/>
  <Override PartName="/xl/comments7.xml" ContentType="application/vnd.openxmlformats-officedocument.spreadsheetml.comments+xml"/>
  <Override PartName="/xl/pivotTables/pivotTable9.xml" ContentType="application/vnd.openxmlformats-officedocument.spreadsheetml.pivotTable+xml"/>
  <Override PartName="/xl/comments8.xml" ContentType="application/vnd.openxmlformats-officedocument.spreadsheetml.comments+xml"/>
  <Override PartName="/xl/pivotTables/pivotTable10.xml" ContentType="application/vnd.openxmlformats-officedocument.spreadsheetml.pivotTable+xml"/>
  <Override PartName="/xl/comments9.xml" ContentType="application/vnd.openxmlformats-officedocument.spreadsheetml.comments+xml"/>
  <Override PartName="/xl/pivotTables/pivotTable11.xml" ContentType="application/vnd.openxmlformats-officedocument.spreadsheetml.pivotTable+xml"/>
  <Override PartName="/xl/comments10.xml" ContentType="application/vnd.openxmlformats-officedocument.spreadsheetml.comments+xml"/>
  <Override PartName="/xl/pivotTables/pivotTable12.xml" ContentType="application/vnd.openxmlformats-officedocument.spreadsheetml.pivotTable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Paulo\Music\"/>
    </mc:Choice>
  </mc:AlternateContent>
  <xr:revisionPtr revIDLastSave="0" documentId="13_ncr:1_{1A79FD99-BAB1-47AE-85D6-49908D0A3874}" xr6:coauthVersionLast="47" xr6:coauthVersionMax="47" xr10:uidLastSave="{00000000-0000-0000-0000-000000000000}"/>
  <bookViews>
    <workbookView xWindow="-120" yWindow="-120" windowWidth="29040" windowHeight="15720" tabRatio="931" firstSheet="6" activeTab="15" xr2:uid="{00000000-000D-0000-FFFF-FFFF00000000}"/>
  </bookViews>
  <sheets>
    <sheet name="12_21" sheetId="86" r:id="rId1"/>
    <sheet name="Fluxo_12_21" sheetId="87" r:id="rId2"/>
    <sheet name="11_21" sheetId="84" r:id="rId3"/>
    <sheet name="Fluxo_11_21" sheetId="85" r:id="rId4"/>
    <sheet name="10_21" sheetId="82" r:id="rId5"/>
    <sheet name="Fluxo_10_21" sheetId="83" r:id="rId6"/>
    <sheet name="09_21" sheetId="80" r:id="rId7"/>
    <sheet name="Fluxo_09_21" sheetId="81" r:id="rId8"/>
    <sheet name="08_21" sheetId="78" r:id="rId9"/>
    <sheet name="Fluxo_08_21" sheetId="79" r:id="rId10"/>
    <sheet name="07_21" sheetId="76" r:id="rId11"/>
    <sheet name="Fluxo_07_21" sheetId="92" r:id="rId12"/>
    <sheet name="06_21" sheetId="74" r:id="rId13"/>
    <sheet name="Fluxo_06_21" sheetId="91" r:id="rId14"/>
    <sheet name="05_21" sheetId="72" r:id="rId15"/>
    <sheet name="Fluxo_05_21" sheetId="73" r:id="rId16"/>
    <sheet name="04_21" sheetId="96" r:id="rId17"/>
    <sheet name="Fluxo_04_21" sheetId="69" r:id="rId18"/>
    <sheet name="03_21" sheetId="66" r:id="rId19"/>
    <sheet name="Fluxo_03_21" sheetId="67" r:id="rId20"/>
    <sheet name="02_21" sheetId="63" r:id="rId21"/>
    <sheet name="Fluxo_02_21" sheetId="64" r:id="rId22"/>
    <sheet name="01_21" sheetId="94" r:id="rId23"/>
    <sheet name="Fluxo_01_21" sheetId="95" r:id="rId24"/>
    <sheet name="RECLAM JUDICIAL" sheetId="97" r:id="rId25"/>
    <sheet name="Planilha1" sheetId="98" r:id="rId26"/>
  </sheets>
  <definedNames>
    <definedName name="_xlnm._FilterDatabase" localSheetId="22" hidden="1">'01_21'!$A$1:$H$147</definedName>
    <definedName name="_xlnm._FilterDatabase" localSheetId="20" hidden="1">'02_21'!$A$1:$H$212</definedName>
    <definedName name="_xlnm._FilterDatabase" localSheetId="18" hidden="1">'03_21'!$A$1:$H$209</definedName>
    <definedName name="_xlnm._FilterDatabase" localSheetId="16" hidden="1">'04_21'!$C$1:$H$203</definedName>
    <definedName name="_xlnm._FilterDatabase" localSheetId="14" hidden="1">'05_21'!$A$1:$H$309</definedName>
    <definedName name="_xlnm._FilterDatabase" localSheetId="12" hidden="1">'06_21'!$C$1:$H$219</definedName>
    <definedName name="_xlnm._FilterDatabase" localSheetId="10" hidden="1">'07_21'!$A$1:$H$157</definedName>
    <definedName name="_xlnm._FilterDatabase" localSheetId="8" hidden="1">'08_21'!$C$1:$H$143</definedName>
    <definedName name="_xlnm._FilterDatabase" localSheetId="6" hidden="1">'09_21'!$A$1:$H$126</definedName>
    <definedName name="_xlnm._FilterDatabase" localSheetId="4" hidden="1">'10_21'!$A$1:$H$158</definedName>
    <definedName name="_xlnm._FilterDatabase" localSheetId="2" hidden="1">'11_21'!$A$1:$H$133</definedName>
    <definedName name="_xlnm._FilterDatabase" localSheetId="0" hidden="1">'12_21'!$A$1:$H$71</definedName>
    <definedName name="_xlnm.Print_Area" localSheetId="22">'01_21'!$D$131:$G$147</definedName>
    <definedName name="_xlnm.Print_Area" localSheetId="20">'02_21'!$D$2:$G$29</definedName>
    <definedName name="_xlnm.Print_Area" localSheetId="16">'04_21'!$D$141:$F$203</definedName>
    <definedName name="_xlnm.Print_Area" localSheetId="14">'05_21'!$D$5:$F$261</definedName>
    <definedName name="_xlnm.Print_Area" localSheetId="12">'06_21'!$D$98:$G$194</definedName>
    <definedName name="_xlnm.Print_Area" localSheetId="8">'08_21'!#REF!</definedName>
    <definedName name="_xlnm.Print_Area" localSheetId="6">'09_21'!$C$141:$G$185</definedName>
    <definedName name="_xlnm.Print_Area" localSheetId="4">'10_21'!$C$120:$G$176</definedName>
    <definedName name="_xlnm.Print_Area" localSheetId="23">Fluxo_01_21!$H$4:$V$21</definedName>
    <definedName name="_xlnm.Print_Area" localSheetId="21">Fluxo_02_21!$H$1:$T$34</definedName>
    <definedName name="_xlnm.Print_Area" localSheetId="7">Fluxo_09_21!$D$43:$H$65</definedName>
    <definedName name="_xlnm.Print_Area" localSheetId="24">'RECLAM JUDICIAL'!#REF!</definedName>
    <definedName name="Excel_BuiltIn_Print_Area_1" localSheetId="13">#REF!</definedName>
    <definedName name="Excel_BuiltIn_Print_Area_1" localSheetId="11">#REF!</definedName>
    <definedName name="Excel_BuiltIn_Print_Area_1">#REF!</definedName>
    <definedName name="Excel_BuiltIn_Print_Area_3" localSheetId="13">#REF!</definedName>
    <definedName name="Excel_BuiltIn_Print_Area_3" localSheetId="11">#REF!</definedName>
    <definedName name="Excel_BuiltIn_Print_Area_3">#REF!</definedName>
  </definedNames>
  <calcPr calcId="191029"/>
  <pivotCaches>
    <pivotCache cacheId="0" r:id="rId27"/>
    <pivotCache cacheId="1" r:id="rId28"/>
    <pivotCache cacheId="2" r:id="rId29"/>
    <pivotCache cacheId="3" r:id="rId30"/>
    <pivotCache cacheId="4" r:id="rId31"/>
    <pivotCache cacheId="5" r:id="rId32"/>
    <pivotCache cacheId="6" r:id="rId33"/>
    <pivotCache cacheId="7" r:id="rId34"/>
    <pivotCache cacheId="8" r:id="rId35"/>
    <pivotCache cacheId="9" r:id="rId36"/>
    <pivotCache cacheId="10" r:id="rId37"/>
    <pivotCache cacheId="11" r:id="rId3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86" l="1"/>
  <c r="H53" i="84"/>
  <c r="H121" i="84"/>
  <c r="H141" i="84"/>
  <c r="H78" i="84"/>
  <c r="F16" i="84"/>
  <c r="H16" i="84"/>
  <c r="H19" i="84"/>
  <c r="F26" i="84"/>
  <c r="H26" i="84"/>
  <c r="F22" i="84"/>
  <c r="H17" i="84"/>
  <c r="H18" i="84"/>
  <c r="F17" i="84"/>
  <c r="H23" i="84"/>
  <c r="H11" i="84"/>
  <c r="H9" i="84"/>
  <c r="H10" i="84"/>
  <c r="H12" i="84"/>
  <c r="H8" i="84"/>
  <c r="H140" i="84"/>
  <c r="H87" i="84"/>
  <c r="H88" i="84"/>
  <c r="H69" i="84"/>
  <c r="H15" i="84"/>
  <c r="H13" i="84"/>
  <c r="H14" i="84"/>
  <c r="H44" i="86"/>
  <c r="H152" i="84"/>
  <c r="H56" i="84"/>
  <c r="H99" i="84"/>
  <c r="K9" i="85"/>
  <c r="K6" i="85" s="1"/>
  <c r="L6" i="85"/>
  <c r="H7" i="84"/>
  <c r="H6" i="84"/>
  <c r="D7" i="85"/>
  <c r="H4" i="84"/>
  <c r="H5" i="84"/>
  <c r="C14" i="85"/>
  <c r="F24" i="84"/>
  <c r="H24" i="84"/>
  <c r="H3" i="86"/>
  <c r="H100" i="84"/>
  <c r="H35" i="84"/>
  <c r="H64" i="84"/>
  <c r="H63" i="84"/>
  <c r="H101" i="84"/>
  <c r="H3" i="84"/>
  <c r="F3" i="84"/>
  <c r="H131" i="84"/>
  <c r="F2" i="84"/>
  <c r="H61" i="86"/>
  <c r="H138" i="84"/>
  <c r="H77" i="84"/>
  <c r="H139" i="84"/>
  <c r="H36" i="84"/>
  <c r="H103" i="82"/>
  <c r="F34" i="82"/>
  <c r="H132" i="82"/>
  <c r="H104" i="82"/>
  <c r="H113" i="82"/>
  <c r="H114" i="82"/>
  <c r="H115" i="82"/>
  <c r="H116" i="82"/>
  <c r="H105" i="82"/>
  <c r="V7" i="83"/>
  <c r="F9" i="85"/>
  <c r="F6" i="85" s="1"/>
  <c r="H20" i="82"/>
  <c r="T15" i="85"/>
  <c r="T6" i="85"/>
  <c r="H61" i="84"/>
  <c r="H112" i="84"/>
  <c r="H130" i="84"/>
  <c r="F3" i="94"/>
  <c r="F3" i="63"/>
  <c r="F2" i="66"/>
  <c r="H101" i="82"/>
  <c r="H88" i="82"/>
  <c r="H89" i="82"/>
  <c r="H29" i="84"/>
  <c r="H116" i="84"/>
  <c r="H134" i="84"/>
  <c r="D8" i="85"/>
  <c r="B6" i="85"/>
  <c r="H110" i="84"/>
  <c r="H111" i="84"/>
  <c r="H108" i="84"/>
  <c r="F127" i="82"/>
  <c r="H102" i="82"/>
  <c r="H120" i="82"/>
  <c r="H117" i="82"/>
  <c r="H118" i="82"/>
  <c r="H131" i="82"/>
  <c r="H112" i="82"/>
  <c r="H133" i="82"/>
  <c r="H134" i="82"/>
  <c r="H128" i="82"/>
  <c r="H129" i="82"/>
  <c r="H130" i="82"/>
  <c r="H127" i="82"/>
  <c r="H110" i="82"/>
  <c r="H111" i="82"/>
  <c r="H126" i="82"/>
  <c r="H135" i="82"/>
  <c r="H125" i="82"/>
  <c r="H124" i="82"/>
  <c r="H123" i="82"/>
  <c r="H109" i="82"/>
  <c r="H108" i="82"/>
  <c r="H107" i="82"/>
  <c r="H122" i="82"/>
  <c r="H106" i="82"/>
  <c r="H121" i="82"/>
  <c r="H95" i="82"/>
  <c r="H148" i="84"/>
  <c r="H76" i="84"/>
  <c r="H27" i="84"/>
  <c r="H45" i="84"/>
  <c r="F45" i="84"/>
  <c r="H124" i="84"/>
  <c r="H91" i="82"/>
  <c r="F2" i="82"/>
  <c r="H99" i="82"/>
  <c r="H100" i="82"/>
  <c r="H94" i="82"/>
  <c r="F94" i="82"/>
  <c r="H96" i="82"/>
  <c r="H97" i="82"/>
  <c r="H98" i="82"/>
  <c r="F97" i="82"/>
  <c r="H93" i="82"/>
  <c r="H92" i="82"/>
  <c r="H90" i="82"/>
  <c r="H83" i="82"/>
  <c r="H84" i="82"/>
  <c r="H85" i="82"/>
  <c r="H93" i="84"/>
  <c r="E6" i="85"/>
  <c r="H136" i="82"/>
  <c r="H138" i="82"/>
  <c r="H52" i="82"/>
  <c r="H53" i="82"/>
  <c r="H87" i="82"/>
  <c r="H86" i="82"/>
  <c r="H80" i="82"/>
  <c r="H72" i="82"/>
  <c r="H74" i="82"/>
  <c r="H81" i="82"/>
  <c r="H82" i="82"/>
  <c r="H78" i="82"/>
  <c r="H79" i="82"/>
  <c r="H77" i="82"/>
  <c r="H76" i="82"/>
  <c r="H75" i="82"/>
  <c r="H51" i="84"/>
  <c r="H68" i="82"/>
  <c r="H71" i="82"/>
  <c r="H70" i="82"/>
  <c r="H69" i="82"/>
  <c r="H61" i="82"/>
  <c r="H75" i="84"/>
  <c r="H147" i="84"/>
  <c r="H20" i="84"/>
  <c r="H159" i="82"/>
  <c r="H70" i="84"/>
  <c r="H67" i="82"/>
  <c r="F67" i="82"/>
  <c r="H66" i="82"/>
  <c r="H62" i="82"/>
  <c r="H63" i="82"/>
  <c r="H64" i="82"/>
  <c r="H65" i="82"/>
  <c r="F65" i="82"/>
  <c r="H122" i="84"/>
  <c r="F122" i="84"/>
  <c r="H71" i="84"/>
  <c r="H32" i="84"/>
  <c r="H135" i="84"/>
  <c r="H41" i="84"/>
  <c r="H117" i="84"/>
  <c r="H89" i="84"/>
  <c r="H72" i="84"/>
  <c r="H125" i="84"/>
  <c r="H52" i="84"/>
  <c r="H26" i="86"/>
  <c r="H73" i="84"/>
  <c r="H94" i="84"/>
  <c r="H46" i="84"/>
  <c r="H38" i="84"/>
  <c r="H47" i="84"/>
  <c r="H43" i="86"/>
  <c r="H146" i="84"/>
  <c r="H152" i="82"/>
  <c r="H153" i="82"/>
  <c r="H54" i="84"/>
  <c r="H65" i="84"/>
  <c r="H160" i="82"/>
  <c r="H171" i="82"/>
  <c r="H142" i="84"/>
  <c r="H79" i="84"/>
  <c r="H80" i="84"/>
  <c r="H172" i="82"/>
  <c r="H173" i="82"/>
  <c r="H60" i="82"/>
  <c r="F59" i="82"/>
  <c r="H59" i="82"/>
  <c r="F60" i="82"/>
  <c r="H58" i="82"/>
  <c r="H57" i="82"/>
  <c r="H161" i="82"/>
  <c r="H65" i="86"/>
  <c r="H42" i="84"/>
  <c r="H151" i="82"/>
  <c r="H154" i="82"/>
  <c r="H155" i="82"/>
  <c r="H34" i="82"/>
  <c r="H37" i="86"/>
  <c r="H97" i="84"/>
  <c r="H55" i="84"/>
  <c r="H66" i="84"/>
  <c r="H37" i="84"/>
  <c r="H56" i="82"/>
  <c r="H55" i="82"/>
  <c r="H58" i="84"/>
  <c r="H54" i="82"/>
  <c r="H51" i="82"/>
  <c r="H73" i="82"/>
  <c r="H50" i="82"/>
  <c r="H49" i="82"/>
  <c r="K15" i="85"/>
  <c r="F39" i="82"/>
  <c r="H48" i="82"/>
  <c r="H47" i="82"/>
  <c r="H46" i="82"/>
  <c r="H164" i="82"/>
  <c r="H137" i="82"/>
  <c r="F41" i="82"/>
  <c r="H41" i="82"/>
  <c r="F40" i="82"/>
  <c r="H139" i="82"/>
  <c r="J15" i="83"/>
  <c r="H28" i="86"/>
  <c r="H62" i="84"/>
  <c r="H167" i="82"/>
  <c r="H166" i="82"/>
  <c r="H90" i="84"/>
  <c r="H39" i="82"/>
  <c r="F36" i="82"/>
  <c r="H7" i="83"/>
  <c r="H6" i="83" s="1"/>
  <c r="H28" i="82"/>
  <c r="H42" i="82"/>
  <c r="F42" i="82"/>
  <c r="H35" i="82"/>
  <c r="H30" i="84"/>
  <c r="H24" i="82"/>
  <c r="H25" i="84"/>
  <c r="H47" i="86"/>
  <c r="H98" i="84"/>
  <c r="H51" i="86"/>
  <c r="H107" i="84"/>
  <c r="F27" i="82"/>
  <c r="J10" i="83"/>
  <c r="H141" i="82"/>
  <c r="H140" i="82"/>
  <c r="H40" i="82"/>
  <c r="H25" i="82"/>
  <c r="H23" i="82"/>
  <c r="H22" i="82"/>
  <c r="H17" i="82"/>
  <c r="H144" i="82"/>
  <c r="H26" i="82"/>
  <c r="H37" i="82"/>
  <c r="H38" i="82"/>
  <c r="H43" i="82"/>
  <c r="H45" i="82"/>
  <c r="H27" i="82"/>
  <c r="H14" i="82"/>
  <c r="H33" i="84"/>
  <c r="H29" i="82"/>
  <c r="H16" i="82"/>
  <c r="H18" i="82"/>
  <c r="H19" i="82"/>
  <c r="H15" i="82"/>
  <c r="H53" i="86"/>
  <c r="H113" i="84"/>
  <c r="H12" i="82"/>
  <c r="H132" i="84"/>
  <c r="H162" i="82"/>
  <c r="H43" i="84"/>
  <c r="H13" i="82"/>
  <c r="H22" i="86"/>
  <c r="H48" i="84"/>
  <c r="H9" i="82"/>
  <c r="H10" i="82"/>
  <c r="H180" i="80"/>
  <c r="H6" i="82"/>
  <c r="H142" i="82"/>
  <c r="H36" i="82"/>
  <c r="H11" i="82"/>
  <c r="H4" i="82"/>
  <c r="H28" i="84"/>
  <c r="H30" i="82"/>
  <c r="H8" i="82"/>
  <c r="H32" i="82"/>
  <c r="H177" i="80"/>
  <c r="H178" i="80"/>
  <c r="H5" i="82"/>
  <c r="H9" i="83"/>
  <c r="B7" i="83"/>
  <c r="B6" i="83"/>
  <c r="F2" i="80"/>
  <c r="H181" i="80"/>
  <c r="H165" i="82"/>
  <c r="H168" i="82"/>
  <c r="H48" i="86"/>
  <c r="H102" i="84"/>
  <c r="H39" i="84"/>
  <c r="H33" i="82"/>
  <c r="H151" i="84"/>
  <c r="H184" i="80"/>
  <c r="H179" i="80"/>
  <c r="H182" i="80"/>
  <c r="H183" i="80"/>
  <c r="H156" i="80"/>
  <c r="H7" i="82"/>
  <c r="H21" i="82"/>
  <c r="H31" i="82"/>
  <c r="H44" i="82"/>
  <c r="H163" i="82"/>
  <c r="H145" i="82"/>
  <c r="H150" i="82"/>
  <c r="H143" i="82"/>
  <c r="H146" i="82"/>
  <c r="H147" i="82"/>
  <c r="H148" i="82"/>
  <c r="H149" i="82"/>
  <c r="H156" i="82"/>
  <c r="H157" i="82"/>
  <c r="H158" i="82"/>
  <c r="H169" i="82"/>
  <c r="H170" i="82"/>
  <c r="H174" i="82"/>
  <c r="H175" i="82"/>
  <c r="F149" i="82"/>
  <c r="F176" i="82" s="1"/>
  <c r="F21" i="82"/>
  <c r="H3" i="82"/>
  <c r="H133" i="80"/>
  <c r="H155" i="80"/>
  <c r="H154" i="80"/>
  <c r="H153" i="80"/>
  <c r="H152" i="80"/>
  <c r="H149" i="80"/>
  <c r="H150" i="80"/>
  <c r="H151" i="80"/>
  <c r="C7" i="83"/>
  <c r="H25" i="86"/>
  <c r="H60" i="84"/>
  <c r="H159" i="80"/>
  <c r="H160" i="80"/>
  <c r="H148" i="80"/>
  <c r="H145" i="80"/>
  <c r="H147" i="80"/>
  <c r="H135" i="80"/>
  <c r="H136" i="80"/>
  <c r="H137" i="80"/>
  <c r="H138" i="80"/>
  <c r="H139" i="80"/>
  <c r="H140" i="80"/>
  <c r="F137" i="80"/>
  <c r="H134" i="80"/>
  <c r="H132" i="80"/>
  <c r="H166" i="80"/>
  <c r="H141" i="80"/>
  <c r="H130" i="80"/>
  <c r="H129" i="80"/>
  <c r="H95" i="80"/>
  <c r="H122" i="80"/>
  <c r="H123" i="80"/>
  <c r="H127" i="80"/>
  <c r="H128" i="80"/>
  <c r="H157" i="80"/>
  <c r="H158" i="80"/>
  <c r="H124" i="80"/>
  <c r="H125" i="80"/>
  <c r="H126" i="80"/>
  <c r="H171" i="80"/>
  <c r="H144" i="80"/>
  <c r="H113" i="80"/>
  <c r="H114" i="80"/>
  <c r="H115" i="80"/>
  <c r="H116" i="80"/>
  <c r="H117" i="80"/>
  <c r="H118" i="80"/>
  <c r="H119" i="80"/>
  <c r="H120" i="80"/>
  <c r="H121" i="80"/>
  <c r="H172" i="80"/>
  <c r="H143" i="80"/>
  <c r="H112" i="80"/>
  <c r="H142" i="80"/>
  <c r="H146" i="80"/>
  <c r="H111" i="80"/>
  <c r="F111" i="80"/>
  <c r="H110" i="80"/>
  <c r="H131" i="80"/>
  <c r="H123" i="84"/>
  <c r="H175" i="80"/>
  <c r="H109" i="80"/>
  <c r="F98" i="80"/>
  <c r="W6" i="81"/>
  <c r="H119" i="84"/>
  <c r="H98" i="80"/>
  <c r="H89" i="80"/>
  <c r="F97" i="80"/>
  <c r="H97" i="80"/>
  <c r="H106" i="80"/>
  <c r="H107" i="80"/>
  <c r="H108" i="80"/>
  <c r="H96" i="80"/>
  <c r="H94" i="80"/>
  <c r="F94" i="80"/>
  <c r="H91" i="80"/>
  <c r="H92" i="80"/>
  <c r="H100" i="80"/>
  <c r="H83" i="80"/>
  <c r="H84" i="80"/>
  <c r="H170" i="80"/>
  <c r="T9" i="81"/>
  <c r="T6" i="81" s="1"/>
  <c r="H93" i="80"/>
  <c r="H90" i="80"/>
  <c r="F87" i="80"/>
  <c r="H87" i="80"/>
  <c r="H86" i="80"/>
  <c r="H88" i="80"/>
  <c r="H176" i="80"/>
  <c r="H173" i="80"/>
  <c r="H103" i="84"/>
  <c r="H104" i="84"/>
  <c r="H85" i="80"/>
  <c r="F77" i="80"/>
  <c r="H105" i="80"/>
  <c r="H101" i="80"/>
  <c r="H82" i="80"/>
  <c r="H81" i="80"/>
  <c r="H80" i="80"/>
  <c r="H78" i="80"/>
  <c r="H79" i="80"/>
  <c r="F79" i="80"/>
  <c r="H83" i="84"/>
  <c r="H84" i="84"/>
  <c r="H38" i="86"/>
  <c r="H39" i="86"/>
  <c r="H76" i="80"/>
  <c r="H77" i="80"/>
  <c r="H75" i="80"/>
  <c r="H74" i="80"/>
  <c r="F54" i="80"/>
  <c r="H66" i="80"/>
  <c r="H65" i="80"/>
  <c r="H104" i="80"/>
  <c r="H102" i="80"/>
  <c r="H103" i="80"/>
  <c r="H99" i="80"/>
  <c r="H70" i="80"/>
  <c r="H143" i="84"/>
  <c r="H64" i="80"/>
  <c r="H67" i="80"/>
  <c r="H68" i="80"/>
  <c r="H69" i="80"/>
  <c r="H71" i="80"/>
  <c r="H72" i="80"/>
  <c r="H73" i="80"/>
  <c r="H63" i="80"/>
  <c r="H62" i="80"/>
  <c r="H52" i="80"/>
  <c r="H60" i="80"/>
  <c r="H61" i="80"/>
  <c r="T15" i="81"/>
  <c r="J15" i="81"/>
  <c r="K17" i="81"/>
  <c r="J17" i="81"/>
  <c r="H59" i="80"/>
  <c r="H58" i="80"/>
  <c r="H54" i="80"/>
  <c r="H55" i="80"/>
  <c r="H56" i="80"/>
  <c r="H57" i="80"/>
  <c r="H53" i="80"/>
  <c r="H185" i="80"/>
  <c r="H50" i="80"/>
  <c r="H51" i="80"/>
  <c r="L18" i="81"/>
  <c r="H49" i="80"/>
  <c r="F36" i="80"/>
  <c r="H32" i="80"/>
  <c r="F31" i="80"/>
  <c r="H48" i="80"/>
  <c r="F48" i="80"/>
  <c r="H36" i="80"/>
  <c r="H35" i="80"/>
  <c r="H34" i="80"/>
  <c r="H33" i="80"/>
  <c r="H31" i="80"/>
  <c r="H39" i="80"/>
  <c r="H38" i="80"/>
  <c r="F38" i="80"/>
  <c r="H29" i="80"/>
  <c r="H30" i="80"/>
  <c r="H17" i="81"/>
  <c r="H6" i="81" s="1"/>
  <c r="H26" i="80"/>
  <c r="H47" i="80"/>
  <c r="F47" i="80"/>
  <c r="H27" i="80"/>
  <c r="H28" i="80"/>
  <c r="H37" i="80"/>
  <c r="I6" i="81"/>
  <c r="H40" i="84"/>
  <c r="H25" i="80"/>
  <c r="H19" i="80"/>
  <c r="H167" i="80"/>
  <c r="J6" i="83"/>
  <c r="H23" i="80"/>
  <c r="F23" i="80"/>
  <c r="H17" i="80"/>
  <c r="H12" i="80"/>
  <c r="H174" i="80"/>
  <c r="F18" i="80"/>
  <c r="F11" i="80"/>
  <c r="H10" i="80"/>
  <c r="F5" i="80"/>
  <c r="H40" i="80"/>
  <c r="H11" i="80"/>
  <c r="H15" i="80"/>
  <c r="H16" i="80"/>
  <c r="H8" i="80"/>
  <c r="H9" i="80"/>
  <c r="H20" i="80"/>
  <c r="F20" i="80"/>
  <c r="H7" i="80"/>
  <c r="H6" i="80"/>
  <c r="H5" i="80"/>
  <c r="B7" i="81"/>
  <c r="B8" i="81"/>
  <c r="F2" i="78"/>
  <c r="H24" i="80"/>
  <c r="H164" i="80"/>
  <c r="H168" i="80"/>
  <c r="H139" i="78"/>
  <c r="H58" i="78"/>
  <c r="H31" i="78"/>
  <c r="H25" i="78"/>
  <c r="H140" i="78"/>
  <c r="H161" i="80"/>
  <c r="H43" i="80"/>
  <c r="H162" i="80"/>
  <c r="H141" i="78"/>
  <c r="F92" i="78"/>
  <c r="H124" i="78"/>
  <c r="H125" i="78"/>
  <c r="H126" i="78"/>
  <c r="H123" i="78"/>
  <c r="H165" i="80"/>
  <c r="H3" i="78"/>
  <c r="H4" i="78"/>
  <c r="H120" i="78"/>
  <c r="H14" i="80"/>
  <c r="H118" i="78"/>
  <c r="H119" i="78"/>
  <c r="H129" i="78"/>
  <c r="H130" i="78"/>
  <c r="H13" i="80"/>
  <c r="H142" i="78"/>
  <c r="H136" i="78"/>
  <c r="H137" i="78"/>
  <c r="H131" i="78"/>
  <c r="H138" i="78"/>
  <c r="H117" i="78"/>
  <c r="H115" i="78"/>
  <c r="H116" i="78"/>
  <c r="H114" i="78"/>
  <c r="H112" i="78"/>
  <c r="H113" i="78"/>
  <c r="H111" i="78"/>
  <c r="H128" i="78"/>
  <c r="H110" i="78"/>
  <c r="H42" i="80"/>
  <c r="H121" i="78"/>
  <c r="H122" i="78"/>
  <c r="H108" i="78"/>
  <c r="H109" i="78"/>
  <c r="H132" i="78"/>
  <c r="C6" i="81"/>
  <c r="H102" i="78"/>
  <c r="H101" i="78"/>
  <c r="H100" i="78"/>
  <c r="F56" i="78"/>
  <c r="H98" i="78"/>
  <c r="H99" i="78"/>
  <c r="H3" i="80"/>
  <c r="H4" i="80"/>
  <c r="P6" i="79"/>
  <c r="H167" i="76"/>
  <c r="H95" i="78"/>
  <c r="Q6" i="79"/>
  <c r="F2" i="76"/>
  <c r="H133" i="78"/>
  <c r="H21" i="80"/>
  <c r="L10" i="81"/>
  <c r="H5" i="76"/>
  <c r="H62" i="86"/>
  <c r="H145" i="84"/>
  <c r="H93" i="78"/>
  <c r="H44" i="80"/>
  <c r="F106" i="78"/>
  <c r="H106" i="78"/>
  <c r="H41" i="80"/>
  <c r="H91" i="78"/>
  <c r="H92" i="78"/>
  <c r="H94" i="78"/>
  <c r="H82" i="78"/>
  <c r="H83" i="78"/>
  <c r="H96" i="78"/>
  <c r="H97" i="78"/>
  <c r="H89" i="78"/>
  <c r="H86" i="78"/>
  <c r="H85" i="78"/>
  <c r="H88" i="78"/>
  <c r="U6" i="79"/>
  <c r="F81" i="78"/>
  <c r="H81" i="78"/>
  <c r="H80" i="78"/>
  <c r="H75" i="78"/>
  <c r="H76" i="78"/>
  <c r="H77" i="78"/>
  <c r="H78" i="78"/>
  <c r="H79" i="78"/>
  <c r="H84" i="78"/>
  <c r="H72" i="78"/>
  <c r="H73" i="78"/>
  <c r="H74" i="78"/>
  <c r="H127" i="78"/>
  <c r="F69" i="78"/>
  <c r="K7" i="79"/>
  <c r="K6" i="79" s="1"/>
  <c r="H71" i="78"/>
  <c r="H70" i="78"/>
  <c r="H69" i="78"/>
  <c r="H61" i="78"/>
  <c r="H66" i="78"/>
  <c r="H68" i="78"/>
  <c r="H60" i="78"/>
  <c r="F47" i="78"/>
  <c r="L6" i="79"/>
  <c r="K12" i="79"/>
  <c r="H56" i="78"/>
  <c r="H55" i="78"/>
  <c r="H54" i="78"/>
  <c r="H53" i="78"/>
  <c r="H52" i="78"/>
  <c r="H51" i="78"/>
  <c r="F51" i="78"/>
  <c r="H57" i="78"/>
  <c r="H48" i="78"/>
  <c r="H46" i="78"/>
  <c r="H47" i="78"/>
  <c r="H45" i="78"/>
  <c r="F43" i="78"/>
  <c r="H90" i="78"/>
  <c r="H44" i="78"/>
  <c r="H43" i="78"/>
  <c r="F39" i="78"/>
  <c r="H42" i="78"/>
  <c r="H41" i="78"/>
  <c r="H38" i="78"/>
  <c r="H40" i="78"/>
  <c r="H39" i="78"/>
  <c r="H37" i="78"/>
  <c r="F34" i="78"/>
  <c r="H35" i="78"/>
  <c r="H33" i="78"/>
  <c r="H34" i="78"/>
  <c r="H28" i="78"/>
  <c r="H32" i="78"/>
  <c r="G7" i="79"/>
  <c r="H30" i="78"/>
  <c r="H29" i="78"/>
  <c r="H59" i="78"/>
  <c r="F59" i="78"/>
  <c r="H67" i="78"/>
  <c r="H27" i="78"/>
  <c r="H22" i="78"/>
  <c r="H23" i="78"/>
  <c r="H24" i="78"/>
  <c r="H45" i="80"/>
  <c r="H36" i="78"/>
  <c r="H16" i="79"/>
  <c r="H6" i="79" s="1"/>
  <c r="F17" i="78"/>
  <c r="H20" i="78"/>
  <c r="H26" i="78"/>
  <c r="H16" i="78"/>
  <c r="E7" i="79"/>
  <c r="E9" i="79"/>
  <c r="E6" i="79" s="1"/>
  <c r="H18" i="78"/>
  <c r="H6" i="78"/>
  <c r="H12" i="78"/>
  <c r="C7" i="79"/>
  <c r="H7" i="78"/>
  <c r="H21" i="78"/>
  <c r="H19" i="78"/>
  <c r="H14" i="78"/>
  <c r="F14" i="78"/>
  <c r="H11" i="78"/>
  <c r="H9" i="78"/>
  <c r="H10" i="78"/>
  <c r="H66" i="86"/>
  <c r="H149" i="84"/>
  <c r="H8" i="78"/>
  <c r="B7" i="79"/>
  <c r="B6" i="79" s="1"/>
  <c r="H13" i="78"/>
  <c r="H15" i="78"/>
  <c r="F13" i="78"/>
  <c r="H63" i="86"/>
  <c r="H107" i="78"/>
  <c r="H185" i="76"/>
  <c r="T10" i="79"/>
  <c r="T6" i="79" s="1"/>
  <c r="H183" i="76"/>
  <c r="H180" i="76"/>
  <c r="H181" i="76"/>
  <c r="H182" i="76"/>
  <c r="H172" i="76"/>
  <c r="H173" i="76"/>
  <c r="H171" i="76"/>
  <c r="H170" i="76"/>
  <c r="H168" i="76"/>
  <c r="H169" i="76"/>
  <c r="C8" i="98"/>
  <c r="B8" i="98"/>
  <c r="H134" i="78"/>
  <c r="H40" i="86"/>
  <c r="H41" i="86"/>
  <c r="H85" i="84"/>
  <c r="H86" i="84"/>
  <c r="H174" i="76"/>
  <c r="H164" i="76"/>
  <c r="F163" i="76"/>
  <c r="H50" i="78"/>
  <c r="W6" i="92"/>
  <c r="T15" i="92"/>
  <c r="T6" i="92" s="1"/>
  <c r="K15" i="79"/>
  <c r="H166" i="76"/>
  <c r="H165" i="76"/>
  <c r="H67" i="86"/>
  <c r="H68" i="86"/>
  <c r="H69" i="86"/>
  <c r="H154" i="84"/>
  <c r="H155" i="84"/>
  <c r="H159" i="76"/>
  <c r="H135" i="78"/>
  <c r="H184" i="76"/>
  <c r="H106" i="84"/>
  <c r="H158" i="76"/>
  <c r="U6" i="92"/>
  <c r="U15" i="79"/>
  <c r="F120" i="84"/>
  <c r="H62" i="78"/>
  <c r="H63" i="78"/>
  <c r="H64" i="78"/>
  <c r="H154" i="76"/>
  <c r="H145" i="76"/>
  <c r="H133" i="76"/>
  <c r="H22" i="80"/>
  <c r="H87" i="78"/>
  <c r="H144" i="76"/>
  <c r="F144" i="76"/>
  <c r="H65" i="78"/>
  <c r="H5" i="78"/>
  <c r="H178" i="76"/>
  <c r="H179" i="76"/>
  <c r="H103" i="78"/>
  <c r="H135" i="76"/>
  <c r="H146" i="76"/>
  <c r="R9" i="92"/>
  <c r="H140" i="76"/>
  <c r="H139" i="76"/>
  <c r="H138" i="76"/>
  <c r="H130" i="76"/>
  <c r="H131" i="76"/>
  <c r="H132" i="76"/>
  <c r="H134" i="76"/>
  <c r="H136" i="76"/>
  <c r="H137" i="76"/>
  <c r="H128" i="76"/>
  <c r="H129" i="76"/>
  <c r="H59" i="86"/>
  <c r="H133" i="84"/>
  <c r="H126" i="76"/>
  <c r="H127" i="76"/>
  <c r="H128" i="84"/>
  <c r="H125" i="76"/>
  <c r="Q7" i="92"/>
  <c r="Q6" i="92"/>
  <c r="H124" i="76"/>
  <c r="H123" i="76"/>
  <c r="V9" i="92"/>
  <c r="V6" i="92"/>
  <c r="H177" i="76"/>
  <c r="H122" i="76"/>
  <c r="H121" i="76"/>
  <c r="H116" i="76"/>
  <c r="H115" i="76"/>
  <c r="C6" i="79"/>
  <c r="H120" i="76"/>
  <c r="H148" i="76"/>
  <c r="H109" i="76"/>
  <c r="H97" i="76"/>
  <c r="H110" i="76"/>
  <c r="H108" i="76"/>
  <c r="H155" i="76"/>
  <c r="H156" i="76"/>
  <c r="H104" i="76"/>
  <c r="H105" i="76"/>
  <c r="H117" i="76"/>
  <c r="H118" i="76"/>
  <c r="H114" i="76"/>
  <c r="P6" i="92"/>
  <c r="H112" i="76"/>
  <c r="H106" i="76"/>
  <c r="H107" i="76"/>
  <c r="H103" i="76"/>
  <c r="H100" i="76"/>
  <c r="H101" i="76"/>
  <c r="H102" i="76"/>
  <c r="H95" i="76"/>
  <c r="H163" i="80"/>
  <c r="H93" i="76"/>
  <c r="H94" i="76"/>
  <c r="H96" i="76"/>
  <c r="H81" i="84"/>
  <c r="H114" i="84"/>
  <c r="H115" i="84"/>
  <c r="H88" i="76"/>
  <c r="H87" i="76"/>
  <c r="H86" i="76"/>
  <c r="H85" i="76"/>
  <c r="H83" i="76"/>
  <c r="H84" i="76"/>
  <c r="H82" i="76"/>
  <c r="H78" i="76"/>
  <c r="H79" i="76"/>
  <c r="H80" i="76"/>
  <c r="H81" i="76"/>
  <c r="H77" i="76"/>
  <c r="H75" i="76"/>
  <c r="H76" i="76"/>
  <c r="H74" i="76"/>
  <c r="H175" i="76"/>
  <c r="H72" i="76"/>
  <c r="H73" i="76"/>
  <c r="S7" i="92"/>
  <c r="R6" i="79"/>
  <c r="H160" i="76"/>
  <c r="H46" i="80"/>
  <c r="H68" i="76"/>
  <c r="H153" i="76"/>
  <c r="H186" i="76"/>
  <c r="H176" i="76"/>
  <c r="H111" i="76"/>
  <c r="H149" i="76"/>
  <c r="H113" i="76"/>
  <c r="H66" i="76"/>
  <c r="H67" i="76"/>
  <c r="H157" i="76"/>
  <c r="H65" i="76"/>
  <c r="H64" i="76"/>
  <c r="H69" i="76"/>
  <c r="H70" i="76"/>
  <c r="H71" i="76"/>
  <c r="H62" i="76"/>
  <c r="H63" i="76"/>
  <c r="F63" i="76"/>
  <c r="F49" i="78"/>
  <c r="H49" i="78"/>
  <c r="H61" i="76"/>
  <c r="F61" i="76"/>
  <c r="F41" i="76"/>
  <c r="H141" i="76"/>
  <c r="H169" i="80"/>
  <c r="H90" i="76"/>
  <c r="H57" i="76"/>
  <c r="H89" i="76"/>
  <c r="H58" i="76"/>
  <c r="H59" i="76"/>
  <c r="H60" i="76"/>
  <c r="H54" i="76"/>
  <c r="H56" i="76"/>
  <c r="H163" i="76"/>
  <c r="H46" i="76"/>
  <c r="H52" i="76"/>
  <c r="N7" i="92"/>
  <c r="H53" i="76"/>
  <c r="H41" i="76"/>
  <c r="H42" i="76"/>
  <c r="H162" i="76"/>
  <c r="H39" i="76"/>
  <c r="H143" i="76"/>
  <c r="H150" i="76"/>
  <c r="C54" i="97"/>
  <c r="H34" i="76"/>
  <c r="H33" i="76"/>
  <c r="H36" i="76"/>
  <c r="H37" i="76"/>
  <c r="H38" i="76"/>
  <c r="H40" i="76"/>
  <c r="F37" i="76"/>
  <c r="F36" i="76"/>
  <c r="H49" i="76"/>
  <c r="H50" i="76"/>
  <c r="H51" i="76"/>
  <c r="H32" i="76"/>
  <c r="F20" i="76"/>
  <c r="H31" i="76"/>
  <c r="H28" i="76"/>
  <c r="H29" i="76"/>
  <c r="H30" i="76"/>
  <c r="F30" i="76"/>
  <c r="H27" i="76"/>
  <c r="H92" i="76"/>
  <c r="H20" i="76"/>
  <c r="E16" i="92"/>
  <c r="H47" i="76"/>
  <c r="H48" i="76"/>
  <c r="H26" i="76"/>
  <c r="E8" i="92"/>
  <c r="H22" i="76"/>
  <c r="F7" i="92"/>
  <c r="F19" i="76"/>
  <c r="H151" i="76"/>
  <c r="H43" i="76"/>
  <c r="H44" i="76"/>
  <c r="H45" i="76"/>
  <c r="H25" i="76"/>
  <c r="H21" i="76"/>
  <c r="H35" i="76"/>
  <c r="D7" i="92"/>
  <c r="H15" i="76"/>
  <c r="H42" i="86"/>
  <c r="H104" i="78"/>
  <c r="H18" i="76"/>
  <c r="H24" i="76"/>
  <c r="H14" i="76"/>
  <c r="H13" i="76"/>
  <c r="D6" i="92"/>
  <c r="H16" i="76"/>
  <c r="H17" i="76"/>
  <c r="F17" i="76"/>
  <c r="H23" i="76"/>
  <c r="H4" i="76"/>
  <c r="B7" i="92"/>
  <c r="B6" i="92"/>
  <c r="H3" i="76"/>
  <c r="F2" i="74"/>
  <c r="H7" i="92"/>
  <c r="H6" i="76"/>
  <c r="H7" i="76"/>
  <c r="H8" i="76"/>
  <c r="H217" i="74"/>
  <c r="F217" i="74"/>
  <c r="H216" i="74"/>
  <c r="H218" i="74"/>
  <c r="I17" i="92"/>
  <c r="H9" i="76"/>
  <c r="H10" i="76"/>
  <c r="H91" i="76"/>
  <c r="H209" i="74"/>
  <c r="F209" i="74"/>
  <c r="H210" i="74"/>
  <c r="H211" i="74"/>
  <c r="H212" i="74"/>
  <c r="F210" i="74"/>
  <c r="H11" i="76"/>
  <c r="H12" i="76"/>
  <c r="H208" i="74"/>
  <c r="H204" i="74"/>
  <c r="H198" i="74"/>
  <c r="H197" i="74"/>
  <c r="H201" i="74"/>
  <c r="H161" i="76"/>
  <c r="H195" i="74"/>
  <c r="H196" i="74"/>
  <c r="H199" i="74"/>
  <c r="F199" i="74"/>
  <c r="H142" i="76"/>
  <c r="H190" i="74"/>
  <c r="H191" i="74"/>
  <c r="T9" i="91"/>
  <c r="T6" i="91"/>
  <c r="H189" i="74"/>
  <c r="H192" i="74"/>
  <c r="F193" i="74"/>
  <c r="H178" i="74"/>
  <c r="F175" i="74"/>
  <c r="F174" i="74"/>
  <c r="F173" i="74"/>
  <c r="H173" i="74"/>
  <c r="H174" i="74"/>
  <c r="H175" i="74"/>
  <c r="H176" i="74"/>
  <c r="H179" i="74"/>
  <c r="H193" i="74"/>
  <c r="H180" i="74"/>
  <c r="H172" i="74"/>
  <c r="H152" i="74"/>
  <c r="H157" i="74"/>
  <c r="R14" i="91"/>
  <c r="H215" i="74"/>
  <c r="H153" i="74"/>
  <c r="H181" i="74"/>
  <c r="H145" i="74"/>
  <c r="H149" i="74"/>
  <c r="H150" i="74"/>
  <c r="H151" i="74"/>
  <c r="F150" i="74"/>
  <c r="H165" i="74"/>
  <c r="H148" i="74"/>
  <c r="H200" i="74"/>
  <c r="H139" i="74"/>
  <c r="H147" i="74"/>
  <c r="S7" i="91"/>
  <c r="S6" i="91" s="1"/>
  <c r="Q7" i="91"/>
  <c r="Q6" i="91" s="1"/>
  <c r="H156" i="74"/>
  <c r="H138" i="74"/>
  <c r="H140" i="74"/>
  <c r="H146" i="74"/>
  <c r="H147" i="76"/>
  <c r="H119" i="76"/>
  <c r="H183" i="74"/>
  <c r="N10" i="92"/>
  <c r="H133" i="74"/>
  <c r="H129" i="74"/>
  <c r="H137" i="74"/>
  <c r="H128" i="74"/>
  <c r="H154" i="74"/>
  <c r="H155" i="74"/>
  <c r="H159" i="74"/>
  <c r="H158" i="74"/>
  <c r="H160" i="74"/>
  <c r="H144" i="74"/>
  <c r="H125" i="74"/>
  <c r="H126" i="74"/>
  <c r="H127" i="74"/>
  <c r="H166" i="74"/>
  <c r="H136" i="74"/>
  <c r="H123" i="74"/>
  <c r="H124" i="74"/>
  <c r="H121" i="74"/>
  <c r="H182" i="74"/>
  <c r="H120" i="74"/>
  <c r="H117" i="74"/>
  <c r="H207" i="74"/>
  <c r="H206" i="74"/>
  <c r="H177" i="74"/>
  <c r="H141" i="74"/>
  <c r="H142" i="74"/>
  <c r="H205" i="74"/>
  <c r="H163" i="74"/>
  <c r="H164" i="74"/>
  <c r="H161" i="74"/>
  <c r="H115" i="74"/>
  <c r="H116" i="74"/>
  <c r="H122" i="74"/>
  <c r="H118" i="74"/>
  <c r="H111" i="74"/>
  <c r="H110" i="74"/>
  <c r="O6" i="91"/>
  <c r="H112" i="74"/>
  <c r="H113" i="74"/>
  <c r="H114" i="74"/>
  <c r="F55" i="76"/>
  <c r="H55" i="76"/>
  <c r="H219" i="74"/>
  <c r="H109" i="74"/>
  <c r="H101" i="74"/>
  <c r="H102" i="74"/>
  <c r="H130" i="74"/>
  <c r="H100" i="74"/>
  <c r="H94" i="74"/>
  <c r="H93" i="74"/>
  <c r="H92" i="74"/>
  <c r="F92" i="74"/>
  <c r="H105" i="74"/>
  <c r="H152" i="76"/>
  <c r="H91" i="74"/>
  <c r="H90" i="74"/>
  <c r="H88" i="74"/>
  <c r="K9" i="91"/>
  <c r="K15" i="91"/>
  <c r="H71" i="74"/>
  <c r="H72" i="74"/>
  <c r="H76" i="74"/>
  <c r="H103" i="74"/>
  <c r="K7" i="91"/>
  <c r="K14" i="91"/>
  <c r="H143" i="74"/>
  <c r="J15" i="92"/>
  <c r="H73" i="74"/>
  <c r="H89" i="74"/>
  <c r="H75" i="74"/>
  <c r="H77" i="74"/>
  <c r="H78" i="74"/>
  <c r="H79" i="74"/>
  <c r="H80" i="74"/>
  <c r="H81" i="74"/>
  <c r="H82" i="74"/>
  <c r="F67" i="74"/>
  <c r="H68" i="74"/>
  <c r="H63" i="74"/>
  <c r="H69" i="74"/>
  <c r="H70" i="74"/>
  <c r="H95" i="74"/>
  <c r="H74" i="74"/>
  <c r="H83" i="74"/>
  <c r="H64" i="74"/>
  <c r="H65" i="74"/>
  <c r="H66" i="74"/>
  <c r="H67" i="74"/>
  <c r="F64" i="74"/>
  <c r="H167" i="74"/>
  <c r="F62" i="74"/>
  <c r="H62" i="74"/>
  <c r="H60" i="74"/>
  <c r="H59" i="74"/>
  <c r="H58" i="74"/>
  <c r="H61" i="74"/>
  <c r="F58" i="74"/>
  <c r="H55" i="74"/>
  <c r="H57" i="74"/>
  <c r="H134" i="74"/>
  <c r="M6" i="91"/>
  <c r="H54" i="74"/>
  <c r="H56" i="74"/>
  <c r="I14" i="91"/>
  <c r="H108" i="74"/>
  <c r="H194" i="74"/>
  <c r="H131" i="74"/>
  <c r="H214" i="74"/>
  <c r="H168" i="74"/>
  <c r="H48" i="74"/>
  <c r="H47" i="74"/>
  <c r="G13" i="91"/>
  <c r="H46" i="74"/>
  <c r="H45" i="74"/>
  <c r="H32" i="74"/>
  <c r="H30" i="74"/>
  <c r="F30" i="74"/>
  <c r="H43" i="74"/>
  <c r="F40" i="74"/>
  <c r="H41" i="74"/>
  <c r="F33" i="74"/>
  <c r="F15" i="74"/>
  <c r="H49" i="74"/>
  <c r="H33" i="74"/>
  <c r="H44" i="74"/>
  <c r="H38" i="74"/>
  <c r="H39" i="74"/>
  <c r="F39" i="74"/>
  <c r="H34" i="74"/>
  <c r="H35" i="74"/>
  <c r="H36" i="74"/>
  <c r="H50" i="74"/>
  <c r="H51" i="74"/>
  <c r="H135" i="74"/>
  <c r="H20" i="74"/>
  <c r="H21" i="74"/>
  <c r="H40" i="74"/>
  <c r="H11" i="74"/>
  <c r="H10" i="74"/>
  <c r="H12" i="74"/>
  <c r="H31" i="74"/>
  <c r="H13" i="74"/>
  <c r="H25" i="74"/>
  <c r="H26" i="74"/>
  <c r="H27" i="74"/>
  <c r="H28" i="74"/>
  <c r="H42" i="74"/>
  <c r="H23" i="74"/>
  <c r="H6" i="91"/>
  <c r="H169" i="74"/>
  <c r="H52" i="74"/>
  <c r="H96" i="74"/>
  <c r="H22" i="74"/>
  <c r="H9" i="74"/>
  <c r="H29" i="74"/>
  <c r="H19" i="74"/>
  <c r="H186" i="74"/>
  <c r="H24" i="74"/>
  <c r="H8" i="74"/>
  <c r="H6" i="74"/>
  <c r="H7" i="74"/>
  <c r="H5" i="74"/>
  <c r="H37" i="74"/>
  <c r="I6" i="91"/>
  <c r="H267" i="72"/>
  <c r="H264" i="72"/>
  <c r="H265" i="72"/>
  <c r="H266" i="72"/>
  <c r="H162" i="74"/>
  <c r="H84" i="74"/>
  <c r="H85" i="74"/>
  <c r="H86" i="74"/>
  <c r="H263" i="72"/>
  <c r="H262" i="72"/>
  <c r="H261" i="72"/>
  <c r="H202" i="74"/>
  <c r="H187" i="74"/>
  <c r="H268" i="72"/>
  <c r="F268" i="72"/>
  <c r="H244" i="72"/>
  <c r="H254" i="72"/>
  <c r="H255" i="72"/>
  <c r="H256" i="72"/>
  <c r="H252" i="72"/>
  <c r="H238" i="72"/>
  <c r="H236" i="72"/>
  <c r="H237" i="72"/>
  <c r="H230" i="72"/>
  <c r="F202" i="72"/>
  <c r="H231" i="72"/>
  <c r="H232" i="72"/>
  <c r="H233" i="72"/>
  <c r="H234" i="72"/>
  <c r="H235" i="72"/>
  <c r="H229" i="72"/>
  <c r="F229" i="72"/>
  <c r="H227" i="72"/>
  <c r="H224" i="72"/>
  <c r="H225" i="72"/>
  <c r="H226" i="72"/>
  <c r="H228" i="72"/>
  <c r="H223" i="72"/>
  <c r="H222" i="72"/>
  <c r="H221" i="72"/>
  <c r="H217" i="72"/>
  <c r="U15" i="91"/>
  <c r="U6" i="91" s="1"/>
  <c r="H218" i="72"/>
  <c r="H219" i="72"/>
  <c r="H220" i="72"/>
  <c r="H212" i="72"/>
  <c r="H211" i="72"/>
  <c r="H210" i="72"/>
  <c r="H216" i="72"/>
  <c r="H206" i="72"/>
  <c r="H207" i="72"/>
  <c r="H208" i="72"/>
  <c r="H209" i="72"/>
  <c r="H213" i="72"/>
  <c r="H214" i="72"/>
  <c r="H215" i="72"/>
  <c r="H204" i="72"/>
  <c r="H203" i="72"/>
  <c r="H205" i="72"/>
  <c r="H18" i="74"/>
  <c r="H87" i="74"/>
  <c r="H170" i="74"/>
  <c r="H200" i="72"/>
  <c r="H199" i="72"/>
  <c r="H196" i="72"/>
  <c r="H202" i="72"/>
  <c r="H185" i="74"/>
  <c r="H201" i="72"/>
  <c r="H198" i="72"/>
  <c r="H104" i="74"/>
  <c r="H197" i="72"/>
  <c r="H213" i="74"/>
  <c r="Q7" i="73"/>
  <c r="Q6" i="73" s="1"/>
  <c r="H194" i="72"/>
  <c r="H193" i="72"/>
  <c r="H192" i="72"/>
  <c r="P10" i="91"/>
  <c r="H191" i="72"/>
  <c r="H190" i="72"/>
  <c r="H189" i="72"/>
  <c r="H245" i="72"/>
  <c r="H246" i="72"/>
  <c r="H187" i="72"/>
  <c r="H195" i="72"/>
  <c r="H188" i="72"/>
  <c r="H185" i="72"/>
  <c r="H186" i="72"/>
  <c r="H183" i="72"/>
  <c r="H184" i="72"/>
  <c r="H182" i="72"/>
  <c r="H178" i="72"/>
  <c r="F171" i="72"/>
  <c r="H180" i="72"/>
  <c r="H181" i="72"/>
  <c r="H179" i="72"/>
  <c r="H173" i="72"/>
  <c r="H177" i="72"/>
  <c r="F177" i="72"/>
  <c r="H174" i="72"/>
  <c r="H175" i="72"/>
  <c r="H176" i="72"/>
  <c r="H172" i="72"/>
  <c r="H171" i="72"/>
  <c r="H107" i="74"/>
  <c r="O9" i="73"/>
  <c r="O6" i="73" s="1"/>
  <c r="H170" i="72"/>
  <c r="H169" i="72"/>
  <c r="H167" i="72"/>
  <c r="H168" i="72"/>
  <c r="R6" i="73"/>
  <c r="H163" i="72"/>
  <c r="H164" i="72"/>
  <c r="H165" i="72"/>
  <c r="H166" i="72"/>
  <c r="H249" i="72"/>
  <c r="F162" i="72"/>
  <c r="H160" i="72"/>
  <c r="H162" i="72"/>
  <c r="H159" i="72"/>
  <c r="H106" i="74"/>
  <c r="H161" i="72"/>
  <c r="H253" i="72"/>
  <c r="H158" i="72"/>
  <c r="H247" i="72"/>
  <c r="H155" i="72"/>
  <c r="T15" i="73"/>
  <c r="T6" i="73" s="1"/>
  <c r="H154" i="72"/>
  <c r="F8" i="72"/>
  <c r="H153" i="72"/>
  <c r="B2" i="73"/>
  <c r="B5" i="73"/>
  <c r="B1" i="73" s="1"/>
  <c r="C2" i="73"/>
  <c r="C5" i="73"/>
  <c r="C1" i="73" s="1"/>
  <c r="D2" i="73"/>
  <c r="D5" i="73" s="1"/>
  <c r="D1" i="73" s="1"/>
  <c r="E2" i="73"/>
  <c r="E5" i="73"/>
  <c r="E1" i="73" s="1"/>
  <c r="F2" i="73"/>
  <c r="F5" i="73"/>
  <c r="F1" i="73"/>
  <c r="G2" i="73"/>
  <c r="G5" i="73"/>
  <c r="G1" i="73"/>
  <c r="H2" i="73"/>
  <c r="H5" i="73"/>
  <c r="H1" i="73"/>
  <c r="I2" i="73"/>
  <c r="I5" i="73" s="1"/>
  <c r="I1" i="73" s="1"/>
  <c r="J2" i="73"/>
  <c r="J5" i="73" s="1"/>
  <c r="J1" i="73"/>
  <c r="K2" i="73"/>
  <c r="K5" i="73" s="1"/>
  <c r="K1" i="73" s="1"/>
  <c r="L2" i="73"/>
  <c r="L5" i="73"/>
  <c r="L1" i="73"/>
  <c r="M2" i="73"/>
  <c r="M5" i="73" s="1"/>
  <c r="M1" i="73" s="1"/>
  <c r="N2" i="73"/>
  <c r="N5" i="73" s="1"/>
  <c r="N1" i="73" s="1"/>
  <c r="O2" i="73"/>
  <c r="O5" i="73"/>
  <c r="O1" i="73" s="1"/>
  <c r="P2" i="73"/>
  <c r="P5" i="73" s="1"/>
  <c r="P1" i="73" s="1"/>
  <c r="Q2" i="73"/>
  <c r="Q5" i="73" s="1"/>
  <c r="Q1" i="73" s="1"/>
  <c r="R2" i="73"/>
  <c r="R5" i="73"/>
  <c r="R1" i="73" s="1"/>
  <c r="S2" i="73"/>
  <c r="S5" i="73"/>
  <c r="S1" i="73" s="1"/>
  <c r="T2" i="73"/>
  <c r="T5" i="73" s="1"/>
  <c r="T1" i="73" s="1"/>
  <c r="U2" i="73"/>
  <c r="U5" i="73"/>
  <c r="U1" i="73" s="1"/>
  <c r="V2" i="73"/>
  <c r="V5" i="73"/>
  <c r="V1" i="73"/>
  <c r="B6" i="73"/>
  <c r="C6" i="73"/>
  <c r="D6" i="73"/>
  <c r="E6" i="73"/>
  <c r="F6" i="73"/>
  <c r="I6" i="73"/>
  <c r="K6" i="73"/>
  <c r="M6" i="73"/>
  <c r="N6" i="73"/>
  <c r="S6" i="73"/>
  <c r="V6" i="73"/>
  <c r="G7" i="73"/>
  <c r="G6" i="73" s="1"/>
  <c r="P6" i="73"/>
  <c r="H9" i="73"/>
  <c r="H6" i="73" s="1"/>
  <c r="L9" i="73"/>
  <c r="L6" i="73" s="1"/>
  <c r="U10" i="73"/>
  <c r="U6" i="73" s="1"/>
  <c r="H14" i="73"/>
  <c r="J15" i="73"/>
  <c r="J6" i="73" s="1"/>
  <c r="H151" i="72"/>
  <c r="H152" i="72"/>
  <c r="H156" i="72"/>
  <c r="H157" i="72"/>
  <c r="H16" i="74"/>
  <c r="H9" i="86"/>
  <c r="H250" i="72"/>
  <c r="H17" i="74"/>
  <c r="H15" i="74"/>
  <c r="H141" i="72"/>
  <c r="H140" i="72"/>
  <c r="H139" i="72"/>
  <c r="H138" i="72"/>
  <c r="H124" i="72"/>
  <c r="H123" i="72"/>
  <c r="F123" i="72"/>
  <c r="H122" i="72"/>
  <c r="H131" i="72"/>
  <c r="F131" i="72"/>
  <c r="H120" i="72"/>
  <c r="H121" i="72"/>
  <c r="H118" i="72"/>
  <c r="H126" i="72"/>
  <c r="H127" i="72"/>
  <c r="H128" i="72"/>
  <c r="H117" i="72"/>
  <c r="H116" i="72"/>
  <c r="H148" i="72"/>
  <c r="H114" i="72"/>
  <c r="H129" i="72"/>
  <c r="H115" i="72"/>
  <c r="H257" i="72"/>
  <c r="H259" i="72"/>
  <c r="H113" i="72"/>
  <c r="H135" i="72"/>
  <c r="H132" i="72"/>
  <c r="F132" i="72"/>
  <c r="H119" i="72"/>
  <c r="H93" i="72"/>
  <c r="F38" i="72"/>
  <c r="F19" i="72"/>
  <c r="H90" i="72"/>
  <c r="H91" i="72"/>
  <c r="H103" i="72"/>
  <c r="H136" i="72"/>
  <c r="H134" i="72"/>
  <c r="H133" i="72"/>
  <c r="H89" i="72"/>
  <c r="H88" i="72"/>
  <c r="H102" i="72"/>
  <c r="H95" i="72"/>
  <c r="H85" i="72"/>
  <c r="H86" i="72"/>
  <c r="H87" i="72"/>
  <c r="H92" i="72"/>
  <c r="F92" i="72"/>
  <c r="F81" i="72"/>
  <c r="H45" i="72"/>
  <c r="H53" i="74"/>
  <c r="H80" i="72"/>
  <c r="H69" i="72"/>
  <c r="H79" i="72"/>
  <c r="H77" i="72"/>
  <c r="H66" i="72"/>
  <c r="H67" i="72"/>
  <c r="H68" i="72"/>
  <c r="H60" i="72"/>
  <c r="H94" i="72"/>
  <c r="F41" i="72"/>
  <c r="H84" i="72"/>
  <c r="H83" i="72"/>
  <c r="H65" i="72"/>
  <c r="H73" i="72"/>
  <c r="H74" i="72"/>
  <c r="H82" i="72"/>
  <c r="H98" i="72"/>
  <c r="F63" i="72"/>
  <c r="H53" i="72"/>
  <c r="H54" i="72"/>
  <c r="F44" i="72"/>
  <c r="F62" i="72"/>
  <c r="H55" i="72"/>
  <c r="H75" i="72"/>
  <c r="H61" i="72"/>
  <c r="H78" i="72"/>
  <c r="H59" i="72"/>
  <c r="H51" i="72"/>
  <c r="H52" i="72"/>
  <c r="H58" i="72"/>
  <c r="H49" i="72"/>
  <c r="H50" i="72"/>
  <c r="H48" i="72"/>
  <c r="H47" i="72"/>
  <c r="H57" i="72"/>
  <c r="H46" i="72"/>
  <c r="H81" i="72"/>
  <c r="H71" i="72"/>
  <c r="H72" i="72"/>
  <c r="H76" i="72"/>
  <c r="H100" i="72"/>
  <c r="H242" i="72"/>
  <c r="H42" i="72"/>
  <c r="H62" i="72"/>
  <c r="F56" i="72"/>
  <c r="H44" i="72"/>
  <c r="H41" i="72"/>
  <c r="H43" i="72"/>
  <c r="H40" i="72"/>
  <c r="H63" i="72"/>
  <c r="F33" i="72"/>
  <c r="H39" i="72"/>
  <c r="H31" i="72"/>
  <c r="F31" i="72"/>
  <c r="F32" i="72"/>
  <c r="F37" i="72"/>
  <c r="H35" i="72"/>
  <c r="H56" i="72"/>
  <c r="H143" i="72"/>
  <c r="H34" i="72"/>
  <c r="F34" i="72"/>
  <c r="H269" i="72"/>
  <c r="H258" i="72"/>
  <c r="H104" i="72"/>
  <c r="H105" i="72"/>
  <c r="H37" i="72"/>
  <c r="H32" i="72"/>
  <c r="H33" i="72"/>
  <c r="H25" i="72"/>
  <c r="F27" i="72"/>
  <c r="H27" i="72"/>
  <c r="H36" i="72"/>
  <c r="H24" i="72"/>
  <c r="H26" i="72"/>
  <c r="H70" i="72"/>
  <c r="H23" i="72"/>
  <c r="H145" i="72"/>
  <c r="H20" i="72"/>
  <c r="H240" i="72"/>
  <c r="H125" i="72"/>
  <c r="H137" i="72"/>
  <c r="H112" i="72"/>
  <c r="H21" i="72"/>
  <c r="H64" i="72"/>
  <c r="H28" i="72"/>
  <c r="H9" i="72"/>
  <c r="H29" i="72"/>
  <c r="H30" i="72"/>
  <c r="H96" i="72"/>
  <c r="H18" i="72"/>
  <c r="H38" i="72"/>
  <c r="H16" i="72"/>
  <c r="H17" i="72"/>
  <c r="H12" i="72"/>
  <c r="H13" i="72"/>
  <c r="H14" i="72"/>
  <c r="H8" i="72"/>
  <c r="H10" i="72"/>
  <c r="H11" i="72"/>
  <c r="F8" i="96"/>
  <c r="H7" i="72"/>
  <c r="H15" i="72"/>
  <c r="H3" i="74"/>
  <c r="H4" i="74"/>
  <c r="H5" i="72"/>
  <c r="H6" i="72"/>
  <c r="H149" i="72"/>
  <c r="H189" i="96"/>
  <c r="H150" i="72"/>
  <c r="H4" i="72"/>
  <c r="H248" i="72"/>
  <c r="H190" i="96"/>
  <c r="H191" i="96"/>
  <c r="H192" i="96"/>
  <c r="H193" i="96"/>
  <c r="H3" i="72"/>
  <c r="H186" i="96"/>
  <c r="H199" i="96"/>
  <c r="H200" i="96"/>
  <c r="H188" i="96"/>
  <c r="H187" i="96"/>
  <c r="H174" i="96"/>
  <c r="H175" i="96"/>
  <c r="H176" i="96"/>
  <c r="H177" i="96"/>
  <c r="H178" i="96"/>
  <c r="H179" i="96"/>
  <c r="H180" i="96"/>
  <c r="H181" i="96"/>
  <c r="H182" i="96"/>
  <c r="H183" i="96"/>
  <c r="H184" i="96"/>
  <c r="H185" i="96"/>
  <c r="H194" i="96"/>
  <c r="F181" i="96"/>
  <c r="H165" i="96"/>
  <c r="H172" i="96"/>
  <c r="H173" i="96"/>
  <c r="H171" i="96"/>
  <c r="H169" i="96"/>
  <c r="H170" i="96"/>
  <c r="H166" i="96"/>
  <c r="H167" i="96"/>
  <c r="H168" i="96"/>
  <c r="H164" i="96"/>
  <c r="H163" i="96"/>
  <c r="H162" i="96"/>
  <c r="H161" i="96"/>
  <c r="F161" i="96"/>
  <c r="H2" i="72"/>
  <c r="H160" i="96"/>
  <c r="H159" i="96"/>
  <c r="H158" i="96"/>
  <c r="H157" i="96"/>
  <c r="H156" i="96"/>
  <c r="H155" i="96"/>
  <c r="H154" i="96"/>
  <c r="H153" i="96"/>
  <c r="H149" i="96"/>
  <c r="H150" i="96"/>
  <c r="H151" i="96"/>
  <c r="H152" i="96"/>
  <c r="H148" i="96"/>
  <c r="F148" i="96"/>
  <c r="H147" i="96"/>
  <c r="H108" i="72"/>
  <c r="H142" i="96"/>
  <c r="H130" i="72"/>
  <c r="H97" i="72"/>
  <c r="H243" i="72"/>
  <c r="H109" i="72"/>
  <c r="H106" i="72"/>
  <c r="H143" i="96"/>
  <c r="H144" i="96"/>
  <c r="H145" i="96"/>
  <c r="H146" i="96"/>
  <c r="F145" i="96"/>
  <c r="H141" i="96"/>
  <c r="H140" i="96"/>
  <c r="H239" i="72"/>
  <c r="H131" i="96"/>
  <c r="H130" i="96"/>
  <c r="H138" i="96"/>
  <c r="H139" i="96"/>
  <c r="H136" i="96"/>
  <c r="H137" i="96"/>
  <c r="H135" i="96"/>
  <c r="H134" i="96"/>
  <c r="H129" i="96"/>
  <c r="H133" i="96"/>
  <c r="H132" i="96"/>
  <c r="H122" i="96"/>
  <c r="F122" i="96"/>
  <c r="H121" i="96"/>
  <c r="H118" i="96"/>
  <c r="H119" i="96"/>
  <c r="H120" i="96"/>
  <c r="H123" i="96"/>
  <c r="H117" i="96"/>
  <c r="H126" i="96"/>
  <c r="H127" i="96"/>
  <c r="H128" i="96"/>
  <c r="H116" i="96"/>
  <c r="U9" i="69"/>
  <c r="H111" i="72"/>
  <c r="H110" i="72"/>
  <c r="H125" i="96"/>
  <c r="H124" i="96"/>
  <c r="H202" i="96"/>
  <c r="H201" i="96"/>
  <c r="H115" i="96"/>
  <c r="R9" i="69"/>
  <c r="H99" i="72"/>
  <c r="H22" i="72"/>
  <c r="H150" i="84"/>
  <c r="H112" i="96"/>
  <c r="H111" i="96"/>
  <c r="H110" i="96"/>
  <c r="H109" i="96"/>
  <c r="H107" i="96"/>
  <c r="H108" i="96"/>
  <c r="H198" i="96"/>
  <c r="H103" i="96"/>
  <c r="H104" i="96"/>
  <c r="H105" i="96"/>
  <c r="H106" i="96"/>
  <c r="H102" i="96"/>
  <c r="H101" i="96"/>
  <c r="H107" i="72"/>
  <c r="H100" i="96"/>
  <c r="H114" i="96"/>
  <c r="H144" i="72"/>
  <c r="H99" i="96"/>
  <c r="H113" i="96"/>
  <c r="H98" i="96"/>
  <c r="H89" i="96"/>
  <c r="H90" i="96"/>
  <c r="F77" i="96"/>
  <c r="H77" i="96"/>
  <c r="H97" i="96"/>
  <c r="H96" i="96"/>
  <c r="H95" i="96"/>
  <c r="H93" i="96"/>
  <c r="H94" i="96"/>
  <c r="F93" i="96"/>
  <c r="H91" i="96"/>
  <c r="H92" i="96"/>
  <c r="H87" i="96"/>
  <c r="F87" i="96"/>
  <c r="H86" i="96"/>
  <c r="H83" i="96"/>
  <c r="H84" i="96"/>
  <c r="H85" i="96"/>
  <c r="H81" i="96"/>
  <c r="F80" i="96"/>
  <c r="H80" i="96"/>
  <c r="F22" i="94"/>
  <c r="H78" i="96"/>
  <c r="H79" i="96"/>
  <c r="H72" i="96"/>
  <c r="H73" i="96"/>
  <c r="H74" i="96"/>
  <c r="H75" i="96"/>
  <c r="H70" i="96"/>
  <c r="H71" i="96"/>
  <c r="H69" i="96"/>
  <c r="H68" i="96"/>
  <c r="H67" i="96"/>
  <c r="H65" i="96"/>
  <c r="H66" i="96"/>
  <c r="H82" i="96"/>
  <c r="H76" i="96"/>
  <c r="H63" i="96"/>
  <c r="H64" i="96"/>
  <c r="H88" i="96"/>
  <c r="H61" i="96"/>
  <c r="I15" i="69"/>
  <c r="S15" i="69"/>
  <c r="H56" i="96"/>
  <c r="F59" i="96"/>
  <c r="H62" i="96"/>
  <c r="H55" i="96"/>
  <c r="H59" i="96"/>
  <c r="H60" i="96"/>
  <c r="H57" i="96"/>
  <c r="H58" i="96"/>
  <c r="F57" i="96"/>
  <c r="H54" i="96"/>
  <c r="H50" i="96"/>
  <c r="H7" i="69"/>
  <c r="H6" i="69" s="1"/>
  <c r="H101" i="72"/>
  <c r="I6" i="69"/>
  <c r="H53" i="96"/>
  <c r="H52" i="96"/>
  <c r="H196" i="96"/>
  <c r="H51" i="96"/>
  <c r="H49" i="96"/>
  <c r="H46" i="96"/>
  <c r="H37" i="96"/>
  <c r="H48" i="96"/>
  <c r="H45" i="96"/>
  <c r="H42" i="96"/>
  <c r="H43" i="96"/>
  <c r="H44" i="96"/>
  <c r="H40" i="96"/>
  <c r="H47" i="96"/>
  <c r="H38" i="96"/>
  <c r="H39" i="96"/>
  <c r="H35" i="96"/>
  <c r="H36" i="96"/>
  <c r="H41" i="96"/>
  <c r="H30" i="96"/>
  <c r="H34" i="96"/>
  <c r="F34" i="96"/>
  <c r="H32" i="96"/>
  <c r="H29" i="96"/>
  <c r="D8" i="69"/>
  <c r="D6" i="69"/>
  <c r="H20" i="96"/>
  <c r="H28" i="96"/>
  <c r="F26" i="96"/>
  <c r="F25" i="96"/>
  <c r="H33" i="96"/>
  <c r="H31" i="96"/>
  <c r="H27" i="96"/>
  <c r="H25" i="96"/>
  <c r="K6" i="69"/>
  <c r="F6" i="69"/>
  <c r="H21" i="96"/>
  <c r="H8" i="96"/>
  <c r="H12" i="96"/>
  <c r="H11" i="96"/>
  <c r="H13" i="96"/>
  <c r="H14" i="96"/>
  <c r="H5" i="96"/>
  <c r="H6" i="96"/>
  <c r="H7" i="96"/>
  <c r="H10" i="96"/>
  <c r="H17" i="96"/>
  <c r="H9" i="96"/>
  <c r="H16" i="96"/>
  <c r="H18" i="96"/>
  <c r="F16" i="96"/>
  <c r="H219" i="66"/>
  <c r="H210" i="66"/>
  <c r="H213" i="66"/>
  <c r="H15" i="96"/>
  <c r="H19" i="96"/>
  <c r="H207" i="66"/>
  <c r="H208" i="66"/>
  <c r="H216" i="66"/>
  <c r="H214" i="66"/>
  <c r="H205" i="66"/>
  <c r="H204" i="66"/>
  <c r="H227" i="66"/>
  <c r="H206" i="66"/>
  <c r="H209" i="66"/>
  <c r="H223" i="66"/>
  <c r="H224" i="66"/>
  <c r="H225" i="66"/>
  <c r="H202" i="66"/>
  <c r="H203" i="66"/>
  <c r="H201" i="66"/>
  <c r="V15" i="67"/>
  <c r="V6" i="67"/>
  <c r="H200" i="66"/>
  <c r="H199" i="66"/>
  <c r="H191" i="66"/>
  <c r="H192" i="66"/>
  <c r="H197" i="96"/>
  <c r="H195" i="96"/>
  <c r="H4" i="96"/>
  <c r="H226" i="66"/>
  <c r="H198" i="66"/>
  <c r="H212" i="66"/>
  <c r="H197" i="66"/>
  <c r="H196" i="66"/>
  <c r="H193" i="66"/>
  <c r="H194" i="66"/>
  <c r="H195" i="66"/>
  <c r="H190" i="66"/>
  <c r="H187" i="66"/>
  <c r="H189" i="66"/>
  <c r="H188" i="66"/>
  <c r="T8" i="67"/>
  <c r="H172" i="66"/>
  <c r="H181" i="66"/>
  <c r="H184" i="66"/>
  <c r="H176" i="66"/>
  <c r="H177" i="66"/>
  <c r="H175" i="66"/>
  <c r="H171" i="66"/>
  <c r="H167" i="66"/>
  <c r="H186" i="66"/>
  <c r="H162" i="66"/>
  <c r="H173" i="66"/>
  <c r="H164" i="66"/>
  <c r="H154" i="66"/>
  <c r="H155" i="66"/>
  <c r="H156" i="66"/>
  <c r="H157" i="66"/>
  <c r="H158" i="66"/>
  <c r="H153" i="66"/>
  <c r="H166" i="66"/>
  <c r="H161" i="66"/>
  <c r="H168" i="66"/>
  <c r="H151" i="66"/>
  <c r="H144" i="66"/>
  <c r="H163" i="66"/>
  <c r="H145" i="66"/>
  <c r="H146" i="66"/>
  <c r="H125" i="66"/>
  <c r="H147" i="66"/>
  <c r="H148" i="66"/>
  <c r="H149" i="66"/>
  <c r="H150" i="66"/>
  <c r="H124" i="66"/>
  <c r="H123" i="66"/>
  <c r="H127" i="66"/>
  <c r="H128" i="66"/>
  <c r="H129" i="66"/>
  <c r="H130" i="66"/>
  <c r="H131" i="66"/>
  <c r="H132" i="66"/>
  <c r="H133" i="66"/>
  <c r="H134" i="66"/>
  <c r="H135" i="66"/>
  <c r="H136" i="66"/>
  <c r="H137" i="66"/>
  <c r="H138" i="66"/>
  <c r="H139" i="66"/>
  <c r="H140" i="66"/>
  <c r="H141" i="66"/>
  <c r="H142" i="66"/>
  <c r="H143" i="66"/>
  <c r="F137" i="66"/>
  <c r="H119" i="66"/>
  <c r="H118" i="66"/>
  <c r="H121" i="66"/>
  <c r="H122" i="66"/>
  <c r="H170" i="66"/>
  <c r="H120" i="66"/>
  <c r="H109" i="66"/>
  <c r="H114" i="66"/>
  <c r="H112" i="66"/>
  <c r="H117" i="66"/>
  <c r="H113" i="66"/>
  <c r="H115" i="66"/>
  <c r="H116" i="66"/>
  <c r="F115" i="66"/>
  <c r="H111" i="66"/>
  <c r="H126" i="66"/>
  <c r="H174" i="66"/>
  <c r="H110" i="66"/>
  <c r="H108" i="66"/>
  <c r="H107" i="66"/>
  <c r="H180" i="66"/>
  <c r="H106" i="66"/>
  <c r="H99" i="66"/>
  <c r="H169" i="66"/>
  <c r="H100" i="66"/>
  <c r="N9" i="67"/>
  <c r="O9" i="67"/>
  <c r="H105" i="66"/>
  <c r="H96" i="66"/>
  <c r="N7" i="67"/>
  <c r="H97" i="66"/>
  <c r="H95" i="66"/>
  <c r="H22" i="96"/>
  <c r="H23" i="96"/>
  <c r="H24" i="96"/>
  <c r="H102" i="66"/>
  <c r="H103" i="66"/>
  <c r="H104" i="66"/>
  <c r="H101" i="66"/>
  <c r="F101" i="66"/>
  <c r="H92" i="66"/>
  <c r="H93" i="66"/>
  <c r="H94" i="66"/>
  <c r="H98" i="66"/>
  <c r="H78" i="66"/>
  <c r="H79" i="66"/>
  <c r="H77" i="66"/>
  <c r="H80" i="66"/>
  <c r="H88" i="66"/>
  <c r="H91" i="66"/>
  <c r="H89" i="66"/>
  <c r="H90" i="66"/>
  <c r="H87" i="66"/>
  <c r="H86" i="66"/>
  <c r="H76" i="66"/>
  <c r="H73" i="66"/>
  <c r="H75" i="66"/>
  <c r="H74" i="66"/>
  <c r="H83" i="66"/>
  <c r="H185" i="66"/>
  <c r="H215" i="66"/>
  <c r="H84" i="66"/>
  <c r="H72" i="66"/>
  <c r="H81" i="66"/>
  <c r="H69" i="66"/>
  <c r="H70" i="66"/>
  <c r="H71" i="66"/>
  <c r="H67" i="66"/>
  <c r="H68" i="66"/>
  <c r="K15" i="67"/>
  <c r="K6" i="67" s="1"/>
  <c r="H221" i="66"/>
  <c r="L9" i="67"/>
  <c r="L6" i="67"/>
  <c r="H65" i="66"/>
  <c r="H66" i="66"/>
  <c r="H64" i="66"/>
  <c r="H58" i="66"/>
  <c r="H63" i="66"/>
  <c r="H62" i="66"/>
  <c r="H61" i="66"/>
  <c r="H57" i="66"/>
  <c r="H60" i="66"/>
  <c r="H59" i="66"/>
  <c r="H56" i="66"/>
  <c r="H55" i="66"/>
  <c r="H54" i="66"/>
  <c r="H53" i="66"/>
  <c r="F53" i="66"/>
  <c r="H52" i="66"/>
  <c r="H49" i="66"/>
  <c r="H50" i="66"/>
  <c r="H47" i="66"/>
  <c r="H48" i="66"/>
  <c r="F48" i="66"/>
  <c r="H46" i="66"/>
  <c r="H45" i="66"/>
  <c r="H44" i="66"/>
  <c r="H43" i="66"/>
  <c r="H42" i="66"/>
  <c r="J6" i="67"/>
  <c r="H41" i="66"/>
  <c r="H40" i="66"/>
  <c r="H39" i="66"/>
  <c r="H38" i="66"/>
  <c r="H37" i="66"/>
  <c r="H36" i="66"/>
  <c r="F32" i="66"/>
  <c r="H51" i="66"/>
  <c r="H32" i="66"/>
  <c r="H33" i="66"/>
  <c r="H34" i="66"/>
  <c r="H35" i="66"/>
  <c r="F35" i="66"/>
  <c r="E7" i="67"/>
  <c r="E6" i="67" s="1"/>
  <c r="H28" i="66"/>
  <c r="H29" i="66"/>
  <c r="H30" i="66"/>
  <c r="H27" i="66"/>
  <c r="H25" i="66"/>
  <c r="H26" i="66"/>
  <c r="H217" i="66"/>
  <c r="H31" i="66"/>
  <c r="H24" i="66"/>
  <c r="H8" i="66"/>
  <c r="H23" i="66"/>
  <c r="H21" i="66"/>
  <c r="H22" i="66"/>
  <c r="H20" i="66"/>
  <c r="H19" i="66"/>
  <c r="H18" i="66"/>
  <c r="H16" i="66"/>
  <c r="H15" i="66"/>
  <c r="H178" i="66"/>
  <c r="H218" i="66"/>
  <c r="H14" i="66"/>
  <c r="H12" i="66"/>
  <c r="H13" i="66"/>
  <c r="H11" i="66"/>
  <c r="H10" i="66"/>
  <c r="H17" i="66"/>
  <c r="H82" i="66"/>
  <c r="H9" i="66"/>
  <c r="H7" i="66"/>
  <c r="H211" i="66"/>
  <c r="H201" i="63"/>
  <c r="H200" i="63"/>
  <c r="H4" i="66"/>
  <c r="H160" i="66"/>
  <c r="H198" i="63"/>
  <c r="H199" i="63"/>
  <c r="H197" i="63"/>
  <c r="H196" i="63"/>
  <c r="H202" i="63"/>
  <c r="H195" i="63"/>
  <c r="H194" i="63"/>
  <c r="H203" i="63"/>
  <c r="H193" i="63"/>
  <c r="H191" i="63"/>
  <c r="H192" i="63"/>
  <c r="H152" i="66"/>
  <c r="H184" i="63"/>
  <c r="H185" i="63"/>
  <c r="H186" i="63"/>
  <c r="F186" i="63"/>
  <c r="F185" i="63"/>
  <c r="H183" i="63"/>
  <c r="H181" i="63"/>
  <c r="T7" i="64"/>
  <c r="H182" i="63"/>
  <c r="H178" i="63"/>
  <c r="H179" i="63"/>
  <c r="H180" i="63"/>
  <c r="H176" i="63"/>
  <c r="H177" i="63"/>
  <c r="H205" i="63"/>
  <c r="H206" i="63"/>
  <c r="H208" i="63"/>
  <c r="H209" i="63"/>
  <c r="H163" i="63"/>
  <c r="H141" i="63"/>
  <c r="H173" i="63"/>
  <c r="H172" i="63"/>
  <c r="H179" i="66"/>
  <c r="H211" i="63"/>
  <c r="H175" i="63"/>
  <c r="F7" i="67"/>
  <c r="F6" i="67" s="1"/>
  <c r="H171" i="63"/>
  <c r="H174" i="63"/>
  <c r="H170" i="63"/>
  <c r="H162" i="63"/>
  <c r="H164" i="63"/>
  <c r="H161" i="63"/>
  <c r="H160" i="63"/>
  <c r="H159" i="63"/>
  <c r="H165" i="63"/>
  <c r="H166" i="63"/>
  <c r="H168" i="63"/>
  <c r="H169" i="63"/>
  <c r="H142" i="63"/>
  <c r="H143" i="63"/>
  <c r="F142" i="63"/>
  <c r="S6" i="64"/>
  <c r="H140" i="63"/>
  <c r="F140" i="63"/>
  <c r="H144" i="63"/>
  <c r="H139" i="63"/>
  <c r="H165" i="66"/>
  <c r="H151" i="63"/>
  <c r="H152" i="63"/>
  <c r="H153" i="63"/>
  <c r="H154" i="63"/>
  <c r="H204" i="63"/>
  <c r="H155" i="63"/>
  <c r="H156" i="63"/>
  <c r="H137" i="63"/>
  <c r="H138" i="63"/>
  <c r="H134" i="63"/>
  <c r="H133" i="63"/>
  <c r="H135" i="63"/>
  <c r="H131" i="63"/>
  <c r="H132" i="63"/>
  <c r="H125" i="63"/>
  <c r="H126" i="63"/>
  <c r="H127" i="63"/>
  <c r="H128" i="63"/>
  <c r="H129" i="63"/>
  <c r="H130" i="63"/>
  <c r="H122" i="63"/>
  <c r="H123" i="63"/>
  <c r="H121" i="63"/>
  <c r="H124" i="63"/>
  <c r="H120" i="63"/>
  <c r="H119" i="63"/>
  <c r="H157" i="63"/>
  <c r="H158" i="63"/>
  <c r="H167" i="63"/>
  <c r="H187" i="63"/>
  <c r="H188" i="63"/>
  <c r="H189" i="63"/>
  <c r="H190" i="63"/>
  <c r="H115" i="63"/>
  <c r="H113" i="63"/>
  <c r="H114" i="63"/>
  <c r="H116" i="63"/>
  <c r="H117" i="63"/>
  <c r="H118" i="63"/>
  <c r="F116" i="63"/>
  <c r="O7" i="64"/>
  <c r="H5" i="66"/>
  <c r="H112" i="63"/>
  <c r="H111" i="63"/>
  <c r="H110" i="63"/>
  <c r="H105" i="63"/>
  <c r="H106" i="63"/>
  <c r="H107" i="63"/>
  <c r="H108" i="63"/>
  <c r="H109" i="63"/>
  <c r="H102" i="63"/>
  <c r="H103" i="63"/>
  <c r="F102" i="63"/>
  <c r="H104" i="63"/>
  <c r="H99" i="63"/>
  <c r="N7" i="64"/>
  <c r="N6" i="64" s="1"/>
  <c r="H98" i="63"/>
  <c r="H97" i="63"/>
  <c r="N15" i="64"/>
  <c r="H96" i="63"/>
  <c r="N14" i="64"/>
  <c r="H85" i="66"/>
  <c r="H95" i="63"/>
  <c r="B6" i="67"/>
  <c r="H94" i="63"/>
  <c r="H146" i="63"/>
  <c r="U6" i="64"/>
  <c r="H136" i="63"/>
  <c r="H87" i="63"/>
  <c r="F84" i="63"/>
  <c r="H203" i="74"/>
  <c r="H251" i="72"/>
  <c r="H3" i="66"/>
  <c r="H84" i="63"/>
  <c r="H88" i="63"/>
  <c r="H89" i="63"/>
  <c r="H76" i="63"/>
  <c r="H75" i="63"/>
  <c r="H77" i="63"/>
  <c r="F77" i="63"/>
  <c r="H90" i="63"/>
  <c r="H74" i="63"/>
  <c r="H73" i="63"/>
  <c r="H78" i="63"/>
  <c r="H79" i="63"/>
  <c r="H91" i="63"/>
  <c r="H92" i="63"/>
  <c r="H93" i="63"/>
  <c r="H82" i="63"/>
  <c r="H66" i="63"/>
  <c r="H220" i="66"/>
  <c r="H58" i="63"/>
  <c r="H67" i="63"/>
  <c r="H69" i="63"/>
  <c r="H61" i="63"/>
  <c r="H52" i="63"/>
  <c r="H43" i="63"/>
  <c r="H44" i="63"/>
  <c r="H47" i="63"/>
  <c r="H59" i="63"/>
  <c r="H54" i="63"/>
  <c r="H55" i="63"/>
  <c r="H56" i="63"/>
  <c r="H212" i="63"/>
  <c r="P9" i="64"/>
  <c r="P6" i="64"/>
  <c r="F41" i="63"/>
  <c r="H33" i="63"/>
  <c r="H48" i="63"/>
  <c r="H49" i="63"/>
  <c r="H40" i="63"/>
  <c r="H71" i="63"/>
  <c r="H31" i="63"/>
  <c r="H32" i="63"/>
  <c r="G6" i="64"/>
  <c r="H30" i="63"/>
  <c r="F36" i="63"/>
  <c r="F28" i="63"/>
  <c r="H20" i="63"/>
  <c r="H19" i="63"/>
  <c r="H18" i="63"/>
  <c r="H17" i="63"/>
  <c r="H27" i="63"/>
  <c r="H28" i="63"/>
  <c r="H16" i="63"/>
  <c r="F13" i="63"/>
  <c r="H15" i="63"/>
  <c r="H149" i="63"/>
  <c r="H11" i="63"/>
  <c r="E6" i="64"/>
  <c r="H64" i="63"/>
  <c r="H51" i="63"/>
  <c r="F39" i="63"/>
  <c r="H39" i="63"/>
  <c r="H145" i="63"/>
  <c r="H35" i="63"/>
  <c r="H13" i="63"/>
  <c r="H41" i="63"/>
  <c r="H36" i="63"/>
  <c r="H10" i="63"/>
  <c r="H9" i="63"/>
  <c r="H12" i="63"/>
  <c r="H14" i="63"/>
  <c r="H153" i="84"/>
  <c r="H50" i="63"/>
  <c r="H37" i="63"/>
  <c r="H42" i="63"/>
  <c r="H5" i="63"/>
  <c r="H6" i="63"/>
  <c r="H8" i="63"/>
  <c r="H45" i="63"/>
  <c r="B7" i="64"/>
  <c r="B6" i="64" s="1"/>
  <c r="H62" i="63"/>
  <c r="H25" i="63"/>
  <c r="H26" i="63"/>
  <c r="B9" i="64"/>
  <c r="H150" i="63"/>
  <c r="H3" i="63"/>
  <c r="H4" i="63"/>
  <c r="H7" i="63"/>
  <c r="H29" i="63"/>
  <c r="H46" i="63"/>
  <c r="H222" i="66"/>
  <c r="H38" i="63"/>
  <c r="H140" i="94"/>
  <c r="H143" i="94"/>
  <c r="H146" i="94"/>
  <c r="H100" i="63"/>
  <c r="H138" i="94"/>
  <c r="H144" i="94"/>
  <c r="H135" i="94"/>
  <c r="H130" i="94"/>
  <c r="H139" i="94"/>
  <c r="H129" i="94"/>
  <c r="H24" i="63"/>
  <c r="H136" i="94"/>
  <c r="H147" i="63"/>
  <c r="H128" i="94"/>
  <c r="H142" i="94"/>
  <c r="H131" i="94"/>
  <c r="H80" i="63"/>
  <c r="H134" i="94"/>
  <c r="H124" i="94"/>
  <c r="H119" i="94"/>
  <c r="H68" i="63"/>
  <c r="H121" i="94"/>
  <c r="F121" i="94"/>
  <c r="H114" i="94"/>
  <c r="H127" i="94"/>
  <c r="H125" i="94"/>
  <c r="H126" i="94"/>
  <c r="H101" i="63"/>
  <c r="H108" i="94"/>
  <c r="H107" i="94"/>
  <c r="H109" i="94"/>
  <c r="H72" i="63"/>
  <c r="H123" i="94"/>
  <c r="H106" i="94"/>
  <c r="H103" i="94"/>
  <c r="H100" i="94"/>
  <c r="H101" i="94"/>
  <c r="H102" i="94"/>
  <c r="H21" i="63"/>
  <c r="H22" i="63"/>
  <c r="H23" i="63"/>
  <c r="H95" i="94"/>
  <c r="H60" i="63"/>
  <c r="H93" i="94"/>
  <c r="H122" i="94"/>
  <c r="H89" i="94"/>
  <c r="H90" i="94"/>
  <c r="N11" i="64"/>
  <c r="H88" i="94"/>
  <c r="F133" i="94"/>
  <c r="T16" i="64"/>
  <c r="H96" i="94"/>
  <c r="H57" i="63"/>
  <c r="H81" i="63"/>
  <c r="H83" i="63"/>
  <c r="H65" i="63"/>
  <c r="H86" i="94"/>
  <c r="H84" i="94"/>
  <c r="H85" i="94"/>
  <c r="H94" i="94"/>
  <c r="H80" i="94"/>
  <c r="H147" i="94"/>
  <c r="H132" i="94"/>
  <c r="H133" i="94"/>
  <c r="H137" i="94"/>
  <c r="H141" i="94"/>
  <c r="H97" i="94"/>
  <c r="H111" i="94"/>
  <c r="H112" i="94"/>
  <c r="H110" i="94"/>
  <c r="H79" i="94"/>
  <c r="H78" i="94"/>
  <c r="H87" i="94"/>
  <c r="H105" i="94"/>
  <c r="H77" i="94"/>
  <c r="H116" i="94"/>
  <c r="H115" i="94"/>
  <c r="H74" i="94"/>
  <c r="H67" i="94"/>
  <c r="H66" i="94"/>
  <c r="H75" i="94"/>
  <c r="F85" i="63"/>
  <c r="H86" i="63"/>
  <c r="H82" i="94"/>
  <c r="H71" i="94"/>
  <c r="S6" i="87"/>
  <c r="H60" i="86"/>
  <c r="H64" i="86"/>
  <c r="H13" i="86"/>
  <c r="H14" i="86"/>
  <c r="H57" i="86"/>
  <c r="H55" i="86"/>
  <c r="H56" i="86"/>
  <c r="H58" i="86"/>
  <c r="H35" i="86"/>
  <c r="H36" i="86"/>
  <c r="H7" i="86"/>
  <c r="H8" i="86"/>
  <c r="H15" i="86"/>
  <c r="H16" i="86"/>
  <c r="H17" i="86"/>
  <c r="H20" i="86"/>
  <c r="H31" i="84"/>
  <c r="H126" i="84"/>
  <c r="H127" i="84"/>
  <c r="H109" i="84"/>
  <c r="H118" i="84"/>
  <c r="H120" i="84"/>
  <c r="H129" i="84"/>
  <c r="H136" i="84"/>
  <c r="H137" i="84"/>
  <c r="H144" i="84"/>
  <c r="H156" i="84"/>
  <c r="H98" i="94"/>
  <c r="H6" i="66"/>
  <c r="H63" i="94"/>
  <c r="H62" i="94"/>
  <c r="H61" i="94"/>
  <c r="H59" i="94"/>
  <c r="H60" i="94"/>
  <c r="H58" i="94"/>
  <c r="H81" i="94"/>
  <c r="H104" i="94"/>
  <c r="H72" i="94"/>
  <c r="H73" i="94"/>
  <c r="F72" i="94"/>
  <c r="H92" i="94"/>
  <c r="H56" i="94"/>
  <c r="H57" i="94"/>
  <c r="H76" i="94"/>
  <c r="S6" i="81"/>
  <c r="W2" i="81"/>
  <c r="W5" i="81" s="1"/>
  <c r="W1" i="81" s="1"/>
  <c r="J11" i="95"/>
  <c r="H54" i="94"/>
  <c r="H99" i="94"/>
  <c r="H49" i="94"/>
  <c r="H48" i="94"/>
  <c r="H47" i="94"/>
  <c r="F47" i="94"/>
  <c r="F44" i="94"/>
  <c r="H46" i="94"/>
  <c r="H45" i="94"/>
  <c r="H44" i="94"/>
  <c r="S2" i="79"/>
  <c r="S5" i="79"/>
  <c r="S1" i="79" s="1"/>
  <c r="T2" i="79"/>
  <c r="T5" i="79"/>
  <c r="T1" i="79" s="1"/>
  <c r="U2" i="79"/>
  <c r="U5" i="79"/>
  <c r="U1" i="79" s="1"/>
  <c r="V2" i="79"/>
  <c r="V5" i="79" s="1"/>
  <c r="V1" i="79" s="1"/>
  <c r="W2" i="79"/>
  <c r="W5" i="79"/>
  <c r="W1" i="79"/>
  <c r="S6" i="79"/>
  <c r="V6" i="79"/>
  <c r="W6" i="79"/>
  <c r="H19" i="76"/>
  <c r="H98" i="76"/>
  <c r="H99" i="76"/>
  <c r="H187" i="76"/>
  <c r="I7" i="95"/>
  <c r="H83" i="94"/>
  <c r="L6" i="64"/>
  <c r="H37" i="94"/>
  <c r="H55" i="94"/>
  <c r="H64" i="94"/>
  <c r="H65" i="94"/>
  <c r="H68" i="94"/>
  <c r="H69" i="94"/>
  <c r="H70" i="94"/>
  <c r="Q9" i="95"/>
  <c r="Q6" i="95" s="1"/>
  <c r="H42" i="94"/>
  <c r="W2" i="91"/>
  <c r="W5" i="91"/>
  <c r="W1" i="91" s="1"/>
  <c r="W6" i="91"/>
  <c r="H14" i="74"/>
  <c r="H50" i="94"/>
  <c r="H97" i="74"/>
  <c r="H142" i="72"/>
  <c r="H132" i="74"/>
  <c r="H43" i="94"/>
  <c r="H53" i="94"/>
  <c r="H14" i="95"/>
  <c r="H6" i="95" s="1"/>
  <c r="H7" i="95"/>
  <c r="H39" i="94"/>
  <c r="H40" i="94"/>
  <c r="H41" i="94"/>
  <c r="H38" i="94"/>
  <c r="H36" i="94"/>
  <c r="H35" i="94"/>
  <c r="H34" i="63"/>
  <c r="P7" i="95"/>
  <c r="P6" i="95" s="1"/>
  <c r="H52" i="94"/>
  <c r="H33" i="94"/>
  <c r="H120" i="94"/>
  <c r="M6" i="95"/>
  <c r="H32" i="94"/>
  <c r="H31" i="94"/>
  <c r="H30" i="94"/>
  <c r="F30" i="94"/>
  <c r="F12" i="95"/>
  <c r="F6" i="95"/>
  <c r="H29" i="94"/>
  <c r="H34" i="94"/>
  <c r="H28" i="94"/>
  <c r="H24" i="94"/>
  <c r="H25" i="94"/>
  <c r="H26" i="94"/>
  <c r="H27" i="94"/>
  <c r="L7" i="95"/>
  <c r="L6" i="95"/>
  <c r="H23" i="94"/>
  <c r="H21" i="94"/>
  <c r="H16" i="94"/>
  <c r="H20" i="94"/>
  <c r="H117" i="94"/>
  <c r="H113" i="94"/>
  <c r="H70" i="63"/>
  <c r="H91" i="94"/>
  <c r="H51" i="94"/>
  <c r="H118" i="94"/>
  <c r="H14" i="94"/>
  <c r="H13" i="94"/>
  <c r="H17" i="94"/>
  <c r="H3" i="94"/>
  <c r="H7" i="94"/>
  <c r="H8" i="94"/>
  <c r="H10" i="94"/>
  <c r="H15" i="94"/>
  <c r="H6" i="94"/>
  <c r="H5" i="94"/>
  <c r="H12" i="94"/>
  <c r="H18" i="94"/>
  <c r="H19" i="94"/>
  <c r="H145" i="94"/>
  <c r="H11" i="94"/>
  <c r="F9" i="95"/>
  <c r="C7" i="95"/>
  <c r="C6" i="95"/>
  <c r="H4" i="94"/>
  <c r="H23" i="86"/>
  <c r="H49" i="84"/>
  <c r="H203" i="96"/>
  <c r="H210" i="63"/>
  <c r="H63" i="63"/>
  <c r="H3" i="96"/>
  <c r="H26" i="96"/>
  <c r="X1" i="67"/>
  <c r="X2" i="67"/>
  <c r="X6" i="67"/>
  <c r="H207" i="63"/>
  <c r="H105" i="84"/>
  <c r="H182" i="66"/>
  <c r="H183" i="66"/>
  <c r="H95" i="84"/>
  <c r="H105" i="78"/>
  <c r="H260" i="72"/>
  <c r="W2" i="87"/>
  <c r="W5" i="87"/>
  <c r="W1" i="87" s="1"/>
  <c r="W6" i="87"/>
  <c r="B2" i="95"/>
  <c r="B5" i="95" s="1"/>
  <c r="B1" i="95" s="1"/>
  <c r="V2" i="81"/>
  <c r="V5" i="81"/>
  <c r="V1" i="81"/>
  <c r="V6" i="81"/>
  <c r="W2" i="69"/>
  <c r="W5" i="69" s="1"/>
  <c r="W1" i="69" s="1"/>
  <c r="W6" i="69"/>
  <c r="L1" i="95"/>
  <c r="H50" i="86"/>
  <c r="H54" i="86"/>
  <c r="H27" i="86"/>
  <c r="H21" i="84"/>
  <c r="H22" i="84"/>
  <c r="H34" i="84"/>
  <c r="H44" i="84"/>
  <c r="H57" i="84"/>
  <c r="H50" i="84"/>
  <c r="H59" i="84"/>
  <c r="H91" i="84"/>
  <c r="H92" i="84"/>
  <c r="H67" i="84"/>
  <c r="H68" i="84"/>
  <c r="H74" i="84"/>
  <c r="H82" i="84"/>
  <c r="H96" i="84"/>
  <c r="H148" i="63"/>
  <c r="B6" i="87"/>
  <c r="H33" i="86"/>
  <c r="S6" i="85"/>
  <c r="H2" i="84"/>
  <c r="S6" i="83"/>
  <c r="H2" i="82"/>
  <c r="H2" i="78"/>
  <c r="H17" i="78"/>
  <c r="H2" i="76"/>
  <c r="H184" i="74"/>
  <c r="H119" i="74"/>
  <c r="H98" i="74"/>
  <c r="H99" i="74"/>
  <c r="H188" i="74"/>
  <c r="H171" i="74"/>
  <c r="H2" i="74"/>
  <c r="H19" i="72"/>
  <c r="H146" i="72"/>
  <c r="H147" i="72"/>
  <c r="H241" i="72"/>
  <c r="V2" i="95"/>
  <c r="V5" i="95"/>
  <c r="V1" i="95" s="1"/>
  <c r="W2" i="95"/>
  <c r="W5" i="95" s="1"/>
  <c r="W1" i="95" s="1"/>
  <c r="V6" i="95"/>
  <c r="W6" i="95"/>
  <c r="H9" i="94"/>
  <c r="H30" i="86"/>
  <c r="H18" i="80"/>
  <c r="H2" i="96"/>
  <c r="H22" i="94"/>
  <c r="H159" i="66"/>
  <c r="V2" i="85"/>
  <c r="V5" i="85" s="1"/>
  <c r="V1" i="85"/>
  <c r="V6" i="85"/>
  <c r="U2" i="64"/>
  <c r="U5" i="64" s="1"/>
  <c r="U1" i="64" s="1"/>
  <c r="V2" i="64"/>
  <c r="V5" i="64" s="1"/>
  <c r="V1" i="64" s="1"/>
  <c r="V6" i="64"/>
  <c r="U2" i="95"/>
  <c r="U5" i="95" s="1"/>
  <c r="U1" i="95" s="1"/>
  <c r="T6" i="95"/>
  <c r="S6" i="95"/>
  <c r="R6" i="95"/>
  <c r="O6" i="95"/>
  <c r="N6" i="95"/>
  <c r="K6" i="95"/>
  <c r="J6" i="95"/>
  <c r="I6" i="95"/>
  <c r="G6" i="95"/>
  <c r="E6" i="95"/>
  <c r="D6" i="95"/>
  <c r="B6" i="95"/>
  <c r="T2" i="95"/>
  <c r="T5" i="95" s="1"/>
  <c r="T1" i="95" s="1"/>
  <c r="S2" i="95"/>
  <c r="S5" i="95" s="1"/>
  <c r="S1" i="95" s="1"/>
  <c r="R2" i="95"/>
  <c r="R5" i="95" s="1"/>
  <c r="R1" i="95" s="1"/>
  <c r="Q2" i="95"/>
  <c r="Q5" i="95" s="1"/>
  <c r="Q1" i="95" s="1"/>
  <c r="P2" i="95"/>
  <c r="P5" i="95" s="1"/>
  <c r="P1" i="95" s="1"/>
  <c r="O2" i="95"/>
  <c r="O5" i="95" s="1"/>
  <c r="O1" i="95" s="1"/>
  <c r="N2" i="95"/>
  <c r="N5" i="95"/>
  <c r="N1" i="95" s="1"/>
  <c r="M2" i="95"/>
  <c r="M5" i="95" s="1"/>
  <c r="M1" i="95" s="1"/>
  <c r="L2" i="95"/>
  <c r="K2" i="95"/>
  <c r="K5" i="95" s="1"/>
  <c r="K1" i="95" s="1"/>
  <c r="J2" i="95"/>
  <c r="J5" i="95" s="1"/>
  <c r="J1" i="95" s="1"/>
  <c r="I2" i="95"/>
  <c r="I5" i="95" s="1"/>
  <c r="I1" i="95" s="1"/>
  <c r="H2" i="95"/>
  <c r="H5" i="95"/>
  <c r="H1" i="95" s="1"/>
  <c r="G2" i="95"/>
  <c r="G5" i="95" s="1"/>
  <c r="G1" i="95" s="1"/>
  <c r="F2" i="95"/>
  <c r="F5" i="95" s="1"/>
  <c r="F1" i="95" s="1"/>
  <c r="E2" i="95"/>
  <c r="E5" i="95" s="1"/>
  <c r="E1" i="95" s="1"/>
  <c r="D2" i="95"/>
  <c r="D5" i="95"/>
  <c r="D1" i="95" s="1"/>
  <c r="C2" i="95"/>
  <c r="C5" i="95" s="1"/>
  <c r="C1" i="95" s="1"/>
  <c r="H2" i="94"/>
  <c r="H46" i="86"/>
  <c r="H4" i="86"/>
  <c r="H11" i="86"/>
  <c r="H32" i="86"/>
  <c r="H21" i="86"/>
  <c r="H18" i="86"/>
  <c r="H19" i="86"/>
  <c r="H24" i="86"/>
  <c r="H29" i="86"/>
  <c r="H34" i="86"/>
  <c r="H53" i="63"/>
  <c r="H85" i="63"/>
  <c r="H2" i="80"/>
  <c r="S6" i="92"/>
  <c r="R6" i="92"/>
  <c r="M6" i="92"/>
  <c r="L6" i="92"/>
  <c r="K6" i="92"/>
  <c r="J6" i="92"/>
  <c r="I6" i="92"/>
  <c r="H6" i="92"/>
  <c r="G6" i="92"/>
  <c r="F6" i="92"/>
  <c r="C6" i="92"/>
  <c r="W2" i="92"/>
  <c r="W5" i="92" s="1"/>
  <c r="W1" i="92" s="1"/>
  <c r="V2" i="92"/>
  <c r="V5" i="92"/>
  <c r="V1" i="92" s="1"/>
  <c r="U2" i="92"/>
  <c r="U5" i="92"/>
  <c r="U1" i="92" s="1"/>
  <c r="T2" i="92"/>
  <c r="T5" i="92"/>
  <c r="T1" i="92" s="1"/>
  <c r="S2" i="92"/>
  <c r="S5" i="92"/>
  <c r="S1" i="92" s="1"/>
  <c r="R2" i="92"/>
  <c r="R5" i="92"/>
  <c r="R1" i="92" s="1"/>
  <c r="Q2" i="92"/>
  <c r="Q5" i="92" s="1"/>
  <c r="Q1" i="92" s="1"/>
  <c r="P2" i="92"/>
  <c r="P5" i="92"/>
  <c r="P1" i="92"/>
  <c r="O2" i="92"/>
  <c r="O5" i="92"/>
  <c r="O1" i="92"/>
  <c r="N2" i="92"/>
  <c r="N5" i="92"/>
  <c r="N1" i="92"/>
  <c r="M2" i="92"/>
  <c r="M5" i="92"/>
  <c r="M1" i="92"/>
  <c r="L2" i="92"/>
  <c r="L5" i="92" s="1"/>
  <c r="L1" i="92" s="1"/>
  <c r="K2" i="92"/>
  <c r="K5" i="92" s="1"/>
  <c r="K1" i="92" s="1"/>
  <c r="J2" i="92"/>
  <c r="J5" i="92" s="1"/>
  <c r="J1" i="92"/>
  <c r="I2" i="92"/>
  <c r="I5" i="92"/>
  <c r="I1" i="92" s="1"/>
  <c r="H2" i="92"/>
  <c r="H5" i="92" s="1"/>
  <c r="H1" i="92" s="1"/>
  <c r="G2" i="92"/>
  <c r="G5" i="92" s="1"/>
  <c r="G1" i="92" s="1"/>
  <c r="F2" i="92"/>
  <c r="F5" i="92"/>
  <c r="F1" i="92" s="1"/>
  <c r="E2" i="92"/>
  <c r="E5" i="92" s="1"/>
  <c r="E1" i="92" s="1"/>
  <c r="D2" i="92"/>
  <c r="D5" i="92" s="1"/>
  <c r="D1" i="92" s="1"/>
  <c r="C2" i="92"/>
  <c r="C5" i="92" s="1"/>
  <c r="C1" i="92" s="1"/>
  <c r="B2" i="92"/>
  <c r="B5" i="92"/>
  <c r="B1" i="92" s="1"/>
  <c r="H12" i="86"/>
  <c r="H5" i="86"/>
  <c r="H6" i="86"/>
  <c r="H31" i="86"/>
  <c r="H45" i="86"/>
  <c r="H49" i="86"/>
  <c r="H52" i="86"/>
  <c r="H2" i="66"/>
  <c r="H2" i="63"/>
  <c r="V6" i="91"/>
  <c r="R6" i="91"/>
  <c r="P6" i="91"/>
  <c r="N6" i="91"/>
  <c r="L6" i="91"/>
  <c r="J6" i="91"/>
  <c r="G6" i="91"/>
  <c r="E6" i="91"/>
  <c r="D6" i="91"/>
  <c r="C6" i="91"/>
  <c r="B6" i="91"/>
  <c r="V2" i="91"/>
  <c r="V5" i="91"/>
  <c r="V1" i="91"/>
  <c r="U2" i="91"/>
  <c r="U5" i="91" s="1"/>
  <c r="U1" i="91" s="1"/>
  <c r="T2" i="91"/>
  <c r="T5" i="91"/>
  <c r="T1" i="91" s="1"/>
  <c r="S2" i="91"/>
  <c r="S5" i="91" s="1"/>
  <c r="S1" i="91" s="1"/>
  <c r="R2" i="91"/>
  <c r="R5" i="91"/>
  <c r="R1" i="91"/>
  <c r="Q2" i="91"/>
  <c r="Q5" i="91"/>
  <c r="Q1" i="91"/>
  <c r="P2" i="91"/>
  <c r="P5" i="91"/>
  <c r="P1" i="91"/>
  <c r="O2" i="91"/>
  <c r="O5" i="91"/>
  <c r="O1" i="91"/>
  <c r="N2" i="91"/>
  <c r="N5" i="91" s="1"/>
  <c r="N1" i="91" s="1"/>
  <c r="M2" i="91"/>
  <c r="M5" i="91" s="1"/>
  <c r="M1" i="91"/>
  <c r="L2" i="91"/>
  <c r="L5" i="91" s="1"/>
  <c r="L1" i="91" s="1"/>
  <c r="K2" i="91"/>
  <c r="K5" i="91"/>
  <c r="K1" i="91"/>
  <c r="J2" i="91"/>
  <c r="J5" i="91" s="1"/>
  <c r="J1" i="91" s="1"/>
  <c r="I2" i="91"/>
  <c r="I5" i="91" s="1"/>
  <c r="I1" i="91" s="1"/>
  <c r="H2" i="91"/>
  <c r="H5" i="91"/>
  <c r="H1" i="91" s="1"/>
  <c r="G2" i="91"/>
  <c r="G5" i="91"/>
  <c r="G1" i="91" s="1"/>
  <c r="F2" i="91"/>
  <c r="F5" i="91" s="1"/>
  <c r="F1" i="91" s="1"/>
  <c r="E2" i="91"/>
  <c r="E5" i="91"/>
  <c r="E1" i="91" s="1"/>
  <c r="D2" i="91"/>
  <c r="D5" i="91"/>
  <c r="D1" i="91" s="1"/>
  <c r="C2" i="91"/>
  <c r="C5" i="91" s="1"/>
  <c r="C1" i="91"/>
  <c r="B2" i="91"/>
  <c r="B5" i="91"/>
  <c r="B1" i="91"/>
  <c r="V6" i="87"/>
  <c r="U6" i="87"/>
  <c r="T6" i="87"/>
  <c r="R6" i="87"/>
  <c r="Q6" i="87"/>
  <c r="P6" i="87"/>
  <c r="O6" i="87"/>
  <c r="N6" i="87"/>
  <c r="M6" i="87"/>
  <c r="L6" i="87"/>
  <c r="K6" i="87"/>
  <c r="J6" i="87"/>
  <c r="I6" i="87"/>
  <c r="H6" i="87"/>
  <c r="G6" i="87"/>
  <c r="F6" i="87"/>
  <c r="E6" i="87"/>
  <c r="D6" i="87"/>
  <c r="C6" i="87"/>
  <c r="V2" i="87"/>
  <c r="V5" i="87" s="1"/>
  <c r="V1" i="87" s="1"/>
  <c r="U2" i="87"/>
  <c r="U5" i="87"/>
  <c r="U1" i="87"/>
  <c r="T2" i="87"/>
  <c r="T5" i="87" s="1"/>
  <c r="T1" i="87" s="1"/>
  <c r="S2" i="87"/>
  <c r="S5" i="87" s="1"/>
  <c r="S1" i="87"/>
  <c r="R2" i="87"/>
  <c r="R5" i="87" s="1"/>
  <c r="R1" i="87"/>
  <c r="Q2" i="87"/>
  <c r="Q5" i="87"/>
  <c r="Q1" i="87"/>
  <c r="P2" i="87"/>
  <c r="P5" i="87" s="1"/>
  <c r="P1" i="87" s="1"/>
  <c r="O2" i="87"/>
  <c r="O5" i="87" s="1"/>
  <c r="O1" i="87" s="1"/>
  <c r="N2" i="87"/>
  <c r="N5" i="87"/>
  <c r="N1" i="87" s="1"/>
  <c r="M2" i="87"/>
  <c r="M5" i="87" s="1"/>
  <c r="M1" i="87" s="1"/>
  <c r="L2" i="87"/>
  <c r="L5" i="87"/>
  <c r="L1" i="87" s="1"/>
  <c r="K2" i="87"/>
  <c r="K5" i="87"/>
  <c r="K1" i="87" s="1"/>
  <c r="J2" i="87"/>
  <c r="J5" i="87"/>
  <c r="J1" i="87" s="1"/>
  <c r="I2" i="87"/>
  <c r="I5" i="87" s="1"/>
  <c r="I1" i="87"/>
  <c r="H2" i="87"/>
  <c r="H5" i="87"/>
  <c r="H1" i="87"/>
  <c r="G2" i="87"/>
  <c r="G5" i="87"/>
  <c r="G1" i="87" s="1"/>
  <c r="F2" i="87"/>
  <c r="F5" i="87"/>
  <c r="F1" i="87"/>
  <c r="E2" i="87"/>
  <c r="E5" i="87"/>
  <c r="E1" i="87"/>
  <c r="D2" i="87"/>
  <c r="D5" i="87" s="1"/>
  <c r="D1" i="87" s="1"/>
  <c r="C2" i="87"/>
  <c r="C5" i="87" s="1"/>
  <c r="C1" i="87" s="1"/>
  <c r="B2" i="87"/>
  <c r="B5" i="87" s="1"/>
  <c r="B1" i="87"/>
  <c r="H2" i="86"/>
  <c r="U6" i="85"/>
  <c r="R6" i="85"/>
  <c r="Q6" i="85"/>
  <c r="P6" i="85"/>
  <c r="O6" i="85"/>
  <c r="N6" i="85"/>
  <c r="M6" i="85"/>
  <c r="J6" i="85"/>
  <c r="I6" i="85"/>
  <c r="H6" i="85"/>
  <c r="G6" i="85"/>
  <c r="D6" i="85"/>
  <c r="C6" i="85"/>
  <c r="U2" i="85"/>
  <c r="U5" i="85"/>
  <c r="U1" i="85"/>
  <c r="T2" i="85"/>
  <c r="T5" i="85"/>
  <c r="T1" i="85" s="1"/>
  <c r="S2" i="85"/>
  <c r="S5" i="85"/>
  <c r="S1" i="85"/>
  <c r="R2" i="85"/>
  <c r="R5" i="85" s="1"/>
  <c r="R1" i="85" s="1"/>
  <c r="Q2" i="85"/>
  <c r="Q5" i="85" s="1"/>
  <c r="Q1" i="85" s="1"/>
  <c r="P2" i="85"/>
  <c r="P5" i="85" s="1"/>
  <c r="P1" i="85"/>
  <c r="O2" i="85"/>
  <c r="O5" i="85" s="1"/>
  <c r="O1" i="85" s="1"/>
  <c r="N2" i="85"/>
  <c r="N5" i="85" s="1"/>
  <c r="N1" i="85" s="1"/>
  <c r="M2" i="85"/>
  <c r="M5" i="85" s="1"/>
  <c r="M1" i="85" s="1"/>
  <c r="L2" i="85"/>
  <c r="L5" i="85"/>
  <c r="L1" i="85" s="1"/>
  <c r="K2" i="85"/>
  <c r="K5" i="85" s="1"/>
  <c r="K1" i="85" s="1"/>
  <c r="J2" i="85"/>
  <c r="J5" i="85"/>
  <c r="J1" i="85"/>
  <c r="I2" i="85"/>
  <c r="I5" i="85" s="1"/>
  <c r="I1" i="85" s="1"/>
  <c r="H2" i="85"/>
  <c r="H5" i="85"/>
  <c r="H1" i="85" s="1"/>
  <c r="G2" i="85"/>
  <c r="G5" i="85" s="1"/>
  <c r="G1" i="85" s="1"/>
  <c r="F2" i="85"/>
  <c r="F5" i="85"/>
  <c r="F1" i="85"/>
  <c r="E2" i="85"/>
  <c r="E5" i="85"/>
  <c r="E1" i="85" s="1"/>
  <c r="D2" i="85"/>
  <c r="D5" i="85" s="1"/>
  <c r="D1" i="85" s="1"/>
  <c r="C2" i="85"/>
  <c r="C5" i="85"/>
  <c r="C1" i="85"/>
  <c r="B2" i="85"/>
  <c r="B5" i="85" s="1"/>
  <c r="B1" i="85" s="1"/>
  <c r="V6" i="83"/>
  <c r="U6" i="83"/>
  <c r="T6" i="83"/>
  <c r="R6" i="83"/>
  <c r="Q6" i="83"/>
  <c r="P6" i="83"/>
  <c r="O6" i="83"/>
  <c r="N6" i="83"/>
  <c r="M6" i="83"/>
  <c r="L6" i="83"/>
  <c r="K6" i="83"/>
  <c r="I6" i="83"/>
  <c r="G6" i="83"/>
  <c r="F6" i="83"/>
  <c r="E6" i="83"/>
  <c r="D6" i="83"/>
  <c r="C6" i="83"/>
  <c r="V2" i="83"/>
  <c r="V5" i="83"/>
  <c r="V1" i="83"/>
  <c r="U2" i="83"/>
  <c r="U5" i="83"/>
  <c r="U1" i="83"/>
  <c r="T2" i="83"/>
  <c r="T5" i="83" s="1"/>
  <c r="T1" i="83" s="1"/>
  <c r="S2" i="83"/>
  <c r="S5" i="83"/>
  <c r="S1" i="83"/>
  <c r="R2" i="83"/>
  <c r="R5" i="83" s="1"/>
  <c r="R1" i="83" s="1"/>
  <c r="Q2" i="83"/>
  <c r="Q5" i="83" s="1"/>
  <c r="Q1" i="83"/>
  <c r="P2" i="83"/>
  <c r="P5" i="83" s="1"/>
  <c r="P1" i="83"/>
  <c r="O2" i="83"/>
  <c r="O5" i="83"/>
  <c r="O1" i="83"/>
  <c r="N2" i="83"/>
  <c r="N5" i="83" s="1"/>
  <c r="N1" i="83" s="1"/>
  <c r="M2" i="83"/>
  <c r="M5" i="83" s="1"/>
  <c r="M1" i="83" s="1"/>
  <c r="L2" i="83"/>
  <c r="L5" i="83"/>
  <c r="L1" i="83" s="1"/>
  <c r="K2" i="83"/>
  <c r="K5" i="83" s="1"/>
  <c r="K1" i="83" s="1"/>
  <c r="J2" i="83"/>
  <c r="J5" i="83"/>
  <c r="J1" i="83" s="1"/>
  <c r="I2" i="83"/>
  <c r="I5" i="83"/>
  <c r="I1" i="83" s="1"/>
  <c r="H2" i="83"/>
  <c r="H5" i="83"/>
  <c r="H1" i="83" s="1"/>
  <c r="G2" i="83"/>
  <c r="G5" i="83" s="1"/>
  <c r="G1" i="83"/>
  <c r="F2" i="83"/>
  <c r="F5" i="83"/>
  <c r="F1" i="83"/>
  <c r="E2" i="83"/>
  <c r="E5" i="83"/>
  <c r="E1" i="83" s="1"/>
  <c r="D2" i="83"/>
  <c r="D5" i="83"/>
  <c r="D1" i="83"/>
  <c r="C2" i="83"/>
  <c r="C5" i="83"/>
  <c r="C1" i="83"/>
  <c r="B2" i="83"/>
  <c r="B5" i="83" s="1"/>
  <c r="B1" i="83" s="1"/>
  <c r="U6" i="81"/>
  <c r="R6" i="81"/>
  <c r="Q6" i="81"/>
  <c r="P6" i="81"/>
  <c r="O6" i="81"/>
  <c r="N6" i="81"/>
  <c r="M6" i="81"/>
  <c r="L6" i="81"/>
  <c r="K6" i="81"/>
  <c r="J6" i="81"/>
  <c r="G6" i="81"/>
  <c r="F6" i="81"/>
  <c r="E6" i="81"/>
  <c r="D6" i="81"/>
  <c r="B6" i="81"/>
  <c r="U2" i="81"/>
  <c r="U5" i="81" s="1"/>
  <c r="U1" i="81"/>
  <c r="T2" i="81"/>
  <c r="T5" i="81" s="1"/>
  <c r="T1" i="81"/>
  <c r="S2" i="81"/>
  <c r="S5" i="81"/>
  <c r="S1" i="81"/>
  <c r="R2" i="81"/>
  <c r="R5" i="81" s="1"/>
  <c r="R1" i="81" s="1"/>
  <c r="Q2" i="81"/>
  <c r="Q5" i="81" s="1"/>
  <c r="Q1" i="81" s="1"/>
  <c r="P2" i="81"/>
  <c r="P5" i="81"/>
  <c r="P1" i="81" s="1"/>
  <c r="O2" i="81"/>
  <c r="O5" i="81"/>
  <c r="O1" i="81" s="1"/>
  <c r="N2" i="81"/>
  <c r="N5" i="81" s="1"/>
  <c r="N1" i="81" s="1"/>
  <c r="M2" i="81"/>
  <c r="M5" i="81"/>
  <c r="M1" i="81" s="1"/>
  <c r="L2" i="81"/>
  <c r="L5" i="81"/>
  <c r="L1" i="81" s="1"/>
  <c r="K2" i="81"/>
  <c r="K5" i="81"/>
  <c r="K1" i="81"/>
  <c r="J2" i="81"/>
  <c r="J5" i="81"/>
  <c r="J1" i="81" s="1"/>
  <c r="I2" i="81"/>
  <c r="I5" i="81"/>
  <c r="I1" i="81"/>
  <c r="H2" i="81"/>
  <c r="H5" i="81" s="1"/>
  <c r="H1" i="81" s="1"/>
  <c r="G2" i="81"/>
  <c r="G5" i="81"/>
  <c r="G1" i="81"/>
  <c r="F2" i="81"/>
  <c r="F5" i="81" s="1"/>
  <c r="F1" i="81" s="1"/>
  <c r="E2" i="81"/>
  <c r="E5" i="81" s="1"/>
  <c r="E1" i="81"/>
  <c r="D2" i="81"/>
  <c r="D5" i="81" s="1"/>
  <c r="D1" i="81" s="1"/>
  <c r="C2" i="81"/>
  <c r="C5" i="81" s="1"/>
  <c r="C1" i="81" s="1"/>
  <c r="B2" i="81"/>
  <c r="B5" i="81" s="1"/>
  <c r="B1" i="81" s="1"/>
  <c r="O6" i="79"/>
  <c r="N6" i="79"/>
  <c r="M6" i="79"/>
  <c r="J6" i="79"/>
  <c r="I6" i="79"/>
  <c r="G6" i="79"/>
  <c r="F6" i="79"/>
  <c r="D6" i="79"/>
  <c r="R2" i="79"/>
  <c r="R5" i="79"/>
  <c r="R1" i="79"/>
  <c r="Q2" i="79"/>
  <c r="Q5" i="79" s="1"/>
  <c r="Q1" i="79" s="1"/>
  <c r="P2" i="79"/>
  <c r="P5" i="79"/>
  <c r="P1" i="79" s="1"/>
  <c r="O2" i="79"/>
  <c r="O5" i="79"/>
  <c r="O1" i="79"/>
  <c r="N2" i="79"/>
  <c r="N5" i="79"/>
  <c r="N1" i="79"/>
  <c r="M2" i="79"/>
  <c r="M5" i="79"/>
  <c r="M1" i="79"/>
  <c r="L2" i="79"/>
  <c r="L5" i="79"/>
  <c r="L1" i="79"/>
  <c r="K2" i="79"/>
  <c r="K5" i="79"/>
  <c r="K1" i="79"/>
  <c r="J2" i="79"/>
  <c r="J5" i="79" s="1"/>
  <c r="J1" i="79" s="1"/>
  <c r="I2" i="79"/>
  <c r="I5" i="79" s="1"/>
  <c r="I1" i="79"/>
  <c r="H2" i="79"/>
  <c r="H5" i="79" s="1"/>
  <c r="H1" i="79" s="1"/>
  <c r="G2" i="79"/>
  <c r="G5" i="79"/>
  <c r="G1" i="79"/>
  <c r="F2" i="79"/>
  <c r="F5" i="79" s="1"/>
  <c r="F1" i="79" s="1"/>
  <c r="E2" i="79"/>
  <c r="E5" i="79" s="1"/>
  <c r="E1" i="79" s="1"/>
  <c r="D2" i="79"/>
  <c r="D5" i="79"/>
  <c r="D1" i="79" s="1"/>
  <c r="C2" i="79"/>
  <c r="C5" i="79"/>
  <c r="C1" i="79" s="1"/>
  <c r="B2" i="79"/>
  <c r="B5" i="79" s="1"/>
  <c r="B1" i="79" s="1"/>
  <c r="B2" i="64"/>
  <c r="B5" i="64"/>
  <c r="B1" i="64" s="1"/>
  <c r="C2" i="64"/>
  <c r="C5" i="64"/>
  <c r="C1" i="64" s="1"/>
  <c r="D2" i="64"/>
  <c r="D5" i="64"/>
  <c r="D1" i="64"/>
  <c r="E2" i="64"/>
  <c r="E5" i="64" s="1"/>
  <c r="E1" i="64" s="1"/>
  <c r="F2" i="64"/>
  <c r="F5" i="64" s="1"/>
  <c r="F1" i="64" s="1"/>
  <c r="G2" i="64"/>
  <c r="G5" i="64" s="1"/>
  <c r="G1" i="64" s="1"/>
  <c r="H2" i="64"/>
  <c r="H5" i="64"/>
  <c r="H1" i="64"/>
  <c r="I2" i="64"/>
  <c r="I5" i="64" s="1"/>
  <c r="I1" i="64" s="1"/>
  <c r="J2" i="64"/>
  <c r="J5" i="64" s="1"/>
  <c r="J1" i="64"/>
  <c r="K2" i="64"/>
  <c r="K5" i="64" s="1"/>
  <c r="K1" i="64" s="1"/>
  <c r="L2" i="64"/>
  <c r="L5" i="64"/>
  <c r="L1" i="64" s="1"/>
  <c r="M2" i="64"/>
  <c r="M5" i="64" s="1"/>
  <c r="M1" i="64" s="1"/>
  <c r="N2" i="64"/>
  <c r="N5" i="64" s="1"/>
  <c r="N1" i="64" s="1"/>
  <c r="O2" i="64"/>
  <c r="O5" i="64" s="1"/>
  <c r="O1" i="64" s="1"/>
  <c r="P2" i="64"/>
  <c r="P5" i="64" s="1"/>
  <c r="P1" i="64" s="1"/>
  <c r="Q2" i="64"/>
  <c r="Q5" i="64" s="1"/>
  <c r="Q1" i="64" s="1"/>
  <c r="R2" i="64"/>
  <c r="R5" i="64"/>
  <c r="R1" i="64" s="1"/>
  <c r="S2" i="64"/>
  <c r="S5" i="64"/>
  <c r="S1" i="64" s="1"/>
  <c r="T2" i="64"/>
  <c r="T5" i="64" s="1"/>
  <c r="T1" i="64" s="1"/>
  <c r="C6" i="64"/>
  <c r="D6" i="64"/>
  <c r="F6" i="64"/>
  <c r="H6" i="64"/>
  <c r="I6" i="64"/>
  <c r="J6" i="64"/>
  <c r="K6" i="64"/>
  <c r="M6" i="64"/>
  <c r="O6" i="64"/>
  <c r="Q6" i="64"/>
  <c r="R6" i="64"/>
  <c r="T6" i="64"/>
  <c r="B2" i="67"/>
  <c r="B5" i="67" s="1"/>
  <c r="B1" i="67" s="1"/>
  <c r="C2" i="67"/>
  <c r="C5" i="67" s="1"/>
  <c r="C1" i="67" s="1"/>
  <c r="D2" i="67"/>
  <c r="D5" i="67" s="1"/>
  <c r="D1" i="67" s="1"/>
  <c r="E2" i="67"/>
  <c r="E5" i="67"/>
  <c r="E1" i="67" s="1"/>
  <c r="F2" i="67"/>
  <c r="F5" i="67" s="1"/>
  <c r="F1" i="67" s="1"/>
  <c r="G2" i="67"/>
  <c r="G5" i="67" s="1"/>
  <c r="G1" i="67" s="1"/>
  <c r="H2" i="67"/>
  <c r="H5" i="67"/>
  <c r="H1" i="67" s="1"/>
  <c r="I2" i="67"/>
  <c r="I5" i="67" s="1"/>
  <c r="I1" i="67" s="1"/>
  <c r="J2" i="67"/>
  <c r="J5" i="67"/>
  <c r="J1" i="67"/>
  <c r="K2" i="67"/>
  <c r="K5" i="67"/>
  <c r="K1" i="67" s="1"/>
  <c r="L2" i="67"/>
  <c r="L5" i="67" s="1"/>
  <c r="L1" i="67" s="1"/>
  <c r="M2" i="67"/>
  <c r="M5" i="67" s="1"/>
  <c r="M1" i="67" s="1"/>
  <c r="N2" i="67"/>
  <c r="N5" i="67" s="1"/>
  <c r="N1" i="67" s="1"/>
  <c r="O2" i="67"/>
  <c r="O5" i="67"/>
  <c r="O1" i="67" s="1"/>
  <c r="P2" i="67"/>
  <c r="P5" i="67"/>
  <c r="P1" i="67"/>
  <c r="Q2" i="67"/>
  <c r="Q5" i="67"/>
  <c r="Q1" i="67"/>
  <c r="R2" i="67"/>
  <c r="R5" i="67" s="1"/>
  <c r="R1" i="67" s="1"/>
  <c r="S2" i="67"/>
  <c r="S5" i="67" s="1"/>
  <c r="S1" i="67"/>
  <c r="T2" i="67"/>
  <c r="T5" i="67" s="1"/>
  <c r="T1" i="67" s="1"/>
  <c r="U2" i="67"/>
  <c r="U5" i="67"/>
  <c r="U1" i="67" s="1"/>
  <c r="V2" i="67"/>
  <c r="V5" i="67" s="1"/>
  <c r="V1" i="67" s="1"/>
  <c r="W2" i="67"/>
  <c r="W5" i="67" s="1"/>
  <c r="W1" i="67" s="1"/>
  <c r="C6" i="67"/>
  <c r="D6" i="67"/>
  <c r="G6" i="67"/>
  <c r="H6" i="67"/>
  <c r="I6" i="67"/>
  <c r="M6" i="67"/>
  <c r="N6" i="67"/>
  <c r="O6" i="67"/>
  <c r="P6" i="67"/>
  <c r="Q6" i="67"/>
  <c r="R6" i="67"/>
  <c r="S6" i="67"/>
  <c r="U6" i="67"/>
  <c r="W6" i="67"/>
  <c r="B2" i="69"/>
  <c r="B5" i="69"/>
  <c r="B1" i="69" s="1"/>
  <c r="C2" i="69"/>
  <c r="C5" i="69" s="1"/>
  <c r="C1" i="69" s="1"/>
  <c r="D2" i="69"/>
  <c r="D5" i="69" s="1"/>
  <c r="D1" i="69" s="1"/>
  <c r="E2" i="69"/>
  <c r="E5" i="69"/>
  <c r="E1" i="69" s="1"/>
  <c r="F2" i="69"/>
  <c r="F5" i="69"/>
  <c r="F1" i="69"/>
  <c r="G2" i="69"/>
  <c r="G5" i="69" s="1"/>
  <c r="G1" i="69" s="1"/>
  <c r="H2" i="69"/>
  <c r="H5" i="69" s="1"/>
  <c r="H1" i="69" s="1"/>
  <c r="I2" i="69"/>
  <c r="I5" i="69" s="1"/>
  <c r="I1" i="69"/>
  <c r="J2" i="69"/>
  <c r="J5" i="69" s="1"/>
  <c r="J1" i="69" s="1"/>
  <c r="K2" i="69"/>
  <c r="K5" i="69" s="1"/>
  <c r="K1" i="69" s="1"/>
  <c r="L2" i="69"/>
  <c r="L5" i="69" s="1"/>
  <c r="L1" i="69" s="1"/>
  <c r="M2" i="69"/>
  <c r="M5" i="69" s="1"/>
  <c r="M1" i="69" s="1"/>
  <c r="N2" i="69"/>
  <c r="N5" i="69" s="1"/>
  <c r="N1" i="69" s="1"/>
  <c r="O2" i="69"/>
  <c r="O5" i="69"/>
  <c r="O1" i="69"/>
  <c r="P2" i="69"/>
  <c r="P5" i="69" s="1"/>
  <c r="P1" i="69" s="1"/>
  <c r="Q2" i="69"/>
  <c r="Q5" i="69"/>
  <c r="Q1" i="69" s="1"/>
  <c r="R2" i="69"/>
  <c r="R5" i="69"/>
  <c r="R1" i="69"/>
  <c r="S2" i="69"/>
  <c r="S5" i="69"/>
  <c r="S1" i="69" s="1"/>
  <c r="T2" i="69"/>
  <c r="T5" i="69" s="1"/>
  <c r="T1" i="69" s="1"/>
  <c r="U2" i="69"/>
  <c r="U5" i="69" s="1"/>
  <c r="U1" i="69" s="1"/>
  <c r="V2" i="69"/>
  <c r="V5" i="69" s="1"/>
  <c r="V1" i="69" s="1"/>
  <c r="B6" i="69"/>
  <c r="C6" i="69"/>
  <c r="E6" i="69"/>
  <c r="G6" i="69"/>
  <c r="J6" i="69"/>
  <c r="L6" i="69"/>
  <c r="M6" i="69"/>
  <c r="N6" i="69"/>
  <c r="O6" i="69"/>
  <c r="P6" i="69"/>
  <c r="Q6" i="69"/>
  <c r="R6" i="69"/>
  <c r="S6" i="69"/>
  <c r="T6" i="69"/>
  <c r="U6" i="69"/>
  <c r="V6" i="69"/>
  <c r="U6" i="95"/>
  <c r="T6" i="67"/>
  <c r="F6" i="91"/>
  <c r="N6" i="92"/>
  <c r="O6" i="92"/>
  <c r="B35" i="95"/>
  <c r="C4" i="95" l="1"/>
  <c r="K6" i="91"/>
  <c r="E6" i="92"/>
  <c r="C35" i="95"/>
  <c r="D4" i="95" l="1"/>
  <c r="D35" i="95"/>
  <c r="E4" i="95" l="1"/>
  <c r="E35" i="95"/>
  <c r="F4" i="95" l="1"/>
  <c r="F35" i="95"/>
  <c r="G4" i="95" l="1"/>
  <c r="G35" i="95"/>
  <c r="H4" i="95" l="1"/>
  <c r="H35" i="95"/>
  <c r="I4" i="95" l="1"/>
  <c r="I35" i="95"/>
  <c r="J4" i="95" l="1"/>
  <c r="J35" i="95"/>
  <c r="K4" i="95" l="1"/>
  <c r="K35" i="95"/>
  <c r="L4" i="95" l="1"/>
  <c r="L35" i="95"/>
  <c r="M4" i="95" l="1"/>
  <c r="M35" i="95"/>
  <c r="N4" i="95" l="1"/>
  <c r="N35" i="95"/>
  <c r="O4" i="95" l="1"/>
  <c r="O35" i="95"/>
  <c r="P4" i="95" l="1"/>
  <c r="P35" i="95"/>
  <c r="Q4" i="95" l="1"/>
  <c r="Q35" i="95"/>
  <c r="R4" i="95" l="1"/>
  <c r="R35" i="95"/>
  <c r="S4" i="95" l="1"/>
  <c r="S35" i="95"/>
  <c r="T4" i="95" l="1"/>
  <c r="T35" i="95"/>
  <c r="U4" i="95" l="1"/>
  <c r="U35" i="95"/>
  <c r="V4" i="95" l="1"/>
  <c r="V35" i="95"/>
  <c r="B4" i="64" l="1"/>
  <c r="W4" i="95"/>
  <c r="B34" i="64"/>
  <c r="C4" i="64" l="1"/>
  <c r="C34" i="64"/>
  <c r="D4" i="64" l="1"/>
  <c r="D34" i="64"/>
  <c r="E4" i="64" l="1"/>
  <c r="E34" i="64"/>
  <c r="F4" i="64" l="1"/>
  <c r="F34" i="64"/>
  <c r="G4" i="64" l="1"/>
  <c r="G34" i="64"/>
  <c r="H4" i="64" l="1"/>
  <c r="H34" i="64"/>
  <c r="I4" i="64" l="1"/>
  <c r="I34" i="64"/>
  <c r="J4" i="64" l="1"/>
  <c r="J34" i="64"/>
  <c r="K4" i="64" l="1"/>
  <c r="K34" i="64"/>
  <c r="L4" i="64" l="1"/>
  <c r="L34" i="64"/>
  <c r="M4" i="64" l="1"/>
  <c r="M34" i="64"/>
  <c r="N4" i="64" l="1"/>
  <c r="N34" i="64"/>
  <c r="O4" i="64" l="1"/>
  <c r="O34" i="64"/>
  <c r="P4" i="64" l="1"/>
  <c r="P34" i="64"/>
  <c r="Q4" i="64" l="1"/>
  <c r="Q34" i="64"/>
  <c r="R4" i="64" l="1"/>
  <c r="R34" i="64"/>
  <c r="S4" i="64" l="1"/>
  <c r="S34" i="64"/>
  <c r="T4" i="64" l="1"/>
  <c r="T34" i="64"/>
  <c r="U4" i="64" l="1"/>
  <c r="U34" i="64"/>
  <c r="V4" i="64" l="1"/>
  <c r="B4" i="67"/>
  <c r="B38" i="67"/>
  <c r="C4" i="67" l="1"/>
  <c r="C38" i="67"/>
  <c r="D4" i="67" l="1"/>
  <c r="D38" i="67"/>
  <c r="E4" i="67" l="1"/>
  <c r="E38" i="67"/>
  <c r="F4" i="67" l="1"/>
  <c r="F38" i="67"/>
  <c r="G4" i="67" l="1"/>
  <c r="G38" i="67"/>
  <c r="H4" i="67" l="1"/>
  <c r="H38" i="67"/>
  <c r="I4" i="67" l="1"/>
  <c r="I38" i="67"/>
  <c r="J4" i="67" l="1"/>
  <c r="J38" i="67"/>
  <c r="K4" i="67" l="1"/>
  <c r="K38" i="67"/>
  <c r="L4" i="67" l="1"/>
  <c r="L38" i="67"/>
  <c r="M4" i="67" l="1"/>
  <c r="M38" i="67"/>
  <c r="N4" i="67" l="1"/>
  <c r="N38" i="67"/>
  <c r="O4" i="67" l="1"/>
  <c r="O38" i="67"/>
  <c r="P4" i="67" l="1"/>
  <c r="P38" i="67"/>
  <c r="Q4" i="67" l="1"/>
  <c r="Q38" i="67"/>
  <c r="R4" i="67" l="1"/>
  <c r="R38" i="67"/>
  <c r="S4" i="67" l="1"/>
  <c r="S38" i="67"/>
  <c r="T4" i="67" l="1"/>
  <c r="T38" i="67"/>
  <c r="U4" i="67" l="1"/>
  <c r="U38" i="67"/>
  <c r="V4" i="67" l="1"/>
  <c r="V38" i="67"/>
  <c r="W4" i="67" l="1"/>
  <c r="W38" i="67"/>
  <c r="X4" i="67" l="1"/>
  <c r="X38" i="67"/>
  <c r="B4" i="69" l="1"/>
  <c r="B38" i="69"/>
  <c r="C4" i="69" l="1"/>
  <c r="C38" i="69"/>
  <c r="D4" i="69" l="1"/>
  <c r="D38" i="69"/>
  <c r="E4" i="69" l="1"/>
  <c r="E38" i="69"/>
  <c r="F4" i="69" l="1"/>
  <c r="F38" i="69"/>
  <c r="G4" i="69" l="1"/>
  <c r="G38" i="69"/>
  <c r="H4" i="69" l="1"/>
  <c r="H38" i="69"/>
  <c r="I4" i="69" l="1"/>
  <c r="I38" i="69"/>
  <c r="J4" i="69" l="1"/>
  <c r="J38" i="69"/>
  <c r="K4" i="69" l="1"/>
  <c r="K38" i="69"/>
  <c r="L4" i="69" l="1"/>
  <c r="L38" i="69"/>
  <c r="M4" i="69" l="1"/>
  <c r="M38" i="69"/>
  <c r="N4" i="69" l="1"/>
  <c r="N38" i="69"/>
  <c r="O4" i="69" l="1"/>
  <c r="O38" i="69"/>
  <c r="P4" i="69" l="1"/>
  <c r="P38" i="69"/>
  <c r="Q4" i="69" l="1"/>
  <c r="Q38" i="69"/>
  <c r="R4" i="69" l="1"/>
  <c r="R38" i="69"/>
  <c r="S4" i="69" l="1"/>
  <c r="S38" i="69"/>
  <c r="T4" i="69" l="1"/>
  <c r="T38" i="69"/>
  <c r="U4" i="69" l="1"/>
  <c r="U38" i="69"/>
  <c r="V4" i="69" l="1"/>
  <c r="V38" i="69"/>
  <c r="W4" i="69" l="1"/>
  <c r="B4" i="73"/>
  <c r="B38" i="73"/>
  <c r="C4" i="73" l="1"/>
  <c r="C38" i="73"/>
  <c r="D4" i="73" l="1"/>
  <c r="D38" i="73"/>
  <c r="E4" i="73" l="1"/>
  <c r="E38" i="73"/>
  <c r="F4" i="73" l="1"/>
  <c r="F38" i="73"/>
  <c r="G4" i="73" l="1"/>
  <c r="G38" i="73"/>
  <c r="H4" i="73" l="1"/>
  <c r="H38" i="73"/>
  <c r="I4" i="73" l="1"/>
  <c r="I38" i="73"/>
  <c r="J4" i="73" l="1"/>
  <c r="J38" i="73"/>
  <c r="K4" i="73" l="1"/>
  <c r="K38" i="73"/>
  <c r="L4" i="73" l="1"/>
  <c r="L38" i="73"/>
  <c r="M4" i="73" l="1"/>
  <c r="M38" i="73"/>
  <c r="N4" i="73" l="1"/>
  <c r="N38" i="73"/>
  <c r="O4" i="73" l="1"/>
  <c r="O38" i="73"/>
  <c r="P4" i="73" l="1"/>
  <c r="P38" i="73"/>
  <c r="Q4" i="73" l="1"/>
  <c r="Q38" i="73"/>
  <c r="R4" i="73" l="1"/>
  <c r="R38" i="73"/>
  <c r="S4" i="73" l="1"/>
  <c r="S38" i="73"/>
  <c r="T4" i="73" l="1"/>
  <c r="T38" i="73"/>
  <c r="U4" i="73" l="1"/>
  <c r="U38" i="73"/>
  <c r="V4" i="73" l="1"/>
  <c r="V38" i="73"/>
  <c r="B4" i="91" l="1"/>
  <c r="B38" i="91"/>
  <c r="C4" i="91" l="1"/>
  <c r="C38" i="91"/>
  <c r="D4" i="91" l="1"/>
  <c r="D38" i="91"/>
  <c r="E4" i="91" l="1"/>
  <c r="E38" i="91"/>
  <c r="F4" i="91" l="1"/>
  <c r="F38" i="91"/>
  <c r="G4" i="91" l="1"/>
  <c r="G38" i="91"/>
  <c r="H4" i="91" l="1"/>
  <c r="H38" i="91"/>
  <c r="I4" i="91" l="1"/>
  <c r="I38" i="91"/>
  <c r="J4" i="91" l="1"/>
  <c r="J38" i="91"/>
  <c r="K4" i="91" l="1"/>
  <c r="K38" i="91"/>
  <c r="L4" i="91" l="1"/>
  <c r="L38" i="91"/>
  <c r="M4" i="91" l="1"/>
  <c r="M38" i="91"/>
  <c r="N4" i="91" l="1"/>
  <c r="N38" i="91"/>
  <c r="O4" i="91" l="1"/>
  <c r="O38" i="91"/>
  <c r="P4" i="91" l="1"/>
  <c r="P38" i="91"/>
  <c r="Q4" i="91" l="1"/>
  <c r="Q38" i="91"/>
  <c r="R4" i="91" l="1"/>
  <c r="R38" i="91"/>
  <c r="S4" i="91" l="1"/>
  <c r="S38" i="91"/>
  <c r="T4" i="91" l="1"/>
  <c r="T38" i="91"/>
  <c r="U4" i="91" l="1"/>
  <c r="U38" i="91"/>
  <c r="V4" i="91" l="1"/>
  <c r="V38" i="91"/>
  <c r="W4" i="91" l="1"/>
  <c r="W38" i="91"/>
  <c r="B4" i="92" l="1"/>
  <c r="B38" i="92"/>
  <c r="C4" i="92" l="1"/>
  <c r="C38" i="92"/>
  <c r="D4" i="92" l="1"/>
  <c r="D38" i="92"/>
  <c r="E4" i="92" l="1"/>
  <c r="E38" i="92"/>
  <c r="F4" i="92" l="1"/>
  <c r="F38" i="92"/>
  <c r="G4" i="92" l="1"/>
  <c r="G38" i="92"/>
  <c r="H4" i="92" l="1"/>
  <c r="H38" i="92"/>
  <c r="I4" i="92" l="1"/>
  <c r="I38" i="92"/>
  <c r="J4" i="92" l="1"/>
  <c r="J38" i="92"/>
  <c r="K4" i="92" l="1"/>
  <c r="K38" i="92"/>
  <c r="L4" i="92" l="1"/>
  <c r="L38" i="92"/>
  <c r="M4" i="92" l="1"/>
  <c r="M38" i="92"/>
  <c r="N4" i="92" l="1"/>
  <c r="N38" i="92"/>
  <c r="O4" i="92" l="1"/>
  <c r="O38" i="92"/>
  <c r="P4" i="92" l="1"/>
  <c r="P38" i="92"/>
  <c r="Q4" i="92" l="1"/>
  <c r="Q38" i="92"/>
  <c r="R4" i="92" l="1"/>
  <c r="R38" i="92"/>
  <c r="S4" i="92" l="1"/>
  <c r="S38" i="92"/>
  <c r="T4" i="92" l="1"/>
  <c r="T38" i="92"/>
  <c r="U4" i="92" l="1"/>
  <c r="U38" i="92"/>
  <c r="V4" i="92" l="1"/>
  <c r="V38" i="92"/>
  <c r="W4" i="92" l="1"/>
  <c r="W38" i="92"/>
  <c r="B4" i="79" l="1"/>
  <c r="B38" i="79"/>
  <c r="C4" i="79" l="1"/>
  <c r="C38" i="79"/>
  <c r="D4" i="79" l="1"/>
  <c r="D38" i="79"/>
  <c r="E4" i="79" l="1"/>
  <c r="E38" i="79"/>
  <c r="F4" i="79" l="1"/>
  <c r="F38" i="79"/>
  <c r="G4" i="79" l="1"/>
  <c r="G38" i="79"/>
  <c r="H4" i="79" l="1"/>
  <c r="H38" i="79"/>
  <c r="I4" i="79" l="1"/>
  <c r="I38" i="79"/>
  <c r="J4" i="79" l="1"/>
  <c r="J38" i="79"/>
  <c r="K4" i="79" l="1"/>
  <c r="K38" i="79"/>
  <c r="L4" i="79" l="1"/>
  <c r="L38" i="79"/>
  <c r="M4" i="79" l="1"/>
  <c r="M38" i="79"/>
  <c r="N4" i="79" l="1"/>
  <c r="N38" i="79"/>
  <c r="O4" i="79" l="1"/>
  <c r="O38" i="79"/>
  <c r="P4" i="79" l="1"/>
  <c r="P38" i="79"/>
  <c r="Q4" i="79" l="1"/>
  <c r="Q38" i="79"/>
  <c r="R4" i="79" l="1"/>
  <c r="R38" i="79"/>
  <c r="S4" i="79" l="1"/>
  <c r="S38" i="79"/>
  <c r="T4" i="79" l="1"/>
  <c r="T38" i="79"/>
  <c r="U4" i="79" l="1"/>
  <c r="U38" i="79"/>
  <c r="V4" i="79" l="1"/>
  <c r="V38" i="79"/>
  <c r="W4" i="79" l="1"/>
  <c r="W38" i="79"/>
  <c r="B4" i="81" l="1"/>
  <c r="B38" i="81"/>
  <c r="C4" i="81" l="1"/>
  <c r="C38" i="81"/>
  <c r="D4" i="81" l="1"/>
  <c r="D38" i="81"/>
  <c r="E4" i="81" l="1"/>
  <c r="E38" i="81"/>
  <c r="F4" i="81" l="1"/>
  <c r="F38" i="81"/>
  <c r="G4" i="81" l="1"/>
  <c r="G38" i="81"/>
  <c r="H4" i="81" l="1"/>
  <c r="H38" i="81"/>
  <c r="I4" i="81" l="1"/>
  <c r="I38" i="81"/>
  <c r="J4" i="81" l="1"/>
  <c r="J38" i="81"/>
  <c r="K4" i="81" l="1"/>
  <c r="K38" i="81"/>
  <c r="L4" i="81" l="1"/>
  <c r="L38" i="81"/>
  <c r="M4" i="81" l="1"/>
  <c r="M38" i="81"/>
  <c r="N4" i="81" l="1"/>
  <c r="N38" i="81"/>
  <c r="O4" i="81" l="1"/>
  <c r="O38" i="81"/>
  <c r="P4" i="81" l="1"/>
  <c r="P38" i="81"/>
  <c r="Q4" i="81" l="1"/>
  <c r="Q38" i="81"/>
  <c r="R4" i="81" l="1"/>
  <c r="R38" i="81"/>
  <c r="S4" i="81" l="1"/>
  <c r="S38" i="81"/>
  <c r="T4" i="81" l="1"/>
  <c r="T38" i="81"/>
  <c r="U4" i="81" l="1"/>
  <c r="U38" i="81"/>
  <c r="V4" i="81" l="1"/>
  <c r="V38" i="81"/>
  <c r="W4" i="81" l="1"/>
  <c r="W38" i="81"/>
  <c r="B4" i="83" l="1"/>
  <c r="B38" i="83"/>
  <c r="C4" i="83" l="1"/>
  <c r="C38" i="83"/>
  <c r="D4" i="83" l="1"/>
  <c r="D38" i="83"/>
  <c r="E4" i="83" l="1"/>
  <c r="E38" i="83"/>
  <c r="F4" i="83" l="1"/>
  <c r="F38" i="83"/>
  <c r="G4" i="83" l="1"/>
  <c r="G38" i="83"/>
  <c r="H4" i="83" l="1"/>
  <c r="H38" i="83"/>
  <c r="I4" i="83" l="1"/>
  <c r="I38" i="83"/>
  <c r="J4" i="83" l="1"/>
  <c r="J38" i="83"/>
  <c r="K4" i="83" l="1"/>
  <c r="K38" i="83"/>
  <c r="L4" i="83" l="1"/>
  <c r="L38" i="83"/>
  <c r="M4" i="83" l="1"/>
  <c r="M38" i="83"/>
  <c r="N4" i="83" l="1"/>
  <c r="N38" i="83"/>
  <c r="O4" i="83" l="1"/>
  <c r="O38" i="83"/>
  <c r="P4" i="83" l="1"/>
  <c r="P38" i="83"/>
  <c r="Q4" i="83" l="1"/>
  <c r="Q38" i="83"/>
  <c r="R4" i="83" l="1"/>
  <c r="R38" i="83"/>
  <c r="S4" i="83" l="1"/>
  <c r="S38" i="83"/>
  <c r="T4" i="83" l="1"/>
  <c r="T38" i="83"/>
  <c r="U4" i="83" l="1"/>
  <c r="U38" i="83"/>
  <c r="V4" i="83" l="1"/>
  <c r="V38" i="83"/>
  <c r="B4" i="85" l="1"/>
  <c r="B38" i="85"/>
  <c r="C4" i="85" l="1"/>
  <c r="C38" i="85"/>
  <c r="D4" i="85" l="1"/>
  <c r="D38" i="85"/>
  <c r="E4" i="85" l="1"/>
  <c r="E38" i="85"/>
  <c r="F4" i="85" l="1"/>
  <c r="F38" i="85"/>
  <c r="G4" i="85" l="1"/>
  <c r="G38" i="85"/>
  <c r="H4" i="85" l="1"/>
  <c r="H38" i="85"/>
  <c r="I4" i="85" l="1"/>
  <c r="I38" i="85"/>
  <c r="J4" i="85" l="1"/>
  <c r="J38" i="85"/>
  <c r="K4" i="85" l="1"/>
  <c r="K38" i="85"/>
  <c r="L4" i="85" l="1"/>
  <c r="L38" i="85"/>
  <c r="M4" i="85" l="1"/>
  <c r="M38" i="85"/>
  <c r="N4" i="85" l="1"/>
  <c r="N38" i="85"/>
  <c r="O4" i="85" l="1"/>
  <c r="O38" i="85"/>
  <c r="P4" i="85" l="1"/>
  <c r="P38" i="85"/>
  <c r="Q4" i="85" l="1"/>
  <c r="Q38" i="85"/>
  <c r="R4" i="85" l="1"/>
  <c r="R38" i="85"/>
  <c r="S4" i="85" l="1"/>
  <c r="S38" i="85"/>
  <c r="T4" i="85" l="1"/>
  <c r="T38" i="85"/>
  <c r="U4" i="85" l="1"/>
  <c r="U38" i="85"/>
  <c r="B4" i="87" l="1"/>
  <c r="V4" i="85"/>
  <c r="B38" i="87"/>
  <c r="C4" i="87" l="1"/>
  <c r="C38" i="87"/>
  <c r="D4" i="87" l="1"/>
  <c r="D38" i="87"/>
  <c r="E4" i="87" l="1"/>
  <c r="E38" i="87"/>
  <c r="F4" i="87" l="1"/>
  <c r="F38" i="87"/>
  <c r="G4" i="87" l="1"/>
  <c r="G38" i="87"/>
  <c r="H4" i="87" l="1"/>
  <c r="H38" i="87"/>
  <c r="I4" i="87" l="1"/>
  <c r="I38" i="87"/>
  <c r="J4" i="87" l="1"/>
  <c r="J38" i="87"/>
  <c r="K4" i="87" l="1"/>
  <c r="K38" i="87"/>
  <c r="L4" i="87" l="1"/>
  <c r="L38" i="87"/>
  <c r="M4" i="87" l="1"/>
  <c r="M38" i="87"/>
  <c r="N4" i="87" l="1"/>
  <c r="N38" i="87"/>
  <c r="O4" i="87" l="1"/>
  <c r="O38" i="87"/>
  <c r="P4" i="87" l="1"/>
  <c r="P38" i="87"/>
  <c r="Q4" i="87" l="1"/>
  <c r="Q38" i="87"/>
  <c r="R4" i="87" l="1"/>
  <c r="R38" i="87"/>
  <c r="S4" i="87" l="1"/>
  <c r="S38" i="87"/>
  <c r="T4" i="87" l="1"/>
  <c r="T38" i="87"/>
  <c r="U4" i="87" l="1"/>
  <c r="U38" i="87"/>
  <c r="V4" i="87" l="1"/>
  <c r="V38" i="87"/>
  <c r="W4" i="87" l="1"/>
  <c r="W38" i="8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fabiana.deco</author>
  </authors>
  <commentList>
    <comment ref="D7" authorId="0" shapeId="0" xr:uid="{00000000-0006-0000-0300-000001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- orcamento mensal
- ecoat
- semana 41
</t>
        </r>
      </text>
    </comment>
    <comment ref="G7" authorId="0" shapeId="0" xr:uid="{00000000-0006-0000-0300-000002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42
</t>
        </r>
      </text>
    </comment>
    <comment ref="K7" authorId="0" shapeId="0" xr:uid="{00000000-0006-0000-0300-000003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43</t>
        </r>
      </text>
    </comment>
    <comment ref="D8" authorId="0" shapeId="0" xr:uid="{00000000-0006-0000-0300-000004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previsao:
- carrinhos</t>
        </r>
      </text>
    </comment>
    <comment ref="L9" authorId="0" shapeId="0" xr:uid="{00000000-0006-0000-0300-000005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adicional banhos</t>
        </r>
      </text>
    </comment>
    <comment ref="C14" authorId="0" shapeId="0" xr:uid="{00000000-0006-0000-0300-000006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40
SEMANA 41
</t>
        </r>
      </text>
    </comment>
    <comment ref="F14" authorId="0" shapeId="0" xr:uid="{00000000-0006-0000-0300-000007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42
</t>
        </r>
      </text>
    </comment>
    <comment ref="K14" authorId="0" shapeId="0" xr:uid="{00000000-0006-0000-0300-000008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43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fabiana.deco</author>
  </authors>
  <commentList>
    <comment ref="B7" authorId="0" shapeId="0" xr:uid="{00000000-0006-0000-0500-000001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gustavo e rafael
</t>
        </r>
      </text>
    </comment>
    <comment ref="C7" authorId="0" shapeId="0" xr:uid="{00000000-0006-0000-0500-000002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carrinhos</t>
        </r>
      </text>
    </comment>
    <comment ref="G7" authorId="0" shapeId="0" xr:uid="{00000000-0006-0000-0500-000003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36
</t>
        </r>
      </text>
    </comment>
    <comment ref="H7" authorId="0" shapeId="0" xr:uid="{00000000-0006-0000-0500-000004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37
</t>
        </r>
      </text>
    </comment>
    <comment ref="R7" authorId="0" shapeId="0" xr:uid="{00000000-0006-0000-0500-000005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39
</t>
        </r>
      </text>
    </comment>
    <comment ref="V7" authorId="0" shapeId="0" xr:uid="{00000000-0006-0000-0500-000006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 SEMANA 40
</t>
        </r>
      </text>
    </comment>
    <comment ref="G8" authorId="0" shapeId="0" xr:uid="{00000000-0006-0000-0500-000007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PREVISAO SEMANA 38
</t>
        </r>
      </text>
    </comment>
    <comment ref="R9" authorId="0" shapeId="0" xr:uid="{00000000-0006-0000-0500-000008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limpeza</t>
        </r>
      </text>
    </comment>
    <comment ref="F14" authorId="0" shapeId="0" xr:uid="{00000000-0006-0000-0500-000009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37
</t>
        </r>
      </text>
    </comment>
    <comment ref="H14" authorId="0" shapeId="0" xr:uid="{00000000-0006-0000-0500-00000A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38
</t>
        </r>
      </text>
    </comment>
    <comment ref="R14" authorId="0" shapeId="0" xr:uid="{00000000-0006-0000-0500-00000B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 SEMANA 39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fabiana.deco</author>
  </authors>
  <commentList>
    <comment ref="B7" authorId="0" shapeId="0" xr:uid="{00000000-0006-0000-0700-000001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- ecoat
- orc.mensal
</t>
        </r>
      </text>
    </comment>
    <comment ref="C7" authorId="0" shapeId="0" xr:uid="{00000000-0006-0000-0700-000002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33 e 34
</t>
        </r>
      </text>
    </comment>
    <comment ref="B8" authorId="0" shapeId="0" xr:uid="{00000000-0006-0000-0700-000003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32
</t>
        </r>
      </text>
    </comment>
    <comment ref="D9" authorId="0" shapeId="0" xr:uid="{00000000-0006-0000-0700-000004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PREVISAO OC 4506786324</t>
        </r>
      </text>
    </comment>
    <comment ref="T9" authorId="0" shapeId="0" xr:uid="{00000000-0006-0000-0700-000005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OC 4506812370 + banhos
</t>
        </r>
      </text>
    </comment>
    <comment ref="N13" authorId="0" shapeId="0" xr:uid="{00000000-0006-0000-0700-000006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previsao</t>
        </r>
      </text>
    </comment>
    <comment ref="D14" authorId="0" shapeId="0" xr:uid="{00000000-0006-0000-0700-000007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33 e 34</t>
        </r>
      </text>
    </comment>
    <comment ref="D17" authorId="0" shapeId="0" xr:uid="{00000000-0006-0000-0700-000008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adto sucata</t>
        </r>
      </text>
    </comment>
    <comment ref="J17" authorId="0" shapeId="0" xr:uid="{00000000-0006-0000-0700-000009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venda de maquinas e empilhadeira</t>
        </r>
      </text>
    </comment>
    <comment ref="K17" authorId="0" shapeId="0" xr:uid="{00000000-0006-0000-0700-00000A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venda de sucata</t>
        </r>
      </text>
    </comment>
    <comment ref="L18" authorId="0" shapeId="0" xr:uid="{00000000-0006-0000-0700-00000B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Relatorios dias 16/08 e 03/09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fabiana.deco</author>
  </authors>
  <commentList>
    <comment ref="E7" authorId="0" shapeId="0" xr:uid="{00000000-0006-0000-0900-000001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PREVISAO SEMANA 30
</t>
        </r>
      </text>
    </comment>
    <comment ref="G7" authorId="0" shapeId="0" xr:uid="{00000000-0006-0000-0900-000002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29 + GUSTAVO
</t>
        </r>
      </text>
    </comment>
    <comment ref="J7" authorId="0" shapeId="0" xr:uid="{00000000-0006-0000-0900-000003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gustavo</t>
        </r>
      </text>
    </comment>
    <comment ref="M7" authorId="0" shapeId="0" xr:uid="{00000000-0006-0000-0900-000004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PREVISAO SEMANA 31
</t>
        </r>
      </text>
    </comment>
    <comment ref="F8" authorId="0" shapeId="0" xr:uid="{00000000-0006-0000-0900-000005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NF MARIANA - VENTURE</t>
        </r>
      </text>
    </comment>
    <comment ref="L8" authorId="0" shapeId="0" xr:uid="{00000000-0006-0000-0900-000006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gustavo</t>
        </r>
      </text>
    </comment>
    <comment ref="O8" authorId="0" shapeId="0" xr:uid="{00000000-0006-0000-0900-000007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nf carrinhos</t>
        </r>
      </text>
    </comment>
    <comment ref="K14" authorId="0" shapeId="0" xr:uid="{00000000-0006-0000-0900-000008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 SEMANA 30
</t>
        </r>
      </text>
    </comment>
    <comment ref="M14" authorId="0" shapeId="0" xr:uid="{00000000-0006-0000-0900-000009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PREVISAO SEMANA 31
</t>
        </r>
      </text>
    </comment>
    <comment ref="V14" authorId="0" shapeId="0" xr:uid="{00000000-0006-0000-0900-00000A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32
</t>
        </r>
      </text>
    </comment>
    <comment ref="Q17" authorId="0" shapeId="0" xr:uid="{00000000-0006-0000-0900-00000B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EMPRESTIMO RAMON</t>
        </r>
      </text>
    </comment>
    <comment ref="R17" authorId="0" shapeId="0" xr:uid="{00000000-0006-0000-0900-00000C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DEVOLVER RENOVAR</t>
        </r>
      </text>
    </comment>
    <comment ref="U17" authorId="0" shapeId="0" xr:uid="{00000000-0006-0000-0900-00000D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ultima nota estufa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fabiana.deco</author>
  </authors>
  <commentList>
    <comment ref="B7" authorId="0" shapeId="0" xr:uid="{00000000-0006-0000-0B00-000001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gustavo</t>
        </r>
      </text>
    </comment>
    <comment ref="D7" authorId="0" shapeId="0" xr:uid="{00000000-0006-0000-0B00-000002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23
SEMANA 24</t>
        </r>
      </text>
    </comment>
    <comment ref="F7" authorId="0" shapeId="0" xr:uid="{00000000-0006-0000-0B00-000003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ECOAT
ORC MENSAL</t>
        </r>
      </text>
    </comment>
    <comment ref="H7" authorId="0" shapeId="0" xr:uid="{00000000-0006-0000-0B00-000004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25 </t>
        </r>
      </text>
    </comment>
    <comment ref="N7" authorId="0" shapeId="0" xr:uid="{00000000-0006-0000-0B00-000005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 limpeza semana 26</t>
        </r>
      </text>
    </comment>
    <comment ref="P7" authorId="0" shapeId="0" xr:uid="{00000000-0006-0000-0B00-000006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Daniel Sonego</t>
        </r>
      </text>
    </comment>
    <comment ref="S7" authorId="0" shapeId="0" xr:uid="{00000000-0006-0000-0B00-000007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limpeza semana 27 </t>
        </r>
      </text>
    </comment>
    <comment ref="W7" authorId="0" shapeId="0" xr:uid="{00000000-0006-0000-0B00-000008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 SEMANA 28 - GUSTAVO
</t>
        </r>
      </text>
    </comment>
    <comment ref="H8" authorId="0" shapeId="0" xr:uid="{00000000-0006-0000-0B00-000009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MARINA</t>
        </r>
      </text>
    </comment>
    <comment ref="P9" authorId="0" shapeId="0" xr:uid="{00000000-0006-0000-0B00-00000A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Ocs rolamentos e prateleiras e limpeza, oc ctm e banhos</t>
        </r>
      </text>
    </comment>
    <comment ref="Q9" authorId="0" shapeId="0" xr:uid="{00000000-0006-0000-0B00-00000B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Ocs rolamentos e prateleiras e limpeza, oc ctm e banhos</t>
        </r>
      </text>
    </comment>
    <comment ref="V9" authorId="0" shapeId="0" xr:uid="{00000000-0006-0000-0B00-00000C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Ocs rolamentos e prateleiras e limpeza, oc ctm e banhos</t>
        </r>
      </text>
    </comment>
    <comment ref="H14" authorId="0" shapeId="0" xr:uid="{00000000-0006-0000-0B00-00000D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previsao limpeza semana 26</t>
        </r>
      </text>
    </comment>
    <comment ref="K14" authorId="0" shapeId="0" xr:uid="{00000000-0006-0000-0B00-00000E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limpeza semana 27</t>
        </r>
      </text>
    </comment>
    <comment ref="R14" authorId="0" shapeId="0" xr:uid="{00000000-0006-0000-0B00-00000F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limpeza semana 28</t>
        </r>
      </text>
    </comment>
    <comment ref="W14" authorId="0" shapeId="0" xr:uid="{00000000-0006-0000-0B00-000010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29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fabiana.deco</author>
  </authors>
  <commentList>
    <comment ref="Q7" authorId="0" shapeId="0" xr:uid="{00000000-0006-0000-0D00-000001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 21</t>
        </r>
      </text>
    </comment>
    <comment ref="S7" authorId="0" shapeId="0" xr:uid="{00000000-0006-0000-0D00-000002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 22</t>
        </r>
      </text>
    </comment>
    <comment ref="L14" authorId="0" shapeId="0" xr:uid="{00000000-0006-0000-0D00-000003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23</t>
        </r>
      </text>
    </comment>
    <comment ref="E17" authorId="0" shapeId="0" xr:uid="{00000000-0006-0000-0D00-000004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nf 224</t>
        </r>
      </text>
    </comment>
    <comment ref="M17" authorId="0" shapeId="0" xr:uid="{00000000-0006-0000-0D00-000005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18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fabiana.deco</author>
  </authors>
  <commentList>
    <comment ref="F6" authorId="0" shapeId="0" xr:uid="{00000000-0006-0000-0F00-000001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G7" authorId="0" shapeId="0" xr:uid="{00000000-0006-0000-0F00-000002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 16</t>
        </r>
      </text>
    </comment>
    <comment ref="D8" authorId="0" shapeId="0" xr:uid="{00000000-0006-0000-0F00-000003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 desconto</t>
        </r>
      </text>
    </comment>
    <comment ref="O8" authorId="0" shapeId="0" xr:uid="{00000000-0006-0000-0F00-000004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VOLARE</t>
        </r>
      </text>
    </comment>
    <comment ref="C9" authorId="0" shapeId="0" xr:uid="{00000000-0006-0000-0F00-000005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 desconto</t>
        </r>
      </text>
    </comment>
    <comment ref="H9" authorId="0" shapeId="0" xr:uid="{00000000-0006-0000-0F00-000006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desconto moneo</t>
        </r>
      </text>
    </comment>
    <comment ref="U11" authorId="0" shapeId="0" xr:uid="{00000000-0006-0000-0F00-000007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PREVISAO DESC MONEO</t>
        </r>
      </text>
    </comment>
    <comment ref="G17" authorId="0" shapeId="0" xr:uid="{00000000-0006-0000-0F00-000008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nf 220 - venture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fabiana.deco</author>
  </authors>
  <commentList>
    <comment ref="D7" authorId="0" shapeId="0" xr:uid="{00000000-0006-0000-1100-000001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MONEO</t>
        </r>
      </text>
    </comment>
    <comment ref="E7" authorId="0" shapeId="0" xr:uid="{00000000-0006-0000-1100-000002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MONEO</t>
        </r>
      </text>
    </comment>
    <comment ref="S7" authorId="0" shapeId="0" xr:uid="{00000000-0006-0000-1100-000003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T7" authorId="0" shapeId="0" xr:uid="{00000000-0006-0000-1100-000004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V7" authorId="0" shapeId="0" xr:uid="{00000000-0006-0000-1100-000005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C8" authorId="0" shapeId="0" xr:uid="{00000000-0006-0000-1100-000006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moneo</t>
        </r>
      </text>
    </comment>
    <comment ref="D8" authorId="0" shapeId="0" xr:uid="{00000000-0006-0000-1100-000007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R$ 2.464,00 - NF 1478 - enviada para Marcos Bianchet (Ramon)</t>
        </r>
      </text>
    </comment>
    <comment ref="T9" authorId="0" shapeId="0" xr:uid="{00000000-0006-0000-1100-000008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R14" authorId="0" shapeId="0" xr:uid="{00000000-0006-0000-1100-000009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V14" authorId="0" shapeId="0" xr:uid="{00000000-0006-0000-1100-00000A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J18" authorId="0" shapeId="0" xr:uid="{00000000-0006-0000-1100-00000B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nf 217 - venture</t>
        </r>
      </text>
    </comment>
    <comment ref="U18" authorId="0" shapeId="0" xr:uid="{00000000-0006-0000-1100-00000C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nf 219 - venture</t>
        </r>
      </text>
    </comment>
    <comment ref="N19" authorId="0" shapeId="0" xr:uid="{00000000-0006-0000-1100-00000D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devolver renovar</t>
        </r>
      </text>
    </comment>
    <comment ref="Q19" authorId="0" shapeId="0" xr:uid="{00000000-0006-0000-1100-00000E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devolver renovar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fabiana.deco</author>
    <author>dmendes</author>
  </authors>
  <commentList>
    <comment ref="I7" authorId="0" shapeId="0" xr:uid="{00000000-0006-0000-1300-000001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moneo</t>
        </r>
      </text>
    </comment>
    <comment ref="Q7" authorId="1" shapeId="0" xr:uid="{00000000-0006-0000-1300-000002000000}">
      <text>
        <r>
          <rPr>
            <b/>
            <sz val="9"/>
            <color indexed="81"/>
            <rFont val="Tahoma"/>
            <family val="2"/>
          </rPr>
          <t>dmendes:</t>
        </r>
        <r>
          <rPr>
            <sz val="9"/>
            <color indexed="81"/>
            <rFont val="Tahoma"/>
            <family val="2"/>
          </rPr>
          <t xml:space="preserve">
nf 1483
</t>
        </r>
      </text>
    </comment>
    <comment ref="W7" authorId="0" shapeId="0" xr:uid="{00000000-0006-0000-1300-000003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T8" authorId="0" shapeId="0" xr:uid="{00000000-0006-0000-1300-000004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semana 10 - sandro, ricardo e rafael</t>
        </r>
      </text>
    </comment>
    <comment ref="E14" authorId="0" shapeId="0" xr:uid="{00000000-0006-0000-1300-000005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K15" authorId="0" shapeId="0" xr:uid="{00000000-0006-0000-1300-000006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MONEO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fabiana.deco</author>
  </authors>
  <commentList>
    <comment ref="C7" authorId="0" shapeId="0" xr:uid="{00000000-0006-0000-1500-000001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rafael</t>
        </r>
      </text>
    </comment>
    <comment ref="P7" authorId="0" shapeId="0" xr:uid="{00000000-0006-0000-1500-000002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Q7" authorId="0" shapeId="0" xr:uid="{00000000-0006-0000-1500-000003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moneo</t>
        </r>
      </text>
    </comment>
    <comment ref="T7" authorId="0" shapeId="0" xr:uid="{00000000-0006-0000-1500-000004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Ricardo/Rodrigo</t>
        </r>
      </text>
    </comment>
    <comment ref="E8" authorId="0" shapeId="0" xr:uid="{00000000-0006-0000-1500-000005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banco moneo</t>
        </r>
      </text>
    </comment>
    <comment ref="F8" authorId="0" shapeId="0" xr:uid="{00000000-0006-0000-1500-000006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C9" authorId="0" shapeId="0" xr:uid="{00000000-0006-0000-1500-000007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solicitado desconto</t>
        </r>
      </text>
    </comment>
    <comment ref="G9" authorId="0" shapeId="0" xr:uid="{00000000-0006-0000-1500-000008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moneo</t>
        </r>
      </text>
    </comment>
    <comment ref="J14" authorId="0" shapeId="0" xr:uid="{00000000-0006-0000-1500-000009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N14" authorId="0" shapeId="0" xr:uid="{00000000-0006-0000-1500-00000A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desconto moneo</t>
        </r>
      </text>
    </comment>
    <comment ref="P14" authorId="0" shapeId="0" xr:uid="{00000000-0006-0000-1500-00000B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VENTURE - NF 210 CAB.NEOBUS
desconto Moneo</t>
        </r>
      </text>
    </comment>
    <comment ref="T14" authorId="0" shapeId="0" xr:uid="{00000000-0006-0000-1500-00000C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 moneo</t>
        </r>
      </text>
    </comment>
    <comment ref="E18" authorId="0" shapeId="0" xr:uid="{00000000-0006-0000-1500-00000D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cheque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fabiana.deco</author>
  </authors>
  <commentList>
    <comment ref="I7" authorId="0" shapeId="0" xr:uid="{00000000-0006-0000-1700-000001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desconto moneo</t>
        </r>
      </text>
    </comment>
    <comment ref="Q7" authorId="0" shapeId="0" xr:uid="{00000000-0006-0000-1700-000002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desconto moneo</t>
        </r>
      </text>
    </comment>
    <comment ref="G14" authorId="0" shapeId="0" xr:uid="{00000000-0006-0000-1700-000003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volnei vigano</t>
        </r>
      </text>
    </comment>
    <comment ref="I14" authorId="0" shapeId="0" xr:uid="{00000000-0006-0000-1700-000004000000}">
      <text>
        <r>
          <rPr>
            <b/>
            <sz val="9"/>
            <color indexed="81"/>
            <rFont val="Segoe UI"/>
            <family val="2"/>
          </rPr>
          <t>fabiana.deco:</t>
        </r>
        <r>
          <rPr>
            <sz val="9"/>
            <color indexed="81"/>
            <rFont val="Segoe UI"/>
            <family val="2"/>
          </rPr>
          <t xml:space="preserve">
desconto moneo</t>
        </r>
      </text>
    </comment>
  </commentList>
</comments>
</file>

<file path=xl/sharedStrings.xml><?xml version="1.0" encoding="utf-8"?>
<sst xmlns="http://schemas.openxmlformats.org/spreadsheetml/2006/main" count="8365" uniqueCount="1830">
  <si>
    <t>RELAÇÃO DAS CONTAS DO FLUXO</t>
  </si>
  <si>
    <t>OPERAÇÕES FINANCEIRAS DIVS.</t>
  </si>
  <si>
    <t>Localizado no banco</t>
  </si>
  <si>
    <t>RECEBIMENTOS (OPERAÇÃO)</t>
  </si>
  <si>
    <t>PROGRAMAS ESPECIAIS</t>
  </si>
  <si>
    <t>tm</t>
  </si>
  <si>
    <t>INVESTIMENTOS</t>
  </si>
  <si>
    <t>DESPESAS C/ VIAGENS</t>
  </si>
  <si>
    <t>DESPESAS DIVERSAS</t>
  </si>
  <si>
    <t>FINANCEIRO</t>
  </si>
  <si>
    <t>PRESTAÇÃO DE SERVIÇOS  E ASESSORIAS</t>
  </si>
  <si>
    <t>PRIME RIBAS</t>
  </si>
  <si>
    <t>A VERIFICAR</t>
  </si>
  <si>
    <t>OPERAÇÕES DE CRÉDITO/FORNECEDOR</t>
  </si>
  <si>
    <t>COMISSÕES COM VENDAS</t>
  </si>
  <si>
    <t>COMPRA DE MADEIRA</t>
  </si>
  <si>
    <t>COMPRA DE TORAS</t>
  </si>
  <si>
    <t xml:space="preserve">DIAS CORRIDOS  &gt; </t>
  </si>
  <si>
    <t xml:space="preserve">IMPOSTOS </t>
  </si>
  <si>
    <t>COMBUSTÍVEIS E LUBRIFICANTES</t>
  </si>
  <si>
    <t>ALUGUEIS  DEPÓSITOS PFT/GUGELMIN - MATRIZ</t>
  </si>
  <si>
    <t>ALUGUEL EQUIPAMENTOS E MÁQUINAS</t>
  </si>
  <si>
    <t>MÃO DE OBRA S/ PRODUTO</t>
  </si>
  <si>
    <t>PRIME RIBAS PREVISTO</t>
  </si>
  <si>
    <t>SALÁRIOS + ASSESSORIA DIRETA + BENEFÍCIOS</t>
  </si>
  <si>
    <t>CONTROLADORIA -  W-90X</t>
  </si>
  <si>
    <t>CONTROLADORIA - À VISTA</t>
  </si>
  <si>
    <t>FRETES MERCADO EXTERNO PREVISTO</t>
  </si>
  <si>
    <t>IMOBILIZADO</t>
  </si>
  <si>
    <t>CONTROLADORIA - SILVEIRA</t>
  </si>
  <si>
    <t>FORNECEDORES DIRETOS PREVISTO</t>
  </si>
  <si>
    <t>CONTROLADORIA - FRETES INTERNACIONAIS</t>
  </si>
  <si>
    <t>CREDORES DIVERSOS</t>
  </si>
  <si>
    <t>DESPESAS ADUANEIRAS</t>
  </si>
  <si>
    <t>DESPESAS ADUANEIRAS PREVISTO</t>
  </si>
  <si>
    <t>SALDO FINAL</t>
  </si>
  <si>
    <t>CONTROLADORIA - ADIANTAMENTOS</t>
  </si>
  <si>
    <t>SERVIÇOS PÚBLICOS</t>
  </si>
  <si>
    <t>FRETES INTERNOS PREVISTO</t>
  </si>
  <si>
    <t>FRETES MERCADO EXTERNO</t>
  </si>
  <si>
    <t>SALDO INICIAL</t>
  </si>
  <si>
    <t>(Preenchet até a linha 2.100)</t>
  </si>
  <si>
    <t>Pagto.</t>
  </si>
  <si>
    <t>VCTO</t>
  </si>
  <si>
    <t xml:space="preserve">SÁBADOS E DOMINGOS &gt;  </t>
  </si>
  <si>
    <t>MATERIAIS SECUNDÁRIO DE PRODUÇÃO</t>
  </si>
  <si>
    <t>CodCli</t>
  </si>
  <si>
    <t>Nome</t>
  </si>
  <si>
    <t>dtvcto</t>
  </si>
  <si>
    <t>Valor</t>
  </si>
  <si>
    <t>tipo</t>
  </si>
  <si>
    <t>FRETES INTERNOS</t>
  </si>
  <si>
    <t>FINANCEIRO  PREVISTO</t>
  </si>
  <si>
    <t>&gt;&gt;Data de Pagto</t>
  </si>
  <si>
    <t>PAGAMENTOS PROGRAMADOS</t>
  </si>
  <si>
    <t>CALENDÁRIO A AJUSTAR</t>
  </si>
  <si>
    <t>SALARIOS</t>
  </si>
  <si>
    <t>RANDON</t>
  </si>
  <si>
    <t>RUGERI</t>
  </si>
  <si>
    <t>CIFERAL</t>
  </si>
  <si>
    <t xml:space="preserve">MARCOPOLO </t>
  </si>
  <si>
    <t>WSUL</t>
  </si>
  <si>
    <t>Soma de Valor</t>
  </si>
  <si>
    <t>PARTICULAR</t>
  </si>
  <si>
    <t>PKS</t>
  </si>
  <si>
    <t>RETIRADA ROGERIO</t>
  </si>
  <si>
    <t>FGTS</t>
  </si>
  <si>
    <t>VENTURE</t>
  </si>
  <si>
    <t>SOLUTEC</t>
  </si>
  <si>
    <t>INSS</t>
  </si>
  <si>
    <t>IRRF</t>
  </si>
  <si>
    <t>Total Geral</t>
  </si>
  <si>
    <t>SOCIOS</t>
  </si>
  <si>
    <t>IMPOSTOS</t>
  </si>
  <si>
    <t>ENCARGOS</t>
  </si>
  <si>
    <t>EMPRESTIMO</t>
  </si>
  <si>
    <t>ALIMENTACAO</t>
  </si>
  <si>
    <t>COMUNICACAO</t>
  </si>
  <si>
    <t>valor</t>
  </si>
  <si>
    <t>VOLARE</t>
  </si>
  <si>
    <t>COMBUSTIVEL</t>
  </si>
  <si>
    <t>RGE</t>
  </si>
  <si>
    <t>ENERGIA</t>
  </si>
  <si>
    <t>VIAGEM</t>
  </si>
  <si>
    <t>TRANSPORTE</t>
  </si>
  <si>
    <t>MICROEMPA</t>
  </si>
  <si>
    <t>CONVENIO</t>
  </si>
  <si>
    <t>JOEL - CAIXINHA</t>
  </si>
  <si>
    <t>FÉRIAS</t>
  </si>
  <si>
    <t>SAUDE</t>
  </si>
  <si>
    <t>UNIMED</t>
  </si>
  <si>
    <t>SEMAN</t>
  </si>
  <si>
    <t>JOSE MELO - 08/17</t>
  </si>
  <si>
    <t>JOSE MELO - 11/17</t>
  </si>
  <si>
    <t>JOSE MELO - 12/17</t>
  </si>
  <si>
    <t>JOSE MELO - 14/17</t>
  </si>
  <si>
    <t>ACORDO</t>
  </si>
  <si>
    <t>PARCELAMENTO</t>
  </si>
  <si>
    <t>MONEO - 01/18</t>
  </si>
  <si>
    <t>EMPRESTIMO FOLHA BB - 01/30</t>
  </si>
  <si>
    <t>EMPRESTIMO FOLHA BB - 02/30</t>
  </si>
  <si>
    <t>EMPRESTIMO FOLHA BB - 03/30</t>
  </si>
  <si>
    <t>MONEO - 02/18</t>
  </si>
  <si>
    <t>VERA KARLING - 08/17</t>
  </si>
  <si>
    <t>VERA KARLING - 09/17</t>
  </si>
  <si>
    <t>VERA KARLING - 10/17</t>
  </si>
  <si>
    <t>VERA KARLING - 11/17</t>
  </si>
  <si>
    <t>VERA KARLING - 14/17</t>
  </si>
  <si>
    <t>EMPRESTIMO FOLHA BB - 04/30</t>
  </si>
  <si>
    <t>MONEO - 03/18</t>
  </si>
  <si>
    <t>LEANDRO FERRAZ - 05/08</t>
  </si>
  <si>
    <t>LEANDRO FERRAZ - 07/08</t>
  </si>
  <si>
    <t>LEANDRO FERRAZ - 08/08</t>
  </si>
  <si>
    <t>JAIR DE JESUS - 05/06</t>
  </si>
  <si>
    <t>JAIR DE JESUS - 04/06</t>
  </si>
  <si>
    <t>SEGURO STRADA LUIS - 04/07</t>
  </si>
  <si>
    <t>SEGURO STRADA LUIS - 06/07</t>
  </si>
  <si>
    <t>VEICULOS</t>
  </si>
  <si>
    <t>MECANICA ADEMIR - UNO CLEBER - 02/03</t>
  </si>
  <si>
    <t>EMPRESTIMO FOLHA BB - 05/30</t>
  </si>
  <si>
    <t>GABRIEL - 03/04</t>
  </si>
  <si>
    <t>GABRIEL - 04/04</t>
  </si>
  <si>
    <t>JOEL - SALDO</t>
  </si>
  <si>
    <t>ATANAIR - 02/10</t>
  </si>
  <si>
    <t>ATANAIR - 03/10</t>
  </si>
  <si>
    <t>ATANAIR - 06/10</t>
  </si>
  <si>
    <t>ATANAIR - 07/10</t>
  </si>
  <si>
    <t>ATANAIR - 08/10</t>
  </si>
  <si>
    <t>MICROEMPA - 02/05</t>
  </si>
  <si>
    <t>MICROEMPA - 03/05</t>
  </si>
  <si>
    <t>MICROEMPA - 04/05</t>
  </si>
  <si>
    <t>SEGURO</t>
  </si>
  <si>
    <t>ROGERIO - 03/06</t>
  </si>
  <si>
    <t>ROGERIO - 04/06</t>
  </si>
  <si>
    <t>EMPRESTIMO FOLHA BB - 06/30</t>
  </si>
  <si>
    <t>ASSESSORIA</t>
  </si>
  <si>
    <t>VISAO - 02/02</t>
  </si>
  <si>
    <t>MARCOPOLO/SEMAN</t>
  </si>
  <si>
    <t>HIDROVER</t>
  </si>
  <si>
    <t>SAN MARINO</t>
  </si>
  <si>
    <t>LIBRELATO</t>
  </si>
  <si>
    <t>SEGURO TR4 LUIS - COMPLEMENTO</t>
  </si>
  <si>
    <t>ESTER MACHADO - VCTO 27/11/20</t>
  </si>
  <si>
    <t>SAMUEL - CIFERAL - 05/09</t>
  </si>
  <si>
    <t>ARTHUR - CIFERAL - 05/08</t>
  </si>
  <si>
    <t>LEONARDO - CIFERAL - 05/14</t>
  </si>
  <si>
    <t>LEONARDO - CIFERAL - 11/14</t>
  </si>
  <si>
    <t>LEONARDO - CIFERAL - 12/14</t>
  </si>
  <si>
    <t>RESTAURANTE ZAPAROLLI - 02/02</t>
  </si>
  <si>
    <t>INFORMATICA</t>
  </si>
  <si>
    <t>PAULO RICARDO DOS SANTOS - 01/08 - VCTO 27/11</t>
  </si>
  <si>
    <t>CLEISON - 05/05 - 28/11/20</t>
  </si>
  <si>
    <t>ARISTIDES FAGUNDES - 02/07 - vcto 29/11</t>
  </si>
  <si>
    <t xml:space="preserve">ACORDO </t>
  </si>
  <si>
    <t>DIEGO - 06/12 - vcto 29/10</t>
  </si>
  <si>
    <t>ANTONIO FRANCISCO - 02/08 - vcto 26/12</t>
  </si>
  <si>
    <t>ARISTIDES FAGUNDES - 03/07 - vcto 29/12</t>
  </si>
  <si>
    <t>LEANDRO FERRAZ - 02/08 - 27/12/20</t>
  </si>
  <si>
    <t>PAULO RICARDO DOS SANTOS - 02/08 - VCTO 28/12</t>
  </si>
  <si>
    <t>EPI</t>
  </si>
  <si>
    <t>MAJUSEG - CHEQUE PRE</t>
  </si>
  <si>
    <t>FGTS - vcto 07/01</t>
  </si>
  <si>
    <t>RGE - VCTO 04/01/21</t>
  </si>
  <si>
    <t>COMISSAO</t>
  </si>
  <si>
    <t>TERCEIROS</t>
  </si>
  <si>
    <t>GERENCIAL - 10/10/20</t>
  </si>
  <si>
    <t>RGE - VCTO 02/12</t>
  </si>
  <si>
    <t>CRISTINE LANCHES - Outubro</t>
  </si>
  <si>
    <t>OLIVEIRA E PERES - 25/11/20</t>
  </si>
  <si>
    <t>OLIVEIRA E PERES - 30/11/20</t>
  </si>
  <si>
    <t>MATERIAL</t>
  </si>
  <si>
    <t>AGUA</t>
  </si>
  <si>
    <t>SAMAE</t>
  </si>
  <si>
    <t xml:space="preserve">MANUTENCAO </t>
  </si>
  <si>
    <t>TECNOFAST   Lançar p 05.01.21 - VCTO 28/12/20</t>
  </si>
  <si>
    <t>CLARO -  20/12/20</t>
  </si>
  <si>
    <t>STEDILE - aviso de cartorio</t>
  </si>
  <si>
    <t>TRABALHOS LUAN - LT MANUTENCAO - vcto 11/12 - saldo</t>
  </si>
  <si>
    <t>SEGURO TR4 LUIS - 05/06</t>
  </si>
  <si>
    <t>VIVO - VCTO 28/12</t>
  </si>
  <si>
    <t xml:space="preserve">ASSESSORIA </t>
  </si>
  <si>
    <t>BSP</t>
  </si>
  <si>
    <t>GERENCIAL/PKS - VCTO 21/12/20</t>
  </si>
  <si>
    <t>GERENCIAL/SOLUTEC - VCTO 21/12/20</t>
  </si>
  <si>
    <t>CANTINA DELA COLINA - 03/06 - vcto 30/12</t>
  </si>
  <si>
    <t>METADADOS - vcto 25/12</t>
  </si>
  <si>
    <t>CASAS PAGLIARIN - vcto 30/12</t>
  </si>
  <si>
    <t>EXPEDIENTE</t>
  </si>
  <si>
    <t>LICEIS - vcto 28/12</t>
  </si>
  <si>
    <t>PERINI EQUIPAMENTOS - vcto 28/12</t>
  </si>
  <si>
    <t>2.PARCELA DECIMO - PAULO EDUARDO</t>
  </si>
  <si>
    <t xml:space="preserve">JUSTINA </t>
  </si>
  <si>
    <t>RESCISAO</t>
  </si>
  <si>
    <t xml:space="preserve">ANTONIO IBANEZ </t>
  </si>
  <si>
    <t>EXTRAS ROBERTO</t>
  </si>
  <si>
    <t>JUSTINA - COLETIVAS</t>
  </si>
  <si>
    <t>PENSAO ALIMENTICIA</t>
  </si>
  <si>
    <t>PAULO EDUARDO</t>
  </si>
  <si>
    <t>TEONAS - CIFERAL</t>
  </si>
  <si>
    <t>BANCOS</t>
  </si>
  <si>
    <t xml:space="preserve">ROGERIO </t>
  </si>
  <si>
    <t>FLAVIO/RAMON</t>
  </si>
  <si>
    <t>DALNIR - 01/03</t>
  </si>
  <si>
    <t>DALNIR - 02/03</t>
  </si>
  <si>
    <t>DALNIR - 03/03</t>
  </si>
  <si>
    <t>LICEIS</t>
  </si>
  <si>
    <t>JOEL - 01/03</t>
  </si>
  <si>
    <t>JOEL - 02/03</t>
  </si>
  <si>
    <t>TEONAS - 01/02</t>
  </si>
  <si>
    <t>HOLUS</t>
  </si>
  <si>
    <t>IBR REDUTORES</t>
  </si>
  <si>
    <t>ESTACIONAMENTO UNO FLAVIO</t>
  </si>
  <si>
    <t>PROMED</t>
  </si>
  <si>
    <t>VAN LIBRELATO</t>
  </si>
  <si>
    <t>MAJUSEG</t>
  </si>
  <si>
    <t>OLIVEIRA E PERES - vcto 25/12</t>
  </si>
  <si>
    <t>CONSUMO</t>
  </si>
  <si>
    <t>LUCHETTI COM DE AGUA</t>
  </si>
  <si>
    <t>PAGOS EM DINHEIRO</t>
  </si>
  <si>
    <t>SALARIOS - CIFERAL / VOLARE</t>
  </si>
  <si>
    <t>SALARIOS - ARQUIVO</t>
  </si>
  <si>
    <t>SALARIOS - SALDO FOLHA</t>
  </si>
  <si>
    <t>ISS - PARC.13/32</t>
  </si>
  <si>
    <t>ISS - PARC.14/60</t>
  </si>
  <si>
    <t>FABIANA RODRIGUES</t>
  </si>
  <si>
    <t>PRO MED - EXAME DEMISSIONAL</t>
  </si>
  <si>
    <t>LF - CLEBER</t>
  </si>
  <si>
    <t>VISATE - 20 CARTOES</t>
  </si>
  <si>
    <t>MARCARINI TINTAS - vcto 30/12 - AVISO DE CARTORIO</t>
  </si>
  <si>
    <t>ALUGUEL</t>
  </si>
  <si>
    <t>FLORENSE</t>
  </si>
  <si>
    <t xml:space="preserve">JUROS E DESPESAS BANCARIAS </t>
  </si>
  <si>
    <t>PRO MED - ACORDO VCTOS 15/11 E 15/12</t>
  </si>
  <si>
    <t>PROMED - PARCELA 03 EM ATRASO</t>
  </si>
  <si>
    <t>HOLAS BATERIAS - UNO BORDO</t>
  </si>
  <si>
    <t>FLAVIO</t>
  </si>
  <si>
    <t>CLEBER</t>
  </si>
  <si>
    <t>JAIRTON PEREIRA</t>
  </si>
  <si>
    <t>ARIEL - METADE</t>
  </si>
  <si>
    <t>ARIEL - SALDO</t>
  </si>
  <si>
    <t>ROGERIO</t>
  </si>
  <si>
    <t>MOTOR PNEUMATICO - DEPOSITAR</t>
  </si>
  <si>
    <t>MONEO - 06/18</t>
  </si>
  <si>
    <t>CURSO</t>
  </si>
  <si>
    <t>PRO MED - PLANO FUNCIONARIOS (já descontado)</t>
  </si>
  <si>
    <t>EMPRESTIMO FOLHA BB - 07/30</t>
  </si>
  <si>
    <t>ISS - PARC.14/32</t>
  </si>
  <si>
    <t>ISS - PARC.15/60</t>
  </si>
  <si>
    <t>ISS - PARC.17/32</t>
  </si>
  <si>
    <t>ISS - PARC.18/60</t>
  </si>
  <si>
    <t>ISS - PARC.18/32</t>
  </si>
  <si>
    <t>MARCIO CONCEICAO - vcto 24/12</t>
  </si>
  <si>
    <t>MONEO - 07/18</t>
  </si>
  <si>
    <t>EMPRESTIMO FOLHA BB - 08/30</t>
  </si>
  <si>
    <t>RAFAEL SCOPEL</t>
  </si>
  <si>
    <t>EMPRESTIMO FOLHA BB - 09/30</t>
  </si>
  <si>
    <t>RAMON - saldo</t>
  </si>
  <si>
    <t>EXTRAS VOLARE / CIFERAL</t>
  </si>
  <si>
    <t>GUIAS INSS - parcelamento agosto a dezembro</t>
  </si>
  <si>
    <t>VERA KARLING - 13/17</t>
  </si>
  <si>
    <t>VISATE - 10 CARTOES</t>
  </si>
  <si>
    <t>TEONAS - ENCERRAMENTO POUSADA - mandar pela manha</t>
  </si>
  <si>
    <t>INSS - PARCELAMENTO</t>
  </si>
  <si>
    <t>IRPJ - PARCELAMENTO - 02/03</t>
  </si>
  <si>
    <t>COMBUSTIVEL ROGERIO</t>
  </si>
  <si>
    <t xml:space="preserve">COMBUSTIVEL RAMON </t>
  </si>
  <si>
    <t>CLEBER - LIBRELATO</t>
  </si>
  <si>
    <t>FLAVIO - CHAPECO - EM DINHEIRO</t>
  </si>
  <si>
    <t>FLAVIO - CHAPECO - DEPOSITO</t>
  </si>
  <si>
    <t>ALIMENTAR - acordo - 01/02 - sem falta (bloqueado)</t>
  </si>
  <si>
    <t>ALIMENTAR - acordo - 02/02 - sem falta (bloqueado)</t>
  </si>
  <si>
    <t>VAN - UNITRANS - parte</t>
  </si>
  <si>
    <t>VAN - UNITRANS - saldo</t>
  </si>
  <si>
    <t>EMPRESTIMO FOLHA BB - 10/30</t>
  </si>
  <si>
    <t>EMPRESTIMO FOLHA BB - 11/30</t>
  </si>
  <si>
    <t>EMPRESTIMO FOLHA BB - 12/30</t>
  </si>
  <si>
    <t>MONEO - 11/18</t>
  </si>
  <si>
    <t>JOSE MELO - 15/17</t>
  </si>
  <si>
    <t>1.PARCELA 13º SALARIO</t>
  </si>
  <si>
    <t>EMPRESTIMO FOLHA BB - 13/30</t>
  </si>
  <si>
    <t>MONEO - 12/18</t>
  </si>
  <si>
    <t>MANO MOTORS - troca da pastilhas Sr.Luis</t>
  </si>
  <si>
    <t>GT3 - vcto 20/01</t>
  </si>
  <si>
    <t>EXTRAS ANA RECH</t>
  </si>
  <si>
    <t>VISATE - 15 CARTOES</t>
  </si>
  <si>
    <t>CRISTINE LANCHES - DEZEMBRO - vcto 15/01</t>
  </si>
  <si>
    <t>RODRIGO GONCALVES - vcto 18/01</t>
  </si>
  <si>
    <t>VIVO - VCTO 28/01/21</t>
  </si>
  <si>
    <t>JONATHAN - LIBRELATO</t>
  </si>
  <si>
    <t>ASLCO - vcto 20/01</t>
  </si>
  <si>
    <t>DEOCLECIANO - 02/03 - vcto 17/12</t>
  </si>
  <si>
    <t>DEOCLECIANO - 03/03 - vcto 17/01</t>
  </si>
  <si>
    <t>DIEGO - 07/12 - vcto 28/11</t>
  </si>
  <si>
    <t>LEANDRO FERRAZ - 03/08 - vcto 27/01</t>
  </si>
  <si>
    <t>SERGIO JOSE MARTINS - 03/05 - vcto 27/12</t>
  </si>
  <si>
    <t>SERGIO JOSE MARTINS - 04/05 - vcto 27/01</t>
  </si>
  <si>
    <t>PAULO RICARDO DOS SANTOS - 03/08 - vcto 27/01</t>
  </si>
  <si>
    <t>ARLINDO STRADA - 01/22 - vcto 28/01</t>
  </si>
  <si>
    <t>ARISTIDES FAGUNDES - 04/07 - vcto 29/01</t>
  </si>
  <si>
    <t>ANTONIO FRANCISCO - 03/08 - vcto 26/01</t>
  </si>
  <si>
    <t>CORSUL - PREVISAO</t>
  </si>
  <si>
    <t>PRO MED - exames</t>
  </si>
  <si>
    <t>LF - FLAVIO</t>
  </si>
  <si>
    <t>NET - VCTO 20/01</t>
  </si>
  <si>
    <t>BOM TEMPERO - VCTO 25/01</t>
  </si>
  <si>
    <t>LUIS/CLEBER</t>
  </si>
  <si>
    <t>OLIVEIRA E PERES - vcto 25/01</t>
  </si>
  <si>
    <t>RGE - vcto 04/02</t>
  </si>
  <si>
    <t>RAFAEL - vcto 10/01</t>
  </si>
  <si>
    <t xml:space="preserve">SEGURO TR4 LUIS - 06/06 - sem falta </t>
  </si>
  <si>
    <t xml:space="preserve">REEMBOLSAR TEONAS - VIAGEM CIFERAL </t>
  </si>
  <si>
    <t>CARRO SEGURANCA</t>
  </si>
  <si>
    <t>CHRISTIHIAN P.PAGANIN</t>
  </si>
  <si>
    <t>CRIMET - exames criciuma</t>
  </si>
  <si>
    <t>MARCELO UARTHE - METADE</t>
  </si>
  <si>
    <t>MARCELO UARTHE - SALDO FINAL</t>
  </si>
  <si>
    <t>ARTHUR - CIFERAL - 01/08 - vcto 18/12 - SR.PAULO/JOEL</t>
  </si>
  <si>
    <t>LEONARDO - CIFERAL - 01/14 - vcto 18/12 - SR.PAULO/JOEL</t>
  </si>
  <si>
    <t>SAMUEL - CIFERAL - 01/09 - vcto 18/12 - SR.PAULO/JOEL</t>
  </si>
  <si>
    <t>CANTON E FREITAS - vcto 18/01 -TITULO PRORROGADO COM ANDREIA</t>
  </si>
  <si>
    <t>JONATHAN - LIBRELATO - UBER EXAMES CRIMET</t>
  </si>
  <si>
    <t>GABRIEL</t>
  </si>
  <si>
    <t>PAVILHAO - 01/04</t>
  </si>
  <si>
    <t>PAVILHAO - 04/04</t>
  </si>
  <si>
    <t>AIRTEC - Buzzatti - sem falta</t>
  </si>
  <si>
    <t>ZAPA - 03/03</t>
  </si>
  <si>
    <t>ZAPA - 02/03</t>
  </si>
  <si>
    <t>INFOCALL</t>
  </si>
  <si>
    <t xml:space="preserve">VOB HOTEL </t>
  </si>
  <si>
    <t>EXTRAS MECANICA</t>
  </si>
  <si>
    <t>FELIPE BALICO</t>
  </si>
  <si>
    <t>JEAN DEIVID - 04/04 - vcto 28/11  SEM FALTA</t>
  </si>
  <si>
    <t>SIMOQUIMICA</t>
  </si>
  <si>
    <t>VALENTINI TINTAS - BONDIOLI</t>
  </si>
  <si>
    <t>ELISSANDRA TRINDADE</t>
  </si>
  <si>
    <t>DIGISAM - mês corrente</t>
  </si>
  <si>
    <t>UNIMED - pagar pela empresa - estamos devendo dezembro para sr.rubens</t>
  </si>
  <si>
    <t>RAFAEL - parte</t>
  </si>
  <si>
    <t>ALISON RAMIRES GARCIA</t>
  </si>
  <si>
    <t>REPAROS P/BICO TURBO - Flavio conseguiu com outro fornecedor (01 unid)</t>
  </si>
  <si>
    <t>VISATE - 28 CARTOES</t>
  </si>
  <si>
    <t>MECANICA ADEMIR - UNO CLEBER - 02/02 - vcto 15/01 - Ligar p/ combinar deposito com Rose</t>
  </si>
  <si>
    <t>MECANICA ADEMIR - UNO CLEBER - 03/03 - vcto 02/02 - Ligar p/ combinar deposito com Rose</t>
  </si>
  <si>
    <t>JOEL - 03/03 - metade</t>
  </si>
  <si>
    <t>JOEL - 03/03 - saldo</t>
  </si>
  <si>
    <t>ROGERIO - 02/06 - ULTIMO PRAZO - SEM FALTA</t>
  </si>
  <si>
    <t>RAMON - ABAST.UNO CLEBER</t>
  </si>
  <si>
    <t>VISATE - CARTAO FUNC.FLORENCE</t>
  </si>
  <si>
    <t xml:space="preserve">CSLL - DEBITO BB </t>
  </si>
  <si>
    <t>FGTS RESCISORIO ALISON RAMIMES</t>
  </si>
  <si>
    <t>CANTINA DELA COLINA</t>
  </si>
  <si>
    <t>CASA DO CONSTRUTOR - ASPIRADOR E ROMPEDOR - CRICIUMA</t>
  </si>
  <si>
    <t>FORZZA - 01/03</t>
  </si>
  <si>
    <t>FORZZA - 03/03</t>
  </si>
  <si>
    <t>CLEBER R$ 100,00 - FLAVIO R$ 50,00 - RAMON - R$ 50,00</t>
  </si>
  <si>
    <t>EXAME FUNCIONARIO JOEL</t>
  </si>
  <si>
    <t>PAULO EDUARDO (salario + reembolso contas)</t>
  </si>
  <si>
    <t>ZAPA</t>
  </si>
  <si>
    <t>FGTS - vcto 05/02</t>
  </si>
  <si>
    <t>SEGURO STRADA LUIS - 05/07 - SEM FALTA - ULTIMO VCTO</t>
  </si>
  <si>
    <t>CRISTINE LANCHES - janeiro</t>
  </si>
  <si>
    <t>VOB HOTEL - vcto 30/01 -sem falta</t>
  </si>
  <si>
    <t>BAR E RESTAURANTE TIO JOAO - vcto 18/01 -sem falta</t>
  </si>
  <si>
    <t>CASAS PAGLIARIN - VCTO 31/01 - acertado com Patricia</t>
  </si>
  <si>
    <t>MARCIA - LIMPEZA - (devo 20,00)</t>
  </si>
  <si>
    <t>JUROS E DESPESAS BANCARIAS</t>
  </si>
  <si>
    <t>ZAPAROLLI - parcela 01/02 - vcto 01/02</t>
  </si>
  <si>
    <t>JOEL - 03/03</t>
  </si>
  <si>
    <t>PRO MED - MÊS CORRENTE</t>
  </si>
  <si>
    <t>ZAPA - vcto 01/02 - parcela 01/03</t>
  </si>
  <si>
    <t>SIMPLES - entrada</t>
  </si>
  <si>
    <t>SIMPLES - 02/60</t>
  </si>
  <si>
    <t>SIMPLES - 03/60</t>
  </si>
  <si>
    <t>SIMPLES - 04/60</t>
  </si>
  <si>
    <t>SIMPLES - 05/60</t>
  </si>
  <si>
    <t>SIMPLES - 06/60</t>
  </si>
  <si>
    <t>CORSUL</t>
  </si>
  <si>
    <t>SALARIOS - arquivo</t>
  </si>
  <si>
    <t xml:space="preserve">SALARIOS - dinheiro </t>
  </si>
  <si>
    <t>MARCARINI TINTAS</t>
  </si>
  <si>
    <t>ART - BONDIOLLI/BUZZATTI</t>
  </si>
  <si>
    <t>SALARIOS - outras contas</t>
  </si>
  <si>
    <t>VISATE - 37 CARTOES</t>
  </si>
  <si>
    <t>TEONAS - 02/02</t>
  </si>
  <si>
    <t>ZAPAROLLI - 01/02</t>
  </si>
  <si>
    <t>VISATE - FUNC.FLORENSE</t>
  </si>
  <si>
    <t>CASAS PAGLIARIN - VCTO 18/02 - acertado com Patricia</t>
  </si>
  <si>
    <t>UBER - EXAMES 03 FUNCIONARIOS CRICIUMA</t>
  </si>
  <si>
    <t>MAXIFERRO</t>
  </si>
  <si>
    <t>CANTON E FREITAS</t>
  </si>
  <si>
    <t>FGTS RESCISORIO NATHAN</t>
  </si>
  <si>
    <t>FGTS RESCISORIO ANDELSON</t>
  </si>
  <si>
    <t>COMBUSTIVEL: 458,00 Librelato - uno flavio + 100 uno cleber</t>
  </si>
  <si>
    <t>INSS (FUNCIONARIOS)</t>
  </si>
  <si>
    <t>UNO CLEBER - FLORENSE</t>
  </si>
  <si>
    <t>EXTRAS LIBRELATO</t>
  </si>
  <si>
    <t>EXTRAS LIMPEZA</t>
  </si>
  <si>
    <t>NF 1401 - VOLARE - R$ 91.500,00 - PARTE</t>
  </si>
  <si>
    <t>ZANOL - NF NEOBUS - PARTE</t>
  </si>
  <si>
    <t>BUZZATTI - NF NEOBUS - PARTE</t>
  </si>
  <si>
    <t>VERA KARLING - parcela 07/17</t>
  </si>
  <si>
    <t>VERA KARLING - parcela 06/17</t>
  </si>
  <si>
    <t>PLANO FUNCIONARIOS - sem falta - já descontado</t>
  </si>
  <si>
    <t>ESTACIONAMENTO MENSAL UNO FLAVIO</t>
  </si>
  <si>
    <t xml:space="preserve">RESCISAO RAFAEL </t>
  </si>
  <si>
    <t>JOAO MARCELO</t>
  </si>
  <si>
    <t>VAN - metade</t>
  </si>
  <si>
    <t>VAN - saldo</t>
  </si>
  <si>
    <t>VISAO - VENCIDO EM  05/02</t>
  </si>
  <si>
    <t>VISAO</t>
  </si>
  <si>
    <t>VISATE - 35 CARTOES</t>
  </si>
  <si>
    <t>IBP METALURGICA</t>
  </si>
  <si>
    <t>LIBRELATO - SCHEILA</t>
  </si>
  <si>
    <t>VISAO - sem falta</t>
  </si>
  <si>
    <t>SIND EMPRESAS - EXAME VOLARE</t>
  </si>
  <si>
    <t>CLARO - VCTO 20/01 - SEM FALTA - BLOQUEIO DIA 15/02</t>
  </si>
  <si>
    <t>COMPRAS DIVERSAS</t>
  </si>
  <si>
    <t>DIGISAM - vcto 09/12/2019</t>
  </si>
  <si>
    <t>DIGISAM - vcto 15/03/2020</t>
  </si>
  <si>
    <t>ANTONIO FRANCISCO - 01/08 - VCTO 26/11 - Voltou a trabalhar - pagar sem falta</t>
  </si>
  <si>
    <t>BOX RAPIDO - 01/10</t>
  </si>
  <si>
    <t>BOX RAPIDO - 02/10</t>
  </si>
  <si>
    <t>BOX RAPIDO - 03/10</t>
  </si>
  <si>
    <t>BOX RAPIDO - 04/10</t>
  </si>
  <si>
    <t>BOX RAPIDO - 05/10</t>
  </si>
  <si>
    <t>ROGERIO (100,00) + FLAVIO (100,00) + LUIS (150,00)</t>
  </si>
  <si>
    <t>ZAPAROLLI - 02/02 - vcto 10/02</t>
  </si>
  <si>
    <t>MICROEMPA - vcto 15/02</t>
  </si>
  <si>
    <t>PRO MED - vcto 15/02</t>
  </si>
  <si>
    <t>STEDILE - vcto 15/02</t>
  </si>
  <si>
    <t>BAR E RESTAURANTE TIO JOAO - vcto 17/02</t>
  </si>
  <si>
    <t>ANDELSON ALVES DOS SANTOS</t>
  </si>
  <si>
    <t>J MARCANTE</t>
  </si>
  <si>
    <t>MAURO VEGHER - TORNO</t>
  </si>
  <si>
    <t>JUSTINA - CHEQUE NF 4516 (não veio buscar)</t>
  </si>
  <si>
    <t>DIVERSOS - REEMBOLSAR DALNIR</t>
  </si>
  <si>
    <t>PENSAO ALIMENTICIA/RESCISAO ANDELSON</t>
  </si>
  <si>
    <t>EXTRAS VOLARE/CIFERAL</t>
  </si>
  <si>
    <t>REEMBOLSO LANCHES RAMON</t>
  </si>
  <si>
    <t>BT5 MAQUINAS - Flavio</t>
  </si>
  <si>
    <t>MECANIA ADEMIR - CARRO CLEBER - 01/03</t>
  </si>
  <si>
    <t>MECANIA ADEMIR - CARRO CLEBER - 02/03</t>
  </si>
  <si>
    <t>MECANIA ADEMIR - CARRO CLEBER - 03/03</t>
  </si>
  <si>
    <t>COMBUSTIVEL 50,00 RAMON + 50,00 CLEBER/FLORENSE</t>
  </si>
  <si>
    <t>RODRIGO GONCALVES</t>
  </si>
  <si>
    <t>TRABALHOS LUAN - LT MANUTENCAO - vcto 11/12 - PARTE</t>
  </si>
  <si>
    <t>INSS - nota fiscal pro med</t>
  </si>
  <si>
    <t>LIDER LIBRELATO</t>
  </si>
  <si>
    <t>IRF - s/notas fiscais</t>
  </si>
  <si>
    <t>CSLL/COFINS - s/notas fiscais</t>
  </si>
  <si>
    <t>FLAVIO - 100,00 / ROGERIO - 100,00 / RAMON - 50,00</t>
  </si>
  <si>
    <t>EXAME OFTALMOLOGISTA ALUIZIO SALES</t>
  </si>
  <si>
    <t>REEMBOLSO EXAME COVID RAMON</t>
  </si>
  <si>
    <t>EXAME COVID SERGIO MARTINS</t>
  </si>
  <si>
    <t>DALNIR - 267,00 COMBUST. + 22,00 CORREIO + 3,00 ESTAC.</t>
  </si>
  <si>
    <t>DIF NF AIRTEC - BUZZATTI</t>
  </si>
  <si>
    <t>PAVILHAO - 02/04 - DEBITO AUTOMATICO BANRISUL</t>
  </si>
  <si>
    <t>LUCINARA MARQUES</t>
  </si>
  <si>
    <t>RAFAEL SCOPEL - vcto 10/02</t>
  </si>
  <si>
    <t>ARTHUR - CIFERAL - 03/08 - vcto 18/02</t>
  </si>
  <si>
    <t>LEONARDO - CIFERAL - 03/14 - vcto 18/02</t>
  </si>
  <si>
    <t>SAMUEL - CIFERAL - 03/09 - vcto 18/02</t>
  </si>
  <si>
    <t>STEDILE - vcto 19/02</t>
  </si>
  <si>
    <t>SALETE PAIM MACIEL - vcto 19/02 - metade</t>
  </si>
  <si>
    <t>SALETE PAIM MACIEL - vcto 19/02 - saldo</t>
  </si>
  <si>
    <t>MAICON GUTERRES LIMA</t>
  </si>
  <si>
    <t>ROSA MARIA PENA DE ALMEIDA</t>
  </si>
  <si>
    <t>GT3 - VCTO 20/02</t>
  </si>
  <si>
    <t>CORPORATIVA TI - VCTO 10/02</t>
  </si>
  <si>
    <t>ROGERIO - ENGENHEIRO - NF 1452 VOLARE (R$ 10.000,00)</t>
  </si>
  <si>
    <t>NELCI - 01/03</t>
  </si>
  <si>
    <t>NELCI - 02/03</t>
  </si>
  <si>
    <t>NELCI - 03/03</t>
  </si>
  <si>
    <t>MARCARINI - VCTO 18/02</t>
  </si>
  <si>
    <t>FLAVIO / GABRIEL (LIBRELATO)</t>
  </si>
  <si>
    <t>JAIR DE JESUS - 02/06</t>
  </si>
  <si>
    <t xml:space="preserve">JAIR DE JESUS - 03/06 </t>
  </si>
  <si>
    <t xml:space="preserve">JOSE MELO - 02/17 </t>
  </si>
  <si>
    <t xml:space="preserve">JOSE MELO - 03/17 </t>
  </si>
  <si>
    <t>JOSE MELO - 04/17</t>
  </si>
  <si>
    <t>JOSE MELO - 05/17</t>
  </si>
  <si>
    <t>JOSE MELO - 06/17</t>
  </si>
  <si>
    <t>JOSE MELO - 07/17</t>
  </si>
  <si>
    <t>MANOEL FRANCISCO - 02/03</t>
  </si>
  <si>
    <t>MANOEL FRANCISCO - 03/03</t>
  </si>
  <si>
    <t>FUNCIONARIO</t>
  </si>
  <si>
    <t xml:space="preserve">VCTO </t>
  </si>
  <si>
    <t>VALOR</t>
  </si>
  <si>
    <t>ARTHUR - CIFERAL - 02/08 - vcto 18/01 - SR.PAULO/JOEL</t>
  </si>
  <si>
    <t>LEONARDO - CIFERAL - 02/14 - vcto 18/01 - SR.PAULO/JOEL</t>
  </si>
  <si>
    <t>SAMUEL - CIFERAL - 02/09 - vcto 18/01 - SR.PAULO/JOEL</t>
  </si>
  <si>
    <t>ARLINDO STRADA - 02/22 - vcto 26/02</t>
  </si>
  <si>
    <t>ANTONIO FRANCISCO - 04/08 - vcto 26/02</t>
  </si>
  <si>
    <t>SERGIO JOSE MARTINS - 05/05 - vcto 26/02</t>
  </si>
  <si>
    <t>LEANDRO FERRAZ - 04/08 - vcto 26/02</t>
  </si>
  <si>
    <t>PAULO RICARDO DOS SANTOS - 04/08 - vcto 26/02</t>
  </si>
  <si>
    <t>DIEGO - 8/12 - vcto 28/12</t>
  </si>
  <si>
    <t>DIEGO - 9/12 - vcto 28/01</t>
  </si>
  <si>
    <t>DIEGO - 10/12 - vcto 26/02</t>
  </si>
  <si>
    <t>SILBER - BOLETOS PROTESTADOS</t>
  </si>
  <si>
    <t>INSS - PARC 14/60</t>
  </si>
  <si>
    <t>IRPJ - 02/03</t>
  </si>
  <si>
    <t>FARMACIA</t>
  </si>
  <si>
    <t>REMBOLSO FLAVIO (LANCHES e FARMACIA)</t>
  </si>
  <si>
    <t>RETIRA ROGERIO</t>
  </si>
  <si>
    <t>CRACHA RANDON</t>
  </si>
  <si>
    <t>GABRIEL - REEMBOLSO NF COMBUSTIVEL</t>
  </si>
  <si>
    <t>FORT EQUIPAMENTOS</t>
  </si>
  <si>
    <t xml:space="preserve">CORSUL </t>
  </si>
  <si>
    <t>MECANIA ADEMIR</t>
  </si>
  <si>
    <t>MECANICA ADEMIR</t>
  </si>
  <si>
    <t>IBR - MANUT.FLANGE (BUZZATTI)</t>
  </si>
  <si>
    <t>TECNOFAST - confirmar com Dalnir</t>
  </si>
  <si>
    <t>ALSCO</t>
  </si>
  <si>
    <t>LF SILVEIRA</t>
  </si>
  <si>
    <t>ROGERIO - REEMBOLSAR</t>
  </si>
  <si>
    <t>FLAVIO - LIBRELATO</t>
  </si>
  <si>
    <t>BISTRO LUCAS RAMOS - boleto</t>
  </si>
  <si>
    <t>MASCARAS CGC</t>
  </si>
  <si>
    <t xml:space="preserve">RESCISAO </t>
  </si>
  <si>
    <t>VANESSA CARDOSO</t>
  </si>
  <si>
    <t xml:space="preserve">MAJUSEG </t>
  </si>
  <si>
    <t>VIVO - vcto 28/02</t>
  </si>
  <si>
    <t>BUZZATTI - NF NEOBUS - saldo (em dinheiro)</t>
  </si>
  <si>
    <t>JUROS E DESPESAS BANCARIAS - PREVISAO</t>
  </si>
  <si>
    <t>CLARO - vcto 20/02/21</t>
  </si>
  <si>
    <t>LUIS/GABRIEL -LIBRELATO</t>
  </si>
  <si>
    <t>UBER - EXAMES (KARINA)</t>
  </si>
  <si>
    <t>OLIVEIRA E PERES - vcto 28/02</t>
  </si>
  <si>
    <t xml:space="preserve">MARCIA </t>
  </si>
  <si>
    <t>TEONAS - MENSAL</t>
  </si>
  <si>
    <t>NET - vcto 20/02</t>
  </si>
  <si>
    <t>GENILSON - MENSAL</t>
  </si>
  <si>
    <t>TONER - FINANCEIRO</t>
  </si>
  <si>
    <t xml:space="preserve">HOLUS </t>
  </si>
  <si>
    <t>VOB HOTEL</t>
  </si>
  <si>
    <t>STEDILE</t>
  </si>
  <si>
    <t xml:space="preserve">ANDREINA </t>
  </si>
  <si>
    <t>ANDREINA - FGTS</t>
  </si>
  <si>
    <t>MICROEMPA - 01/13</t>
  </si>
  <si>
    <t>MICROEMPA - 02/13</t>
  </si>
  <si>
    <t>MICROEMPA - 03/13</t>
  </si>
  <si>
    <t>MICROEMPA - 04/13</t>
  </si>
  <si>
    <t>MICROEMPA - 08/13</t>
  </si>
  <si>
    <t>MICROEMPA - 09/13</t>
  </si>
  <si>
    <t>MICROEMPA - 10/13</t>
  </si>
  <si>
    <t>SONIA ZERILDA DOS SANTOS</t>
  </si>
  <si>
    <t>BRAS PRESS - FRETE ASPMAQ</t>
  </si>
  <si>
    <t>PRO MED - MÊS</t>
  </si>
  <si>
    <t>CAIXINHA JOEL</t>
  </si>
  <si>
    <t>RGE - vcto 04/03/21</t>
  </si>
  <si>
    <t>EXTRAS ARIANE</t>
  </si>
  <si>
    <t>PRO SALUTE - pagar sem falta (plano dos funcionarios já descontado)</t>
  </si>
  <si>
    <t>REEMBOLSO ROGERIO</t>
  </si>
  <si>
    <t>INSS - somente parte funcionarios</t>
  </si>
  <si>
    <t>LUAN BARCELLOS - FGTS</t>
  </si>
  <si>
    <t>LUAN BARCELLOS</t>
  </si>
  <si>
    <t>VISATE - 45 CARTOES</t>
  </si>
  <si>
    <t>RESTAURANTE ZAPAROLLI</t>
  </si>
  <si>
    <t>ZANOL - CEF (Ag 3112 - Cc 2747-4) - CNPJ 33.442.780/0001-89 - Projeta</t>
  </si>
  <si>
    <t>PERINI EQUIPAMENTOS - vcto 05/03</t>
  </si>
  <si>
    <t>INFOCALL - vcto 05/03</t>
  </si>
  <si>
    <t>BLOQUEIO JUDICIAL</t>
  </si>
  <si>
    <t>ZAPA - vcto 08/03</t>
  </si>
  <si>
    <t>SALARIOS - Caxias</t>
  </si>
  <si>
    <t>PAULO EDUARDO - salario + reembolso lanche</t>
  </si>
  <si>
    <t>SALARIOS - Volare/Ciferal - devolver para Joel (juros)</t>
  </si>
  <si>
    <t>CRISTINE LANCHES</t>
  </si>
  <si>
    <t>IPVA UNO IUZ7335</t>
  </si>
  <si>
    <t>IPVA UNO IUZ7349</t>
  </si>
  <si>
    <t>LICEIS - VCTO 08/03</t>
  </si>
  <si>
    <t>DIEGO PARDELINHAS</t>
  </si>
  <si>
    <t>FGTS DIEGO</t>
  </si>
  <si>
    <t>NATHAN PEREIRA - 03/04</t>
  </si>
  <si>
    <t>KMBERLY GERING</t>
  </si>
  <si>
    <t>PSP ADVOGADOS - PKS</t>
  </si>
  <si>
    <t>VISATE SMART</t>
  </si>
  <si>
    <t>DALNIR/GABRIEL - CRICIUMA</t>
  </si>
  <si>
    <t xml:space="preserve">FLAVIO </t>
  </si>
  <si>
    <t>COMBUSTIVEL CLEBER</t>
  </si>
  <si>
    <t>SUMIG</t>
  </si>
  <si>
    <t>EVA GUTERRES</t>
  </si>
  <si>
    <t>EVA GUTERRES - FGTS</t>
  </si>
  <si>
    <t>COMBUSTIVEL FLAVIO</t>
  </si>
  <si>
    <t>RECLAMATORIA</t>
  </si>
  <si>
    <t>ATANAIR - 04/10 - VIA JUSTICA</t>
  </si>
  <si>
    <t>JUSTINA</t>
  </si>
  <si>
    <t>JOSE LUIS MARIA RODRIGUES - vcto 12/03</t>
  </si>
  <si>
    <t>NATHAN PEREIRA - 01/04 - vcto 12/03</t>
  </si>
  <si>
    <t>ATANAIR - 05/10 - JUSTICA</t>
  </si>
  <si>
    <t>FGTS - VCTO 07/04</t>
  </si>
  <si>
    <t>VISAO - VCTO 10/03</t>
  </si>
  <si>
    <t>MICROEMPA - vcto 15/03</t>
  </si>
  <si>
    <t>RAMON</t>
  </si>
  <si>
    <t>DIF HORAS KIMBERLY</t>
  </si>
  <si>
    <t>MARCIA - LIMPEZA</t>
  </si>
  <si>
    <t xml:space="preserve">CANTINA DELA COLINA </t>
  </si>
  <si>
    <t>SAMUEL - CIFERAL - 04/09 - VCTO 18/03</t>
  </si>
  <si>
    <t>ARTHUR - CIFERAL - 04/08 - VCTO 18/03</t>
  </si>
  <si>
    <t>LEONARDO - CIFERAL - 04/14 - VCTO 18/03</t>
  </si>
  <si>
    <t>SCHEILA - CRICIUMA - VCTO 16/03</t>
  </si>
  <si>
    <t>ZAPA - VCTO 16/03</t>
  </si>
  <si>
    <t>ARIANE - VCTO 16/03</t>
  </si>
  <si>
    <t>REST ZAPAROLLI - 02/02 - VCTO 15/03</t>
  </si>
  <si>
    <t>FORZZA - 02/03 - VCTO 15/03</t>
  </si>
  <si>
    <t>KI PONTO - VCTO 15/03</t>
  </si>
  <si>
    <t>TYJAUSA - LOCAMAQ - VCTO 16/03</t>
  </si>
  <si>
    <t>ADTO JONATHAN</t>
  </si>
  <si>
    <t>HELIO DE CASTRO</t>
  </si>
  <si>
    <t>ADRIANO PEREIRA</t>
  </si>
  <si>
    <t>FGTS RESCISORIO - HELIO e ADRIANO</t>
  </si>
  <si>
    <t>FGTS - vcto 05/02 - pedir nova guia</t>
  </si>
  <si>
    <t>ISS - PARC.15/32 -VCTO 16/03</t>
  </si>
  <si>
    <t>EXTRAS CIFERAL/VOLARE</t>
  </si>
  <si>
    <t>CORPORATIVA TI - AVISO DE CARTORIO (vcto 11/01 e 14/12)</t>
  </si>
  <si>
    <t>FABIANA DECO - PARCELA 01/03 - cheque Banrisul</t>
  </si>
  <si>
    <t>FABIANA DECO - PARCELA 03/03 - cheque Banrisul</t>
  </si>
  <si>
    <t>VAN - VCTO 16/03 - metade</t>
  </si>
  <si>
    <t>VAN - VCTO 16/03 - sado</t>
  </si>
  <si>
    <t>REST TIO JOAO - vcto 17/03</t>
  </si>
  <si>
    <t>ISS - PARC.16/60 - vcto 17/03</t>
  </si>
  <si>
    <t>SALARIOS - Volare/Ciferal - devolver Kely em dinheiro</t>
  </si>
  <si>
    <t>BONUS</t>
  </si>
  <si>
    <t>TREINAMENTO VOLARE - JOAO VITOR</t>
  </si>
  <si>
    <t>ACOPLANO</t>
  </si>
  <si>
    <t>CHAVEIRO CASA DE PEDRA - cartao debito</t>
  </si>
  <si>
    <t>BUZZATTI - NF NEOBUS - saldo (R$ 500,00) + 1.500,00 (salario)</t>
  </si>
  <si>
    <t>CORPORATIVA TI - vcto 18/03</t>
  </si>
  <si>
    <t xml:space="preserve">MARCIO IZAQUIEL </t>
  </si>
  <si>
    <t>PAVILHAO - 03/04 - debito automatico banrisul ate 25/03</t>
  </si>
  <si>
    <t>UNO FLAVIO</t>
  </si>
  <si>
    <t>CARTORIO</t>
  </si>
  <si>
    <t>CORREIO</t>
  </si>
  <si>
    <t>FGTS - vcto 05/02 - pagar ate 30/03/21</t>
  </si>
  <si>
    <t>FGTS - vcto 05/02 - dif dissidio - pagar ate 30/03/21</t>
  </si>
  <si>
    <t>KIPEL</t>
  </si>
  <si>
    <t>ROGERIO - ENGENHEIRO - NF 1452 VOLARE (R$ 10.000,00) - saldo</t>
  </si>
  <si>
    <t>REEMBOLSAR ROGERIO</t>
  </si>
  <si>
    <t>CHAPAS WSUL - Guilherme</t>
  </si>
  <si>
    <t>ALIMENTAR - aviso de cartorio</t>
  </si>
  <si>
    <t>LIMPEZA - MARCIA</t>
  </si>
  <si>
    <t xml:space="preserve">TRABALHOS LUAN - LT MANUTENCAO - vcto 11/12 </t>
  </si>
  <si>
    <t>GT3 - vcto 22/03</t>
  </si>
  <si>
    <t>REST BOM TEMPERO - VCTO 15/03 - deposito</t>
  </si>
  <si>
    <t>simoquimica nf 189714 debito cartão</t>
  </si>
  <si>
    <t>flavio saque bb</t>
  </si>
  <si>
    <t>fusopar  - mat Wsul debito</t>
  </si>
  <si>
    <t>gabriel Librelato</t>
  </si>
  <si>
    <t>extras mecancia caxias do sul</t>
  </si>
  <si>
    <t>atc  pic - computador segurança</t>
  </si>
  <si>
    <t>lf silveira debito</t>
  </si>
  <si>
    <t>multa fgts Mame</t>
  </si>
  <si>
    <t>rct Mame Mbaye Ndiaye</t>
  </si>
  <si>
    <t>extras Nelci</t>
  </si>
  <si>
    <t>gas Gabriel</t>
  </si>
  <si>
    <t>TIAGO 3/3 - NF NEOBUS - SALDO FINAL - NF 1401 NF 1476</t>
  </si>
  <si>
    <t>majuseg</t>
  </si>
  <si>
    <t>EXTRAS Ramon</t>
  </si>
  <si>
    <t xml:space="preserve">extras limpeza bco horas   </t>
  </si>
  <si>
    <t>BONUS   17</t>
  </si>
  <si>
    <t xml:space="preserve">TIAGO 1/3 - NF NEOBUS - SALDO FINAL - NF 1401 NF 1476 3.970,00 SAQUE </t>
  </si>
  <si>
    <t>lf  nf 76275 debito cartão</t>
  </si>
  <si>
    <t>liceis debito cartão nf 40433</t>
  </si>
  <si>
    <t>SALARIOS - Librelato - devolver Renovar  cheque</t>
  </si>
  <si>
    <t>Flavio chapeco Randon -  saque bb</t>
  </si>
  <si>
    <t>conbustivel gabriel librelato - sque bb</t>
  </si>
  <si>
    <t>concato</t>
  </si>
  <si>
    <t>ANTONIO FRANCISCO - 06/08 - vcto 26/04</t>
  </si>
  <si>
    <t>ANTONIO FRANCISCO - 05/08 - vcto 26/03</t>
  </si>
  <si>
    <t>PAULO RICARDO DOS SANTOS - 05/08 - 26/03</t>
  </si>
  <si>
    <t>ARLINDO STRADA - 03/22 - vcto 26/03</t>
  </si>
  <si>
    <t>MARCIA</t>
  </si>
  <si>
    <t xml:space="preserve">IRPJ - 03/03 </t>
  </si>
  <si>
    <t xml:space="preserve">INSS - PARC 15/60 </t>
  </si>
  <si>
    <t>CLARO - vcto 20/03</t>
  </si>
  <si>
    <t>CARTAO SMART</t>
  </si>
  <si>
    <t xml:space="preserve">OLIVEIRA E PERES - Inst.Reg.Imobiliario </t>
  </si>
  <si>
    <t>IBP METALURGICA - PAGAR SEM FALTA (cfe Sr.Paulo)</t>
  </si>
  <si>
    <t>CAIXINHA</t>
  </si>
  <si>
    <t xml:space="preserve">CAIXINHA </t>
  </si>
  <si>
    <t>Previsao Estufa</t>
  </si>
  <si>
    <t>JUSTINA - CHEQUE 23/03</t>
  </si>
  <si>
    <t>GERENCIAL - vcto 28/02/20</t>
  </si>
  <si>
    <t>DIFERRO</t>
  </si>
  <si>
    <t>SIFER</t>
  </si>
  <si>
    <t>VISATE - 30 CARTOES</t>
  </si>
  <si>
    <t>REEMBOLSAR DALNIR COMPRA LAMPADAS</t>
  </si>
  <si>
    <r>
      <t xml:space="preserve">TEONAS - MENSAL. </t>
    </r>
    <r>
      <rPr>
        <b/>
        <sz val="10"/>
        <color indexed="10"/>
        <rFont val="Arial"/>
        <family val="2"/>
      </rPr>
      <t>Obs. Disponibilizar em 01.04</t>
    </r>
  </si>
  <si>
    <r>
      <t xml:space="preserve">GENILSON - MENSAL Obs. </t>
    </r>
    <r>
      <rPr>
        <b/>
        <sz val="10"/>
        <color indexed="10"/>
        <rFont val="Arial"/>
        <family val="2"/>
      </rPr>
      <t>Disponibilizar em 01.04</t>
    </r>
  </si>
  <si>
    <t>MECANICA</t>
  </si>
  <si>
    <t>JUSTINA - CHEQUE 31/03</t>
  </si>
  <si>
    <t>LIMPEZA MARCIA</t>
  </si>
  <si>
    <t>GABRIEL/LIRANE</t>
  </si>
  <si>
    <t>SALARIOS - ARQUIVO PRODUCAO</t>
  </si>
  <si>
    <t>SALARIOS - ARQUIVO LIDERES E SEGURANCA</t>
  </si>
  <si>
    <t>SALARIOS - VOLARE/CIFERAL</t>
  </si>
  <si>
    <t>SALARIOS - FUNCIONARIOS SEM CONTA - CAX SUL (dinheiro)</t>
  </si>
  <si>
    <t>SALARIOS - FUNCIONARIOS SEM CONTA - LIBRELATO (dinheiro)</t>
  </si>
  <si>
    <t>SALETE PAIM - pf</t>
  </si>
  <si>
    <t>METADADOS - vcto 25/01, 25/02 e 25/03</t>
  </si>
  <si>
    <t>PRO SALUTE - PLANO - sem falta - já pago pelos funcionarios</t>
  </si>
  <si>
    <t>SALARIO CLEBER MELO LINS - em dinheiro</t>
  </si>
  <si>
    <t>FERRAGEM DO TONINHO</t>
  </si>
  <si>
    <t>REEMBOLSO MEDICACAO IVANETE ZANOTTO</t>
  </si>
  <si>
    <t>CELETRO - email Dalnir</t>
  </si>
  <si>
    <t>LF -  carrinho de mao</t>
  </si>
  <si>
    <t>REEMBOLSAR DALNIR - COMBUSTIVEL UNO</t>
  </si>
  <si>
    <t>LUCIANE OLIVEIRA - em dinheiro</t>
  </si>
  <si>
    <t>FGTS - vcto 07/05</t>
  </si>
  <si>
    <t>SALARIOS - Ramon</t>
  </si>
  <si>
    <t>MANO MOTORS - UNO</t>
  </si>
  <si>
    <t>FLAVIO - CLEBER - PAULO EDUARDO</t>
  </si>
  <si>
    <t>MUTERLE</t>
  </si>
  <si>
    <t xml:space="preserve">BT5 </t>
  </si>
  <si>
    <t>ZAPA - VCTO 08/04</t>
  </si>
  <si>
    <t>MARCELO QUIRINO (Volare) - VCTO 09/04</t>
  </si>
  <si>
    <t>ZAPA - VCTO 09/04</t>
  </si>
  <si>
    <t>PENSAO ALIMENTICIA JOSE LUIS MARIA RODRIGUES</t>
  </si>
  <si>
    <t>POLIMEROS SUL</t>
  </si>
  <si>
    <t>SUMIG - email Dalnir</t>
  </si>
  <si>
    <t xml:space="preserve">NET - vcto 20/03 </t>
  </si>
  <si>
    <t xml:space="preserve">MICROEMPA - 05/05 </t>
  </si>
  <si>
    <t>RESTAURANTE ZAPAROLLI - vcto 12/04</t>
  </si>
  <si>
    <t>NATHAN PEREIRA - 02/04 - vcto 12/04</t>
  </si>
  <si>
    <t>ZAPA - vcto 12/04</t>
  </si>
  <si>
    <t>STEDILE - vcto 12/04</t>
  </si>
  <si>
    <t>GERENCIAL - 1ª parcela do saldo devedor</t>
  </si>
  <si>
    <t>KIPEL - reembolsar Cleber</t>
  </si>
  <si>
    <t>EXTRAS LIMPEZA AR</t>
  </si>
  <si>
    <t xml:space="preserve">MAGNANI </t>
  </si>
  <si>
    <t>DANIEL FERRARI + FGTS</t>
  </si>
  <si>
    <t>REEMBOLSAR DALNIR - STEDILE</t>
  </si>
  <si>
    <t>MANUTENCAO</t>
  </si>
  <si>
    <t>SERGIO DAMBROS - NF 15 - (PIX 28186826068) sem falta, já combinado com ele</t>
  </si>
  <si>
    <t>JOEL</t>
  </si>
  <si>
    <t>SALARIOS - Nelci, Dalnir, Fabiana, Gabriel (saldo)</t>
  </si>
  <si>
    <t>CONTATO - TROCA DE LAMPADAS</t>
  </si>
  <si>
    <t>RAFAEL SCOPEL - vcto 10/03</t>
  </si>
  <si>
    <t>RAFAEL SCOPEL - vcto10/04</t>
  </si>
  <si>
    <t>VISAO - 02/02 - vcto 10/04</t>
  </si>
  <si>
    <t>SALARIOS - Nelci, Gabriel (parte)</t>
  </si>
  <si>
    <t xml:space="preserve">FABIANA DECO - PARCELA 02/03 </t>
  </si>
  <si>
    <t>BIG HEAD - COMP.FLAVIO</t>
  </si>
  <si>
    <t>CARTORIO MARCOS</t>
  </si>
  <si>
    <t>ART - ROGERIO - VOLARE</t>
  </si>
  <si>
    <t>ADRIANO - CIFERAL - PF CFE JOEL</t>
  </si>
  <si>
    <t>HELIO - CIFERAL - PF CFE JOEL</t>
  </si>
  <si>
    <t>MICROEMPA - vcto 15/04</t>
  </si>
  <si>
    <t>TRABALHOS LUAN - LT MANUTENCAO - vcto 11/12  - saldo final</t>
  </si>
  <si>
    <t>FLAVIO - CRICIUMA</t>
  </si>
  <si>
    <t>FGTS RESCISORIO FABINAO PEREIRA - Criciuma</t>
  </si>
  <si>
    <t>SERGIO JOSE MARTINS</t>
  </si>
  <si>
    <t>REEMBOLSAR SR.RUBENS (marco e abril)</t>
  </si>
  <si>
    <t>DEPOSITAR SEM FALTA PARA ROSELI BUZZATI - NF 217 e 219 (estufa - R$ 1.075,00 p/NF)</t>
  </si>
  <si>
    <t>SAMAE - vcto 16/04</t>
  </si>
  <si>
    <t>MONEO - 04/18 - vcto 15/04 (1.parte)</t>
  </si>
  <si>
    <t>MONEO - 04/18 - vcto 15/04 (saldo)</t>
  </si>
  <si>
    <t>MARCIA- LIMPEZA</t>
  </si>
  <si>
    <t>CLARO - 20/04</t>
  </si>
  <si>
    <t>VISAO - vencidos cfe acordo - vcto 19/04</t>
  </si>
  <si>
    <t>REST TIO JOAO- vcto 17/04</t>
  </si>
  <si>
    <t>ISS - PARC.17/60 - vcto 19/04</t>
  </si>
  <si>
    <t>PROMED - vcto 15/01</t>
  </si>
  <si>
    <t>IONICE - CHAVEIRO CASA DE PEDRA - falta boleto</t>
  </si>
  <si>
    <t>VAN - vcto 15/04</t>
  </si>
  <si>
    <t>ISS - PARC.16/32 - vcto 18/04</t>
  </si>
  <si>
    <t>RENOVAR - pgtos pessoal joel - devolver</t>
  </si>
  <si>
    <t>INSS - vcto 20/04</t>
  </si>
  <si>
    <t>GT3 - vcto 20/04</t>
  </si>
  <si>
    <t>LICEIS - vcto 20/04</t>
  </si>
  <si>
    <t>HOLUS - vcto 20/04</t>
  </si>
  <si>
    <t>EXTRAS - RAMON</t>
  </si>
  <si>
    <t>PAULO RICARDO DOS SANTOS - 06/08 - 27/04</t>
  </si>
  <si>
    <t>ARLINDO STRADA - 04/22 - vcto 28/04</t>
  </si>
  <si>
    <t>ROGER JULIO - SC - FGTS RESCISORIO</t>
  </si>
  <si>
    <t>KASI MOTORES- ASPMAQ- vcto 16/04 - sem falta - titulo prorrogado</t>
  </si>
  <si>
    <t>IRF VERA KARLING - 01/08</t>
  </si>
  <si>
    <t>IRF VERA KARLING - 02/08</t>
  </si>
  <si>
    <t>IRF VERA KARLING - 03/08</t>
  </si>
  <si>
    <t>IRF VERA KARLING - 04/08</t>
  </si>
  <si>
    <t>IRF VERA KARLING - 05/08</t>
  </si>
  <si>
    <t>IRF VERA KARLING - 06/08</t>
  </si>
  <si>
    <t>IRF VERA KARLING - 07/08</t>
  </si>
  <si>
    <t>IRF VERA KARLING - 08/08</t>
  </si>
  <si>
    <t>ROGERIO - PROJETISTA - WSUL - 01/06</t>
  </si>
  <si>
    <t>SALARIOS - Operacional Caxias - devolver Renovar - 01/06</t>
  </si>
  <si>
    <t>SALARIOS - Operacional Caxias - devolver Renovar - 02/06</t>
  </si>
  <si>
    <t>ROGERIO - PROJETISTA - WSUL - 02/06</t>
  </si>
  <si>
    <t>ROGERIO - PROJETISTA - WSUL - 03/06</t>
  </si>
  <si>
    <t>ROGERIO - PROJETISTA - WSUL - 05/06</t>
  </si>
  <si>
    <t>EVERTON SANTOS</t>
  </si>
  <si>
    <t>SEGURO ROGERIO - PARC 05 (ultimo prazo)</t>
  </si>
  <si>
    <t>ART CREA - ROGERIO/WSUL</t>
  </si>
  <si>
    <t>MANO MOTORS - troca de oleo - vcto 23/04</t>
  </si>
  <si>
    <t>ALSCO - vcto 23/04</t>
  </si>
  <si>
    <t>SEGURO STRADA LUIS - 07/07 - sem falta (aguardar novo boleto)</t>
  </si>
  <si>
    <t>VIVO - vcto 28/03 - telefone cortado</t>
  </si>
  <si>
    <t>VIVO - vcto 28/04</t>
  </si>
  <si>
    <t>BONUS (15 pessoas x R$ 120)</t>
  </si>
  <si>
    <t xml:space="preserve">ALSCO </t>
  </si>
  <si>
    <t xml:space="preserve">INSS - PARC 16/60 </t>
  </si>
  <si>
    <t xml:space="preserve">IRPJ </t>
  </si>
  <si>
    <t>CASAS PAGLIARIN - VCTO 30/04 - BOLETO JÁ PRORROGADO</t>
  </si>
  <si>
    <t>TIAGO 2/3 - NF NEOBUS - NF 1401 NF 1476</t>
  </si>
  <si>
    <t>FRETE</t>
  </si>
  <si>
    <t>JULIO - TUBOS</t>
  </si>
  <si>
    <t xml:space="preserve">TUBOS - WSUL - COML DE FERROS CAXIAS </t>
  </si>
  <si>
    <t>FGTS RESCISORIO</t>
  </si>
  <si>
    <t>GENILSON (reembolsar)</t>
  </si>
  <si>
    <t>FERRAGEM DO TONINHO - DOBRADICA</t>
  </si>
  <si>
    <t>IRF S/NF</t>
  </si>
  <si>
    <t>TONER SEGURANCA - GABRIEL</t>
  </si>
  <si>
    <t>RODRIGO CARDOSO - vcto 17/04 - sem falta - data já prorrogada</t>
  </si>
  <si>
    <t>VISAO - parcela 02</t>
  </si>
  <si>
    <t>VISATE - CARTAO SMART (Adriana e Lirane)</t>
  </si>
  <si>
    <t>IONICE LUISA - chaveiro casa de pedra - pagar em dinheiro</t>
  </si>
  <si>
    <t>SERGIO DAMBROS - NF 16 - (PIX 28186826068) sem falta qdo entrar R$ da estufa</t>
  </si>
  <si>
    <t xml:space="preserve">ZAPA </t>
  </si>
  <si>
    <t>RENOVAR - pgto Atanair</t>
  </si>
  <si>
    <t>GUIA PROCESSO JOSE MELO - 01/02</t>
  </si>
  <si>
    <t>GUIA PROCESSO JOSE MELO - 02/02</t>
  </si>
  <si>
    <t>UNO GABRIEL</t>
  </si>
  <si>
    <t>LF - SOLICITACAO GABRIEL</t>
  </si>
  <si>
    <t>MARCARINI - CARTORIO</t>
  </si>
  <si>
    <t xml:space="preserve">VAN - vcto 15/04 </t>
  </si>
  <si>
    <t>MECANICA ADEMIR - vcto 28/04</t>
  </si>
  <si>
    <t>ARAME MIG - LUAN - WSUL</t>
  </si>
  <si>
    <t>GRACIELA BORTOLOZZO (vcto 23/04 - SEM FALTA JÁ ASSINOU)</t>
  </si>
  <si>
    <t>KIPONTO - vcto 26/04</t>
  </si>
  <si>
    <t>ARIANE - SALDO - vcto 15/04 - sem falta</t>
  </si>
  <si>
    <t xml:space="preserve">GERENCIAL - vcto 10/05/20 </t>
  </si>
  <si>
    <t>VISATE - 33 CARTOES</t>
  </si>
  <si>
    <t>REEMBOLSAR FLAVIO - ACIDENTE NELI (farmacia + uber)</t>
  </si>
  <si>
    <t>SCHEILA PACHECO - vcto 15/04 (parte)</t>
  </si>
  <si>
    <t>SCHEILA PACHECO - vcto 15/04 (saldo)</t>
  </si>
  <si>
    <t>SERGIO DAMBROS - NF 37 - (PIX 28186826068) sem falta qdo entrar R$ da estufa</t>
  </si>
  <si>
    <t>DEPOSITAR SEM FALTA PARA ROSELI BUZZATI - NF 220 (estufa - R$ 1.075,00 p/NF)</t>
  </si>
  <si>
    <t>PAULO MOTA - VOLARE</t>
  </si>
  <si>
    <t>FGTS RESCISORIO ROBERTO COVA</t>
  </si>
  <si>
    <t>RAMON - 01/04</t>
  </si>
  <si>
    <t>RAMON - 02/04</t>
  </si>
  <si>
    <t>RAMON - 03/04</t>
  </si>
  <si>
    <t>LEANDRO FERRAZ - 06/08</t>
  </si>
  <si>
    <t>PAULO RICARDO DOS SANTOS - 07/08 - 27/05</t>
  </si>
  <si>
    <t>ARLINDO STRADA - 05/22 - vcto 28/05</t>
  </si>
  <si>
    <t>PERINI EQUIPAMENTOS</t>
  </si>
  <si>
    <t>REEBOMSAR SR LUIS - CONSULTA FUNCIONARIO ORTOPEDISTA</t>
  </si>
  <si>
    <t>CANTON E FREITAS - vcto 20/04 - boleto prorrogado</t>
  </si>
  <si>
    <t>METADADOS - vcto 25/04</t>
  </si>
  <si>
    <t>BISTRO LUCCAS RAMOS - vcto 03/05 - boleto prorrogado</t>
  </si>
  <si>
    <t>ALGACIR MULLER - 01/03</t>
  </si>
  <si>
    <t>ALGACIR MULLER - 02/03</t>
  </si>
  <si>
    <t xml:space="preserve">FÉRIAS </t>
  </si>
  <si>
    <t>ALGACIR MULLER - 03/03</t>
  </si>
  <si>
    <t>TOLDO EVENTOS</t>
  </si>
  <si>
    <t>TI COMPUTADORES - vcto 26/04 - titulo prorrogado</t>
  </si>
  <si>
    <t>ASLCO</t>
  </si>
  <si>
    <t xml:space="preserve">ZAPA - vcto 19/04 - cfe financ.zapa não permite pgto -  cartorio </t>
  </si>
  <si>
    <t>VOB HOTEL - VCTO 04/04 - cartorio</t>
  </si>
  <si>
    <t xml:space="preserve">VOB HOTEL - vcto 15/04 - cartorio </t>
  </si>
  <si>
    <t>POWER LINE - vcto 26/04 - cartorio</t>
  </si>
  <si>
    <t>RGE - VCTO 04/05</t>
  </si>
  <si>
    <t>RS GASES - vcto 15/04 - cartorio</t>
  </si>
  <si>
    <t xml:space="preserve">CHAPAS - WSUL - ACOPLANO </t>
  </si>
  <si>
    <t>FORT SOLDAS - TEONAS URGENTE</t>
  </si>
  <si>
    <t>RICARDO DEGGERONE - 01/03</t>
  </si>
  <si>
    <t>RICARDO DEGGERONE - 02/03</t>
  </si>
  <si>
    <t>RICARDO DEGGERONE - 03/03</t>
  </si>
  <si>
    <t>TIAGO - VOLARE - NF 1546 - R$ 20.000,00</t>
  </si>
  <si>
    <t>LIBERGAS</t>
  </si>
  <si>
    <t>ROBERTO COVAS - metade</t>
  </si>
  <si>
    <t>ROBERTO COVAS - saldo</t>
  </si>
  <si>
    <t>VISAO - vcto 26/04 (Patricia prorrogou para 10 dias - maximo)</t>
  </si>
  <si>
    <t>REEMBOLSAR GENILSON - abasteceu Uno Flavio</t>
  </si>
  <si>
    <t>OLIVEIRA E PERES - boletos vencidos em 25/03/20 e 30/03/20</t>
  </si>
  <si>
    <t>GABRIEL - abastecer Uno Cleber</t>
  </si>
  <si>
    <t>SALARIOS - arquivo producao</t>
  </si>
  <si>
    <t>FUNC SEM CONTA - saque em dinheiro</t>
  </si>
  <si>
    <t>PRO MED</t>
  </si>
  <si>
    <t>CORPORATIVA TI - vcto 10/03</t>
  </si>
  <si>
    <t>CORPORATIVA TI - vcto 10/04</t>
  </si>
  <si>
    <t xml:space="preserve">INGRID MACIEL </t>
  </si>
  <si>
    <t>KENIA DA ROSA</t>
  </si>
  <si>
    <t>CLEBER - sacar em dinheiro</t>
  </si>
  <si>
    <t>EDUARDA RODRIGUES - LIBRELATO</t>
  </si>
  <si>
    <t>LUCAS - LIBRELATO</t>
  </si>
  <si>
    <t>MARIA ADELMA - LIBRELATO</t>
  </si>
  <si>
    <t>MISAEL - LIBRELATO</t>
  </si>
  <si>
    <t>SABRINA - LIBRELATO</t>
  </si>
  <si>
    <t>JEFERSON - LIBRELATO</t>
  </si>
  <si>
    <t>WLADIMIR - LIBRELATO</t>
  </si>
  <si>
    <t>DALNIR</t>
  </si>
  <si>
    <t>ASSANE WADE</t>
  </si>
  <si>
    <t>FABIANO PEREIRA DOS SANTOS - LIBRELATO</t>
  </si>
  <si>
    <t>GILBERTO DOS SANTOS - LIBRELATO</t>
  </si>
  <si>
    <t>ROGER JULIO - LIBRELATO</t>
  </si>
  <si>
    <t>VAN - parte abril</t>
  </si>
  <si>
    <t xml:space="preserve">SALARIOS </t>
  </si>
  <si>
    <t>NEILI CABRAL</t>
  </si>
  <si>
    <t>FGTS RESCISORIO NEILI</t>
  </si>
  <si>
    <t>LUCHETTI COM DE GAS</t>
  </si>
  <si>
    <t>BRUNO SOUZA - trabalhou de 20 a 30/04 no pavilhao pf</t>
  </si>
  <si>
    <t>RESTAURANTE ZAPAROLLI - vcto 30/04 (sem falta)</t>
  </si>
  <si>
    <t>ZAPA - vcto 08/05</t>
  </si>
  <si>
    <t>INGRID CANELLO - GRAFICA VISAO - vcto 20/04 - sem falta - cartorio</t>
  </si>
  <si>
    <t xml:space="preserve">VOB HOTEL - vcto 22/04 - sem falta cartorio </t>
  </si>
  <si>
    <t>FERRAMENTAS GERAIS - arame mig</t>
  </si>
  <si>
    <t xml:space="preserve">PAULO EDUARDO </t>
  </si>
  <si>
    <t>ACOPLANO - tubos WSUL</t>
  </si>
  <si>
    <t>FLAVIO LOPES</t>
  </si>
  <si>
    <t>SALARIOS (Gabriel, Joel)</t>
  </si>
  <si>
    <t xml:space="preserve">PENSAO ALIMENTICIA </t>
  </si>
  <si>
    <t>RAFAEL SCOPEL - vcto 10/05</t>
  </si>
  <si>
    <t>NET - 20/04</t>
  </si>
  <si>
    <t>DANICA - entrada</t>
  </si>
  <si>
    <t>SCHEILA PACHECO - ultima nota fiscal</t>
  </si>
  <si>
    <t>ALIMENTAR - vcto 08/04 - não permite compra sem este pgto</t>
  </si>
  <si>
    <t>VENETO - boleto</t>
  </si>
  <si>
    <t>FUSOPAR</t>
  </si>
  <si>
    <t>CLARA T.WOLF - calibrador Gabriel - sem falta titulo já prorrogado, vcto 26/04/21</t>
  </si>
  <si>
    <t>VAN - vcto 15/04 - saldo final</t>
  </si>
  <si>
    <t>WSUL - NF 1549 - sacar</t>
  </si>
  <si>
    <t xml:space="preserve">RGE - vcto 05/04/21 </t>
  </si>
  <si>
    <t>PENSAO ALIMENTICIA REF FÉRIAS MARCIO SOARES</t>
  </si>
  <si>
    <t xml:space="preserve">VIAGEM </t>
  </si>
  <si>
    <t>BT5</t>
  </si>
  <si>
    <t>JOSIANE METAYER + FGTS</t>
  </si>
  <si>
    <t>CARTEIRA PAULO EDUARDO</t>
  </si>
  <si>
    <t xml:space="preserve">STEDILE - vcto 01/05 </t>
  </si>
  <si>
    <t>ZAPA - vcto 30/04 - cartorio</t>
  </si>
  <si>
    <t>ZAPA - vcto 29/04 - cartorio</t>
  </si>
  <si>
    <t>JUSTINA - 13/05</t>
  </si>
  <si>
    <t>JUSTINA - 23/04</t>
  </si>
  <si>
    <t>CANTINA DELA COLINA - nf 066</t>
  </si>
  <si>
    <t>DARF IRPJ</t>
  </si>
  <si>
    <t>KIPEL - mangueiras Cleber</t>
  </si>
  <si>
    <t>STOLFO - 02 TONER</t>
  </si>
  <si>
    <t>VAN</t>
  </si>
  <si>
    <t>UNIAO TRANSPORTES - LIBRELATO</t>
  </si>
  <si>
    <t>VISATE - 40 cartoes</t>
  </si>
  <si>
    <t>CADEIRA GABRIEL</t>
  </si>
  <si>
    <t>VISATE - CARTAO SMART</t>
  </si>
  <si>
    <t>CORPORATIVA TI - ANTIVIRUS</t>
  </si>
  <si>
    <t>FGTS - vcto 07/06</t>
  </si>
  <si>
    <t>IONICE - CHAVEIRO CASA DE PEDRA - em dinheiro</t>
  </si>
  <si>
    <t>EA COMUNICACAO - JORNAL CRICIUMA</t>
  </si>
  <si>
    <t>MONEO - 05/18 - parte</t>
  </si>
  <si>
    <t>MONEO - 05/18 - saldo</t>
  </si>
  <si>
    <t>PAULO RICARDO DOS SANTOS - 08/08 - 26/06</t>
  </si>
  <si>
    <t>ARLINDO STRADA - 06/22 - vcto 25/06</t>
  </si>
  <si>
    <t>BRASSPRESS</t>
  </si>
  <si>
    <t>PAULO MOTA</t>
  </si>
  <si>
    <t>BOM TEMPERO - VOLARE - vcto 17/05</t>
  </si>
  <si>
    <t>EXCELENCIA RH - vcto 14/05</t>
  </si>
  <si>
    <t>MAURO PEREIRA - em dinheiro</t>
  </si>
  <si>
    <t>PROMED - vcto 15/04/21</t>
  </si>
  <si>
    <t>PROMED - vcto 15/03</t>
  </si>
  <si>
    <t>ZANOL - NF NEOBUS + CELETRO - saldo</t>
  </si>
  <si>
    <t>27 PESSOAS x R$ 120,00</t>
  </si>
  <si>
    <t>JAINE FERREIRA</t>
  </si>
  <si>
    <t>GABRIEL - abastecer Uno Genilson</t>
  </si>
  <si>
    <t>PRO SALUTE - plano funcionarios - já descontado</t>
  </si>
  <si>
    <t>VOB HOTEL - vcto 19/05 - sem falta, boleto já prorrogado</t>
  </si>
  <si>
    <t>JUSTINA - 21/05</t>
  </si>
  <si>
    <t>CLARO - vcto 20/05</t>
  </si>
  <si>
    <t>NET - vcto 20/05</t>
  </si>
  <si>
    <t>SAMAE - vcto 16/05</t>
  </si>
  <si>
    <t>PNEUS UNO FLAVIO</t>
  </si>
  <si>
    <t>RS TONER - engenharia - sacar e entregar para gabriel</t>
  </si>
  <si>
    <t>JOSE LUIZ - desmanche equip.ciferal</t>
  </si>
  <si>
    <t>MARCIO - desmanche equip.ciferal</t>
  </si>
  <si>
    <t>MICROEMPA - vcto 15/05</t>
  </si>
  <si>
    <t>GT3 - vcto 20/05</t>
  </si>
  <si>
    <t>HOLUS - vcto 20/05</t>
  </si>
  <si>
    <t>REST TIO JOAO - vcto 17/05</t>
  </si>
  <si>
    <t>MAGNANI</t>
  </si>
  <si>
    <t>REALISE - GUINCHO</t>
  </si>
  <si>
    <t>MANO MOTORS - GOLD ESTEINER - 01/02</t>
  </si>
  <si>
    <t>JONATHAN SOUZA DOS SANTOS</t>
  </si>
  <si>
    <t>CORREIOS - CALIBRADOR</t>
  </si>
  <si>
    <t>SANDRO AUGUSTO</t>
  </si>
  <si>
    <t>SANDRO AUGUSTO - FGTS</t>
  </si>
  <si>
    <t>LUIS/GABRIEL WEG</t>
  </si>
  <si>
    <t>VISAO -  PARCELAMENTO</t>
  </si>
  <si>
    <t>CANTON E FREITAS - vcto 25/05</t>
  </si>
  <si>
    <t>METADADOS - vcto 25/05</t>
  </si>
  <si>
    <t>VISAO - vcto 25/05</t>
  </si>
  <si>
    <t>RGE - para não cortar</t>
  </si>
  <si>
    <t>MAICON FERREIRA - adiantamento</t>
  </si>
  <si>
    <t>ROGERIO - reembolsar</t>
  </si>
  <si>
    <t>CHAPAS WSUL - Guilherme - 01/04</t>
  </si>
  <si>
    <t>GABRIEL - CARRO CLEBER</t>
  </si>
  <si>
    <t>JUSTINA - 28/05</t>
  </si>
  <si>
    <t>VISATE - 25 CARTOES</t>
  </si>
  <si>
    <t>ASSANE WADE - FGTS</t>
  </si>
  <si>
    <t>REEMBOLSO DALNIR - GENILSON</t>
  </si>
  <si>
    <t>PERINI</t>
  </si>
  <si>
    <t>CENTRAL TELEFONICA</t>
  </si>
  <si>
    <t>MAGNANI - central telefonica</t>
  </si>
  <si>
    <t>LEANDRO GONCALVES</t>
  </si>
  <si>
    <t>VIVO - VCTO 28/05</t>
  </si>
  <si>
    <t>CASAS PAGLIARIN-titulo descontado</t>
  </si>
  <si>
    <t>TIAGO - NF 1585 - Volare - R$ 86.228,00</t>
  </si>
  <si>
    <t>RESTAURANTE ZAPAROLLI - vcto 30/05</t>
  </si>
  <si>
    <t>RGE - VCTO 04/06</t>
  </si>
  <si>
    <t>ROGERIO - PROJETISTA - WSUL - 04/06 - vencido dia 02 - já combinado com ele prorrogacao</t>
  </si>
  <si>
    <t>ZANOL - novo trabalho na plasticos - confirmar valor exato - descontado valor da passagem RJ</t>
  </si>
  <si>
    <t>CASAS PAGLIARIN - VCTO 18/06 - TITULO JÁ PRORROGADO</t>
  </si>
  <si>
    <t>JUSTINA - 04/06</t>
  </si>
  <si>
    <t>CARTEIRA PAULO EDUARDO - 01/02 - dep.paulo eduardo nu banck</t>
  </si>
  <si>
    <t>MISAEL GUIMARAES - LIBRELATO</t>
  </si>
  <si>
    <t>PAULO EDUARDO (salario + uber + dev.comb.Rogerio)</t>
  </si>
  <si>
    <t>VISATE - SMART</t>
  </si>
  <si>
    <t>ADTO BRUNO - devolver para Sr.Paulo</t>
  </si>
  <si>
    <t>PAULO EDURDO</t>
  </si>
  <si>
    <t>VIVO - LUIS</t>
  </si>
  <si>
    <t>SALARIOS COM CHEQUE - FUNC.SEM CONTA</t>
  </si>
  <si>
    <t>ARQUIVO PRODUCAO</t>
  </si>
  <si>
    <t>SALARIOS - saldo</t>
  </si>
  <si>
    <t>LICEIS - vcto 03/06</t>
  </si>
  <si>
    <t>PERINI EQUIPAMENTOS - vcto 26/05</t>
  </si>
  <si>
    <t>LF SILVEIRA - GABRIEL</t>
  </si>
  <si>
    <t>UNO CLEBER - ENTREGUE PARA GABRIEL</t>
  </si>
  <si>
    <t xml:space="preserve">RS GASES - cartorio </t>
  </si>
  <si>
    <t>HOLUS - VCTO 20/06</t>
  </si>
  <si>
    <t>CHAPAS WSUL - Guilherme - 02/05</t>
  </si>
  <si>
    <t xml:space="preserve">CHAPAS WSUL - Guilherme - 04/05 </t>
  </si>
  <si>
    <t xml:space="preserve">CHAPAS WSUL - Guilherme - 05/05 </t>
  </si>
  <si>
    <t>SALARIOS - Operacional Caxias - devolver Andreia (Cabeça) - 01/08</t>
  </si>
  <si>
    <t>SALARIOS - Operacional Caxias - devolver Andreia (Cabeça) - 02/08</t>
  </si>
  <si>
    <t>SALARIOS - Operacional Caxias - devolver Andreia (Cabeça) - 03/08</t>
  </si>
  <si>
    <t>SALARIOS - Operacional Caxias - devolver Andreia (Cabeça) - 04/08</t>
  </si>
  <si>
    <t>GERENCIAL - declaracoes de Luis, Paulo, Rogerio e Rubens - já combinado com Ivone</t>
  </si>
  <si>
    <t>SPADETTO - REEMBOLSAR SR.LUIS</t>
  </si>
  <si>
    <t>PLANO DE SAUDE - já descontado dos funcionarios</t>
  </si>
  <si>
    <t>METADADOS - VCTO 25/06</t>
  </si>
  <si>
    <t>DEPOSITAR SEM FALTA PARA ROSELI BUZZATI - NF 232(estufa - R$ 1.075,00 p/NF)</t>
  </si>
  <si>
    <t xml:space="preserve">GENILSON - MENSAL </t>
  </si>
  <si>
    <t>CELETRO - ZANOL</t>
  </si>
  <si>
    <t>VAN - vcto 10/06 (metade - ja prorrogado)</t>
  </si>
  <si>
    <t>VAN - vcto 10/06 (saldo - ja prorrogado)</t>
  </si>
  <si>
    <t>TIO JOAO - vcto 17/06</t>
  </si>
  <si>
    <t>JUSTINA - 11/06</t>
  </si>
  <si>
    <t>ANA MARIA - em dinheiro (Sindicato)</t>
  </si>
  <si>
    <t>FGTS RESCISORIO LIAMARA + DAIANE + DANILZA</t>
  </si>
  <si>
    <t>DIGISERVE</t>
  </si>
  <si>
    <t>FLAVIO + TROCA AGUA RADIADOR</t>
  </si>
  <si>
    <t>VISATE - 14 CARTOES</t>
  </si>
  <si>
    <t>ZAPA- VCTO 28/05 -  cartorio</t>
  </si>
  <si>
    <t>RS GASES - vcto 11/06</t>
  </si>
  <si>
    <t>KLINSMAN - KIPONTO - vcto 11/06</t>
  </si>
  <si>
    <t>LUCHETTI COM DE GAS E AGUA - vcto 11/06</t>
  </si>
  <si>
    <t xml:space="preserve">DIGISAM </t>
  </si>
  <si>
    <t>DEPOSITAR SEM FALTA PARA ROSELI BUZZATI - NF 224 (estufa - R$ 1.075,00 p/NF) - agendado</t>
  </si>
  <si>
    <t>CRISTINE LANCHES - metade</t>
  </si>
  <si>
    <t>ZAPA - VCTO 28/05 - cartorio</t>
  </si>
  <si>
    <t>MAICO FERREIRA</t>
  </si>
  <si>
    <t>FGTS RESCISORIO MAICO FERREIRA</t>
  </si>
  <si>
    <t>LUAN LUCAS</t>
  </si>
  <si>
    <t>LUAN LUCAS - FGTS RESCISORIO</t>
  </si>
  <si>
    <t>LUIS/GABRIEL</t>
  </si>
  <si>
    <t>LIAMARA WILLE - 11/06</t>
  </si>
  <si>
    <t>DAIANE LEMES - 11/06</t>
  </si>
  <si>
    <t>ADAIR RABAIOLI</t>
  </si>
  <si>
    <t>DE TONI</t>
  </si>
  <si>
    <t>17 PESSOAS</t>
  </si>
  <si>
    <t>CLARO - vcto 20/06 (corte em 14/07)</t>
  </si>
  <si>
    <t>EXTRAS - VOLARE/CIFERAL</t>
  </si>
  <si>
    <t>ALIMENTAR - vcto 27/05 - ultimo prazo - negociado com Camila</t>
  </si>
  <si>
    <t>ARES - rotores - depositar para entrega do material</t>
  </si>
  <si>
    <t xml:space="preserve">MARCIA - LIMPEZA </t>
  </si>
  <si>
    <t>NET - vcto 20/06 (corte em 14/07)</t>
  </si>
  <si>
    <t>MARCELO DOS SANTOS - vcto 18/06 - saldo</t>
  </si>
  <si>
    <t>FLAVIO + reembolsar gastos uno</t>
  </si>
  <si>
    <t>GT3 - vcto 21/06</t>
  </si>
  <si>
    <t>IRPJ</t>
  </si>
  <si>
    <t>EMPRESA UNIAO - LIBRELATO - vcto 17/06 - combinado com Diego pgto em 22/06</t>
  </si>
  <si>
    <t>ISS - PARC.19/60 - vcto 18/06</t>
  </si>
  <si>
    <t>MARCELO DOS SANTOS - metade (vcto 18/06)</t>
  </si>
  <si>
    <t>EXTRAS - LIMPEZA</t>
  </si>
  <si>
    <t>EXTRAS - MECANICA</t>
  </si>
  <si>
    <t>ISSQN</t>
  </si>
  <si>
    <t>IRF S/NOTA FISCAL</t>
  </si>
  <si>
    <t>CSLL S/NOTA FISCAL</t>
  </si>
  <si>
    <t>VOB HOTEL - vcto 17/06</t>
  </si>
  <si>
    <t>MANO MOTORS - GOLD ESTEINER - 02/02 (Luis) - vcto 17/06 combinado com Mano pgto em 24/06</t>
  </si>
  <si>
    <t>MARCARINI TINTAS - 01/02 - vcto 21/06</t>
  </si>
  <si>
    <t>CANTON E FREITAS - vcto 21/06</t>
  </si>
  <si>
    <t>IDENTIFICA - CRACHAS - vcto 21/06</t>
  </si>
  <si>
    <t>ALSCO - vcto 21/06</t>
  </si>
  <si>
    <t>MAJUSEG - 11/06</t>
  </si>
  <si>
    <t>MAJUSEG - 18/06</t>
  </si>
  <si>
    <t>INSS NF REALISE</t>
  </si>
  <si>
    <t>TIAGO - NF 1597 - VOLARE - R$ 42.000,00</t>
  </si>
  <si>
    <t>ZAPA - CARTORIO</t>
  </si>
  <si>
    <t>JOAO VITOR - TREINAMENTO VOLARE - 02/02</t>
  </si>
  <si>
    <t>JOAO VITOR - TREINAMENTO VOLARE - 01/02</t>
  </si>
  <si>
    <t>CONSERTO 03 CELULARES (retirar)</t>
  </si>
  <si>
    <t>ZAPAROLLI - vcto 30/06 - sem falta - já prorrogado</t>
  </si>
  <si>
    <t>GUIA BSP x ITAU</t>
  </si>
  <si>
    <t>REEMBOLSAR LUIS</t>
  </si>
  <si>
    <t>FERRAMENTAS GERAIS - GENILSON</t>
  </si>
  <si>
    <t>REEMBOLSAR LUIS - viagem Gabriel/SC - total 615,80</t>
  </si>
  <si>
    <t>UNO CLEBER - UTILIZADO POR GENILSON</t>
  </si>
  <si>
    <t>FGTS - vcto 07/07</t>
  </si>
  <si>
    <t xml:space="preserve">ZAPA  - vcto 17/06 </t>
  </si>
  <si>
    <t>IZAAC - 03/06 - foi depositado na conta do Joel e ele repassa (conta Nubank não aceitou)</t>
  </si>
  <si>
    <t>EDSON SALAZAR</t>
  </si>
  <si>
    <t>EDUARDA CRISTINE</t>
  </si>
  <si>
    <t>LUCIANO JUNIOR</t>
  </si>
  <si>
    <t>MARCARINI - vcto 25/06</t>
  </si>
  <si>
    <t>EDSON SALAZAR - FGTS RESCISORIO</t>
  </si>
  <si>
    <t>LUCIANO JUNIOR - FGTS RESCISORIO</t>
  </si>
  <si>
    <t>EDUARDA CRISTINE - FGTS RESCISORIO</t>
  </si>
  <si>
    <t xml:space="preserve">LAVOROLAB </t>
  </si>
  <si>
    <t>EMANOEL DE SOUZA</t>
  </si>
  <si>
    <t>GERENCIAL - 2ª parcela do saldo devedor - vcto 28/06</t>
  </si>
  <si>
    <t xml:space="preserve">FERROS CAXIAS </t>
  </si>
  <si>
    <t>ROGERIO - PROJETISTA - WSUL - 06/06 (Já prorrogado - vcto 02/07)</t>
  </si>
  <si>
    <t>CANTINA DELA COLINA - NF 071</t>
  </si>
  <si>
    <t>ROGERIO - REEMBOLSO</t>
  </si>
  <si>
    <t>VOB HOTEL - vcto 30/06 - JÁ PRORROGADO</t>
  </si>
  <si>
    <t>CRISTINE LANCHES - saldo (já prorrogado)</t>
  </si>
  <si>
    <t>MANO MOTORS - UNO CLEBER</t>
  </si>
  <si>
    <t>TEONAS - MENSAL (descontado dias de atestado)</t>
  </si>
  <si>
    <t>INSS - vcto 30/06</t>
  </si>
  <si>
    <t>IRPJ - vcto 30/06</t>
  </si>
  <si>
    <t>KIPONTO - cartao ponto - vcto 30/06</t>
  </si>
  <si>
    <t>FLAVIO (reembolsar 12,00)</t>
  </si>
  <si>
    <t xml:space="preserve">BISTRO LUCAS RAMOS -cheque em 03/06/21 </t>
  </si>
  <si>
    <t>JUSTINA - CHEQUE 01/07</t>
  </si>
  <si>
    <t>MAJUSEG - CHEQUE 01/07</t>
  </si>
  <si>
    <t>CSLL - DEBITO BB (nova guia - debito não ocorreu - pagar ate 30/07)</t>
  </si>
  <si>
    <t>GENILSON - MENSAL (incluido o reembolso de 03 cartoes de 04 passagens)</t>
  </si>
  <si>
    <t>LIRANE - VOLARE</t>
  </si>
  <si>
    <t>ANDRE MARQUES - 01/20</t>
  </si>
  <si>
    <t>ANDRE MARQUES - 02/20</t>
  </si>
  <si>
    <t>ANDRE MARQUES - 04/20</t>
  </si>
  <si>
    <t>ANDRE MARQUES - 05/20</t>
  </si>
  <si>
    <t>ANDRE MARQUES - 06/20</t>
  </si>
  <si>
    <t>SALARIOS - cheques</t>
  </si>
  <si>
    <t>MARCARINI TINTAS - vcto 06/07</t>
  </si>
  <si>
    <t>SAMUEL - CIFERAL - 06/09 - já prorrogado venceu em 06/07</t>
  </si>
  <si>
    <t>ARTHUR - CIFERAL - 06/08 - já prorrogado venceu em 06/07</t>
  </si>
  <si>
    <t>LEONARDO - CIFERAL - 06/14 - já prorrogado venceu em 06/07</t>
  </si>
  <si>
    <t>CLEBER - sacar em dinheiro - já descontado plano de saude (R$ 4.549,00 - R$ 315,00)</t>
  </si>
  <si>
    <t>FLAVIO - combustivel + pedagio (vai levar Lirane ao aeroporto)</t>
  </si>
  <si>
    <t>SALARIOS - depositos</t>
  </si>
  <si>
    <t>VALVULA - POLIMATIQ</t>
  </si>
  <si>
    <t>TEONAS - SALDO MENSAL</t>
  </si>
  <si>
    <t>RESTAURANTE BOM TEMPERO - vcto 17/06 - já prorrogado</t>
  </si>
  <si>
    <t>LUCHETTI</t>
  </si>
  <si>
    <t>FATIMA - plano funcionarios - já descontado</t>
  </si>
  <si>
    <t>FGTS - vcto 07/06/21</t>
  </si>
  <si>
    <t>JUSTINA - CHEQUE 25/06</t>
  </si>
  <si>
    <t>JUSTINA - CHEQUE 09/07</t>
  </si>
  <si>
    <t>VOB HOTEL - vcto 08/07 - sem falta (já prorrogado)</t>
  </si>
  <si>
    <t>MAJUSEG - CHEQUE 08/07</t>
  </si>
  <si>
    <t xml:space="preserve">CELETRO - material comprado por Zanol em 02/07 </t>
  </si>
  <si>
    <t>ARLINDO STRADA - 07/22 - vcto 25/07</t>
  </si>
  <si>
    <t>JAIR DE JESUS - 06/06</t>
  </si>
  <si>
    <t>DIEGO - 11/12 - vcto 26/03</t>
  </si>
  <si>
    <t>DIEGO - 12/12 - vcto 26/04</t>
  </si>
  <si>
    <t xml:space="preserve">TRANSPORTE </t>
  </si>
  <si>
    <t>BOM TEMPERO - vcto 13/06 - já prorrogado</t>
  </si>
  <si>
    <t>REEMBOLSO GABRIEL - abasteceu Uno Cleber</t>
  </si>
  <si>
    <t>MOLAS UNO FLAVIO</t>
  </si>
  <si>
    <t>ARNILDO - UNO FLAVIO - prorrogado</t>
  </si>
  <si>
    <t>ERIVELTO (JOEL) - vcto 16/07 - parcela 01/02</t>
  </si>
  <si>
    <t>ERIVELTO (JOEL) - vcto 16/07 - parcela 02/02</t>
  </si>
  <si>
    <t>LF MAQUINAS - estilete Flavio</t>
  </si>
  <si>
    <t>FUSOPAR - vcto 09/06 - falta boleto (falado com Laura)</t>
  </si>
  <si>
    <t>NATHAN PEREIRA - 04/04 - vcto 14/07 - já prorrogado com Nelci</t>
  </si>
  <si>
    <t>VIVO - vcto 28/06 (corte em 16/07)</t>
  </si>
  <si>
    <t xml:space="preserve">CARTEIRA PAULO EDUARDO - 02/02 </t>
  </si>
  <si>
    <t>FERRAGEM DO TONINHO - DISCO DE CORTE - DEVOLVER P/ PAULO EDUARDO</t>
  </si>
  <si>
    <t>MAJUSEG - CHEQUE 25/06</t>
  </si>
  <si>
    <t>OTICA LAURO - NFs marco e abril</t>
  </si>
  <si>
    <t>PROMED - vcto 15/05 (sem falta, já negociado para não cortar)</t>
  </si>
  <si>
    <t>ACAO ADEMAR - guias</t>
  </si>
  <si>
    <t>SINDIASSEIO - 01/03</t>
  </si>
  <si>
    <t>RGE - vcto 04/08/21</t>
  </si>
  <si>
    <t>CLARO - vcto 20/07 (corte em 13/08)</t>
  </si>
  <si>
    <t>REEMBOLSO ROGERIO PROJETISTA (Dosso e Fusopar)</t>
  </si>
  <si>
    <t>STEDILE - vcto 14/07</t>
  </si>
  <si>
    <t>MARCARINI - vcto 15/07</t>
  </si>
  <si>
    <t>PARCELAMENTO VISAO - vcto 15/07</t>
  </si>
  <si>
    <t>UNIMED - vcto 15/07</t>
  </si>
  <si>
    <t>MICROEMPA - vcto 15/07</t>
  </si>
  <si>
    <t>SAMAE - vcto 16/07</t>
  </si>
  <si>
    <t>ISS - PARC.19/32 - vcto 16/07</t>
  </si>
  <si>
    <t>VAN - metade - vcto 16/07</t>
  </si>
  <si>
    <t>CLEBER - Florense</t>
  </si>
  <si>
    <t>CRISTINE LANCHES - vcto 10/07 (já prorrogado)</t>
  </si>
  <si>
    <t>LIRANE - 01/03</t>
  </si>
  <si>
    <t>ARLINDO STRADA - 08/22 - vcto 25/08</t>
  </si>
  <si>
    <t>LIRANE - 02/03</t>
  </si>
  <si>
    <t>LIRANE - 03/03</t>
  </si>
  <si>
    <t>PROMED - vcto 15/07</t>
  </si>
  <si>
    <t>VOB HOTEL - vcto 15/07 - já prorrogado</t>
  </si>
  <si>
    <t>REST TIO JOAO - vcto 17/07 - já prorrogado</t>
  </si>
  <si>
    <t>RETIRADA ROGERIO - parte</t>
  </si>
  <si>
    <t>RETIRADA ROGERIO - saldo</t>
  </si>
  <si>
    <t>RGE - vcto 05/07 (corte em 30/07)</t>
  </si>
  <si>
    <t>MARCARINI TINTAS - 02/02 - vcto 18/07 - prorrogado com Priscila</t>
  </si>
  <si>
    <t>MAJUSEG - cheque 16/07</t>
  </si>
  <si>
    <t>JUSTINA - boleto</t>
  </si>
  <si>
    <t>RODRIGO GONCALVES - IRMAOS DA FRONTEIRA - vcto 13/07</t>
  </si>
  <si>
    <t>ACORDO PONTO DAS SOLDAS - entrada (PIX 30.383.069/0001-02)</t>
  </si>
  <si>
    <t>GENILSON - MENSAL (parte)</t>
  </si>
  <si>
    <t>GENILSON - MENSAL (saldo)</t>
  </si>
  <si>
    <t xml:space="preserve">CRISTIANO DA CUNHA </t>
  </si>
  <si>
    <t>GT3 - vcto 20/07</t>
  </si>
  <si>
    <t>OLIVEIRA E PERES - vcto 30/01</t>
  </si>
  <si>
    <t>PROMED - vcto 15/07 (negociado para não cortar)</t>
  </si>
  <si>
    <t>RUTIELI VIEIRA - vcto 30/07</t>
  </si>
  <si>
    <t>ISS - PARC.20/60 - vcto 16/07</t>
  </si>
  <si>
    <t>ISS - PARC.20/32 - vcto 16/08</t>
  </si>
  <si>
    <t>ISS - PARC.21/60 - vcto 16/08</t>
  </si>
  <si>
    <t>HOLUS - vcto 20/07</t>
  </si>
  <si>
    <t>ALIMENTAR - NEOBUS - vcto 07/07 - sem falta, já prorrogado por duas vezes</t>
  </si>
  <si>
    <t>DEPOSITAR ROSELI BUZZATI - saldo 03 ultimas notas - 02/02</t>
  </si>
  <si>
    <t>DEPOSITAR ROSELI BUZZATI - saldo 03 ultimas notas - 01/02</t>
  </si>
  <si>
    <t>ROGERIO - PROJETISTA (estufa) - vcto 25/07/21</t>
  </si>
  <si>
    <t>VISAO - parcelamento</t>
  </si>
  <si>
    <t xml:space="preserve">ZAPA - vcto 14/07 </t>
  </si>
  <si>
    <t xml:space="preserve">ZAPA - vcto 16/07 </t>
  </si>
  <si>
    <t>ZAPA (solicitado prorrogacao p/27/07)</t>
  </si>
  <si>
    <t>RESTAURANTE ZAPAROLLI - metade</t>
  </si>
  <si>
    <t>02 CAPS P/ESTUFA</t>
  </si>
  <si>
    <t xml:space="preserve">BISTRO LUCAS RAMOS - vcto 30/06 </t>
  </si>
  <si>
    <t>GUIA CAU/RS - solicitador por Lirane</t>
  </si>
  <si>
    <t>FGTS RESCISORIO JOSE GABRIEL</t>
  </si>
  <si>
    <t>GUIA PROCESSO JOSE MELO</t>
  </si>
  <si>
    <t>JOSE GABRIEL - vcto 26/07</t>
  </si>
  <si>
    <t>EXTRAS - LIMPEZA/MECANICA</t>
  </si>
  <si>
    <t xml:space="preserve">OUTLANDER - LUIS </t>
  </si>
  <si>
    <t>GUIA MATRICULA DE IMOVEIS ATUALIZADA</t>
  </si>
  <si>
    <t>GUINCHOS WEBBER</t>
  </si>
  <si>
    <t>VIDROS - MARINA/RAFAELA</t>
  </si>
  <si>
    <t>MARCELO QUIRINO - 01/06</t>
  </si>
  <si>
    <t>MARCELO QUIRINO - 02/06</t>
  </si>
  <si>
    <t>MARCELO QUIRINO - 03/06</t>
  </si>
  <si>
    <t>MARCELO QUIRINO - 04/06</t>
  </si>
  <si>
    <t>PAULO EDUARDO (R$ 100,00) + REEMBOLSO LIVRARIA (R$ 20,00)</t>
  </si>
  <si>
    <t>05 CARTOES VISATE</t>
  </si>
  <si>
    <t>DIGISAM - vcto 10/05/2021</t>
  </si>
  <si>
    <t>MAJUSEG - boleto</t>
  </si>
  <si>
    <t>M JU - boleto</t>
  </si>
  <si>
    <t>AKRON - cabos internet salas Nelci e Ester - deposito dados nf</t>
  </si>
  <si>
    <t>CONSERTO CELULAR CLEBER</t>
  </si>
  <si>
    <t>SAMUEL - CIFERAL - 07/09 - vcto 05/08</t>
  </si>
  <si>
    <t>ARTHUR - CIFERAL - 07/08 - vcto 05/08</t>
  </si>
  <si>
    <t>LEONARDO - CIFERAL - 07/14 - vcto 05/08</t>
  </si>
  <si>
    <t>CANTINA DELA COLINA - cheque entregue em 27/07</t>
  </si>
  <si>
    <t>MICROEMPA (acordos vencidos em 25/07, 25/08 e 25/09)</t>
  </si>
  <si>
    <t>BOX RAPIDO - parcelas 06 e 07</t>
  </si>
  <si>
    <t>BOX RAPIDO - parcelas 08 e 09</t>
  </si>
  <si>
    <t>BOX RAPIDO - parcela 10 (ultima)</t>
  </si>
  <si>
    <t>VOB HOTEL - vcto 28/07 - já prorrogado</t>
  </si>
  <si>
    <t>VOB HOTEL - vcto 05/08 - já prorrogado</t>
  </si>
  <si>
    <t>ARISTIDES FAGUNDES - 05/07 (vcto 26/02/21) - sem falta prorrogado em julho</t>
  </si>
  <si>
    <t>ARISTIDES FAGUNDES - 06/07 (vcto 26/03/21) - sem falta já prorrogado em agosto</t>
  </si>
  <si>
    <t>ARISTIDES FAGUNDES - 07/07 (vcto 26/04/21)  - sem falta já prorrogado setembro</t>
  </si>
  <si>
    <t>MATHEUS DE SOUZA TEIXEIRA</t>
  </si>
  <si>
    <t>CHAVEIRO CASA DE PEDRA - pagar em dinheiro</t>
  </si>
  <si>
    <t>ARLINDO STRADA - 09/22 - vcto 25/09</t>
  </si>
  <si>
    <t>ARLINDO STRADA - 10/22 - vcto 25/10</t>
  </si>
  <si>
    <t>JOSE MELO - 13/17</t>
  </si>
  <si>
    <t>SIMPLES - 03/60 - previsao</t>
  </si>
  <si>
    <t>SIMPLES - 04/60 - previsao</t>
  </si>
  <si>
    <t>DIGISERVE - vcto 04/08 - prorrogado</t>
  </si>
  <si>
    <t>10 CARTOES</t>
  </si>
  <si>
    <t>18 PESSOAS</t>
  </si>
  <si>
    <t>16 PESSOAS</t>
  </si>
  <si>
    <t>Valores Rafael Scopel</t>
  </si>
  <si>
    <t>Periodo</t>
  </si>
  <si>
    <t>Valor devido</t>
  </si>
  <si>
    <t>Valor pago</t>
  </si>
  <si>
    <t>Janeiro a Junho/20 (mensalidade de R$ 2000,00)</t>
  </si>
  <si>
    <t>Julho a dezembro/20 (mensalidade de R$ 1.500,00)</t>
  </si>
  <si>
    <t>Janeiro a Julho/21 (mensalidade de R$ 1.500,00)</t>
  </si>
  <si>
    <t>Pendente de pgto: R$ 10.000,00</t>
  </si>
  <si>
    <t>PERINI - vcto em 30/07 - prorrogado</t>
  </si>
  <si>
    <t>ZAPA - vcto 03/08 - já prorrogado</t>
  </si>
  <si>
    <t>ZAPA - vcto 05/08 - já prorrogado</t>
  </si>
  <si>
    <t>PAULO EDUARDO + reembolso Fusopar</t>
  </si>
  <si>
    <t>CORPORATIVA TI - mensalidades de maio e outubro</t>
  </si>
  <si>
    <t>CORPORATIVA TI - mensalidades de junho e novembro</t>
  </si>
  <si>
    <t>CORPORATIVA TI - mensalidades de julho e dezembro</t>
  </si>
  <si>
    <t>FGTS RESCISORIO VALTER MUNHOZ</t>
  </si>
  <si>
    <t>OUTLANDER - LUIS - 05/07</t>
  </si>
  <si>
    <t>OUTLANDER - LUIS - 06/07</t>
  </si>
  <si>
    <t>JAQUELINE NASCIMENTO (em dinheiro)</t>
  </si>
  <si>
    <t>EDUARDA CRISTINE - Librelato</t>
  </si>
  <si>
    <t>FABIANE RODRIGUES</t>
  </si>
  <si>
    <t>RUTIELE VIEIRA</t>
  </si>
  <si>
    <t>TONER FINANCEIRO</t>
  </si>
  <si>
    <t>JUROS E DESP BANCARIAS</t>
  </si>
  <si>
    <t>SALARIOS - volare (sem conta)</t>
  </si>
  <si>
    <t>SALARIOS - supervisores e adm</t>
  </si>
  <si>
    <t>ZAPA - vcto 09/08</t>
  </si>
  <si>
    <t>JOEL - CAIXINHA (fazer sem falta - troca pelo salario)</t>
  </si>
  <si>
    <t>VIVO - vcto 28/07 (corte em 17/08)</t>
  </si>
  <si>
    <t xml:space="preserve">NET - vcto 20/07 </t>
  </si>
  <si>
    <t xml:space="preserve">INSS </t>
  </si>
  <si>
    <t>CLARO - vcto 20/08 (corte em 13/09)</t>
  </si>
  <si>
    <t>VIVO - vcto 28/08 (corte em 17/09)</t>
  </si>
  <si>
    <t>RESTAURANTE TIO JOAO - vcto 17/08</t>
  </si>
  <si>
    <t>PLANO DE SAUDE FUNCIONARIOS</t>
  </si>
  <si>
    <t>LUCHETTI - AGUAS</t>
  </si>
  <si>
    <t>VISAO - 01/02 - PESQUISA IBGE</t>
  </si>
  <si>
    <t>DIF SALARIO RAFAEL</t>
  </si>
  <si>
    <t>PENSAO ALIMENTICIA (já avisado)</t>
  </si>
  <si>
    <t>OLIVEIRA E PERES - MATRICULA PAVILHAO</t>
  </si>
  <si>
    <t>M JU - vcto 05/08</t>
  </si>
  <si>
    <t>MAJUSEG - vcto 05/08</t>
  </si>
  <si>
    <t xml:space="preserve">RESTAURANTE ZAPAROLLI - saldo </t>
  </si>
  <si>
    <t>RAFAEL SCOPEL - parte entrada acordo</t>
  </si>
  <si>
    <t>CLEBER - parte (em dinheiro)</t>
  </si>
  <si>
    <t>GENILSON MENEZES</t>
  </si>
  <si>
    <t>MARCIO FERNANDES (depositar na conta do Joel)</t>
  </si>
  <si>
    <t>RAFAEL SCOPEL - saldo entrada (acordo)</t>
  </si>
  <si>
    <t>VAN - parte</t>
  </si>
  <si>
    <t>MARCIO - LIBRELATO (levou em dinheiro)</t>
  </si>
  <si>
    <t>MARCIO - LIBRELATO (gastos RIO/CAXIAS) - deposito</t>
  </si>
  <si>
    <t>FGTS RESCISORIO TIAGO FERNANDES</t>
  </si>
  <si>
    <t>RGE - vcto 06/09</t>
  </si>
  <si>
    <t xml:space="preserve">GENILSON </t>
  </si>
  <si>
    <t>EXTRAS TIAGO (Joel) - demitido</t>
  </si>
  <si>
    <t>MICROEMPA - vcto 15/08</t>
  </si>
  <si>
    <t>HOLUS - vcto 20/08</t>
  </si>
  <si>
    <t>JOEL - CAIXINHA - sem falta (venceu dia 17)</t>
  </si>
  <si>
    <t>UNO (Gabriel vai usar)</t>
  </si>
  <si>
    <t>IRF/CONFINS - NF PROMED</t>
  </si>
  <si>
    <t>M JU - UNIFORMES JOEL - 01/02</t>
  </si>
  <si>
    <t>DIGISAM - vcto 14/07/20 (sem falta)</t>
  </si>
  <si>
    <t>CARTORIO MARCOS - vcto 23/07 - (enviar cheque)</t>
  </si>
  <si>
    <t>BISTRO LUCAS RAMOS - vcto 03/08 - já prorrogado - cheque</t>
  </si>
  <si>
    <t>PROMED - VCTO 15/06  (negociado para não cortar) - cheque</t>
  </si>
  <si>
    <t>ALEXANDRE DE VASCONCELOS</t>
  </si>
  <si>
    <t>ACORDO PONTO DAS SOLDAS - 1.PARCELA (PIX 30.383.069/0001-02)</t>
  </si>
  <si>
    <t>ACORDO PONTO DAS SOLDAS - PARCELA FINAL (PIX 30.383.069/0001-02)</t>
  </si>
  <si>
    <t>ERZINGER - ES</t>
  </si>
  <si>
    <t>FGTS RESCISORIO ROGER</t>
  </si>
  <si>
    <t>FGTS RESCISORIO MAICON</t>
  </si>
  <si>
    <t>ZAPA - vcto 17/08 - sem falta - boleto já prorrogado</t>
  </si>
  <si>
    <t>ZAPA - vcto 19/08 - sem falta - boleto já prorrogado</t>
  </si>
  <si>
    <t>ROGER VENANCIO - LIBRELATO</t>
  </si>
  <si>
    <t>BT5 - VALVULA E TAMPAO LAVAJATO CLEBER</t>
  </si>
  <si>
    <t xml:space="preserve">MONEO - 07/18 (saldo vcto 15/07) </t>
  </si>
  <si>
    <t>FGTS - VCTO 07/08 - pagar ate o dia 25</t>
  </si>
  <si>
    <t>ATANAIR - 09/10 - segura somente ate quarta dia 25</t>
  </si>
  <si>
    <t>JUSTINA - vcto 20/08 - pagar sem falta</t>
  </si>
  <si>
    <t>RAMON - 04/04 - vcto 23/08</t>
  </si>
  <si>
    <t>RENOVAR</t>
  </si>
  <si>
    <t>ZAPAROLI - vcto 30/08 - parcelado em 3 vezes (01/03)</t>
  </si>
  <si>
    <t>ZAPAROLI - vcto 30/08 - parcelado em 3 vezes (02/03)</t>
  </si>
  <si>
    <t>OUTLANDER - LUIS - 02/07 - ultimo vcto 13/09</t>
  </si>
  <si>
    <t xml:space="preserve">MAICON DE PAULA </t>
  </si>
  <si>
    <t>UNIMED - vcto 15/08 (cartorio)</t>
  </si>
  <si>
    <t>SAMUEL - CIFERAL - 08/09 - vcto 05/09</t>
  </si>
  <si>
    <t>ARTHUR - CIFERAL - 08/08 - vcto 05/09</t>
  </si>
  <si>
    <t>LEONARDO - CIFERAL - 08/14 - vcto 05/09</t>
  </si>
  <si>
    <t>MARMITAS LIBRELATO</t>
  </si>
  <si>
    <t>VISAO - PARCELAMENTO</t>
  </si>
  <si>
    <t>BISTRO LUCAS RAMOS - vcto 02/09 - já prorrogado</t>
  </si>
  <si>
    <t xml:space="preserve">JUSTINA - vcto 29/08 </t>
  </si>
  <si>
    <t>VIVO - LUIS - vcto 26/08</t>
  </si>
  <si>
    <t>22 PESSOAS x 120,00</t>
  </si>
  <si>
    <t>EXTRAS VOLARE - agosto - metade</t>
  </si>
  <si>
    <t>EXTRAS VOLARE - agosto - saldo</t>
  </si>
  <si>
    <t>IZAAC - EMAIL JOEL - 04/06 - vcto 10/12/20 - sem falta já negociado varias vezes</t>
  </si>
  <si>
    <t>IZAAC - EMAIL JOEL - 06/06 - vcto 10/01/21 - não aceita mais renegociar</t>
  </si>
  <si>
    <t>FGTS RESCISORIO ALISSON FRANCISCONI - LIBRELATO</t>
  </si>
  <si>
    <t>ALIMENTAR - PARCELA 02/02</t>
  </si>
  <si>
    <t>LICEIS SUPRIMENTOS - vcto 26/08</t>
  </si>
  <si>
    <t>MANO MOTORS - UNO CLEBER - vcto 07/08 - já prorrogado duas vezes</t>
  </si>
  <si>
    <t>ROTEIROS DO SUL - vcto 18/08 - sem falta - prorrogado 2 vezes</t>
  </si>
  <si>
    <t>VAN - saldo - pagar em cheque</t>
  </si>
  <si>
    <t>DIGISERVE - 03/03</t>
  </si>
  <si>
    <t>GT3 - vcto 20/08 - prazo maximo (Iracema)</t>
  </si>
  <si>
    <t>SINDIASSEIO - 02/03 - vcto 28/08 - pedir para Joana novo boleto</t>
  </si>
  <si>
    <t>KARINE BARBIERI - vcto 26/08</t>
  </si>
  <si>
    <t>IRPJ - vcto 31/08</t>
  </si>
  <si>
    <t>INSS - vcto 31/08</t>
  </si>
  <si>
    <t>KIPONTO</t>
  </si>
  <si>
    <t xml:space="preserve"> STEDILE</t>
  </si>
  <si>
    <t>VOB HOTEL - vcto 03/09 - já prorrogado</t>
  </si>
  <si>
    <t>VOB HOTEL - vcto 09/09 - já prorrogado</t>
  </si>
  <si>
    <t>GERENCIAL - 3ªparcela do saldo devedor - vcto 17/08</t>
  </si>
  <si>
    <t>GERENCIAL - 4ªparcela do saldo devedor - vcto 17/09</t>
  </si>
  <si>
    <t>CHEQUE ESPECIAL RENOVAR</t>
  </si>
  <si>
    <t>INGRIDI MACIEL DOS SANTOS</t>
  </si>
  <si>
    <t>DANIEL TEIXEIRA - LIBRELATO</t>
  </si>
  <si>
    <t>MARCARINI - vcto 06/09 - já prorrogado</t>
  </si>
  <si>
    <t>JUSTINA - vcto 06/09 - já prorrogado</t>
  </si>
  <si>
    <t>COMPUTADOR e TONNER IMPRESSORA - LIBRELATO</t>
  </si>
  <si>
    <t>ARQUIVO - parte</t>
  </si>
  <si>
    <t>SALARIOS - CHEQUES</t>
  </si>
  <si>
    <t>UNO CLEBER</t>
  </si>
  <si>
    <t>FERRAGEM IMPERIO - vcto 04/09</t>
  </si>
  <si>
    <t xml:space="preserve">JUROS E DESP BANCARIAS </t>
  </si>
  <si>
    <t>ROTEIROS DO SUL - vcto 17/09 - já prorrogado</t>
  </si>
  <si>
    <t>HOLUS - mês</t>
  </si>
  <si>
    <t xml:space="preserve">SALARIOS - ARQUIVO </t>
  </si>
  <si>
    <t>GEAN e IGOR (VOLARE)</t>
  </si>
  <si>
    <t>DIFERENCA UNIMED</t>
  </si>
  <si>
    <t>MAJUSEG - vcto 03/09 - já prorrogado</t>
  </si>
  <si>
    <t>M JU - vcto 03/09 - já prorrogado</t>
  </si>
  <si>
    <t>FGTS (combinado com Geise, não atrasar)</t>
  </si>
  <si>
    <t>MONEO - parte</t>
  </si>
  <si>
    <t>CABEÇA</t>
  </si>
  <si>
    <t>EMPRESTIMO FOLHA BB - 09/30 e 10/30</t>
  </si>
  <si>
    <t>SALARIOS - VOLARE</t>
  </si>
  <si>
    <t>ALISSON FRANCISCONI - LIBRELATO - 25/08</t>
  </si>
  <si>
    <t>SALARIOS - secretaria Joel</t>
  </si>
  <si>
    <t>LUCHETI COM DE AGUA - vcto 10/09</t>
  </si>
  <si>
    <t>GABRIEL - PARTE (vcto 01/10/21)</t>
  </si>
  <si>
    <t>GABRIEL - saldo (01/10/21)</t>
  </si>
  <si>
    <t>PAULO EDUARDO + reembolso NF Polimeros Sul - almocos paulo e ester</t>
  </si>
  <si>
    <t>NET - vcto 20/08 (corte em 13/09)</t>
  </si>
  <si>
    <t>JOEL - CIFERAL</t>
  </si>
  <si>
    <t>LAVOROLAB - vcto 10/09</t>
  </si>
  <si>
    <t>BOM TEMPERO - VOLARE - 02/02 (vcto 26/08)</t>
  </si>
  <si>
    <t>RAFAEL SCARSI</t>
  </si>
  <si>
    <t>RAFAEL SCARSI - FGTS RESCISORIO</t>
  </si>
  <si>
    <t>ADMIN - PARCIAL</t>
  </si>
  <si>
    <t>INFOCALL - vcto 10/08</t>
  </si>
  <si>
    <t>MARCIO - despesas</t>
  </si>
  <si>
    <t>MARCIO - viagem RJ - dias 23 a 28/09 (depositar cfe solicitar)</t>
  </si>
  <si>
    <t>VISAO - parte processo parcelamento</t>
  </si>
  <si>
    <t>ZAGALO LORMOND</t>
  </si>
  <si>
    <t>WATSON SAINTILUS</t>
  </si>
  <si>
    <t>ALUGAMAQ - vcto 12/07</t>
  </si>
  <si>
    <t>NET - vcto 20/09 (corte em 13/10)</t>
  </si>
  <si>
    <t xml:space="preserve">FGTS RESCISORIO </t>
  </si>
  <si>
    <t>ENTRADA PGFN</t>
  </si>
  <si>
    <t>MONEO - vcto 15/08 - parte</t>
  </si>
  <si>
    <t>MICROEMPA - vcto 15/09</t>
  </si>
  <si>
    <t xml:space="preserve">SIMPLES - 01/60 </t>
  </si>
  <si>
    <t>JOEL - CAIXINHA CIFERAL</t>
  </si>
  <si>
    <t>JOEL - CAIXINHA VOLARE</t>
  </si>
  <si>
    <t>GABRIEL - combinado com ele</t>
  </si>
  <si>
    <t>REST TIO JOAO - vcto 17/09</t>
  </si>
  <si>
    <t>PAOLA GOMES CAMINHA - vcto 09/09/21 - saldo</t>
  </si>
  <si>
    <t>PAOLA GOMES CAMINHA - vcto 09/09/21 - parte</t>
  </si>
  <si>
    <t>RGE - vcto 04/10/21</t>
  </si>
  <si>
    <t>OUTLANDER - LUIS - 03/07 - ultimo prazo</t>
  </si>
  <si>
    <t>SAMUEL - CIFERAL - 09/09 - vcto 05/10</t>
  </si>
  <si>
    <t>LEONARDO - CIFERAL - 09/14 - vcto 05/10</t>
  </si>
  <si>
    <t>FGTS - vcto 07/10</t>
  </si>
  <si>
    <t>ISS - PARC.23/32 - mês</t>
  </si>
  <si>
    <t>ISS - PARC.24/60 - mês</t>
  </si>
  <si>
    <t>ISS - PARC.21/32 - vcto 16/09</t>
  </si>
  <si>
    <t>ISS - PARC.22/60 - vcto 16/09</t>
  </si>
  <si>
    <t>ISS - PARC.24/32 - mês</t>
  </si>
  <si>
    <t>ISS - PARC.25/60 - mes</t>
  </si>
  <si>
    <t>JOEL - parte</t>
  </si>
  <si>
    <t>TAXA CERTIDAO JUNTA COML - WEG</t>
  </si>
  <si>
    <t>FLAVIO/CLEBER/NELCI/FABIANA- saldo final</t>
  </si>
  <si>
    <t>HOLUS - vcto 20/09</t>
  </si>
  <si>
    <t>REEMBOLSAR AIRMAX - GUIA OLIVEIRA E PERES</t>
  </si>
  <si>
    <t>CANTON E FREITAS - vcto 16/08 - já prorrogado</t>
  </si>
  <si>
    <t>GT3 - vcto 20/09 - já prorrogado</t>
  </si>
  <si>
    <t>CARRO MARCIO - entrada (em dinheiro Paulo Eduardo)</t>
  </si>
  <si>
    <t>CANTINA DELA COLINA - vcto agosto</t>
  </si>
  <si>
    <t>CANTINA DELA COLINA - vcto julho</t>
  </si>
  <si>
    <t>VAN -04/04</t>
  </si>
  <si>
    <t>VAN -01/04</t>
  </si>
  <si>
    <t>LF SILVEIRA - vcto 17/09</t>
  </si>
  <si>
    <t>BOM TEMPERO - VOLARE - 02/02 - vcto 23/08 (já prorrogado)</t>
  </si>
  <si>
    <t xml:space="preserve">DARF RETENCAO NF </t>
  </si>
  <si>
    <t>MAJUSEG - vcto 17/09 - já prorrogado</t>
  </si>
  <si>
    <t xml:space="preserve">VERA KARLING - 12/17 </t>
  </si>
  <si>
    <t>ZAPAROLI - vcto 30/08 - parcelado em 3vezes (03/03)</t>
  </si>
  <si>
    <t>FATIMA - plano de saude funcionarios - já descontado - vcto 20/09</t>
  </si>
  <si>
    <t>ALSCO - vcto 20/09</t>
  </si>
  <si>
    <t>IZAAC - EMAIL JOEL - 05/06 - vcto 10/01/21 - não aceita mais renegociar</t>
  </si>
  <si>
    <t>ACORDO PONTO DAS SOLDAS - 2.PARCELA (PIX 30.383.069/0001-02) - 20/09</t>
  </si>
  <si>
    <t>CITY HOTEL - hospedagem Marcio - 30/08 a 03/09</t>
  </si>
  <si>
    <t>ANDRE MARQUES - 03/20 - vcto 20/09 - AGUARDA SOMENTE ATE 24/09</t>
  </si>
  <si>
    <t>EDMILSON - CIFERAL - 01/02</t>
  </si>
  <si>
    <t xml:space="preserve">EDMILSON - CIFERAL - 02/02 </t>
  </si>
  <si>
    <t>ATANAIR - 10/10 - vcto 21/09 - espera somente ate sexta, 24</t>
  </si>
  <si>
    <t>GUIA OLIVEIRA E PERES</t>
  </si>
  <si>
    <t>RONI GUEDES - sem falta - vencida em 24/09</t>
  </si>
  <si>
    <t>DIGISAM - 14/06/20</t>
  </si>
  <si>
    <t>DIGISAM - vcto 14/07/20</t>
  </si>
  <si>
    <t>PONTO DAS SOLDAS - vcto 21/09 - pagar sem falta Ciferal - aguarda ate 27/09</t>
  </si>
  <si>
    <t>UNIMED - vcto 15/09 - sem falta - cartorio</t>
  </si>
  <si>
    <t>VAN - sem falta recebeu somente 1.000,00</t>
  </si>
  <si>
    <t>CELETRO - ZANOL - vcto 19/07 - já prorrogado duas vezes</t>
  </si>
  <si>
    <t xml:space="preserve">EPI </t>
  </si>
  <si>
    <t>BISTRO LUCAS RAMOS</t>
  </si>
  <si>
    <t>DIGISERVE - 01/03 - vcto 08/09 - já prorrogado duas vezes</t>
  </si>
  <si>
    <t>MAJUSEG - vcto 24/09</t>
  </si>
  <si>
    <t>DIF FGTS</t>
  </si>
  <si>
    <t xml:space="preserve">JOLD ESTEINER - TROCA DE OLEO - OUTLANDER LUIS </t>
  </si>
  <si>
    <t>REEMBOLSO DALNIR - CERTIFICADO DIGITAL</t>
  </si>
  <si>
    <t>ANTONIO FRANCISCO - ultima</t>
  </si>
  <si>
    <t>MARCIO</t>
  </si>
  <si>
    <t>INSS - vcto 30/09</t>
  </si>
  <si>
    <t>IRPJ - vcto 30/09</t>
  </si>
  <si>
    <t>JUSTINA - vcto 17/09</t>
  </si>
  <si>
    <t>HOLLAS BATERIAS - UNO FLAVIO - vcto 07/09 - já prorrogado</t>
  </si>
  <si>
    <t>ALIMENTAR - PARCELA 01/02</t>
  </si>
  <si>
    <t>PERINI - vcto 17/09</t>
  </si>
  <si>
    <t>VOB HOTEL - vcto 17/09 - já prorrogado</t>
  </si>
  <si>
    <t>RODRIGO CARDOSO - IRMAOS DA FRONTEIRA - vcto 11/09</t>
  </si>
  <si>
    <t>JUSTINA - vcto 19/09 - já prorrogado</t>
  </si>
  <si>
    <t xml:space="preserve">ALUGUEL </t>
  </si>
  <si>
    <t>VISATE- 20 cartoes</t>
  </si>
  <si>
    <t>THIAGO TABORDA CUNHA - fazer cheque com data de 30/08</t>
  </si>
  <si>
    <t>TAXA DE LICENCA PREFEITURA</t>
  </si>
  <si>
    <t>DIFERENCA MARCIO</t>
  </si>
  <si>
    <t>MARCIO (ultimo)</t>
  </si>
  <si>
    <t>REEMBOLSO MARCIO - em 30/09</t>
  </si>
  <si>
    <t>LF SILVEIRA - FLAVIO</t>
  </si>
  <si>
    <t xml:space="preserve">PERINI </t>
  </si>
  <si>
    <t>CASAS PAGLIARIN - VCTO 18/07 - sem falta cartorio</t>
  </si>
  <si>
    <t>CASAS PAGLIARIN - VCTO 18/08 - sem falta cartorio</t>
  </si>
  <si>
    <t>OLIVEIRA E PERES - parte</t>
  </si>
  <si>
    <t>TYJAUSA/ALUGAMAQ - vcto 17/09 - já prorrogado</t>
  </si>
  <si>
    <t>SR RUBENS - REEMBOLSAR</t>
  </si>
  <si>
    <t>JUNTA COML - livro diario - Visao</t>
  </si>
  <si>
    <t>JUSTINA - vcto 03/10</t>
  </si>
  <si>
    <t>MAJUSEG - vcto 04/10</t>
  </si>
  <si>
    <t>TECNOFAST</t>
  </si>
  <si>
    <t xml:space="preserve">SALARIOS - arquivo </t>
  </si>
  <si>
    <t>BAR E REST TIO JOAO - vcto 18/10/21</t>
  </si>
  <si>
    <t xml:space="preserve">M JU </t>
  </si>
  <si>
    <t>CANTON E FREITAS - vcto 22/09 + mês</t>
  </si>
  <si>
    <t>JOEL - saldo</t>
  </si>
  <si>
    <t>CLEBER MELLO - vcto 01/11 - não tem salario</t>
  </si>
  <si>
    <t>JOEL - CAIXINHA - 01/03</t>
  </si>
  <si>
    <t>JOEL - CAIXINHA - 02/03</t>
  </si>
  <si>
    <t>SOLICITACAO MARCIO</t>
  </si>
  <si>
    <t>PROMED - VCTO 15/09 (enviar cheque)</t>
  </si>
  <si>
    <t>PROMED - vcto 15/08 - enviar cheque</t>
  </si>
  <si>
    <t>PROMED - vcto 15/11 (enviar cheque)</t>
  </si>
  <si>
    <t>M JU - vcto 05/10</t>
  </si>
  <si>
    <t>GENILSON - 01/17</t>
  </si>
  <si>
    <t>GENILSON - 02/17</t>
  </si>
  <si>
    <t>GENILSON - 03/17</t>
  </si>
  <si>
    <t>OLIMPIA</t>
  </si>
  <si>
    <t>BRUNO DE SOUZA - 01/04</t>
  </si>
  <si>
    <t>BRUNO DE SOUZA - 02/04</t>
  </si>
  <si>
    <t>BRUNO DE SOUZA - 03/04</t>
  </si>
  <si>
    <t>SALARIOS - LIRANE e GUSTAVO (seguranca)</t>
  </si>
  <si>
    <t>VOB HOTEL - vcto 04/10 - já prorrogado (ultimo prazo antes do cartorio)</t>
  </si>
  <si>
    <t>JUSTINA - vcto dia 10/10</t>
  </si>
  <si>
    <t>BENOIT VINCET - vcto 08/10</t>
  </si>
  <si>
    <t>DIGISERVE - 02/03 - vcto 18/08</t>
  </si>
  <si>
    <t>LUCINARA BENITES - SINDICATO</t>
  </si>
  <si>
    <t>ZAPAROLLI - PARTE (vcto 30/09) - não atende se não pagar</t>
  </si>
  <si>
    <t>VISAO - vcto 08/10 - ultima parcela ref parc.simples</t>
  </si>
  <si>
    <t>MICROEMPA - vcto 15/10</t>
  </si>
  <si>
    <t>ANTONIO FRANCISCO - 01/05</t>
  </si>
  <si>
    <t>ANTONIO FRANCISCO - 02/05</t>
  </si>
  <si>
    <t>ANTONIO FRANCISCO - 03/05</t>
  </si>
  <si>
    <t>TEONAS - 01/10</t>
  </si>
  <si>
    <t>TEONAS - 02/10</t>
  </si>
  <si>
    <t>TEONAS - 03/10</t>
  </si>
  <si>
    <t>FABIANA SANTOS RODRIGUES</t>
  </si>
  <si>
    <t>GUIA SINDICATO - agendado</t>
  </si>
  <si>
    <t>PAGLIARIN - vcto 18/10</t>
  </si>
  <si>
    <t>MARCIO - 20 MASCARAS</t>
  </si>
  <si>
    <t>CLARO - vcto 20/09 (corte em 14/10)</t>
  </si>
  <si>
    <t>CITY HOTEL - MARCIO</t>
  </si>
  <si>
    <t>SALARIOS - Antonio/ Volare - parte</t>
  </si>
  <si>
    <t>CHEQUES SALARIOS</t>
  </si>
  <si>
    <t>CREA - HOLUS</t>
  </si>
  <si>
    <t>ADAILSON DAMASCENO - FGTS RESCISORIO</t>
  </si>
  <si>
    <t>ROBERTO CABRAL - 01/02</t>
  </si>
  <si>
    <t>ROBERTO CABRAL - 02/02</t>
  </si>
  <si>
    <t>SALARIOS - Flavio/Nelci/Fabiana</t>
  </si>
  <si>
    <t>SALARIOS - Antonio (saldo)/Cristine/Romildo/Jose Luis/Joel (parte) - Volare</t>
  </si>
  <si>
    <t>LUCHETTI COM DE GAS - vcto 11/10</t>
  </si>
  <si>
    <t>VISAO - 02/02 - PESQUISA IBGE - vcto 11/10</t>
  </si>
  <si>
    <t>ESTER</t>
  </si>
  <si>
    <t>VISATE - CARTAO ROBERTO CABRAL</t>
  </si>
  <si>
    <t>VISATE - 05 CARTOES</t>
  </si>
  <si>
    <t>ADAILSON DAMASCENO - vcto 15/10</t>
  </si>
  <si>
    <t>OUTLANDER - LUIS - 04/07 - ultima data</t>
  </si>
  <si>
    <t>DIFERENCA MARCIO - vcto 20/09/21 - saldo</t>
  </si>
  <si>
    <t>DIFERENCA MARCIO - vcto 20/09/21 - parte</t>
  </si>
  <si>
    <t>COM DE EQUIP ZAPA</t>
  </si>
  <si>
    <t>VOB HOTEL - vcto 13/09</t>
  </si>
  <si>
    <t>HOLUS - 20/10/21</t>
  </si>
  <si>
    <t>ROGERIO - 01/07 - ultimo prazo</t>
  </si>
  <si>
    <t>ANGELICA ALVANOZ - vcto 21/10</t>
  </si>
  <si>
    <t>PLANO FUNCIONARIOS - já descontado (vencido em 18/10)</t>
  </si>
  <si>
    <t>MARCIA PAIM - (vcto 24/09)</t>
  </si>
  <si>
    <t>VOB HOTEL - vcto 22/10</t>
  </si>
  <si>
    <t>VOB HOTEL - vcto 30/09 - já prorrogado duas vezes</t>
  </si>
  <si>
    <t>VOB HOTEL - vcto 20/10</t>
  </si>
  <si>
    <t>ISS - PARC.22/32 - vcto 18/10</t>
  </si>
  <si>
    <t>ISS - PARC.23/60 - vcto 18/10</t>
  </si>
  <si>
    <t>INSS - vcto 20/10</t>
  </si>
  <si>
    <t>WEG - previsao</t>
  </si>
  <si>
    <t>GT3 - vcto 20/10</t>
  </si>
  <si>
    <t>ROTEIROS DO SUL - LIBRELATO - vcto 20/10</t>
  </si>
  <si>
    <t>MONEO - vcto 15/08 - saldo</t>
  </si>
  <si>
    <t>MONEO - 15/09</t>
  </si>
  <si>
    <t>MONEO - 15/10</t>
  </si>
  <si>
    <t>M JU - vcto 13/10 (prorrogado duas vezes)</t>
  </si>
  <si>
    <t>M JU - vcto 18/10</t>
  </si>
  <si>
    <t>MAJUSEG - vcto 18/10</t>
  </si>
  <si>
    <t>VISAO - PARCELAMENTO - vcto 18/10</t>
  </si>
  <si>
    <t>MAJUSEG - sem falta - vai protestar</t>
  </si>
  <si>
    <t>M JU  - sem falta - vai protestar</t>
  </si>
  <si>
    <t>MAJUSEG  - sem falta - vai protestar</t>
  </si>
  <si>
    <t>SINDIASSEIO - 03/03 - 30/09 (pedir para Joana novo boleto)</t>
  </si>
  <si>
    <t>JUSTINA - vcto 27/10</t>
  </si>
  <si>
    <t>SALARIOS - Joel-saldo</t>
  </si>
  <si>
    <t>METADADOS - vcto 25/09 + mensalidade</t>
  </si>
  <si>
    <t>METADADOS - vcto 25/07 + 25/08</t>
  </si>
  <si>
    <t>ALUISIO COSTA SALES - vcto 15/10 - metade</t>
  </si>
  <si>
    <t>ALUISIO COSTA SALES - vcto 15/10 - saldo</t>
  </si>
  <si>
    <t>IRF NF PROSALUTE</t>
  </si>
  <si>
    <t>FLAVIO/CLEBER</t>
  </si>
  <si>
    <t>MENSAL SINDIASSEIO (desc funcionario)</t>
  </si>
  <si>
    <t>KARINE BARBIERI - LIBRELATO (vcto 22/10)</t>
  </si>
  <si>
    <t>ZAPAROLLI - parte</t>
  </si>
  <si>
    <t>ZAPAROLLI - saldo</t>
  </si>
  <si>
    <t>FGTS - KARINE BARBIERI</t>
  </si>
  <si>
    <t>EXTRAS EDMILSON - metade</t>
  </si>
  <si>
    <t>EXTRAS VOLARE - setembro (confirmar se Edmilson esta no valor)</t>
  </si>
  <si>
    <t>ATANAIR LOPES - ADVOGADO</t>
  </si>
  <si>
    <t>SALARIOS - Gabriel (metade)</t>
  </si>
  <si>
    <t>SALARIOS - Gabriel (saldo)</t>
  </si>
  <si>
    <t>JEAN CHARLES</t>
  </si>
  <si>
    <t>JEAN CHARLES - FGTS RESCISORIO</t>
  </si>
  <si>
    <t>DIFERENCA MARCIO -20/10</t>
  </si>
  <si>
    <t>CLARO - vcto 20/10/21 (corte em 13/11)</t>
  </si>
  <si>
    <t>RAFAEL SCOPEL (combinado com Sr.Luis)</t>
  </si>
  <si>
    <t>DEVOLUCAO ANDREIA/OLIMPIA</t>
  </si>
  <si>
    <t>SIMPLES - 02/60 - vcto 29/10</t>
  </si>
  <si>
    <t>HOSPEDAGEM TRIMESTRAL - CORPORTATIVA TI - vcto 18/10</t>
  </si>
  <si>
    <t>ALSCO - vcto 22/10</t>
  </si>
  <si>
    <t>DIFERENCA UNIMED - vcto 22/10</t>
  </si>
  <si>
    <t>RGE - vcto 04/11</t>
  </si>
  <si>
    <t>LEONARDO - CIFERAL - 10/14 - vcto 05/11</t>
  </si>
  <si>
    <t>FGTS - previsao</t>
  </si>
  <si>
    <t>LUANA DOS REIS - vcto 29/10 - cheque ainda não entregue</t>
  </si>
  <si>
    <t>NET - vcto 20/10/21</t>
  </si>
  <si>
    <t>UNIMED - vcto 15/10 - REEMBOLSAR SR.RUBENS</t>
  </si>
  <si>
    <t>GT3</t>
  </si>
  <si>
    <t xml:space="preserve">FGTS </t>
  </si>
  <si>
    <t>EMANUEL PF</t>
  </si>
  <si>
    <t>JOEL - CAIXINHA - 03/03 PARTE</t>
  </si>
  <si>
    <t>MARCIO - EPI/COMBUSTIVEL</t>
  </si>
  <si>
    <t>BONUS (Librelato)</t>
  </si>
  <si>
    <t>BONUS (Caxias)</t>
  </si>
  <si>
    <t>EXTRAS EDMILSON - Volare - saldo</t>
  </si>
  <si>
    <t xml:space="preserve">ROSANGELA PEDRO - Librelato - vcto 19/10 </t>
  </si>
  <si>
    <t>ZAPAROLLI - vcto 01/11</t>
  </si>
  <si>
    <t>JUSTINA - falta boleto</t>
  </si>
  <si>
    <t>UNIAO - 01/04 (vcto 15/07 - já renegociado diversas vezes)</t>
  </si>
  <si>
    <t>UNIAO - 02/04 (vcto 15/07 - já renegociado diversas vezes)</t>
  </si>
  <si>
    <t>ALUGAMAQ - 30/09 - já prorrogado tres vezes</t>
  </si>
  <si>
    <t>BOM TEMPERO - VOLARE - vcto 20/10/21</t>
  </si>
  <si>
    <t>FGTS - vcto 07/11</t>
  </si>
  <si>
    <t>ROTEIROS DO SUL - LIBRELATO</t>
  </si>
  <si>
    <t>DIGISAM</t>
  </si>
  <si>
    <t>PAGLIARIN</t>
  </si>
  <si>
    <t>UNIMED - DIFERENCA</t>
  </si>
  <si>
    <t>BISTRO LUCAS RAMOS - vcto 29/10</t>
  </si>
  <si>
    <t>BONUS - ver relacao com Nelci</t>
  </si>
  <si>
    <t>CAIXINHA MARCIO</t>
  </si>
  <si>
    <t>GEAN / IGOR - VOLARE (aguardar autorizacao Joel)</t>
  </si>
  <si>
    <t>Bar Rest Tio Joao</t>
  </si>
  <si>
    <t xml:space="preserve">METADADOS </t>
  </si>
  <si>
    <t>LUCHETTI GAS</t>
  </si>
  <si>
    <t>Distribuição de lucros</t>
  </si>
  <si>
    <t>Empresa 1</t>
  </si>
  <si>
    <t>SALARIOS Empresa 1</t>
  </si>
  <si>
    <t>CORPORATIVA TI - DOMINIO Empresa 1 - vcto 30/12</t>
  </si>
  <si>
    <t>MARCIA - CHEQUE Empresa 1</t>
  </si>
  <si>
    <t>RUTIELE - CHEQUE Empresa 1</t>
  </si>
  <si>
    <t>ADAIR - CHEQUE Empresa 1</t>
  </si>
  <si>
    <t>SANDRO - CHEQUE Empresa 1</t>
  </si>
  <si>
    <t>MAJUSEG - CHEQUE Empresa 1</t>
  </si>
  <si>
    <t>VOLARE/CIFERAL - depositado pela Empresa 1</t>
  </si>
  <si>
    <t>CERTIFICADO DIGITAL - emissao de notas Empresa 1</t>
  </si>
  <si>
    <t>GERENCIAL/BSP - VCTO 21/12/20 - cheque Empresa 1</t>
  </si>
  <si>
    <t>NIC.BR - DOMINIO Empresa 1</t>
  </si>
  <si>
    <t>Distribuição de Lucros</t>
  </si>
  <si>
    <t>Empresa 2</t>
  </si>
  <si>
    <t>TEONAS - POUSADA E ALIMENTACAO Empresa 2A</t>
  </si>
  <si>
    <t>MARCIA - 02 Empresa 2AS</t>
  </si>
  <si>
    <t>MARCIA - LIMPEZA - (20,00 Empresa 2a anterior + 70,00)</t>
  </si>
  <si>
    <t>CORPORATIVA TI - DOMINIO Empresa 2 - vcto 30/12</t>
  </si>
  <si>
    <t>JUSTINA - cheque Empresa 2</t>
  </si>
  <si>
    <t>VISATE - 40 CARTOES - cheque Empresa 2</t>
  </si>
  <si>
    <t>MARCIA - LIMPEZA - DUAS Empresa 2AS</t>
  </si>
  <si>
    <t>DANICA - saldo dep.ate dia 14/05 - não aprovou balanço da Empresa 2, somente a vista</t>
  </si>
  <si>
    <t>CERTIFICADO DIGITAL - emissao de notas Empresa 2</t>
  </si>
  <si>
    <t>MARCIA - LIMPEZA - 2 Empresa 2AS</t>
  </si>
  <si>
    <t>CORPORATIVA TI - dominio (Empresa 2 e Empresa 1) - sem falta</t>
  </si>
  <si>
    <t>NIC.BR - DOMINIO Empresa 2</t>
  </si>
  <si>
    <t>MARLO - CIFERAL (pagar qdo receber a nota de R$ 8.360,00 - servico não foi feito pela Empresa 2)</t>
  </si>
  <si>
    <t>FLAVIO (viagem Empresa 2a + reembolso ultima - R$ 43,00 + 60,00 pix juliano + 10,00 chip)</t>
  </si>
  <si>
    <t>LIMPEZA MARCIA - 02 Empresa 2AS</t>
  </si>
  <si>
    <t>M JU - UNIFORMES JOEL - 02/02 - vcto 21/09 (pagar para liberar pedido Empresa 2a)</t>
  </si>
  <si>
    <t>MARCIA PAIM - LIMPEZA DE 03 Empresa 2AS - cheque</t>
  </si>
  <si>
    <t>RETIRADA LUIS b</t>
  </si>
  <si>
    <t>GUIA INSS LUIS b - vcto 15/09</t>
  </si>
  <si>
    <t>GUIA INSS LUIS b - vcto 15/10</t>
  </si>
  <si>
    <t>STRADA - LUIS b - 03/07 - ultimo prazo</t>
  </si>
  <si>
    <t>LUIS b</t>
  </si>
  <si>
    <t>COMBUSTIVEL LUIS b</t>
  </si>
  <si>
    <t>GAS - LUIS b</t>
  </si>
  <si>
    <t>REEMBOLSAR LUIS b (saldo dezembro e janeiro)</t>
  </si>
  <si>
    <t>REEMBOLSAR LUIS b (troca de oleo - dezembro)</t>
  </si>
  <si>
    <t>GUIA INSS LUIS b - MÊS 09/2020</t>
  </si>
  <si>
    <t>REEMBOLSO LUIS b</t>
  </si>
  <si>
    <t>REEBOLSO LUIS b</t>
  </si>
  <si>
    <t>REEMBOLSAR LUIS b</t>
  </si>
  <si>
    <t>GUIA INSS LUIS b - MÊS 10/2020</t>
  </si>
  <si>
    <t>GUIA INSS LUIS b - MÊS 11/2020</t>
  </si>
  <si>
    <t>IPVA CAMINHONETE LUIS b</t>
  </si>
  <si>
    <t>GUIA INSS LUIS b - MÊS 12/2020</t>
  </si>
  <si>
    <t>GUIA INSS LUIS b - MÊS 01/2021</t>
  </si>
  <si>
    <t>IPVA LUIS b</t>
  </si>
  <si>
    <t>GUIA INSS LUIS b - MÊS 02/2021 - reembolsar Dalnir</t>
  </si>
  <si>
    <t>GUIA INSS LUIS b - MÊS 03/2021 - reembolsar Dalnir</t>
  </si>
  <si>
    <t>RETIRADA LUIS b - troca sr.rubens</t>
  </si>
  <si>
    <t>LUIS b - 16/07</t>
  </si>
  <si>
    <t>LUIS b/GABRIEL</t>
  </si>
  <si>
    <t>SEGURO LUIS b - STRADA</t>
  </si>
  <si>
    <t>VIVO - LUIS b</t>
  </si>
  <si>
    <t>LUIS b - Criciuma</t>
  </si>
  <si>
    <t>GUIA INSS LUIS b - vcto 15/07</t>
  </si>
  <si>
    <t>GUIA INSS LUIS b - MÊS 04/2021 - reembolsar Dalnir</t>
  </si>
  <si>
    <t>GUIA INSS LUIS b - vcto 15/08</t>
  </si>
  <si>
    <t>STRADA - LUIS b - 02/07 - ultimo prazo</t>
  </si>
  <si>
    <t>GUIA INSS LUIS b - MÊS 05/2021 - reembolsar Dalnir</t>
  </si>
  <si>
    <t>SEGURO DE VIDA RUBENS c</t>
  </si>
  <si>
    <t>SEGURO DE VIDA RUBENS c - vcto 03/11/21 - pagar com o mesmo boleto</t>
  </si>
  <si>
    <t>UNIMED - REEMBOLSAR RUBENS c - unimed paga em dezembro/2020</t>
  </si>
  <si>
    <t>SEGURO DE VIDA RUBENS c - vcto 04/10</t>
  </si>
  <si>
    <t>REEMBOLSAR RUBENS c</t>
  </si>
  <si>
    <t>REEMBOLSAR RUBENS c (julho/agosto)</t>
  </si>
  <si>
    <t>RUBENS c - reembolso juros cheque especial</t>
  </si>
  <si>
    <t>SEGURO DE VIDA RUBENS c - vcto 01/09</t>
  </si>
  <si>
    <t>SEGURO DE VIDA RUBENS c - vcto 02/08</t>
  </si>
  <si>
    <t>RETIRADA RUBENS c</t>
  </si>
  <si>
    <t>SEGURO DE VIDA RUBENS c - vcto 01/07</t>
  </si>
  <si>
    <t>SEGURO DE VIDA RUBENS c - vcto 01/06</t>
  </si>
  <si>
    <t>RUBENS c - maio</t>
  </si>
  <si>
    <t>SEGURO DE VIDA RUBENS c - vcto 03/05</t>
  </si>
  <si>
    <t>CERTIFICADO DIGITAL E-CPF RUBENS c</t>
  </si>
  <si>
    <t>IPVA RUBENS c</t>
  </si>
  <si>
    <t>CREA - RUBENS c</t>
  </si>
  <si>
    <t>SEGURO DE VIDA RUBENS c - Dalnir solicitar boleto</t>
  </si>
  <si>
    <t>REEMBOLSO RUBENS c</t>
  </si>
  <si>
    <t>REEMBOLSAR RUBENS c - combustivel dezembro</t>
  </si>
  <si>
    <t>REEMBOLSAR RUBENS c - combustivel janeiro</t>
  </si>
  <si>
    <t>RETIRADA PAULO d - DEPOSITO FELIPE</t>
  </si>
  <si>
    <t>PAULO d - cartao de credito (incluido 254,00 passagem Teonas)</t>
  </si>
  <si>
    <t>PAULO d - cartao de credito</t>
  </si>
  <si>
    <t>RETIRADA PAULO d</t>
  </si>
  <si>
    <t>JESSICA BRITO DA d</t>
  </si>
  <si>
    <t>RETORNO TEONAS (RJ) - pagar paulo d/cartao</t>
  </si>
  <si>
    <t>PAULO d - CARTAO</t>
  </si>
  <si>
    <t>IVANIA FERREIRA DA d - fgts</t>
  </si>
  <si>
    <t>IVANI FERREIRA DA d - fgts</t>
  </si>
  <si>
    <t>IVANIA FERREIRA DA d</t>
  </si>
  <si>
    <t>IVANI FERREIRA DA d</t>
  </si>
  <si>
    <t xml:space="preserve">RETIRADA PAULO d - cartao </t>
  </si>
  <si>
    <t>DEPOSITO PAULO d</t>
  </si>
  <si>
    <t>FLAVIO DA d LOPES - vcto 02/03 - pagar integral</t>
  </si>
  <si>
    <t>CASAS PAGLIARIN - PAULO d - sem falta, vencido em 31/03</t>
  </si>
  <si>
    <t>RETIRADA PAULO d - CARTAO</t>
  </si>
  <si>
    <t>LUIS ROBERTO DA d</t>
  </si>
  <si>
    <t>RETIRADA PAULO d (R$ 1.200,00 paulo e 800,00 felipe)</t>
  </si>
  <si>
    <t>SEGURO CASA PAULO d</t>
  </si>
  <si>
    <t>ROGERIO d</t>
  </si>
  <si>
    <t>RETIRADA PAULO d - pgto cartao</t>
  </si>
  <si>
    <t>IPVA PAULO d</t>
  </si>
  <si>
    <t>RETIRADA PAULO d (JÁ INCLUIDO CARTAO)</t>
  </si>
  <si>
    <t>APOLO - colarinhos - meteade - cfe Paulo d (saldo a combinar)</t>
  </si>
  <si>
    <t>ROGERIO d - 06/06 - sem falta - ultima data</t>
  </si>
  <si>
    <t>FELIPE BALLICO - RETIRADA PAULO d</t>
  </si>
  <si>
    <t>PAULO d - CIFERAL</t>
  </si>
  <si>
    <t>DANILZA d</t>
  </si>
  <si>
    <t>CARTAO PAULO d (esta incluido passagens)</t>
  </si>
  <si>
    <t>PAULO d - cartao</t>
  </si>
  <si>
    <t>JANETE DA d</t>
  </si>
  <si>
    <t>RETIRADA PAULO d - cartao vcto 27/07</t>
  </si>
  <si>
    <t>GEAN SOARES DA d - VOLARE</t>
  </si>
  <si>
    <t>ADRIANA DA d - PARTE</t>
  </si>
  <si>
    <t>RETIRADA PAULO d - cartao</t>
  </si>
  <si>
    <t>ADRIANA DA d - vcto 17/08 (saldo)</t>
  </si>
  <si>
    <t>TIAGO DA d - Joel (vcto 18/08)</t>
  </si>
  <si>
    <t>TAIS DOS SANTOS DA d - 08/10/21</t>
  </si>
  <si>
    <t>JANETE DA d - vcto 01/11 - cheque ainda não entregue</t>
  </si>
  <si>
    <t>JURIDICO marco 01/02</t>
  </si>
  <si>
    <t>JURIDICO marco 01/03</t>
  </si>
  <si>
    <t>FGTS - vcto 06/09 (ate o dia 30 para portal marco)</t>
  </si>
  <si>
    <t>INSS - vcto 17/09 (ate o dia 30 para portal marco)</t>
  </si>
  <si>
    <t>ART ROGERIO MACEDO - ESTUFA marco</t>
  </si>
  <si>
    <t>EVANDRO APOLO - estufa marco (só entrega as chapas com pgto em dinheiro)</t>
  </si>
  <si>
    <t>RESSARCIMENTO marco DESPESAS PROCESSOS TRABALHISTAS</t>
  </si>
  <si>
    <t>marco/SEMAN</t>
  </si>
  <si>
    <t xml:space="preserve">marco </t>
  </si>
  <si>
    <t>VOL</t>
  </si>
  <si>
    <t>HIDR</t>
  </si>
  <si>
    <t>WS</t>
  </si>
  <si>
    <t>RUG</t>
  </si>
  <si>
    <t>CIF</t>
  </si>
  <si>
    <t>MARIN</t>
  </si>
  <si>
    <t>LIBR</t>
  </si>
  <si>
    <t>RAN</t>
  </si>
  <si>
    <t>FLORE</t>
  </si>
  <si>
    <t>VENT</t>
  </si>
  <si>
    <t>P</t>
  </si>
  <si>
    <t>SEM</t>
  </si>
  <si>
    <t xml:space="preserve">MARCO </t>
  </si>
  <si>
    <t>LIBRE</t>
  </si>
  <si>
    <t>RAND</t>
  </si>
  <si>
    <t>BP</t>
  </si>
  <si>
    <t>UNO</t>
  </si>
  <si>
    <t>SOL</t>
  </si>
  <si>
    <t>LEBRE</t>
  </si>
  <si>
    <t>FLOR</t>
  </si>
  <si>
    <t>ESTU</t>
  </si>
  <si>
    <t>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</si>
</sst>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R$ &quot;* #,##0.00_);_(&quot;R$ &quot;* \(#,##0.00\);_(&quot;R$ &quot;* &quot;-&quot;??_);_(@_)"/>
    <numFmt numFmtId="165" formatCode="dd/mm/yy"/>
    <numFmt numFmtId="166" formatCode="_(* #,##0.00_);_(* \(#,##0.00\);_(* \-??_);_(@_)"/>
    <numFmt numFmtId="167" formatCode="dd/mm/yy;@"/>
  </numFmts>
  <fonts count="35" x14ac:knownFonts="1">
    <font>
      <sz val="10"/>
      <name val="Arial"/>
      <family val="2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99"/>
      <name val="Arial"/>
      <family val="2"/>
    </font>
    <font>
      <b/>
      <sz val="10"/>
      <color rgb="FF000099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1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26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8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Protection="0">
      <alignment horizontal="left"/>
    </xf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8" fillId="7" borderId="1" applyNumberFormat="0" applyAlignment="0" applyProtection="0"/>
    <xf numFmtId="164" fontId="1" fillId="0" borderId="0" applyFill="0" applyBorder="0" applyAlignment="0" applyProtection="0"/>
    <xf numFmtId="164" fontId="20" fillId="0" borderId="0" applyFill="0" applyBorder="0" applyAlignment="0" applyProtection="0"/>
    <xf numFmtId="0" fontId="27" fillId="0" borderId="0"/>
    <xf numFmtId="0" fontId="20" fillId="23" borderId="4" applyNumberFormat="0" applyAlignment="0" applyProtection="0"/>
    <xf numFmtId="0" fontId="20" fillId="0" borderId="0" applyNumberFormat="0" applyFill="0" applyBorder="0" applyAlignment="0" applyProtection="0"/>
    <xf numFmtId="0" fontId="9" fillId="16" borderId="5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20" fillId="0" borderId="0" applyNumberFormat="0" applyFill="0" applyBorder="0" applyProtection="0">
      <alignment horizontal="left"/>
    </xf>
    <xf numFmtId="0" fontId="16" fillId="0" borderId="9" applyNumberFormat="0" applyFill="0" applyAlignment="0" applyProtection="0"/>
    <xf numFmtId="0" fontId="20" fillId="0" borderId="0" applyNumberFormat="0" applyFill="0" applyBorder="0" applyAlignment="0" applyProtection="0"/>
    <xf numFmtId="166" fontId="20" fillId="0" borderId="0" applyFill="0" applyBorder="0" applyAlignment="0" applyProtection="0"/>
  </cellStyleXfs>
  <cellXfs count="182">
    <xf numFmtId="0" fontId="0" fillId="0" borderId="0" xfId="0"/>
    <xf numFmtId="166" fontId="0" fillId="0" borderId="0" xfId="0" applyNumberFormat="1"/>
    <xf numFmtId="165" fontId="17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left"/>
    </xf>
    <xf numFmtId="0" fontId="0" fillId="0" borderId="10" xfId="0" applyBorder="1"/>
    <xf numFmtId="166" fontId="0" fillId="0" borderId="10" xfId="0" applyNumberFormat="1" applyBorder="1"/>
    <xf numFmtId="0" fontId="0" fillId="22" borderId="11" xfId="0" applyFill="1" applyBorder="1"/>
    <xf numFmtId="166" fontId="0" fillId="22" borderId="11" xfId="0" applyNumberFormat="1" applyFill="1" applyBorder="1"/>
    <xf numFmtId="0" fontId="0" fillId="0" borderId="12" xfId="0" applyBorder="1"/>
    <xf numFmtId="166" fontId="18" fillId="0" borderId="12" xfId="0" applyNumberFormat="1" applyFont="1" applyBorder="1"/>
    <xf numFmtId="39" fontId="0" fillId="0" borderId="0" xfId="0" applyNumberFormat="1"/>
    <xf numFmtId="0" fontId="17" fillId="0" borderId="0" xfId="0" applyFont="1"/>
    <xf numFmtId="166" fontId="17" fillId="0" borderId="0" xfId="0" applyNumberFormat="1" applyFont="1"/>
    <xf numFmtId="4" fontId="17" fillId="0" borderId="0" xfId="0" applyNumberFormat="1" applyFont="1"/>
    <xf numFmtId="4" fontId="0" fillId="0" borderId="0" xfId="0" applyNumberFormat="1"/>
    <xf numFmtId="166" fontId="17" fillId="0" borderId="0" xfId="49" applyFont="1" applyFill="1"/>
    <xf numFmtId="4" fontId="20" fillId="0" borderId="0" xfId="0" applyNumberFormat="1" applyFont="1"/>
    <xf numFmtId="166" fontId="20" fillId="0" borderId="0" xfId="0" applyNumberFormat="1" applyFont="1"/>
    <xf numFmtId="166" fontId="20" fillId="0" borderId="0" xfId="49" applyFill="1"/>
    <xf numFmtId="0" fontId="17" fillId="4" borderId="13" xfId="0" applyFont="1" applyFill="1" applyBorder="1"/>
    <xf numFmtId="0" fontId="17" fillId="24" borderId="13" xfId="0" applyFont="1" applyFill="1" applyBorder="1"/>
    <xf numFmtId="0" fontId="0" fillId="25" borderId="0" xfId="0" applyFill="1"/>
    <xf numFmtId="166" fontId="17" fillId="4" borderId="13" xfId="0" applyNumberFormat="1" applyFont="1" applyFill="1" applyBorder="1"/>
    <xf numFmtId="38" fontId="17" fillId="22" borderId="10" xfId="0" applyNumberFormat="1" applyFont="1" applyFill="1" applyBorder="1"/>
    <xf numFmtId="38" fontId="17" fillId="0" borderId="0" xfId="0" applyNumberFormat="1" applyFont="1"/>
    <xf numFmtId="0" fontId="17" fillId="26" borderId="0" xfId="0" applyFont="1" applyFill="1"/>
    <xf numFmtId="0" fontId="17" fillId="0" borderId="0" xfId="0" applyFont="1" applyAlignment="1">
      <alignment horizontal="right"/>
    </xf>
    <xf numFmtId="0" fontId="19" fillId="27" borderId="14" xfId="0" applyFont="1" applyFill="1" applyBorder="1" applyAlignment="1">
      <alignment horizontal="right"/>
    </xf>
    <xf numFmtId="0" fontId="19" fillId="27" borderId="14" xfId="0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14" fontId="17" fillId="28" borderId="0" xfId="0" applyNumberFormat="1" applyFont="1" applyFill="1" applyAlignment="1">
      <alignment horizontal="center"/>
    </xf>
    <xf numFmtId="166" fontId="20" fillId="0" borderId="0" xfId="49" applyFill="1" applyBorder="1"/>
    <xf numFmtId="167" fontId="17" fillId="0" borderId="14" xfId="0" applyNumberFormat="1" applyFont="1" applyBorder="1" applyAlignment="1">
      <alignment horizontal="center"/>
    </xf>
    <xf numFmtId="40" fontId="20" fillId="0" borderId="0" xfId="0" applyNumberFormat="1" applyFont="1"/>
    <xf numFmtId="0" fontId="17" fillId="0" borderId="0" xfId="0" applyFont="1" applyAlignment="1">
      <alignment horizontal="center"/>
    </xf>
    <xf numFmtId="0" fontId="17" fillId="0" borderId="14" xfId="0" applyFont="1" applyBorder="1" applyAlignment="1">
      <alignment horizontal="center"/>
    </xf>
    <xf numFmtId="166" fontId="17" fillId="0" borderId="14" xfId="0" applyNumberFormat="1" applyFont="1" applyBorder="1" applyAlignment="1">
      <alignment horizontal="center"/>
    </xf>
    <xf numFmtId="166" fontId="0" fillId="0" borderId="14" xfId="49" applyFont="1" applyBorder="1" applyAlignment="1">
      <alignment horizontal="center"/>
    </xf>
    <xf numFmtId="167" fontId="0" fillId="0" borderId="0" xfId="0" applyNumberFormat="1" applyAlignment="1">
      <alignment horizontal="right"/>
    </xf>
    <xf numFmtId="166" fontId="0" fillId="0" borderId="0" xfId="49" applyFont="1"/>
    <xf numFmtId="166" fontId="0" fillId="0" borderId="0" xfId="49" applyFont="1" applyFill="1"/>
    <xf numFmtId="166" fontId="0" fillId="27" borderId="0" xfId="49" applyFont="1" applyFill="1"/>
    <xf numFmtId="0" fontId="0" fillId="27" borderId="0" xfId="0" applyFill="1"/>
    <xf numFmtId="167" fontId="0" fillId="0" borderId="0" xfId="0" applyNumberFormat="1"/>
    <xf numFmtId="0" fontId="17" fillId="28" borderId="0" xfId="0" applyFont="1" applyFill="1"/>
    <xf numFmtId="0" fontId="0" fillId="28" borderId="0" xfId="0" applyFill="1"/>
    <xf numFmtId="166" fontId="28" fillId="0" borderId="0" xfId="49" applyFont="1" applyFill="1"/>
    <xf numFmtId="4" fontId="28" fillId="0" borderId="0" xfId="0" applyNumberFormat="1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4" xfId="0" applyBorder="1" applyAlignment="1">
      <alignment horizontal="center"/>
    </xf>
    <xf numFmtId="14" fontId="0" fillId="0" borderId="0" xfId="0" quotePrefix="1" applyNumberFormat="1" applyAlignment="1">
      <alignment horizontal="center"/>
    </xf>
    <xf numFmtId="0" fontId="18" fillId="0" borderId="14" xfId="0" applyFont="1" applyBorder="1" applyAlignment="1">
      <alignment horizontal="center"/>
    </xf>
    <xf numFmtId="4" fontId="29" fillId="0" borderId="0" xfId="0" applyNumberFormat="1" applyFont="1" applyAlignment="1">
      <alignment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17" fillId="0" borderId="0" xfId="0" applyFont="1" applyAlignment="1">
      <alignment vertical="top"/>
    </xf>
    <xf numFmtId="4" fontId="17" fillId="0" borderId="0" xfId="0" applyNumberFormat="1" applyFont="1" applyAlignment="1">
      <alignment vertical="top"/>
    </xf>
    <xf numFmtId="14" fontId="0" fillId="30" borderId="0" xfId="0" applyNumberFormat="1" applyFill="1" applyAlignment="1">
      <alignment horizontal="center"/>
    </xf>
    <xf numFmtId="14" fontId="17" fillId="0" borderId="0" xfId="0" quotePrefix="1" applyNumberFormat="1" applyFont="1" applyAlignment="1">
      <alignment horizontal="center"/>
    </xf>
    <xf numFmtId="167" fontId="17" fillId="0" borderId="0" xfId="0" applyNumberFormat="1" applyFont="1" applyAlignment="1">
      <alignment horizontal="right"/>
    </xf>
    <xf numFmtId="0" fontId="17" fillId="0" borderId="0" xfId="35" applyFont="1"/>
    <xf numFmtId="14" fontId="0" fillId="31" borderId="0" xfId="0" applyNumberFormat="1" applyFill="1" applyAlignment="1">
      <alignment horizontal="center"/>
    </xf>
    <xf numFmtId="166" fontId="17" fillId="0" borderId="0" xfId="0" applyNumberFormat="1" applyFont="1" applyAlignment="1">
      <alignment horizontal="center"/>
    </xf>
    <xf numFmtId="14" fontId="17" fillId="30" borderId="0" xfId="0" applyNumberFormat="1" applyFont="1" applyFill="1" applyAlignment="1">
      <alignment horizontal="center"/>
    </xf>
    <xf numFmtId="14" fontId="0" fillId="0" borderId="0" xfId="0" applyNumberFormat="1"/>
    <xf numFmtId="166" fontId="17" fillId="0" borderId="14" xfId="49" applyFont="1" applyBorder="1" applyAlignment="1">
      <alignment horizontal="center"/>
    </xf>
    <xf numFmtId="166" fontId="0" fillId="32" borderId="11" xfId="0" applyNumberFormat="1" applyFill="1" applyBorder="1"/>
    <xf numFmtId="166" fontId="0" fillId="33" borderId="11" xfId="0" applyNumberFormat="1" applyFill="1" applyBorder="1"/>
    <xf numFmtId="4" fontId="30" fillId="0" borderId="0" xfId="49" applyNumberFormat="1" applyFont="1" applyFill="1"/>
    <xf numFmtId="4" fontId="30" fillId="0" borderId="0" xfId="0" applyNumberFormat="1" applyFont="1"/>
    <xf numFmtId="166" fontId="30" fillId="0" borderId="0" xfId="0" applyNumberFormat="1" applyFont="1"/>
    <xf numFmtId="0" fontId="30" fillId="0" borderId="0" xfId="0" applyFont="1"/>
    <xf numFmtId="4" fontId="31" fillId="0" borderId="0" xfId="0" applyNumberFormat="1" applyFont="1"/>
    <xf numFmtId="167" fontId="17" fillId="0" borderId="0" xfId="0" applyNumberFormat="1" applyFont="1"/>
    <xf numFmtId="14" fontId="17" fillId="29" borderId="0" xfId="0" applyNumberFormat="1" applyFont="1" applyFill="1" applyAlignment="1">
      <alignment horizontal="center"/>
    </xf>
    <xf numFmtId="14" fontId="17" fillId="34" borderId="0" xfId="0" applyNumberFormat="1" applyFont="1" applyFill="1" applyAlignment="1">
      <alignment horizontal="center"/>
    </xf>
    <xf numFmtId="14" fontId="30" fillId="0" borderId="0" xfId="0" applyNumberFormat="1" applyFont="1" applyAlignment="1">
      <alignment horizontal="center"/>
    </xf>
    <xf numFmtId="14" fontId="17" fillId="35" borderId="0" xfId="0" applyNumberFormat="1" applyFont="1" applyFill="1" applyAlignment="1">
      <alignment horizontal="center"/>
    </xf>
    <xf numFmtId="0" fontId="0" fillId="0" borderId="25" xfId="0" pivotButton="1" applyBorder="1"/>
    <xf numFmtId="0" fontId="0" fillId="0" borderId="26" xfId="0" applyBorder="1"/>
    <xf numFmtId="0" fontId="0" fillId="0" borderId="27" xfId="0" applyBorder="1"/>
    <xf numFmtId="14" fontId="0" fillId="0" borderId="25" xfId="0" applyNumberFormat="1" applyBorder="1"/>
    <xf numFmtId="14" fontId="0" fillId="0" borderId="28" xfId="0" applyNumberFormat="1" applyBorder="1"/>
    <xf numFmtId="0" fontId="0" fillId="0" borderId="29" xfId="0" applyBorder="1"/>
    <xf numFmtId="0" fontId="0" fillId="0" borderId="25" xfId="0" applyBorder="1"/>
    <xf numFmtId="0" fontId="0" fillId="0" borderId="28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4" fontId="0" fillId="0" borderId="0" xfId="49" applyNumberFormat="1" applyFont="1" applyFill="1"/>
    <xf numFmtId="40" fontId="0" fillId="0" borderId="0" xfId="0" applyNumberFormat="1"/>
    <xf numFmtId="0" fontId="29" fillId="0" borderId="0" xfId="0" applyFont="1"/>
    <xf numFmtId="0" fontId="29" fillId="0" borderId="0" xfId="0" applyFont="1" applyAlignment="1">
      <alignment vertical="top"/>
    </xf>
    <xf numFmtId="14" fontId="29" fillId="0" borderId="0" xfId="0" quotePrefix="1" applyNumberFormat="1" applyFont="1" applyAlignment="1">
      <alignment horizontal="center"/>
    </xf>
    <xf numFmtId="0" fontId="17" fillId="36" borderId="0" xfId="0" applyFont="1" applyFill="1"/>
    <xf numFmtId="0" fontId="17" fillId="36" borderId="0" xfId="0" applyFont="1" applyFill="1" applyAlignment="1">
      <alignment vertical="top"/>
    </xf>
    <xf numFmtId="14" fontId="17" fillId="36" borderId="0" xfId="0" quotePrefix="1" applyNumberFormat="1" applyFont="1" applyFill="1" applyAlignment="1">
      <alignment horizontal="center"/>
    </xf>
    <xf numFmtId="4" fontId="17" fillId="36" borderId="0" xfId="0" applyNumberFormat="1" applyFont="1" applyFill="1" applyAlignment="1">
      <alignment vertical="top"/>
    </xf>
    <xf numFmtId="166" fontId="17" fillId="33" borderId="11" xfId="0" applyNumberFormat="1" applyFont="1" applyFill="1" applyBorder="1"/>
    <xf numFmtId="166" fontId="17" fillId="32" borderId="11" xfId="0" applyNumberFormat="1" applyFont="1" applyFill="1" applyBorder="1"/>
    <xf numFmtId="166" fontId="31" fillId="0" borderId="0" xfId="0" applyNumberFormat="1" applyFont="1"/>
    <xf numFmtId="166" fontId="0" fillId="0" borderId="0" xfId="49" applyFont="1" applyFill="1" applyBorder="1"/>
    <xf numFmtId="0" fontId="31" fillId="0" borderId="0" xfId="0" applyFont="1"/>
    <xf numFmtId="166" fontId="31" fillId="0" borderId="0" xfId="49" applyFont="1" applyFill="1"/>
    <xf numFmtId="4" fontId="29" fillId="0" borderId="0" xfId="0" applyNumberFormat="1" applyFont="1"/>
    <xf numFmtId="166" fontId="31" fillId="37" borderId="0" xfId="0" applyNumberFormat="1" applyFont="1" applyFill="1"/>
    <xf numFmtId="4" fontId="31" fillId="37" borderId="0" xfId="0" applyNumberFormat="1" applyFont="1" applyFill="1"/>
    <xf numFmtId="166" fontId="17" fillId="0" borderId="14" xfId="49" applyFont="1" applyFill="1" applyBorder="1" applyAlignment="1">
      <alignment horizontal="center"/>
    </xf>
    <xf numFmtId="0" fontId="31" fillId="37" borderId="0" xfId="0" applyFont="1" applyFill="1"/>
    <xf numFmtId="4" fontId="17" fillId="37" borderId="0" xfId="0" applyNumberFormat="1" applyFont="1" applyFill="1" applyAlignment="1">
      <alignment vertical="top"/>
    </xf>
    <xf numFmtId="166" fontId="31" fillId="0" borderId="0" xfId="49" applyFont="1" applyFill="1" applyBorder="1"/>
    <xf numFmtId="166" fontId="32" fillId="38" borderId="0" xfId="49" applyFont="1" applyFill="1"/>
    <xf numFmtId="4" fontId="32" fillId="0" borderId="0" xfId="0" applyNumberFormat="1" applyFont="1"/>
    <xf numFmtId="0" fontId="25" fillId="0" borderId="0" xfId="0" applyFont="1" applyAlignment="1">
      <alignment vertical="top"/>
    </xf>
    <xf numFmtId="166" fontId="33" fillId="0" borderId="0" xfId="49" applyFont="1" applyFill="1"/>
    <xf numFmtId="4" fontId="33" fillId="0" borderId="0" xfId="0" applyNumberFormat="1" applyFont="1"/>
    <xf numFmtId="166" fontId="28" fillId="0" borderId="0" xfId="0" applyNumberFormat="1" applyFont="1"/>
    <xf numFmtId="4" fontId="31" fillId="38" borderId="0" xfId="0" applyNumberFormat="1" applyFont="1" applyFill="1"/>
    <xf numFmtId="166" fontId="31" fillId="38" borderId="0" xfId="0" applyNumberFormat="1" applyFont="1" applyFill="1"/>
    <xf numFmtId="14" fontId="17" fillId="31" borderId="0" xfId="0" applyNumberFormat="1" applyFont="1" applyFill="1" applyAlignment="1">
      <alignment horizontal="center"/>
    </xf>
    <xf numFmtId="14" fontId="31" fillId="0" borderId="0" xfId="0" applyNumberFormat="1" applyFont="1" applyAlignment="1">
      <alignment horizontal="center"/>
    </xf>
    <xf numFmtId="0" fontId="20" fillId="0" borderId="0" xfId="0" applyFont="1"/>
    <xf numFmtId="0" fontId="0" fillId="36" borderId="0" xfId="0" applyFill="1"/>
    <xf numFmtId="0" fontId="0" fillId="39" borderId="0" xfId="0" applyFill="1" applyAlignment="1">
      <alignment vertical="top"/>
    </xf>
    <xf numFmtId="0" fontId="34" fillId="0" borderId="0" xfId="0" applyFont="1" applyAlignment="1">
      <alignment horizontal="center"/>
    </xf>
    <xf numFmtId="164" fontId="34" fillId="0" borderId="0" xfId="33" applyFont="1" applyAlignment="1">
      <alignment horizontal="center"/>
    </xf>
    <xf numFmtId="164" fontId="0" fillId="0" borderId="0" xfId="33" applyFont="1"/>
    <xf numFmtId="17" fontId="34" fillId="0" borderId="0" xfId="0" applyNumberFormat="1" applyFont="1" applyAlignment="1">
      <alignment horizontal="center" vertical="center"/>
    </xf>
    <xf numFmtId="164" fontId="34" fillId="0" borderId="0" xfId="33" applyFont="1"/>
    <xf numFmtId="17" fontId="0" fillId="0" borderId="14" xfId="0" applyNumberFormat="1" applyBorder="1" applyAlignment="1">
      <alignment horizontal="center" vertical="center"/>
    </xf>
    <xf numFmtId="164" fontId="0" fillId="0" borderId="14" xfId="33" applyFont="1" applyBorder="1"/>
    <xf numFmtId="17" fontId="0" fillId="0" borderId="0" xfId="0" applyNumberFormat="1" applyAlignment="1">
      <alignment horizontal="center" vertical="center"/>
    </xf>
    <xf numFmtId="164" fontId="17" fillId="0" borderId="14" xfId="33" applyFont="1" applyBorder="1"/>
    <xf numFmtId="166" fontId="29" fillId="22" borderId="11" xfId="0" applyNumberFormat="1" applyFont="1" applyFill="1" applyBorder="1"/>
    <xf numFmtId="164" fontId="1" fillId="0" borderId="0" xfId="33"/>
    <xf numFmtId="164" fontId="1" fillId="0" borderId="0" xfId="33" applyAlignment="1">
      <alignment horizontal="center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  <xf numFmtId="164" fontId="1" fillId="0" borderId="0" xfId="33" applyBorder="1"/>
    <xf numFmtId="0" fontId="17" fillId="37" borderId="0" xfId="0" applyFont="1" applyFill="1"/>
    <xf numFmtId="164" fontId="1" fillId="0" borderId="0" xfId="33" applyFill="1"/>
    <xf numFmtId="0" fontId="17" fillId="39" borderId="0" xfId="0" applyFont="1" applyFill="1"/>
    <xf numFmtId="0" fontId="17" fillId="39" borderId="0" xfId="0" applyFont="1" applyFill="1" applyAlignment="1">
      <alignment vertical="top"/>
    </xf>
    <xf numFmtId="4" fontId="17" fillId="39" borderId="0" xfId="0" applyNumberFormat="1" applyFont="1" applyFill="1" applyAlignment="1">
      <alignment vertical="top"/>
    </xf>
    <xf numFmtId="4" fontId="31" fillId="36" borderId="0" xfId="0" applyNumberFormat="1" applyFont="1" applyFill="1"/>
    <xf numFmtId="0" fontId="0" fillId="39" borderId="0" xfId="0" applyFill="1"/>
    <xf numFmtId="14" fontId="0" fillId="39" borderId="0" xfId="0" quotePrefix="1" applyNumberFormat="1" applyFill="1" applyAlignment="1">
      <alignment horizontal="center"/>
    </xf>
    <xf numFmtId="4" fontId="0" fillId="39" borderId="0" xfId="0" applyNumberFormat="1" applyFill="1" applyAlignment="1">
      <alignment vertical="top"/>
    </xf>
    <xf numFmtId="4" fontId="17" fillId="40" borderId="0" xfId="0" applyNumberFormat="1" applyFont="1" applyFill="1"/>
    <xf numFmtId="4" fontId="28" fillId="40" borderId="0" xfId="0" applyNumberFormat="1" applyFont="1" applyFill="1"/>
    <xf numFmtId="14" fontId="17" fillId="39" borderId="0" xfId="0" quotePrefix="1" applyNumberFormat="1" applyFont="1" applyFill="1" applyAlignment="1">
      <alignment horizontal="center"/>
    </xf>
    <xf numFmtId="166" fontId="17" fillId="39" borderId="0" xfId="49" applyFont="1" applyFill="1" applyBorder="1"/>
    <xf numFmtId="0" fontId="0" fillId="41" borderId="0" xfId="0" applyFill="1"/>
    <xf numFmtId="4" fontId="17" fillId="41" borderId="0" xfId="0" applyNumberFormat="1" applyFont="1" applyFill="1" applyAlignment="1">
      <alignment vertical="top"/>
    </xf>
    <xf numFmtId="0" fontId="28" fillId="39" borderId="0" xfId="0" applyFont="1" applyFill="1"/>
    <xf numFmtId="0" fontId="28" fillId="39" borderId="0" xfId="0" applyFont="1" applyFill="1" applyAlignment="1">
      <alignment vertical="top"/>
    </xf>
    <xf numFmtId="4" fontId="28" fillId="39" borderId="0" xfId="0" applyNumberFormat="1" applyFont="1" applyFill="1" applyAlignment="1">
      <alignment vertical="top"/>
    </xf>
    <xf numFmtId="0" fontId="17" fillId="41" borderId="0" xfId="0" applyFont="1" applyFill="1"/>
    <xf numFmtId="0" fontId="17" fillId="41" borderId="0" xfId="0" applyFont="1" applyFill="1" applyAlignment="1">
      <alignment vertical="top"/>
    </xf>
    <xf numFmtId="14" fontId="17" fillId="41" borderId="0" xfId="0" quotePrefix="1" applyNumberFormat="1" applyFont="1" applyFill="1" applyAlignment="1">
      <alignment horizontal="center"/>
    </xf>
    <xf numFmtId="167" fontId="17" fillId="41" borderId="0" xfId="0" applyNumberFormat="1" applyFont="1" applyFill="1" applyAlignment="1">
      <alignment horizontal="right"/>
    </xf>
    <xf numFmtId="0" fontId="28" fillId="0" borderId="0" xfId="0" applyFont="1"/>
    <xf numFmtId="0" fontId="28" fillId="0" borderId="0" xfId="0" applyFont="1" applyAlignment="1">
      <alignment vertical="top"/>
    </xf>
    <xf numFmtId="14" fontId="28" fillId="0" borderId="0" xfId="0" quotePrefix="1" applyNumberFormat="1" applyFont="1" applyAlignment="1">
      <alignment horizontal="center"/>
    </xf>
    <xf numFmtId="4" fontId="28" fillId="0" borderId="0" xfId="0" applyNumberFormat="1" applyFont="1" applyAlignment="1">
      <alignment vertical="top"/>
    </xf>
    <xf numFmtId="0" fontId="0" fillId="0" borderId="15" xfId="0" pivotButton="1" applyBorder="1"/>
    <xf numFmtId="0" fontId="0" fillId="0" borderId="16" xfId="0" applyBorder="1"/>
    <xf numFmtId="0" fontId="0" fillId="0" borderId="17" xfId="0" applyBorder="1"/>
    <xf numFmtId="14" fontId="0" fillId="0" borderId="15" xfId="0" applyNumberFormat="1" applyBorder="1"/>
    <xf numFmtId="14" fontId="0" fillId="0" borderId="18" xfId="0" applyNumberFormat="1" applyBorder="1"/>
    <xf numFmtId="0" fontId="0" fillId="0" borderId="19" xfId="0" applyBorder="1"/>
    <xf numFmtId="0" fontId="0" fillId="0" borderId="15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ampo do Assistente de Dados" xfId="21" xr:uid="{00000000-0005-0000-0000-000014000000}"/>
    <cellStyle name="Canto do Assistente de Dados" xfId="22" xr:uid="{00000000-0005-0000-0000-000015000000}"/>
    <cellStyle name="Categoria do Assistente de Dados" xfId="23" xr:uid="{00000000-0005-0000-0000-000016000000}"/>
    <cellStyle name="Célula de Verificação" xfId="24" builtinId="23" customBuiltin="1"/>
    <cellStyle name="Célula Vinculada" xfId="25" builtinId="24" customBuiltin="1"/>
    <cellStyle name="Ênfase1" xfId="26" builtinId="29" customBuiltin="1"/>
    <cellStyle name="Ênfase2" xfId="27" builtinId="33" customBuiltin="1"/>
    <cellStyle name="Ênfase3" xfId="28" builtinId="37" customBuiltin="1"/>
    <cellStyle name="Ênfase4" xfId="29" builtinId="41" customBuiltin="1"/>
    <cellStyle name="Ênfase5" xfId="30" builtinId="45" customBuiltin="1"/>
    <cellStyle name="Ênfase6" xfId="31" builtinId="49" customBuiltin="1"/>
    <cellStyle name="Entrada" xfId="32" builtinId="20" customBuiltin="1"/>
    <cellStyle name="Moeda" xfId="33" builtinId="4"/>
    <cellStyle name="Moeda 2" xfId="34" xr:uid="{00000000-0005-0000-0000-000021000000}"/>
    <cellStyle name="Normal" xfId="0" builtinId="0"/>
    <cellStyle name="Normal 2" xfId="35" xr:uid="{00000000-0005-0000-0000-000023000000}"/>
    <cellStyle name="Nota" xfId="36" builtinId="10" customBuiltin="1"/>
    <cellStyle name="Resultado do Assistente de Dados" xfId="37" xr:uid="{00000000-0005-0000-0000-000025000000}"/>
    <cellStyle name="Saída" xfId="38" builtinId="21" customBuiltin="1"/>
    <cellStyle name="Texto de Aviso" xfId="39" builtinId="11" customBuiltin="1"/>
    <cellStyle name="Texto Explicativo" xfId="40" builtinId="53" customBuiltin="1"/>
    <cellStyle name="Título 1" xfId="41" builtinId="16" customBuiltin="1"/>
    <cellStyle name="Título 1 1" xfId="42" xr:uid="{00000000-0005-0000-0000-00002A000000}"/>
    <cellStyle name="Título 2" xfId="43" builtinId="17" customBuiltin="1"/>
    <cellStyle name="Título 3" xfId="44" builtinId="18" customBuiltin="1"/>
    <cellStyle name="Título 4" xfId="45" builtinId="19" customBuiltin="1"/>
    <cellStyle name="Título do Assistente de Dados" xfId="46" xr:uid="{00000000-0005-0000-0000-00002E000000}"/>
    <cellStyle name="Total" xfId="47" builtinId="25" customBuiltin="1"/>
    <cellStyle name="Valor do Assistente de Dados" xfId="48" xr:uid="{00000000-0005-0000-0000-000030000000}"/>
    <cellStyle name="Vírgula" xfId="49" builtinId="3"/>
  </cellStyles>
  <dxfs count="36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8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3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6.xml"/><Relationship Id="rId37" Type="http://schemas.openxmlformats.org/officeDocument/2006/relationships/pivotCacheDefinition" Target="pivotCache/pivotCacheDefinition11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2.xml"/><Relationship Id="rId36" Type="http://schemas.openxmlformats.org/officeDocument/2006/relationships/pivotCacheDefinition" Target="pivotCache/pivotCacheDefinition10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pivotCacheDefinition" Target="pivotCache/pivotCacheDefinition4.xml"/><Relationship Id="rId35" Type="http://schemas.openxmlformats.org/officeDocument/2006/relationships/pivotCacheDefinition" Target="pivotCache/pivotCacheDefinition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7.xml"/><Relationship Id="rId38" Type="http://schemas.openxmlformats.org/officeDocument/2006/relationships/pivotCacheDefinition" Target="pivotCache/pivotCacheDefinition1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a.deco" refreshedDate="44319.403296180557" createdVersion="1" refreshedVersion="4" recordCount="202" upgradeOnRefresh="1" xr:uid="{00000000-000A-0000-FFFF-FFFF00000000}">
  <cacheSource type="worksheet">
    <worksheetSource ref="C1:H203" sheet="04_21"/>
  </cacheSource>
  <cacheFields count="6">
    <cacheField name="CodCli" numFmtId="0">
      <sharedItems containsBlank="1"/>
    </cacheField>
    <cacheField name="Nome" numFmtId="0">
      <sharedItems containsBlank="1"/>
    </cacheField>
    <cacheField name="dtvcto" numFmtId="0">
      <sharedItems containsSemiMixedTypes="0" containsNonDate="0" containsDate="1" containsString="0" minDate="2021-04-01T00:00:00" maxDate="2021-05-01T00:00:00"/>
    </cacheField>
    <cacheField name="Valor" numFmtId="0">
      <sharedItems containsSemiMixedTypes="0" containsString="0" containsNumber="1" minValue="0" maxValue="31581"/>
    </cacheField>
    <cacheField name="tipo" numFmtId="0">
      <sharedItems containsBlank="1" count="7">
        <s v="SEMAN"/>
        <s v="PARTICULAR"/>
        <s v="VENTURE"/>
        <s v="PKS"/>
        <s v="SOLUTEC"/>
        <m u="1"/>
        <s v="BSP" u="1"/>
      </sharedItems>
    </cacheField>
    <cacheField name="Pagto." numFmtId="0">
      <sharedItems containsSemiMixedTypes="0" containsNonDate="0" containsDate="1" containsString="0" minDate="2018-04-02T00:00:00" maxDate="2021-05-01T00:00:00" count="86"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18-04-26T00:00:00" u="1"/>
        <d v="2020-04-07T00:00:00" u="1"/>
        <d v="2019-04-26T00:00:00" u="1"/>
        <d v="2018-04-19T00:00:00" u="1"/>
        <d v="2019-04-19T00:00:00" u="1"/>
        <d v="2018-04-12T00:00:00" u="1"/>
        <d v="2019-04-12T00:00:00" u="1"/>
        <d v="2018-04-05T00:00:00" u="1"/>
        <d v="2019-04-05T00:00:00" u="1"/>
        <d v="2018-04-24T00:00:00" u="1"/>
        <d v="2019-04-24T00:00:00" u="1"/>
        <d v="2020-04-24T00:00:00" u="1"/>
        <d v="2018-04-17T00:00:00" u="1"/>
        <d v="2019-04-17T00:00:00" u="1"/>
        <d v="2020-04-17T00:00:00" u="1"/>
        <d v="2018-04-10T00:00:00" u="1"/>
        <d v="2019-04-10T00:00:00" u="1"/>
        <d v="2020-04-10T00:00:00" u="1"/>
        <d v="2018-04-03T00:00:00" u="1"/>
        <d v="2019-04-29T00:00:00" u="1"/>
        <d v="2019-04-03T00:00:00" u="1"/>
        <d v="2020-04-29T00:00:00" u="1"/>
        <d v="2020-04-03T00:00:00" u="1"/>
        <d v="2019-04-22T00:00:00" u="1"/>
        <d v="2020-04-22T00:00:00" u="1"/>
        <d v="2019-04-15T00:00:00" u="1"/>
        <d v="2020-04-15T00:00:00" u="1"/>
        <d v="2019-04-08T00:00:00" u="1"/>
        <d v="2018-04-27T00:00:00" u="1"/>
        <d v="2020-04-08T00:00:00" u="1"/>
        <d v="2019-04-01T00:00:00" u="1"/>
        <d v="2020-04-27T00:00:00" u="1"/>
        <d v="2018-04-20T00:00:00" u="1"/>
        <d v="2020-04-01T00:00:00" u="1"/>
        <d v="2020-04-20T00:00:00" u="1"/>
        <d v="2018-04-13T00:00:00" u="1"/>
        <d v="2020-04-13T00:00:00" u="1"/>
        <d v="2018-04-06T00:00:00" u="1"/>
        <d v="2018-04-25T00:00:00" u="1"/>
        <d v="2020-04-06T00:00:00" u="1"/>
        <d v="2019-04-25T00:00:00" u="1"/>
        <d v="2018-04-18T00:00:00" u="1"/>
        <d v="2019-04-18T00:00:00" u="1"/>
        <d v="2018-04-11T00:00:00" u="1"/>
        <d v="2019-04-11T00:00:00" u="1"/>
        <d v="2018-04-30T00:00:00" u="1"/>
        <d v="2018-04-04T00:00:00" u="1"/>
        <d v="2019-04-30T00:00:00" u="1"/>
        <d v="2019-04-04T00:00:00" u="1"/>
        <d v="2020-04-30T00:00:00" u="1"/>
        <d v="2018-04-23T00:00:00" u="1"/>
        <d v="2019-04-23T00:00:00" u="1"/>
        <d v="2020-04-23T00:00:00" u="1"/>
        <d v="2018-04-16T00:00:00" u="1"/>
        <d v="2019-04-16T00:00:00" u="1"/>
        <d v="2020-04-16T00:00:00" u="1"/>
        <d v="2018-04-09T00:00:00" u="1"/>
        <d v="2019-04-09T00:00:00" u="1"/>
        <d v="2020-04-09T00:00:00" u="1"/>
        <d v="2018-04-02T00:00:00" u="1"/>
        <d v="2019-04-02T00:00:00" u="1"/>
        <d v="2020-04-28T00:00:00" u="1"/>
        <d v="2020-04-02T00:00:00" u="1"/>
        <d v="2020-04-21T00:00:00" u="1"/>
        <d v="2020-04-14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a.deco" refreshedDate="44348.401590393521" createdVersion="1" refreshedVersion="4" recordCount="268" upgradeOnRefresh="1" xr:uid="{00000000-000A-0000-FFFF-FFFF01000000}">
  <cacheSource type="worksheet">
    <worksheetSource ref="A1:H269" sheet="05_21"/>
  </cacheSource>
  <cacheFields count="8">
    <cacheField name="0" numFmtId="0">
      <sharedItems containsNonDate="0" containsString="0" containsBlank="1"/>
    </cacheField>
    <cacheField name="tm" numFmtId="0">
      <sharedItems containsNonDate="0" containsString="0" containsBlank="1"/>
    </cacheField>
    <cacheField name="CodCli" numFmtId="0">
      <sharedItems containsBlank="1"/>
    </cacheField>
    <cacheField name="Nome" numFmtId="0">
      <sharedItems containsBlank="1"/>
    </cacheField>
    <cacheField name="dtvcto" numFmtId="0">
      <sharedItems containsSemiMixedTypes="0" containsNonDate="0" containsDate="1" containsString="0" minDate="2021-05-01T00:00:00" maxDate="2021-06-01T00:00:00"/>
    </cacheField>
    <cacheField name="Valor" numFmtId="0">
      <sharedItems containsSemiMixedTypes="0" containsString="0" containsNumber="1" minValue="0" maxValue="47709"/>
    </cacheField>
    <cacheField name="tipo" numFmtId="0">
      <sharedItems containsBlank="1" count="7">
        <s v="VENTURE"/>
        <s v="SEMAN"/>
        <s v="PARTICULAR"/>
        <s v="SOLUTEC"/>
        <s v="PKS"/>
        <s v="BSP"/>
        <m u="1"/>
      </sharedItems>
    </cacheField>
    <cacheField name="Pagto." numFmtId="0">
      <sharedItems containsSemiMixedTypes="0" containsNonDate="0" containsDate="1" containsString="0" minDate="2021-05-03T00:00:00" maxDate="2021-06-01T00:00:00" count="21"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5-3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a.deco" refreshedDate="44384.715491550924" createdVersion="1" refreshedVersion="4" recordCount="218" upgradeOnRefresh="1" xr:uid="{00000000-000A-0000-FFFF-FFFF02000000}">
  <cacheSource type="worksheet">
    <worksheetSource ref="A1:H219" sheet="06_21"/>
  </cacheSource>
  <cacheFields count="8">
    <cacheField name="0" numFmtId="0">
      <sharedItems containsNonDate="0" containsString="0" containsBlank="1"/>
    </cacheField>
    <cacheField name="tm" numFmtId="0">
      <sharedItems containsNonDate="0" containsString="0" containsBlank="1"/>
    </cacheField>
    <cacheField name="CodCli" numFmtId="0">
      <sharedItems containsBlank="1"/>
    </cacheField>
    <cacheField name="Nome" numFmtId="0">
      <sharedItems containsBlank="1"/>
    </cacheField>
    <cacheField name="dtvcto" numFmtId="0">
      <sharedItems containsSemiMixedTypes="0" containsNonDate="0" containsDate="1" containsString="0" minDate="2021-06-01T00:00:00" maxDate="2021-07-01T00:00:00"/>
    </cacheField>
    <cacheField name="Valor" numFmtId="0">
      <sharedItems containsSemiMixedTypes="0" containsString="0" containsNumber="1" minValue="0" maxValue="46049"/>
    </cacheField>
    <cacheField name="tipo" numFmtId="0">
      <sharedItems containsBlank="1" count="7">
        <s v="PARTICULAR"/>
        <s v="SEMAN"/>
        <s v="VENTURE"/>
        <s v="PKS"/>
        <s v="SOLUTEC"/>
        <s v="BSP"/>
        <m u="1"/>
      </sharedItems>
    </cacheField>
    <cacheField name="Pagto." numFmtId="0">
      <sharedItems containsSemiMixedTypes="0" containsNonDate="0" containsDate="1" containsString="0" minDate="2021-06-01T00:00:00" maxDate="2021-07-01T00:00:00" count="22"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a.deco" refreshedDate="44427.568889930553" createdVersion="1" refreshedVersion="4" recordCount="186" upgradeOnRefresh="1" xr:uid="{00000000-000A-0000-FFFF-FFFF03000000}">
  <cacheSource type="worksheet">
    <worksheetSource ref="A1:H187" sheet="07_21"/>
  </cacheSource>
  <cacheFields count="8">
    <cacheField name="0" numFmtId="0">
      <sharedItems containsNonDate="0" containsString="0" containsBlank="1"/>
    </cacheField>
    <cacheField name="tm" numFmtId="0">
      <sharedItems containsNonDate="0" containsString="0" containsBlank="1"/>
    </cacheField>
    <cacheField name="CodCli" numFmtId="0">
      <sharedItems/>
    </cacheField>
    <cacheField name="Nome" numFmtId="0">
      <sharedItems/>
    </cacheField>
    <cacheField name="dtvcto" numFmtId="0">
      <sharedItems containsSemiMixedTypes="0" containsNonDate="0" containsDate="1" containsString="0" minDate="2021-07-01T00:00:00" maxDate="2021-07-31T00:00:00"/>
    </cacheField>
    <cacheField name="Valor" numFmtId="0">
      <sharedItems containsSemiMixedTypes="0" containsString="0" containsNumber="1" minValue="30" maxValue="56916"/>
    </cacheField>
    <cacheField name="tipo" numFmtId="0">
      <sharedItems containsBlank="1" count="6">
        <s v="VENTURE"/>
        <s v="SEMAN"/>
        <s v="PARTICULAR"/>
        <s v="PKS"/>
        <s v="SOLUTEC"/>
        <m u="1"/>
      </sharedItems>
    </cacheField>
    <cacheField name="Pagto." numFmtId="0">
      <sharedItems containsSemiMixedTypes="0" containsNonDate="0" containsDate="1" containsString="0" minDate="2021-07-01T00:00:00" maxDate="2021-07-31T00:00:00" count="22">
        <d v="2021-07-01T00:00:00"/>
        <d v="2021-07-02T00:00:00"/>
        <d v="2021-07-05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a.deco" refreshedDate="44440.405967708335" createdVersion="1" refreshedVersion="4" recordCount="141" upgradeOnRefresh="1" xr:uid="{00000000-000A-0000-FFFF-FFFF04000000}">
  <cacheSource type="worksheet">
    <worksheetSource ref="A1:H142" sheet="08_21"/>
  </cacheSource>
  <cacheFields count="8">
    <cacheField name="0" numFmtId="0">
      <sharedItems containsNonDate="0" containsString="0" containsBlank="1"/>
    </cacheField>
    <cacheField name="tm" numFmtId="0">
      <sharedItems containsNonDate="0" containsString="0" containsBlank="1"/>
    </cacheField>
    <cacheField name="CodCli" numFmtId="0">
      <sharedItems containsBlank="1"/>
    </cacheField>
    <cacheField name="Nome" numFmtId="0">
      <sharedItems containsBlank="1"/>
    </cacheField>
    <cacheField name="dtvcto" numFmtId="0">
      <sharedItems containsSemiMixedTypes="0" containsNonDate="0" containsDate="1" containsString="0" minDate="2021-08-01T00:00:00" maxDate="2021-09-01T00:00:00"/>
    </cacheField>
    <cacheField name="Valor" numFmtId="0">
      <sharedItems containsSemiMixedTypes="0" containsString="0" containsNumber="1" minValue="0" maxValue="48109"/>
    </cacheField>
    <cacheField name="tipo" numFmtId="0">
      <sharedItems count="5">
        <s v="VENTURE"/>
        <s v="SEMAN"/>
        <s v="PARTICULAR"/>
        <s v="PKS"/>
        <s v="SOLUTEC"/>
      </sharedItems>
    </cacheField>
    <cacheField name="Pagto." numFmtId="0">
      <sharedItems containsSemiMixedTypes="0" containsNonDate="0" containsDate="1" containsString="0" minDate="2021-08-02T00:00:00" maxDate="2021-09-01T00:00:00" count="22"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a.deco" refreshedDate="44473.713588078703" createdVersion="1" refreshedVersion="4" recordCount="184" upgradeOnRefresh="1" xr:uid="{00000000-000A-0000-FFFF-FFFF05000000}">
  <cacheSource type="worksheet">
    <worksheetSource ref="A1:H185" sheet="09_21"/>
  </cacheSource>
  <cacheFields count="8">
    <cacheField name="0" numFmtId="0">
      <sharedItems containsNonDate="0" containsString="0" containsBlank="1"/>
    </cacheField>
    <cacheField name="tm" numFmtId="0">
      <sharedItems containsNonDate="0" containsString="0" containsBlank="1"/>
    </cacheField>
    <cacheField name="CodCli" numFmtId="0">
      <sharedItems containsBlank="1"/>
    </cacheField>
    <cacheField name="Nome" numFmtId="0">
      <sharedItems containsBlank="1"/>
    </cacheField>
    <cacheField name="dtvcto" numFmtId="0">
      <sharedItems containsSemiMixedTypes="0" containsNonDate="0" containsDate="1" containsString="0" minDate="2021-09-01T00:00:00" maxDate="2021-10-01T00:00:00"/>
    </cacheField>
    <cacheField name="Valor" numFmtId="0">
      <sharedItems containsSemiMixedTypes="0" containsString="0" containsNumber="1" minValue="0" maxValue="176189.58"/>
    </cacheField>
    <cacheField name="tipo" numFmtId="0">
      <sharedItems count="5">
        <s v="VENTURE"/>
        <s v="SEMAN"/>
        <s v="PARTICULAR"/>
        <s v="PKS"/>
        <s v="SOLUTEC"/>
      </sharedItems>
    </cacheField>
    <cacheField name="Pagto." numFmtId="0">
      <sharedItems containsSemiMixedTypes="0" containsNonDate="0" containsDate="1" containsString="0" minDate="2021-09-01T00:00:00" maxDate="2021-10-01T00:00:00" count="22">
        <d v="2021-09-01T00:00:00"/>
        <d v="2021-09-02T00:00:00"/>
        <d v="2021-09-03T00:00:00"/>
        <d v="2021-09-06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a.deco" refreshedDate="44497.370322337963" createdVersion="1" refreshedVersion="4" recordCount="226" upgradeOnRefresh="1" xr:uid="{00000000-000A-0000-FFFF-FFFF06000000}">
  <cacheSource type="worksheet">
    <worksheetSource ref="A1:H227" sheet="03_21"/>
  </cacheSource>
  <cacheFields count="8">
    <cacheField name="0" numFmtId="0">
      <sharedItems containsNonDate="0" containsString="0" containsBlank="1"/>
    </cacheField>
    <cacheField name="tm" numFmtId="0">
      <sharedItems containsNonDate="0" containsString="0" containsBlank="1"/>
    </cacheField>
    <cacheField name="CodCli" numFmtId="0">
      <sharedItems containsBlank="1"/>
    </cacheField>
    <cacheField name="Nome" numFmtId="0">
      <sharedItems containsBlank="1"/>
    </cacheField>
    <cacheField name="dtvcto" numFmtId="0">
      <sharedItems containsSemiMixedTypes="0" containsNonDate="0" containsDate="1" containsString="0" minDate="2021-03-01T00:00:00" maxDate="2021-04-01T00:00:00"/>
    </cacheField>
    <cacheField name="Valor" numFmtId="0">
      <sharedItems containsSemiMixedTypes="0" containsString="0" containsNumber="1" minValue="0" maxValue="60528.35"/>
    </cacheField>
    <cacheField name="tipo" numFmtId="0">
      <sharedItems containsBlank="1" count="7">
        <s v="VENTURE"/>
        <s v="SEMAN"/>
        <s v="PARTICULAR"/>
        <s v="PKS"/>
        <s v="SOLUTEC"/>
        <m u="1"/>
        <s v="BSP" u="1"/>
      </sharedItems>
    </cacheField>
    <cacheField name="Pagto." numFmtId="0">
      <sharedItems containsSemiMixedTypes="0" containsNonDate="0" containsDate="1" containsString="0" minDate="2021-03-01T00:00:00" maxDate="2021-04-01T00:00:00" count="23"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a.deco" refreshedDate="44497.370548379629" createdVersion="1" refreshedVersion="4" recordCount="211" upgradeOnRefresh="1" xr:uid="{00000000-000A-0000-FFFF-FFFF07000000}">
  <cacheSource type="worksheet">
    <worksheetSource ref="A1:H212" sheet="02_21"/>
  </cacheSource>
  <cacheFields count="8">
    <cacheField name="0" numFmtId="0">
      <sharedItems containsNonDate="0" containsString="0" containsBlank="1"/>
    </cacheField>
    <cacheField name="tm" numFmtId="0">
      <sharedItems containsNonDate="0" containsString="0" containsBlank="1"/>
    </cacheField>
    <cacheField name="CodCli" numFmtId="0">
      <sharedItems containsBlank="1"/>
    </cacheField>
    <cacheField name="Nome" numFmtId="0">
      <sharedItems containsBlank="1"/>
    </cacheField>
    <cacheField name="dtvcto" numFmtId="0">
      <sharedItems containsSemiMixedTypes="0" containsNonDate="0" containsDate="1" containsString="0" minDate="2021-02-01T00:00:00" maxDate="2021-02-27T00:00:00"/>
    </cacheField>
    <cacheField name="valor" numFmtId="0">
      <sharedItems containsSemiMixedTypes="0" containsString="0" containsNumber="1" minValue="0" maxValue="151864.5"/>
    </cacheField>
    <cacheField name="tipo" numFmtId="0">
      <sharedItems containsBlank="1" count="9">
        <s v="VENTURE"/>
        <s v="SEMAN"/>
        <s v="PARTICULAR"/>
        <s v="PKS"/>
        <s v="SOLUTEC"/>
        <m u="1"/>
        <s v="BSP" u="1"/>
        <s v="PATICULAR " u="1"/>
        <s v="BSP " u="1"/>
      </sharedItems>
    </cacheField>
    <cacheField name="Pagto." numFmtId="0">
      <sharedItems containsSemiMixedTypes="0" containsNonDate="0" containsDate="1" containsString="0" minDate="2013-02-01T00:00:00" maxDate="2021-02-27T00:00:00" count="181"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5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13-02-26T00:00:00" u="1"/>
        <d v="2014-02-26T00:00:00" u="1"/>
        <d v="2015-02-26T00:00:00" u="1"/>
        <d v="2016-02-26T00:00:00" u="1"/>
        <d v="2018-02-26T00:00:00" u="1"/>
        <d v="2019-02-26T00:00:00" u="1"/>
        <d v="2013-02-22T00:00:00" u="1"/>
        <d v="2020-02-26T00:00:00" u="1"/>
        <d v="2016-02-22T00:00:00" u="1"/>
        <d v="2017-02-22T00:00:00" u="1"/>
        <d v="2018-02-22T00:00:00" u="1"/>
        <d v="2019-02-22T00:00:00" u="1"/>
        <d v="2013-02-18T00:00:00" u="1"/>
        <d v="2014-02-18T00:00:00" u="1"/>
        <d v="2015-02-18T00:00:00" u="1"/>
        <d v="2016-02-18T00:00:00" u="1"/>
        <d v="2019-02-18T00:00:00" u="1"/>
        <d v="2013-02-14T00:00:00" u="1"/>
        <d v="2020-02-18T00:00:00" u="1"/>
        <d v="2014-02-14T00:00:00" u="1"/>
        <d v="2017-02-14T00:00:00" u="1"/>
        <d v="2018-02-14T00:00:00" u="1"/>
        <d v="2019-02-14T00:00:00" u="1"/>
        <d v="2020-02-14T00:00:00" u="1"/>
        <d v="2014-02-10T00:00:00" u="1"/>
        <d v="2015-02-10T00:00:00" u="1"/>
        <d v="2016-02-10T00:00:00" u="1"/>
        <d v="2017-02-10T00:00:00" u="1"/>
        <d v="2013-02-06T00:00:00" u="1"/>
        <d v="2020-02-10T00:00:00" u="1"/>
        <d v="2014-02-06T00:00:00" u="1"/>
        <d v="2015-02-06T00:00:00" u="1"/>
        <d v="2017-02-06T00:00:00" u="1"/>
        <d v="2018-02-06T00:00:00" u="1"/>
        <d v="2019-02-06T00:00:00" u="1"/>
        <d v="2020-02-06T00:00:00" u="1"/>
        <d v="2015-02-02T00:00:00" u="1"/>
        <d v="2016-02-02T00:00:00" u="1"/>
        <d v="2017-02-02T00:00:00" u="1"/>
        <d v="2018-02-02T00:00:00" u="1"/>
        <d v="2016-02-29T00:00:00" u="1"/>
        <d v="2013-02-25T00:00:00" u="1"/>
        <d v="2014-02-25T00:00:00" u="1"/>
        <d v="2015-02-25T00:00:00" u="1"/>
        <d v="2016-02-25T00:00:00" u="1"/>
        <d v="2019-02-25T00:00:00" u="1"/>
        <d v="2013-02-21T00:00:00" u="1"/>
        <d v="2020-02-25T00:00:00" u="1"/>
        <d v="2014-02-21T00:00:00" u="1"/>
        <d v="2017-02-21T00:00:00" u="1"/>
        <d v="2018-02-21T00:00:00" u="1"/>
        <d v="2019-02-21T00:00:00" u="1"/>
        <d v="2020-02-21T00:00:00" u="1"/>
        <d v="2014-02-17T00:00:00" u="1"/>
        <d v="2015-02-17T00:00:00" u="1"/>
        <d v="2016-02-17T00:00:00" u="1"/>
        <d v="2017-02-17T00:00:00" u="1"/>
        <d v="2013-02-13T00:00:00" u="1"/>
        <d v="2020-02-17T00:00:00" u="1"/>
        <d v="2014-02-13T00:00:00" u="1"/>
        <d v="2015-02-13T00:00:00" u="1"/>
        <d v="2017-02-13T00:00:00" u="1"/>
        <d v="2018-02-13T00:00:00" u="1"/>
        <d v="2019-02-13T00:00:00" u="1"/>
        <d v="2020-02-13T00:00:00" u="1"/>
        <d v="2015-02-09T00:00:00" u="1"/>
        <d v="2016-02-09T00:00:00" u="1"/>
        <d v="2017-02-09T00:00:00" u="1"/>
        <d v="2018-02-09T00:00:00" u="1"/>
        <d v="2013-02-05T00:00:00" u="1"/>
        <d v="2014-02-05T00:00:00" u="1"/>
        <d v="2015-02-05T00:00:00" u="1"/>
        <d v="2016-02-05T00:00:00" u="1"/>
        <d v="2018-02-05T00:00:00" u="1"/>
        <d v="2019-02-05T00:00:00" u="1"/>
        <d v="2013-02-01T00:00:00" u="1"/>
        <d v="2020-02-05T00:00:00" u="1"/>
        <d v="2016-02-01T00:00:00" u="1"/>
        <d v="2017-02-01T00:00:00" u="1"/>
        <d v="2018-02-01T00:00:00" u="1"/>
        <d v="2019-02-01T00:00:00" u="1"/>
        <d v="2013-02-28T00:00:00" u="1"/>
        <d v="2014-02-28T00:00:00" u="1"/>
        <d v="2017-02-28T00:00:00" u="1"/>
        <d v="2018-02-28T00:00:00" u="1"/>
        <d v="2019-02-28T00:00:00" u="1"/>
        <d v="2020-02-28T00:00:00" u="1"/>
        <d v="2014-02-24T00:00:00" u="1"/>
        <d v="2015-02-24T00:00:00" u="1"/>
        <d v="2016-02-24T00:00:00" u="1"/>
        <d v="2017-02-24T00:00:00" u="1"/>
        <d v="2013-02-20T00:00:00" u="1"/>
        <d v="2020-02-24T00:00:00" u="1"/>
        <d v="2014-02-20T00:00:00" u="1"/>
        <d v="2015-02-20T00:00:00" u="1"/>
        <d v="2017-02-20T00:00:00" u="1"/>
        <d v="2018-02-20T00:00:00" u="1"/>
        <d v="2019-02-20T00:00:00" u="1"/>
        <d v="2020-02-20T00:00:00" u="1"/>
        <d v="2015-02-16T00:00:00" u="1"/>
        <d v="2016-02-16T00:00:00" u="1"/>
        <d v="2017-02-16T00:00:00" u="1"/>
        <d v="2018-02-16T00:00:00" u="1"/>
        <d v="2013-02-12T00:00:00" u="1"/>
        <d v="2014-02-12T00:00:00" u="1"/>
        <d v="2015-02-12T00:00:00" u="1"/>
        <d v="2016-02-12T00:00:00" u="1"/>
        <d v="2018-02-12T00:00:00" u="1"/>
        <d v="2019-02-12T00:00:00" u="1"/>
        <d v="2013-02-08T00:00:00" u="1"/>
        <d v="2020-02-12T00:00:00" u="1"/>
        <d v="2016-02-08T00:00:00" u="1"/>
        <d v="2017-02-08T00:00:00" u="1"/>
        <d v="2018-02-08T00:00:00" u="1"/>
        <d v="2019-02-08T00:00:00" u="1"/>
        <d v="2013-02-04T00:00:00" u="1"/>
        <d v="2014-02-04T00:00:00" u="1"/>
        <d v="2015-02-04T00:00:00" u="1"/>
        <d v="2016-02-04T00:00:00" u="1"/>
        <d v="2019-02-04T00:00:00" u="1"/>
        <d v="2020-02-04T00:00:00" u="1"/>
        <d v="2013-02-27T00:00:00" u="1"/>
        <d v="2014-02-27T00:00:00" u="1"/>
        <d v="2015-02-27T00:00:00" u="1"/>
        <d v="2017-02-27T00:00:00" u="1"/>
        <d v="2018-02-27T00:00:00" u="1"/>
        <d v="2019-02-27T00:00:00" u="1"/>
        <d v="2020-02-27T00:00:00" u="1"/>
        <d v="2015-02-23T00:00:00" u="1"/>
        <d v="2016-02-23T00:00:00" u="1"/>
        <d v="2017-02-23T00:00:00" u="1"/>
        <d v="2018-02-23T00:00:00" u="1"/>
        <d v="2013-02-19T00:00:00" u="1"/>
        <d v="2014-02-19T00:00:00" u="1"/>
        <d v="2015-02-19T00:00:00" u="1"/>
        <d v="2016-02-19T00:00:00" u="1"/>
        <d v="2018-02-19T00:00:00" u="1"/>
        <d v="2019-02-19T00:00:00" u="1"/>
        <d v="2013-02-15T00:00:00" u="1"/>
        <d v="2020-02-19T00:00:00" u="1"/>
        <d v="2016-02-15T00:00:00" u="1"/>
        <d v="2017-02-15T00:00:00" u="1"/>
        <d v="2018-02-15T00:00:00" u="1"/>
        <d v="2019-02-15T00:00:00" u="1"/>
        <d v="2013-02-11T00:00:00" u="1"/>
        <d v="2014-02-11T00:00:00" u="1"/>
        <d v="2015-02-11T00:00:00" u="1"/>
        <d v="2016-02-11T00:00:00" u="1"/>
        <d v="2019-02-11T00:00:00" u="1"/>
        <d v="2013-02-07T00:00:00" u="1"/>
        <d v="2020-02-11T00:00:00" u="1"/>
        <d v="2014-02-07T00:00:00" u="1"/>
        <d v="2017-02-07T00:00:00" u="1"/>
        <d v="2018-02-07T00:00:00" u="1"/>
        <d v="2019-02-07T00:00:00" u="1"/>
        <d v="2020-02-07T00:00:00" u="1"/>
        <d v="2014-02-03T00:00:00" u="1"/>
        <d v="2015-02-03T00:00:00" u="1"/>
        <d v="2016-02-03T00:00:00" u="1"/>
        <d v="2017-02-03T00:00:00" u="1"/>
        <d v="2020-02-03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a.deco" refreshedDate="44497.370776388889" createdVersion="1" refreshedVersion="4" recordCount="146" upgradeOnRefresh="1" xr:uid="{00000000-000A-0000-FFFF-FFFF08000000}">
  <cacheSource type="worksheet">
    <worksheetSource ref="A1:H147" sheet="01_21"/>
  </cacheSource>
  <cacheFields count="8">
    <cacheField name="0" numFmtId="0">
      <sharedItems containsNonDate="0" containsString="0" containsBlank="1"/>
    </cacheField>
    <cacheField name="tm" numFmtId="0">
      <sharedItems containsNonDate="0" containsString="0" containsBlank="1"/>
    </cacheField>
    <cacheField name="CodCli" numFmtId="0">
      <sharedItems/>
    </cacheField>
    <cacheField name="Nome" numFmtId="0">
      <sharedItems/>
    </cacheField>
    <cacheField name="dtvcto" numFmtId="0">
      <sharedItems containsSemiMixedTypes="0" containsNonDate="0" containsDate="1" containsString="0" minDate="2021-01-01T00:00:00" maxDate="2021-01-30T00:00:00"/>
    </cacheField>
    <cacheField name="valor" numFmtId="0">
      <sharedItems containsSemiMixedTypes="0" containsString="0" containsNumber="1" minValue="45.76" maxValue="38605"/>
    </cacheField>
    <cacheField name="tipo" numFmtId="0">
      <sharedItems containsBlank="1" count="6">
        <s v="PARTICULAR"/>
        <s v="VENTURE"/>
        <s v="SEMAN"/>
        <s v="PKS"/>
        <m u="1"/>
        <s v="SOLUTEC" u="1"/>
      </sharedItems>
    </cacheField>
    <cacheField name="Pagto." numFmtId="0">
      <sharedItems containsSemiMixedTypes="0" containsNonDate="0" containsDate="1" containsString="0" minDate="2020-01-02T00:00:00" maxDate="2021-01-30T00:00:00" count="43">
        <d v="2021-01-0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8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0-01-30T00:00:00" u="1"/>
        <d v="2020-01-23T00:00:00" u="1"/>
        <d v="2020-01-16T00:00:00" u="1"/>
        <d v="2020-01-09T00:00:00" u="1"/>
        <d v="2020-01-28T00:00:00" u="1"/>
        <d v="2020-01-02T00:00:00" u="1"/>
        <d v="2020-01-21T00:00:00" u="1"/>
        <d v="2020-01-14T00:00:00" u="1"/>
        <d v="2020-01-07T00:00:00" u="1"/>
        <d v="2020-01-31T00:00:00" u="1"/>
        <d v="2020-01-24T00:00:00" u="1"/>
        <d v="2020-01-17T00:00:00" u="1"/>
        <d v="2020-01-10T00:00:00" u="1"/>
        <d v="2020-01-29T00:00:00" u="1"/>
        <d v="2020-01-03T00:00:00" u="1"/>
        <d v="2020-01-22T00:00:00" u="1"/>
        <d v="2020-01-15T00:00:00" u="1"/>
        <d v="2020-01-08T00:00:00" u="1"/>
        <d v="2020-01-27T00:00:00" u="1"/>
        <d v="2020-01-20T00:00:00" u="1"/>
        <d v="2020-01-13T00:00:00" u="1"/>
        <d v="2020-01-06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a.deco" refreshedDate="44498.661832523147" createdVersion="1" refreshedVersion="4" recordCount="65" upgradeOnRefresh="1" xr:uid="{00000000-000A-0000-FFFF-FFFF09000000}">
  <cacheSource type="worksheet">
    <worksheetSource ref="A1:H69" sheet="12_21"/>
  </cacheSource>
  <cacheFields count="8">
    <cacheField name="0" numFmtId="0">
      <sharedItems containsNonDate="0" containsString="0" containsBlank="1"/>
    </cacheField>
    <cacheField name="tm" numFmtId="0">
      <sharedItems containsNonDate="0" containsString="0" containsBlank="1"/>
    </cacheField>
    <cacheField name="CodCli" numFmtId="0">
      <sharedItems/>
    </cacheField>
    <cacheField name="Nome" numFmtId="0">
      <sharedItems/>
    </cacheField>
    <cacheField name="dtvcto" numFmtId="0">
      <sharedItems containsSemiMixedTypes="0" containsNonDate="0" containsDate="1" containsString="0" minDate="2021-12-01T00:00:00" maxDate="2021-12-31T00:00:00"/>
    </cacheField>
    <cacheField name="Valor" numFmtId="0">
      <sharedItems containsSemiMixedTypes="0" containsString="0" containsNumber="1" minValue="141" maxValue="90000"/>
    </cacheField>
    <cacheField name="tipo" numFmtId="0">
      <sharedItems count="5">
        <s v="PARTICULAR"/>
        <s v="VENTURE"/>
        <s v="SEMAN"/>
        <s v="PKS"/>
        <s v="SOLUTEC"/>
      </sharedItems>
    </cacheField>
    <cacheField name="Pagto." numFmtId="0">
      <sharedItems containsSemiMixedTypes="0" containsNonDate="0" containsDate="1" containsString="0" minDate="2021-12-01T00:00:00" maxDate="2021-12-31T00:00:00" count="22"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4T00:00:00"/>
        <d v="2021-12-27T00:00:00"/>
        <d v="2021-12-28T00:00:00"/>
        <d v="2021-12-29T00:00:00"/>
        <d v="2021-12-30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a.deco" refreshedDate="44503.535287268518" createdVersion="1" refreshedVersion="4" recordCount="117" upgradeOnRefresh="1" xr:uid="{00000000-000A-0000-FFFF-FFFF0A000000}">
  <cacheSource type="worksheet">
    <worksheetSource ref="A1:H118" sheet="10_21"/>
  </cacheSource>
  <cacheFields count="8">
    <cacheField name="0" numFmtId="0">
      <sharedItems containsNonDate="0" containsString="0" containsBlank="1"/>
    </cacheField>
    <cacheField name="tm" numFmtId="0">
      <sharedItems containsNonDate="0" containsString="0" containsBlank="1"/>
    </cacheField>
    <cacheField name="CodCli" numFmtId="0">
      <sharedItems containsBlank="1"/>
    </cacheField>
    <cacheField name="Nome" numFmtId="0">
      <sharedItems containsBlank="1"/>
    </cacheField>
    <cacheField name="dtvcto" numFmtId="0">
      <sharedItems containsSemiMixedTypes="0" containsNonDate="0" containsDate="1" containsString="0" minDate="2021-10-01T00:00:00" maxDate="2021-10-30T00:00:00"/>
    </cacheField>
    <cacheField name="Valor" numFmtId="0">
      <sharedItems containsSemiMixedTypes="0" containsString="0" containsNumber="1" minValue="0" maxValue="53975"/>
    </cacheField>
    <cacheField name="tipo" numFmtId="0">
      <sharedItems count="4">
        <s v="VENTURE"/>
        <s v="PARTICULAR"/>
        <s v="SEMAN"/>
        <s v="PKS"/>
      </sharedItems>
    </cacheField>
    <cacheField name="Pagto." numFmtId="0">
      <sharedItems containsSemiMixedTypes="0" containsNonDate="0" containsDate="1" containsString="0" minDate="2021-10-01T00:00:00" maxDate="2021-10-30T00:00:00" count="21"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mendes" refreshedDate="44508.355768402776" createdVersion="1" refreshedVersion="4" recordCount="155" upgradeOnRefresh="1" xr:uid="{00000000-000A-0000-FFFF-FFFF0B000000}">
  <cacheSource type="worksheet">
    <worksheetSource ref="A1:H156" sheet="11_21"/>
  </cacheSource>
  <cacheFields count="8">
    <cacheField name="0" numFmtId="0">
      <sharedItems containsNonDate="0" containsString="0" containsBlank="1"/>
    </cacheField>
    <cacheField name="tm" numFmtId="0">
      <sharedItems containsNonDate="0" containsString="0" containsBlank="1"/>
    </cacheField>
    <cacheField name="CodCli" numFmtId="0">
      <sharedItems/>
    </cacheField>
    <cacheField name="Nome" numFmtId="0">
      <sharedItems/>
    </cacheField>
    <cacheField name="dtvcto" numFmtId="0">
      <sharedItems containsSemiMixedTypes="0" containsNonDate="0" containsDate="1" containsString="0" minDate="2021-11-01T00:00:00" maxDate="2021-12-01T00:00:00"/>
    </cacheField>
    <cacheField name="Valor" numFmtId="0">
      <sharedItems containsSemiMixedTypes="0" containsString="0" containsNumber="1" minValue="40" maxValue="55914"/>
    </cacheField>
    <cacheField name="tipo" numFmtId="0">
      <sharedItems count="5">
        <s v="VENTURE"/>
        <s v="SEMAN"/>
        <s v="PARTICULAR"/>
        <s v="PKS"/>
        <s v="SOLUTEC"/>
      </sharedItems>
    </cacheField>
    <cacheField name="Pagto." numFmtId="0">
      <sharedItems containsSemiMixedTypes="0" containsNonDate="0" containsDate="1" containsString="0" minDate="2021-11-01T00:00:00" maxDate="2021-12-01T00:00:00" count="20">
        <d v="2021-11-01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5T00:00:00"/>
        <d v="2021-11-26T00:00:00"/>
        <d v="2021-11-29T00:00:00"/>
        <d v="2021-11-30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2">
  <r>
    <s v="EXPEDIENTE"/>
    <s v="LICEIS"/>
    <d v="2021-04-01T00:00:00"/>
    <n v="215.8"/>
    <x v="0"/>
    <x v="0"/>
  </r>
  <r>
    <s v="SOCIOS"/>
    <s v="RETIRADA PAULO SILVA"/>
    <d v="2021-04-01T00:00:00"/>
    <n v="2000"/>
    <x v="1"/>
    <x v="0"/>
  </r>
  <r>
    <s v="EPI"/>
    <s v="ZAPA"/>
    <d v="2021-04-01T00:00:00"/>
    <n v="312"/>
    <x v="0"/>
    <x v="0"/>
  </r>
  <r>
    <s v="COMBUSTIVEL"/>
    <s v="TEONAS - MENSAL. Obs. Disponibilizar em 01.04"/>
    <d v="2021-04-01T00:00:00"/>
    <n v="150"/>
    <x v="0"/>
    <x v="0"/>
  </r>
  <r>
    <s v="COMBUSTIVEL"/>
    <s v="GENILSON - MENSAL Obs. Disponibilizar em 01.04"/>
    <d v="2021-04-01T00:00:00"/>
    <n v="300"/>
    <x v="0"/>
    <x v="0"/>
  </r>
  <r>
    <s v="SALARIOS"/>
    <s v="DIF HORAS KIMBERLY"/>
    <d v="2021-04-01T00:00:00"/>
    <n v="255"/>
    <x v="0"/>
    <x v="0"/>
  </r>
  <r>
    <s v="BANCOS"/>
    <s v="JUROS E DESPESAS BANCARIAS"/>
    <d v="2021-04-01T00:00:00"/>
    <n v="3688.37"/>
    <x v="2"/>
    <x v="0"/>
  </r>
  <r>
    <s v="MANUTENCAO "/>
    <s v="KIPEL"/>
    <d v="2021-04-01T00:00:00"/>
    <n v="137"/>
    <x v="0"/>
    <x v="0"/>
  </r>
  <r>
    <s v="COMBUSTIVEL"/>
    <s v="MECANICA"/>
    <d v="2021-04-01T00:00:00"/>
    <n v="100"/>
    <x v="0"/>
    <x v="0"/>
  </r>
  <r>
    <s v="COMBUSTIVEL"/>
    <s v="CLEBER"/>
    <d v="2021-04-01T00:00:00"/>
    <n v="50"/>
    <x v="0"/>
    <x v="0"/>
  </r>
  <r>
    <s v="SALARIOS"/>
    <s v="SALARIOS - ARQUIVO PRODUCAO"/>
    <d v="2021-04-01T00:00:00"/>
    <n v="31581"/>
    <x v="0"/>
    <x v="0"/>
  </r>
  <r>
    <s v="EPI"/>
    <s v="JUSTINA - CHEQUE 23/03"/>
    <d v="2021-04-02T00:00:00"/>
    <n v="450"/>
    <x v="0"/>
    <x v="1"/>
  </r>
  <r>
    <s v="EPI"/>
    <s v="JUSTINA - CHEQUE 31/03"/>
    <d v="2021-04-02T00:00:00"/>
    <n v="1125"/>
    <x v="0"/>
    <x v="1"/>
  </r>
  <r>
    <s v="PARCELAMENTO"/>
    <s v="EMPRESTIMO FOLHA BB - 04/30"/>
    <d v="2021-04-03T00:00:00"/>
    <n v="2315.35"/>
    <x v="0"/>
    <x v="1"/>
  </r>
  <r>
    <s v="COMBUSTIVEL"/>
    <s v="REEMBOLSAR LUIS BERTONCELLO"/>
    <d v="2021-04-04T00:00:00"/>
    <n v="511.52"/>
    <x v="1"/>
    <x v="1"/>
  </r>
  <r>
    <s v="EXPEDIENTE"/>
    <s v="REEMBOLSAR DALNIR COMPRA LAMPADAS"/>
    <d v="2021-04-05T00:00:00"/>
    <n v="100"/>
    <x v="0"/>
    <x v="1"/>
  </r>
  <r>
    <s v="SOCIOS"/>
    <s v="RETIRADA LUIS BERTONCELLO"/>
    <d v="2021-04-05T00:00:00"/>
    <n v="2500"/>
    <x v="1"/>
    <x v="1"/>
  </r>
  <r>
    <s v="SOCIOS"/>
    <s v="SEGURO DE VIDA RUBENS PINTO"/>
    <d v="2021-04-05T00:00:00"/>
    <n v="725"/>
    <x v="1"/>
    <x v="1"/>
  </r>
  <r>
    <s v="COMBUSTIVEL"/>
    <s v="LUIS BERTONCELLO"/>
    <d v="2021-04-05T00:00:00"/>
    <n v="200"/>
    <x v="1"/>
    <x v="1"/>
  </r>
  <r>
    <s v="TERCEIROS"/>
    <s v="LIMPEZA MARCIA"/>
    <d v="2021-04-05T00:00:00"/>
    <n v="70"/>
    <x v="0"/>
    <x v="1"/>
  </r>
  <r>
    <s v="ACORDO"/>
    <s v="ARTHUR - CIFERAL - 03/08 - vcto 18/02"/>
    <d v="2021-04-05T00:00:00"/>
    <n v="1500"/>
    <x v="0"/>
    <x v="1"/>
  </r>
  <r>
    <s v="ACORDO"/>
    <s v="LEONARDO - CIFERAL - 03/14 - vcto 18/02"/>
    <d v="2021-04-05T00:00:00"/>
    <n v="1500"/>
    <x v="0"/>
    <x v="1"/>
  </r>
  <r>
    <s v="ACORDO"/>
    <s v="SAMUEL - CIFERAL - 03/09 - vcto 18/02"/>
    <d v="2021-04-05T00:00:00"/>
    <n v="1500"/>
    <x v="0"/>
    <x v="1"/>
  </r>
  <r>
    <s v="SALARIOS"/>
    <s v="SALARIOS - ARQUIVO LIDERES E SEGURANCA"/>
    <d v="2021-04-05T00:00:00"/>
    <n v="17403"/>
    <x v="0"/>
    <x v="1"/>
  </r>
  <r>
    <s v="SALARIOS"/>
    <s v="SALARIOS - VOLARE/CIFERAL"/>
    <d v="2021-04-06T00:00:00"/>
    <n v="24071"/>
    <x v="0"/>
    <x v="2"/>
  </r>
  <r>
    <s v="PARCELAMENTO"/>
    <s v="EMPRESTIMO FOLHA BB - 05/30"/>
    <d v="2021-04-06T00:00:00"/>
    <n v="2201.1999999999998"/>
    <x v="0"/>
    <x v="2"/>
  </r>
  <r>
    <s v="SOCIOS"/>
    <s v="IPVA CAMINHONETE LUIS BERTONCELLO"/>
    <d v="2021-04-06T00:00:00"/>
    <n v="882.17"/>
    <x v="1"/>
    <x v="2"/>
  </r>
  <r>
    <s v="FÉRIAS"/>
    <s v="FLAVIO DA SILVA LOPES - vcto 02/03 - pagar integral"/>
    <d v="2021-04-06T00:00:00"/>
    <n v="5901"/>
    <x v="0"/>
    <x v="2"/>
  </r>
  <r>
    <s v="MATERIAL"/>
    <s v="FERRAGEM DO TONINHO"/>
    <d v="2021-04-06T00:00:00"/>
    <n v="83.16"/>
    <x v="0"/>
    <x v="2"/>
  </r>
  <r>
    <s v="SALARIOS"/>
    <s v="SALARIOS - FUNCIONARIOS SEM CONTA - CAX SUL (dinheiro)"/>
    <d v="2021-04-07T00:00:00"/>
    <n v="16811"/>
    <x v="0"/>
    <x v="3"/>
  </r>
  <r>
    <s v="SALARIOS"/>
    <s v="SALARIO CLEBER MELO LINS - em dinheiro"/>
    <d v="2021-04-07T00:00:00"/>
    <n v="3729"/>
    <x v="0"/>
    <x v="3"/>
  </r>
  <r>
    <s v="SALARIOS"/>
    <s v="SALETE PAIM - pf"/>
    <d v="2021-04-07T00:00:00"/>
    <n v="1212"/>
    <x v="0"/>
    <x v="3"/>
  </r>
  <r>
    <s v="SALARIOS"/>
    <s v="SALARIOS - FUNCIONARIOS SEM CONTA - LIBRELATO (dinheiro)"/>
    <d v="2021-04-07T00:00:00"/>
    <n v="2040"/>
    <x v="0"/>
    <x v="3"/>
  </r>
  <r>
    <s v="MATERIAL"/>
    <s v="CELETRO - email Dalnir"/>
    <d v="2021-04-07T00:00:00"/>
    <n v="260"/>
    <x v="0"/>
    <x v="3"/>
  </r>
  <r>
    <s v="TERCEIROS"/>
    <s v="TRABALHOS LUAN - LT MANUTENCAO - vcto 11/12 "/>
    <d v="2021-04-07T00:00:00"/>
    <n v="1000"/>
    <x v="0"/>
    <x v="3"/>
  </r>
  <r>
    <s v="SALARIOS"/>
    <s v="PENSAO ALIMENTICIA JOSE LUIS MARIA RODRIGUES"/>
    <d v="2021-04-07T00:00:00"/>
    <n v="308.13"/>
    <x v="0"/>
    <x v="3"/>
  </r>
  <r>
    <s v="EPI"/>
    <s v="CORSUL"/>
    <d v="2021-04-08T00:00:00"/>
    <n v="311.77999999999997"/>
    <x v="0"/>
    <x v="4"/>
  </r>
  <r>
    <s v="MATERIAL"/>
    <s v="LF -  carrinho de mao"/>
    <d v="2021-04-08T00:00:00"/>
    <n v="380"/>
    <x v="0"/>
    <x v="4"/>
  </r>
  <r>
    <s v="MATERIAL"/>
    <s v="MUTERLE"/>
    <d v="2021-04-08T00:00:00"/>
    <n v="90"/>
    <x v="0"/>
    <x v="4"/>
  </r>
  <r>
    <s v="TRANSPORTE"/>
    <s v="VISATE - 30 CARTOES"/>
    <d v="2021-04-08T00:00:00"/>
    <n v="558"/>
    <x v="0"/>
    <x v="4"/>
  </r>
  <r>
    <s v="VIAGEM"/>
    <s v="GABRIEL/LIRANE"/>
    <d v="2021-04-09T00:00:00"/>
    <n v="410.02"/>
    <x v="0"/>
    <x v="5"/>
  </r>
  <r>
    <s v="COMBUSTIVEL"/>
    <s v="FLAVIO - CLEBER - PAULO EDUARDO"/>
    <d v="2021-04-09T00:00:00"/>
    <n v="300"/>
    <x v="0"/>
    <x v="5"/>
  </r>
  <r>
    <s v="RESCISAO"/>
    <s v="LUCIANE OLIVEIRA - em dinheiro"/>
    <d v="2021-04-09T00:00:00"/>
    <n v="95.18"/>
    <x v="0"/>
    <x v="5"/>
  </r>
  <r>
    <s v="VEICULOS"/>
    <s v="MANO MOTORS - UNO"/>
    <d v="2021-04-09T00:00:00"/>
    <n v="200"/>
    <x v="2"/>
    <x v="5"/>
  </r>
  <r>
    <s v="MATERIAL"/>
    <s v="POLIMEROS SUL"/>
    <d v="2021-04-09T00:00:00"/>
    <n v="27"/>
    <x v="2"/>
    <x v="5"/>
  </r>
  <r>
    <s v="VIAGEM"/>
    <s v="JOEL - 01/03"/>
    <d v="2021-04-09T00:00:00"/>
    <n v="2720"/>
    <x v="0"/>
    <x v="5"/>
  </r>
  <r>
    <s v="COMBUSTIVEL"/>
    <s v="ROGERIO"/>
    <d v="2021-04-09T00:00:00"/>
    <n v="50"/>
    <x v="1"/>
    <x v="5"/>
  </r>
  <r>
    <s v="TERCEIROS"/>
    <s v="ROGERIO - ENGENHEIRO - NF 1452 VOLARE (R$ 10.000,00) - saldo"/>
    <d v="2021-04-09T00:00:00"/>
    <n v="3500"/>
    <x v="0"/>
    <x v="5"/>
  </r>
  <r>
    <s v="MATERIAL"/>
    <s v="MAGNANI "/>
    <d v="2021-04-10T00:00:00"/>
    <n v="11.73"/>
    <x v="0"/>
    <x v="6"/>
  </r>
  <r>
    <s v="COMUNICACAO"/>
    <s v="NET - vcto 20/03 "/>
    <d v="2021-04-11T00:00:00"/>
    <n v="232.01"/>
    <x v="0"/>
    <x v="6"/>
  </r>
  <r>
    <s v="TERCEIROS"/>
    <s v="LUCHETTI COM DE AGUA"/>
    <d v="2021-04-12T00:00:00"/>
    <n v="90"/>
    <x v="2"/>
    <x v="6"/>
  </r>
  <r>
    <s v="ACORDO"/>
    <s v="MICROEMPA - 05/05 "/>
    <d v="2021-04-12T00:00:00"/>
    <n v="280"/>
    <x v="0"/>
    <x v="6"/>
  </r>
  <r>
    <s v="SOCIOS"/>
    <s v="CASAS PAGLIARIN - PAULO SILVA - sem falta, vencido em 31/03"/>
    <d v="2021-04-13T00:00:00"/>
    <n v="1769.95"/>
    <x v="1"/>
    <x v="7"/>
  </r>
  <r>
    <s v="TERCEIROS"/>
    <s v="CONTATO - TROCA DE LAMPADAS"/>
    <d v="2021-04-13T00:00:00"/>
    <n v="100"/>
    <x v="0"/>
    <x v="7"/>
  </r>
  <r>
    <s v="FÉRIAS"/>
    <s v="FABIANA DECO - PARCELA 02/03 "/>
    <d v="2021-04-13T00:00:00"/>
    <n v="1830"/>
    <x v="2"/>
    <x v="7"/>
  </r>
  <r>
    <s v="SALARIOS"/>
    <s v="PENSAO ALIMENTICIA"/>
    <d v="2021-04-13T00:00:00"/>
    <n v="1500.4099999999999"/>
    <x v="0"/>
    <x v="7"/>
  </r>
  <r>
    <s v="SALARIOS"/>
    <s v="JOEL"/>
    <d v="2021-04-13T00:00:00"/>
    <n v="6078"/>
    <x v="0"/>
    <x v="7"/>
  </r>
  <r>
    <s v="SALARIOS"/>
    <s v="SALARIOS - Nelci, Gabriel (parte)"/>
    <d v="2021-04-13T00:00:00"/>
    <n v="4635"/>
    <x v="0"/>
    <x v="7"/>
  </r>
  <r>
    <s v="SALARIOS"/>
    <s v="PAULO EDUARDO"/>
    <d v="2021-04-13T00:00:00"/>
    <n v="2885"/>
    <x v="0"/>
    <x v="7"/>
  </r>
  <r>
    <s v="SALARIOS"/>
    <s v="SALARIOS - Ramon"/>
    <d v="2021-04-13T00:00:00"/>
    <n v="2892"/>
    <x v="0"/>
    <x v="7"/>
  </r>
  <r>
    <s v="TERCEIROS"/>
    <s v="LIMPEZA MARCIA"/>
    <d v="2021-04-14T00:00:00"/>
    <n v="70"/>
    <x v="0"/>
    <x v="8"/>
  </r>
  <r>
    <s v="ENERGIA"/>
    <s v="RGE - vcto 04/03/21"/>
    <d v="2021-04-14T00:00:00"/>
    <n v="1106.44"/>
    <x v="2"/>
    <x v="8"/>
  </r>
  <r>
    <s v="ENERGIA"/>
    <s v="RGE - vcto 04/03/21"/>
    <d v="2021-04-14T00:00:00"/>
    <n v="959.21"/>
    <x v="2"/>
    <x v="8"/>
  </r>
  <r>
    <s v="COMBUSTIVEL"/>
    <s v="REEMBOLSAR DALNIR - COMBUSTIVEL UNO"/>
    <d v="2021-04-14T00:00:00"/>
    <n v="50"/>
    <x v="0"/>
    <x v="8"/>
  </r>
  <r>
    <s v="MATERIAL"/>
    <s v="REEMBOLSAR DALNIR - STEDILE"/>
    <d v="2021-04-14T00:00:00"/>
    <n v="50"/>
    <x v="2"/>
    <x v="8"/>
  </r>
  <r>
    <s v="INFORMATICA"/>
    <s v="BIG HEAD - COMP.FLAVIO"/>
    <d v="2021-04-14T00:00:00"/>
    <n v="60"/>
    <x v="0"/>
    <x v="8"/>
  </r>
  <r>
    <s v="CONSUMO"/>
    <s v="SIMOQUIMICA"/>
    <d v="2021-04-14T00:00:00"/>
    <n v="203.75"/>
    <x v="0"/>
    <x v="8"/>
  </r>
  <r>
    <s v="COMBUSTIVEL"/>
    <s v="REEMBOLSAR ROGERIO"/>
    <d v="2021-04-14T00:00:00"/>
    <n v="100"/>
    <x v="1"/>
    <x v="8"/>
  </r>
  <r>
    <s v="TERCEIROS"/>
    <s v="CARTORIO MARCOS"/>
    <d v="2021-04-14T00:00:00"/>
    <n v="63.51"/>
    <x v="2"/>
    <x v="8"/>
  </r>
  <r>
    <s v="TERCEIROS"/>
    <s v="SERGIO DAMBROS - NF 15 - (PIX 28186826068) sem falta, já combinado com ele"/>
    <d v="2021-04-14T00:00:00"/>
    <n v="1350"/>
    <x v="2"/>
    <x v="8"/>
  </r>
  <r>
    <s v="EPI"/>
    <s v="ZAPA - VCTO 08/04"/>
    <d v="2021-04-14T00:00:00"/>
    <n v="506.18"/>
    <x v="0"/>
    <x v="8"/>
  </r>
  <r>
    <s v="EPI"/>
    <s v="ZAPA - VCTO 08/04"/>
    <d v="2021-04-14T00:00:00"/>
    <n v="665.89"/>
    <x v="0"/>
    <x v="8"/>
  </r>
  <r>
    <s v="EPI"/>
    <s v="ZAPA - VCTO 09/04"/>
    <d v="2021-04-14T00:00:00"/>
    <n v="475.19"/>
    <x v="0"/>
    <x v="8"/>
  </r>
  <r>
    <s v="EPI"/>
    <s v="ZAPA - vcto 12/04"/>
    <d v="2021-04-14T00:00:00"/>
    <n v="152.46"/>
    <x v="0"/>
    <x v="8"/>
  </r>
  <r>
    <s v="MANUTENCAO "/>
    <s v="BT5 "/>
    <d v="2021-04-14T00:00:00"/>
    <n v="120"/>
    <x v="0"/>
    <x v="8"/>
  </r>
  <r>
    <s v="SALARIOS"/>
    <s v="SALARIOS - Nelci, Dalnir, Fabiana, Gabriel (saldo)"/>
    <d v="2021-04-15T00:00:00"/>
    <n v="8173"/>
    <x v="0"/>
    <x v="9"/>
  </r>
  <r>
    <s v="FÉRIAS"/>
    <s v="NELCI - 01/03"/>
    <d v="2021-04-15T00:00:00"/>
    <n v="1272"/>
    <x v="0"/>
    <x v="9"/>
  </r>
  <r>
    <s v="FÉRIAS"/>
    <s v="DALNIR - 02/03"/>
    <d v="2021-04-15T00:00:00"/>
    <n v="1996"/>
    <x v="2"/>
    <x v="9"/>
  </r>
  <r>
    <s v="TERCEIROS"/>
    <s v="ART - ROGERIO - VOLARE"/>
    <d v="2021-04-15T00:00:00"/>
    <n v="177.56"/>
    <x v="2"/>
    <x v="9"/>
  </r>
  <r>
    <s v="EPI"/>
    <s v="CORSUL "/>
    <d v="2021-04-15T00:00:00"/>
    <n v="404.9"/>
    <x v="0"/>
    <x v="9"/>
  </r>
  <r>
    <s v="SAUDE"/>
    <s v="UNIMED"/>
    <d v="2021-04-15T00:00:00"/>
    <n v="3594.05"/>
    <x v="3"/>
    <x v="9"/>
  </r>
  <r>
    <s v="MATERIAL"/>
    <s v="KIPEL - reembolsar Cleber"/>
    <d v="2021-04-15T00:00:00"/>
    <n v="39.200000000000003"/>
    <x v="2"/>
    <x v="9"/>
  </r>
  <r>
    <s v="COMBUSTIVEL"/>
    <s v="REEMBOLSAR ROGERIO"/>
    <d v="2021-04-15T00:00:00"/>
    <n v="150"/>
    <x v="1"/>
    <x v="9"/>
  </r>
  <r>
    <s v="SAUDE"/>
    <s v="REEMBOLSO MEDICACAO IVANETE ZANOTTO"/>
    <d v="2021-04-15T00:00:00"/>
    <n v="209.5"/>
    <x v="0"/>
    <x v="9"/>
  </r>
  <r>
    <s v="VEICULOS"/>
    <s v="IPVA UNO IUZ7335"/>
    <d v="2021-04-15T00:00:00"/>
    <n v="627"/>
    <x v="0"/>
    <x v="9"/>
  </r>
  <r>
    <s v="RESCISAO"/>
    <s v="DANIEL FERRARI + FGTS"/>
    <d v="2021-04-15T00:00:00"/>
    <n v="636.81000000000006"/>
    <x v="0"/>
    <x v="9"/>
  </r>
  <r>
    <s v="EPI"/>
    <s v="MAJUSEG"/>
    <d v="2021-04-15T00:00:00"/>
    <n v="1245.96"/>
    <x v="0"/>
    <x v="9"/>
  </r>
  <r>
    <s v="VIAGEM"/>
    <s v="FLAVIO - CRICIUMA"/>
    <d v="2021-04-15T00:00:00"/>
    <n v="217.4"/>
    <x v="0"/>
    <x v="9"/>
  </r>
  <r>
    <s v="COMBUSTIVEL"/>
    <s v="CLEBER"/>
    <d v="2021-04-15T00:00:00"/>
    <n v="100"/>
    <x v="0"/>
    <x v="9"/>
  </r>
  <r>
    <s v="SAUDE"/>
    <s v="PROMED"/>
    <d v="2021-04-15T00:00:00"/>
    <n v="80.25"/>
    <x v="2"/>
    <x v="9"/>
  </r>
  <r>
    <s v="CONVENIO"/>
    <s v="MICROEMPA"/>
    <d v="2021-04-15T00:00:00"/>
    <n v="84"/>
    <x v="0"/>
    <x v="9"/>
  </r>
  <r>
    <s v="COMUNICACAO"/>
    <s v="CLARO - vcto 20/03"/>
    <d v="2021-04-15T00:00:00"/>
    <n v="1542.33"/>
    <x v="2"/>
    <x v="9"/>
  </r>
  <r>
    <s v="VEICULOS"/>
    <s v="FORZZA - 03/03"/>
    <d v="2021-04-15T00:00:00"/>
    <n v="430.83"/>
    <x v="2"/>
    <x v="9"/>
  </r>
  <r>
    <s v="MATERIAL"/>
    <s v="IBP METALURGICA - PAGAR SEM FALTA (cfe Sr.Paulo)"/>
    <d v="2021-04-15T00:00:00"/>
    <n v="350.87"/>
    <x v="2"/>
    <x v="9"/>
  </r>
  <r>
    <s v="CURSO"/>
    <s v="RAFAEL SCOPEL - vcto 10/03"/>
    <d v="2021-04-15T00:00:00"/>
    <n v="1500"/>
    <x v="0"/>
    <x v="9"/>
  </r>
  <r>
    <s v="VEICULOS"/>
    <s v="MECANIA ADEMIR - CARRO CLEBER - 02/03"/>
    <d v="2021-04-15T00:00:00"/>
    <n v="566.66"/>
    <x v="2"/>
    <x v="9"/>
  </r>
  <r>
    <s v="RESCISAO"/>
    <s v="FGTS RESCISORIO FABINAO PEREIRA - Criciuma"/>
    <d v="2021-04-15T00:00:00"/>
    <n v="29.13"/>
    <x v="0"/>
    <x v="9"/>
  </r>
  <r>
    <s v="EPI"/>
    <s v="JUSTINA"/>
    <d v="2021-04-16T00:00:00"/>
    <n v="675"/>
    <x v="0"/>
    <x v="10"/>
  </r>
  <r>
    <s v="COMBUSTIVEL"/>
    <s v="LUIS BERTONCELLO"/>
    <d v="2021-04-17T00:00:00"/>
    <n v="200"/>
    <x v="1"/>
    <x v="11"/>
  </r>
  <r>
    <s v="SAUDE"/>
    <s v="PRO SALUTE - PLANO - sem falta - já pago pelos funcionarios"/>
    <d v="2021-04-18T00:00:00"/>
    <n v="880.59"/>
    <x v="0"/>
    <x v="11"/>
  </r>
  <r>
    <s v="TERCEIROS"/>
    <s v="MARCIA- LIMPEZA"/>
    <d v="2021-04-19T00:00:00"/>
    <n v="70"/>
    <x v="0"/>
    <x v="11"/>
  </r>
  <r>
    <s v="SALARIOS"/>
    <s v="ADRIANO - CIFERAL - PF CFE JOEL"/>
    <d v="2021-04-20T00:00:00"/>
    <n v="1650"/>
    <x v="0"/>
    <x v="12"/>
  </r>
  <r>
    <s v="SALARIOS"/>
    <s v="HELIO - CIFERAL - PF CFE JOEL"/>
    <d v="2021-04-20T00:00:00"/>
    <n v="1100"/>
    <x v="0"/>
    <x v="12"/>
  </r>
  <r>
    <s v="FÉRIAS"/>
    <s v="MARCELO QUIRINO (Volare) - VCTO 09/04"/>
    <d v="2021-04-20T00:00:00"/>
    <n v="2614"/>
    <x v="0"/>
    <x v="12"/>
  </r>
  <r>
    <s v="VIAGEM"/>
    <s v="JOEL - 02/03"/>
    <d v="2021-04-20T00:00:00"/>
    <n v="2720"/>
    <x v="0"/>
    <x v="12"/>
  </r>
  <r>
    <m/>
    <m/>
    <d v="2021-04-21T00:00:00"/>
    <n v="0"/>
    <x v="0"/>
    <x v="13"/>
  </r>
  <r>
    <s v="RESCISAO"/>
    <s v="ROGER JULIO - SC - FGTS RESCISORIO"/>
    <d v="2021-04-22T00:00:00"/>
    <n v="39.89"/>
    <x v="0"/>
    <x v="14"/>
  </r>
  <r>
    <s v="COMBUSTIVEL"/>
    <s v="LUIS BERTONCELLO"/>
    <d v="2021-04-22T00:00:00"/>
    <n v="200"/>
    <x v="1"/>
    <x v="14"/>
  </r>
  <r>
    <s v="COMBUSTIVEL"/>
    <s v="ROGERIO"/>
    <d v="2021-04-22T00:00:00"/>
    <n v="150"/>
    <x v="1"/>
    <x v="14"/>
  </r>
  <r>
    <s v="COMBUSTIVEL"/>
    <s v="CLEBER"/>
    <d v="2021-04-22T00:00:00"/>
    <n v="100"/>
    <x v="0"/>
    <x v="14"/>
  </r>
  <r>
    <s v="COMBUSTIVEL"/>
    <s v="FLAVIO"/>
    <d v="2021-04-22T00:00:00"/>
    <n v="100"/>
    <x v="0"/>
    <x v="14"/>
  </r>
  <r>
    <s v="TERCEIROS"/>
    <s v="TRABALHOS LUAN - LT MANUTENCAO - vcto 11/12 "/>
    <d v="2021-04-22T00:00:00"/>
    <n v="1000"/>
    <x v="0"/>
    <x v="14"/>
  </r>
  <r>
    <s v="TRANSPORTE"/>
    <s v="VISATE - 10 CARTOES"/>
    <d v="2021-04-22T00:00:00"/>
    <n v="186"/>
    <x v="0"/>
    <x v="14"/>
  </r>
  <r>
    <s v="RECLAMATORIA"/>
    <s v="ATANAIR - 05/10 - JUSTICA"/>
    <d v="2021-04-23T00:00:00"/>
    <n v="2000"/>
    <x v="0"/>
    <x v="15"/>
  </r>
  <r>
    <s v="SEGURO"/>
    <s v="PAVILHAO - 04/04"/>
    <d v="2021-04-24T00:00:00"/>
    <n v="319.91000000000003"/>
    <x v="2"/>
    <x v="16"/>
  </r>
  <r>
    <s v="ENCARGOS"/>
    <s v="FGTS RESCISORIO"/>
    <d v="2021-04-25T00:00:00"/>
    <n v="6.18"/>
    <x v="0"/>
    <x v="16"/>
  </r>
  <r>
    <s v="FRETE"/>
    <s v="JULIO - TUBOS"/>
    <d v="2021-04-26T00:00:00"/>
    <n v="100"/>
    <x v="2"/>
    <x v="16"/>
  </r>
  <r>
    <s v="RESCISAO"/>
    <s v="EVERTON SANTOS"/>
    <d v="2021-04-26T00:00:00"/>
    <n v="146.33000000000001"/>
    <x v="0"/>
    <x v="16"/>
  </r>
  <r>
    <s v="COMBUSTIVEL"/>
    <s v="GENILSON (reembolsar)"/>
    <d v="2021-04-26T00:00:00"/>
    <n v="200"/>
    <x v="0"/>
    <x v="16"/>
  </r>
  <r>
    <s v="MATERIAL"/>
    <s v="FERRAGEM DO TONINHO - DOBRADICA"/>
    <d v="2021-04-26T00:00:00"/>
    <n v="40"/>
    <x v="2"/>
    <x v="16"/>
  </r>
  <r>
    <s v="IMPOSTOS"/>
    <s v="IRF S/NF"/>
    <d v="2021-04-26T00:00:00"/>
    <n v="211.93"/>
    <x v="0"/>
    <x v="16"/>
  </r>
  <r>
    <s v="COMUNICACAO"/>
    <s v="VIVO - vcto 28/03 - telefone cortado"/>
    <d v="2021-04-26T00:00:00"/>
    <n v="380.78"/>
    <x v="3"/>
    <x v="16"/>
  </r>
  <r>
    <s v="ALIMENTACAO"/>
    <s v="RESTAURANTE ZAPAROLLI - vcto 12/04"/>
    <d v="2021-04-26T00:00:00"/>
    <n v="3413.04"/>
    <x v="2"/>
    <x v="16"/>
  </r>
  <r>
    <s v="MATERIAL"/>
    <s v="TUBOS - WSUL - COML DE FERROS CAXIAS "/>
    <d v="2021-04-26T00:00:00"/>
    <n v="4365.8999999999996"/>
    <x v="2"/>
    <x v="16"/>
  </r>
  <r>
    <s v="SOCIOS"/>
    <s v="RETIRADA PAULO SILVA - CARTAO"/>
    <d v="2021-04-26T00:00:00"/>
    <n v="2200"/>
    <x v="1"/>
    <x v="16"/>
  </r>
  <r>
    <s v="AGUA"/>
    <s v="SAMAE - vcto 16/04"/>
    <d v="2021-04-26T00:00:00"/>
    <n v="154.36000000000001"/>
    <x v="2"/>
    <x v="16"/>
  </r>
  <r>
    <s v="ENCARGOS"/>
    <s v="INSS - vcto 20/04"/>
    <d v="2021-04-26T00:00:00"/>
    <n v="12662.99"/>
    <x v="0"/>
    <x v="16"/>
  </r>
  <r>
    <s v="COMISSAO"/>
    <s v="TIAGO 2/3 - NF NEOBUS - NF 1401 NF 1476"/>
    <d v="2021-04-27T00:00:00"/>
    <n v="6421"/>
    <x v="0"/>
    <x v="17"/>
  </r>
  <r>
    <s v="EXPEDIENTE"/>
    <s v="TONER SEGURANCA - GABRIEL"/>
    <d v="2021-04-27T00:00:00"/>
    <n v="80"/>
    <x v="0"/>
    <x v="17"/>
  </r>
  <r>
    <s v="EMPRESTIMO"/>
    <s v="VERA KARLING - 09/17"/>
    <d v="2021-04-27T00:00:00"/>
    <n v="1750"/>
    <x v="2"/>
    <x v="17"/>
  </r>
  <r>
    <s v="PARCELAMENTO"/>
    <s v="MONEO - 04/18 - vcto 15/04 (1.parte)"/>
    <d v="2021-04-27T00:00:00"/>
    <n v="9650"/>
    <x v="2"/>
    <x v="17"/>
  </r>
  <r>
    <s v="ENCARGOS"/>
    <s v="FGTS - VCTO 07/04"/>
    <d v="2021-04-27T00:00:00"/>
    <n v="12158.6"/>
    <x v="0"/>
    <x v="17"/>
  </r>
  <r>
    <s v="TRANSPORTE"/>
    <s v="VAN - vcto 15/04"/>
    <d v="2021-04-27T00:00:00"/>
    <n v="3000"/>
    <x v="0"/>
    <x v="17"/>
  </r>
  <r>
    <s v="EPI"/>
    <s v="ZAPA "/>
    <d v="2021-04-27T00:00:00"/>
    <n v="630.32000000000005"/>
    <x v="0"/>
    <x v="17"/>
  </r>
  <r>
    <s v="EPI"/>
    <s v="ZAPA"/>
    <d v="2021-04-27T00:00:00"/>
    <n v="297.58999999999997"/>
    <x v="0"/>
    <x v="17"/>
  </r>
  <r>
    <s v="EPI"/>
    <s v="ZAPA"/>
    <d v="2021-04-27T00:00:00"/>
    <n v="311.39999999999998"/>
    <x v="0"/>
    <x v="17"/>
  </r>
  <r>
    <s v="ASSESSORIA"/>
    <s v="ROGERIO - PROJETISTA - WSUL - 01/06"/>
    <d v="2021-04-27T00:00:00"/>
    <n v="2500"/>
    <x v="2"/>
    <x v="17"/>
  </r>
  <r>
    <s v="SAUDE"/>
    <s v="PROMED - vcto 15/01"/>
    <d v="2021-04-27T00:00:00"/>
    <n v="2661.12"/>
    <x v="0"/>
    <x v="17"/>
  </r>
  <r>
    <s v="COMBUSTIVEL"/>
    <s v="UNO GABRIEL"/>
    <d v="2021-04-28T00:00:00"/>
    <n v="50"/>
    <x v="0"/>
    <x v="18"/>
  </r>
  <r>
    <s v="MATERIAL"/>
    <s v="LF - SOLICITACAO GABRIEL"/>
    <d v="2021-04-28T00:00:00"/>
    <n v="270"/>
    <x v="0"/>
    <x v="18"/>
  </r>
  <r>
    <s v="MATERIAL"/>
    <s v="ARAME MIG - LUAN - WSUL"/>
    <d v="2021-04-28T00:00:00"/>
    <n v="300"/>
    <x v="0"/>
    <x v="18"/>
  </r>
  <r>
    <s v="BONUS"/>
    <s v="BONUS (15 pessoas x R$ 120)"/>
    <d v="2021-04-28T00:00:00"/>
    <n v="1800"/>
    <x v="0"/>
    <x v="18"/>
  </r>
  <r>
    <s v="SALARIOS"/>
    <s v="EXTRAS LIMPEZA AR"/>
    <d v="2021-04-28T00:00:00"/>
    <n v="4612"/>
    <x v="0"/>
    <x v="18"/>
  </r>
  <r>
    <s v="SALARIOS"/>
    <s v="EXTRAS MECANICA"/>
    <d v="2021-04-28T00:00:00"/>
    <n v="5343"/>
    <x v="0"/>
    <x v="18"/>
  </r>
  <r>
    <s v="SALARIOS"/>
    <s v="EXTRAS - RAMON"/>
    <d v="2021-04-28T00:00:00"/>
    <n v="2170"/>
    <x v="0"/>
    <x v="18"/>
  </r>
  <r>
    <s v="SALARIOS"/>
    <s v="EXTRAS VOLARE/CIFERAL"/>
    <d v="2021-04-28T00:00:00"/>
    <n v="11076"/>
    <x v="0"/>
    <x v="18"/>
  </r>
  <r>
    <s v="EPI"/>
    <s v="CORSUL - PREVISAO"/>
    <d v="2021-04-28T00:00:00"/>
    <n v="179.51"/>
    <x v="0"/>
    <x v="18"/>
  </r>
  <r>
    <s v="TRANSPORTE"/>
    <s v="VAN - vcto 15/04 "/>
    <d v="2021-04-28T00:00:00"/>
    <n v="2832"/>
    <x v="0"/>
    <x v="18"/>
  </r>
  <r>
    <s v="EXPEDIENTE"/>
    <s v="LICEIS - vcto 20/04"/>
    <d v="2021-04-28T00:00:00"/>
    <n v="47.19"/>
    <x v="0"/>
    <x v="18"/>
  </r>
  <r>
    <s v="EPI"/>
    <s v="ALSCO - vcto 23/04"/>
    <d v="2021-04-28T00:00:00"/>
    <n v="79.03"/>
    <x v="0"/>
    <x v="18"/>
  </r>
  <r>
    <s v="CURSO"/>
    <s v="RAFAEL SCOPEL - vcto10/04"/>
    <d v="2021-04-28T00:00:00"/>
    <n v="1500"/>
    <x v="0"/>
    <x v="18"/>
  </r>
  <r>
    <s v="FÉRIAS"/>
    <s v="MARCIO IZAQUIEL "/>
    <d v="2021-04-28T00:00:00"/>
    <n v="2954"/>
    <x v="0"/>
    <x v="18"/>
  </r>
  <r>
    <s v="RESCISAO"/>
    <s v="GRACIELA BORTOLOZZO (vcto 23/04 - SEM FALTA JÁ ASSINOU)"/>
    <d v="2021-04-28T00:00:00"/>
    <n v="503.74"/>
    <x v="0"/>
    <x v="18"/>
  </r>
  <r>
    <s v="RECLAMATORIA"/>
    <s v="GUIA PROCESSO JOSE MELO - 01/02"/>
    <d v="2021-04-28T00:00:00"/>
    <n v="1960.78"/>
    <x v="0"/>
    <x v="18"/>
  </r>
  <r>
    <s v="ASSESSORIA"/>
    <s v="VISAO - 02/02 - vcto 10/04"/>
    <d v="2021-04-28T00:00:00"/>
    <n v="392.94"/>
    <x v="0"/>
    <x v="18"/>
  </r>
  <r>
    <s v="ASSESSORIA"/>
    <s v="VISAO - vencidos cfe acordo - vcto 19/04"/>
    <d v="2021-04-28T00:00:00"/>
    <n v="1125.24"/>
    <x v="0"/>
    <x v="18"/>
  </r>
  <r>
    <s v="ACORDO"/>
    <s v="BOX RAPIDO - 03/10"/>
    <d v="2021-04-28T00:00:00"/>
    <n v="444.18"/>
    <x v="2"/>
    <x v="18"/>
  </r>
  <r>
    <s v="TRANSPORTE"/>
    <s v="VISATE - CARTAO SMART (Adriana e Lirane)"/>
    <d v="2021-04-28T00:00:00"/>
    <n v="162.75"/>
    <x v="2"/>
    <x v="18"/>
  </r>
  <r>
    <s v="EXPEDIENTE"/>
    <s v="KIPONTO - vcto 26/04"/>
    <d v="2021-04-28T00:00:00"/>
    <n v="102"/>
    <x v="2"/>
    <x v="18"/>
  </r>
  <r>
    <s v="SAUDE"/>
    <s v="REEMBOLSAR FLAVIO - ACIDENTE NELI (farmacia + uber)"/>
    <d v="2021-04-29T00:00:00"/>
    <n v="110.1"/>
    <x v="0"/>
    <x v="19"/>
  </r>
  <r>
    <s v="ALIMENTACAO"/>
    <s v="REST TIO JOAO- vcto 17/04"/>
    <d v="2021-04-29T00:00:00"/>
    <n v="2833.48"/>
    <x v="0"/>
    <x v="19"/>
  </r>
  <r>
    <s v="COMBUSTIVEL"/>
    <s v="FLAVIO"/>
    <d v="2021-04-29T00:00:00"/>
    <n v="100"/>
    <x v="0"/>
    <x v="19"/>
  </r>
  <r>
    <s v="COMBUSTIVEL"/>
    <s v="CLEBER"/>
    <d v="2021-04-29T00:00:00"/>
    <n v="100"/>
    <x v="0"/>
    <x v="19"/>
  </r>
  <r>
    <s v="COMBUSTIVEL"/>
    <s v="GABRIEL"/>
    <d v="2021-04-29T00:00:00"/>
    <n v="100"/>
    <x v="0"/>
    <x v="19"/>
  </r>
  <r>
    <s v="SOCIOS"/>
    <s v="RETIRADA ROGERIO"/>
    <d v="2021-04-29T00:00:00"/>
    <n v="3000"/>
    <x v="1"/>
    <x v="19"/>
  </r>
  <r>
    <s v="SOCIOS"/>
    <s v="RETIRADA LUIS BERTONCELLO"/>
    <d v="2021-04-29T00:00:00"/>
    <n v="2500"/>
    <x v="1"/>
    <x v="19"/>
  </r>
  <r>
    <s v="COMBUSTIVEL"/>
    <s v="REEMBOLSAR ROGERIO"/>
    <d v="2021-04-29T00:00:00"/>
    <n v="120"/>
    <x v="1"/>
    <x v="19"/>
  </r>
  <r>
    <s v="SOCIOS"/>
    <s v="GUIA INSS LUIS BERTONCELLO - MÊS 12/2020"/>
    <d v="2021-04-29T00:00:00"/>
    <n v="1480.47"/>
    <x v="1"/>
    <x v="19"/>
  </r>
  <r>
    <s v="VEICULOS"/>
    <s v="IPVA UNO IUZ7349"/>
    <d v="2021-04-29T00:00:00"/>
    <n v="603.5"/>
    <x v="0"/>
    <x v="19"/>
  </r>
  <r>
    <s v="SOCIOS"/>
    <s v="IRF VERA KARLING - 01/08"/>
    <d v="2021-04-29T00:00:00"/>
    <n v="236.8"/>
    <x v="0"/>
    <x v="19"/>
  </r>
  <r>
    <s v="SOCIOS"/>
    <s v="SEGURO STRADA LUIS - 07/07 - sem falta (aguardar novo boleto)"/>
    <d v="2021-04-29T00:00:00"/>
    <n v="235.26"/>
    <x v="1"/>
    <x v="19"/>
  </r>
  <r>
    <s v="TERCEIROS"/>
    <s v="IONICE LUISA - chaveiro casa de pedra - pagar em dinheiro"/>
    <d v="2021-04-29T00:00:00"/>
    <n v="90"/>
    <x v="2"/>
    <x v="19"/>
  </r>
  <r>
    <s v="VIAGEM"/>
    <s v="VOB HOTEL "/>
    <d v="2021-04-29T00:00:00"/>
    <n v="224"/>
    <x v="0"/>
    <x v="19"/>
  </r>
  <r>
    <s v="INFORMATICA"/>
    <s v="DIGISAM - vcto 15/03/2020"/>
    <d v="2021-04-29T00:00:00"/>
    <n v="1155"/>
    <x v="2"/>
    <x v="19"/>
  </r>
  <r>
    <s v="FÉRIAS"/>
    <s v="NELCI - 02/03"/>
    <d v="2021-04-29T00:00:00"/>
    <n v="1272"/>
    <x v="0"/>
    <x v="19"/>
  </r>
  <r>
    <s v="EXPEDIENTE"/>
    <s v="LICEIS"/>
    <d v="2021-04-29T00:00:00"/>
    <n v="159.35"/>
    <x v="0"/>
    <x v="19"/>
  </r>
  <r>
    <s v="ALIMENTACAO"/>
    <s v="CRISTINE LANCHES"/>
    <d v="2021-04-29T00:00:00"/>
    <n v="1937.6"/>
    <x v="0"/>
    <x v="19"/>
  </r>
  <r>
    <s v="INFORMATICA"/>
    <s v="LICEIS"/>
    <d v="2021-04-29T00:00:00"/>
    <n v="99.26"/>
    <x v="0"/>
    <x v="19"/>
  </r>
  <r>
    <s v="TERCEIROS"/>
    <s v="SERGIO DAMBROS - NF 16 - (PIX 28186826068) sem falta qdo entrar R$ da estufa"/>
    <d v="2021-04-29T00:00:00"/>
    <n v="1310"/>
    <x v="2"/>
    <x v="19"/>
  </r>
  <r>
    <s v="VIAGEM"/>
    <s v="JOEL - 03/03"/>
    <d v="2021-04-29T00:00:00"/>
    <n v="2157"/>
    <x v="0"/>
    <x v="19"/>
  </r>
  <r>
    <s v="PARCELAMENTO"/>
    <s v="MONEO - 04/18 - vcto 15/04 (saldo)"/>
    <d v="2021-04-29T00:00:00"/>
    <n v="4799.8999999999996"/>
    <x v="2"/>
    <x v="19"/>
  </r>
  <r>
    <s v="PARCELAMENTO"/>
    <s v="SIMPLES - 03/60"/>
    <d v="2021-04-29T00:00:00"/>
    <n v="10419.44"/>
    <x v="0"/>
    <x v="19"/>
  </r>
  <r>
    <s v="PARCELAMENTO"/>
    <s v="INSS - PARC 16/60 "/>
    <d v="2021-04-29T00:00:00"/>
    <n v="1264.79"/>
    <x v="0"/>
    <x v="19"/>
  </r>
  <r>
    <s v="PARCELAMENTO"/>
    <s v="IRPJ "/>
    <d v="2021-04-29T00:00:00"/>
    <n v="612.87"/>
    <x v="0"/>
    <x v="19"/>
  </r>
  <r>
    <s v="EXPEDIENTE"/>
    <s v="CERTIFICADO DIGITAL E-CPF RUBENS PINTO"/>
    <d v="2021-04-29T00:00:00"/>
    <n v="235"/>
    <x v="2"/>
    <x v="19"/>
  </r>
  <r>
    <s v="TRANSPORTE"/>
    <s v="SCHEILA PACHECO - vcto 15/04 (parte)"/>
    <d v="2021-04-29T00:00:00"/>
    <n v="3000"/>
    <x v="0"/>
    <x v="19"/>
  </r>
  <r>
    <s v="ASSESSORIA"/>
    <s v="GERENCIAL - vcto 10/05/20 "/>
    <d v="2021-04-29T00:00:00"/>
    <n v="1600"/>
    <x v="2"/>
    <x v="19"/>
  </r>
  <r>
    <s v="ALIMENTACAO"/>
    <s v="TOLDO EVENTOS"/>
    <d v="2021-04-29T00:00:00"/>
    <n v="426"/>
    <x v="0"/>
    <x v="19"/>
  </r>
  <r>
    <s v="ACORDO"/>
    <s v="ANTONIO FRANCISCO - 03/08 - vcto 26/01"/>
    <d v="2021-04-30T00:00:00"/>
    <n v="2200"/>
    <x v="0"/>
    <x v="20"/>
  </r>
  <r>
    <s v="EMPRESTIMO"/>
    <s v="RENOVAR - pgtos pessoal joel - devolver"/>
    <d v="2021-04-30T00:00:00"/>
    <n v="8084"/>
    <x v="0"/>
    <x v="20"/>
  </r>
  <r>
    <s v="EMPRESTIMO"/>
    <s v="RENOVAR - pgto Atanair"/>
    <d v="2021-04-30T00:00:00"/>
    <n v="2000"/>
    <x v="0"/>
    <x v="20"/>
  </r>
  <r>
    <s v="ASSESSORIA"/>
    <s v="DEPOSITAR SEM FALTA PARA ROSELI BUZZATI - NF 217 e 219 (estufa - R$ 1.075,00 p/NF)"/>
    <d v="2021-04-30T00:00:00"/>
    <n v="2150"/>
    <x v="2"/>
    <x v="20"/>
  </r>
  <r>
    <s v="VEICULOS"/>
    <s v="MANO MOTORS - troca de oleo - vcto 23/04"/>
    <d v="2021-04-30T00:00:00"/>
    <n v="180"/>
    <x v="0"/>
    <x v="20"/>
  </r>
  <r>
    <s v="MATERIAL"/>
    <s v="STEDILE - vcto 12/04"/>
    <d v="2021-04-30T00:00:00"/>
    <n v="273.7"/>
    <x v="2"/>
    <x v="20"/>
  </r>
  <r>
    <s v="INFORMATICA"/>
    <s v="METADADOS - vcto 25/01, 25/02 e 25/03"/>
    <d v="2021-04-30T00:00:00"/>
    <n v="729.12"/>
    <x v="2"/>
    <x v="20"/>
  </r>
  <r>
    <s v="ASSESSORIA"/>
    <s v="GT3 - vcto 20/04"/>
    <d v="2021-04-30T00:00:00"/>
    <n v="942.09"/>
    <x v="0"/>
    <x v="20"/>
  </r>
  <r>
    <s v="INFORMATICA"/>
    <s v="CORPORATIVA TI - VCTO 10/02"/>
    <d v="2021-04-30T00:00:00"/>
    <n v="250"/>
    <x v="2"/>
    <x v="20"/>
  </r>
  <r>
    <s v="ACORDO"/>
    <s v="MICROEMPA - 02/13"/>
    <d v="2021-04-30T00:00:00"/>
    <n v="510.83"/>
    <x v="4"/>
    <x v="20"/>
  </r>
  <r>
    <s v="PARCELAMENTO"/>
    <s v="ISS - PARC.17/60 - vcto 19/04"/>
    <d v="2021-04-30T00:00:00"/>
    <n v="405.46"/>
    <x v="0"/>
    <x v="20"/>
  </r>
  <r>
    <s v="PARCELAMENTO"/>
    <s v="ISS - PARC.16/32 - vcto 18/04"/>
    <d v="2021-04-30T00:00:00"/>
    <n v="705.31"/>
    <x v="0"/>
    <x v="20"/>
  </r>
  <r>
    <s v="RESCISAO"/>
    <s v="SERGIO JOSE MARTINS"/>
    <d v="2021-04-30T00:00:00"/>
    <n v="1665.66"/>
    <x v="0"/>
    <x v="20"/>
  </r>
  <r>
    <s v="PARCELAMENTO"/>
    <s v="CSLL - DEBITO BB "/>
    <d v="2021-04-30T00:00:00"/>
    <n v="524.52"/>
    <x v="0"/>
    <x v="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68">
  <r>
    <m/>
    <m/>
    <s v="MATERIAL"/>
    <s v="MARCARINI - CARTORIO"/>
    <d v="2021-05-01T00:00:00"/>
    <n v="133.47"/>
    <x v="0"/>
    <x v="0"/>
  </r>
  <r>
    <m/>
    <m/>
    <s v="TERCEIROS"/>
    <s v="MARCIA - LIMPEZA - DUAS SEMANAS"/>
    <d v="2021-05-02T00:00:00"/>
    <n v="140"/>
    <x v="1"/>
    <x v="0"/>
  </r>
  <r>
    <m/>
    <m/>
    <s v="TERCEIROS"/>
    <s v="REEBOMSAR SR LUIS - CONSULTA FUNCIONARIO ORTOPEDISTA"/>
    <d v="2021-05-03T00:00:00"/>
    <n v="300"/>
    <x v="1"/>
    <x v="0"/>
  </r>
  <r>
    <m/>
    <m/>
    <s v="COMBUSTIVEL"/>
    <s v="TEONAS - MENSAL"/>
    <d v="2021-05-03T00:00:00"/>
    <n v="150"/>
    <x v="1"/>
    <x v="0"/>
  </r>
  <r>
    <m/>
    <m/>
    <s v="COMBUSTIVEL"/>
    <s v="GENILSON - MENSAL"/>
    <d v="2021-05-03T00:00:00"/>
    <n v="250"/>
    <x v="1"/>
    <x v="0"/>
  </r>
  <r>
    <m/>
    <m/>
    <s v="MATERIAL"/>
    <s v="CHAPAS - WSUL - ACOPLANO "/>
    <d v="2021-05-03T00:00:00"/>
    <n v="6342.63"/>
    <x v="0"/>
    <x v="0"/>
  </r>
  <r>
    <m/>
    <m/>
    <s v="BANCOS"/>
    <s v="JUROS E DESPESAS BANCARIAS"/>
    <d v="2021-05-03T00:00:00"/>
    <n v="3311.49"/>
    <x v="0"/>
    <x v="0"/>
  </r>
  <r>
    <m/>
    <m/>
    <s v="MATERIAL"/>
    <s v="FORT SOLDAS - TEONAS URGENTE"/>
    <d v="2021-05-03T00:00:00"/>
    <n v="437"/>
    <x v="0"/>
    <x v="0"/>
  </r>
  <r>
    <m/>
    <m/>
    <s v="RESCISAO"/>
    <s v="FGTS RESCISORIO ROBERTO COVA"/>
    <d v="2021-05-03T00:00:00"/>
    <n v="136.08000000000001"/>
    <x v="1"/>
    <x v="0"/>
  </r>
  <r>
    <m/>
    <m/>
    <s v="FÉRIAS"/>
    <s v="ALGACIR MULLER - 01/03"/>
    <d v="2021-05-03T00:00:00"/>
    <n v="940"/>
    <x v="1"/>
    <x v="0"/>
  </r>
  <r>
    <m/>
    <m/>
    <s v="EPI"/>
    <s v="ZAPA - vcto 19/04 - cfe financ.zapa não permite pgto -  cartorio "/>
    <d v="2021-05-03T00:00:00"/>
    <n v="535.82000000000005"/>
    <x v="1"/>
    <x v="0"/>
  </r>
  <r>
    <m/>
    <m/>
    <s v="EPI"/>
    <s v="ZAPA - vcto 19/04 - cfe financ.zapa não permite pgto -  cartorio "/>
    <d v="2021-05-03T00:00:00"/>
    <n v="378.31"/>
    <x v="1"/>
    <x v="0"/>
  </r>
  <r>
    <m/>
    <m/>
    <s v="EPI"/>
    <s v="ZAPA - vcto 19/04 - cfe financ.zapa não permite pgto -  cartorio "/>
    <d v="2021-05-03T00:00:00"/>
    <n v="392.12"/>
    <x v="1"/>
    <x v="0"/>
  </r>
  <r>
    <m/>
    <m/>
    <s v="MATERIAL"/>
    <s v="RS GASES - vcto 15/04 - cartorio"/>
    <d v="2021-05-04T00:00:00"/>
    <n v="751.08"/>
    <x v="0"/>
    <x v="1"/>
  </r>
  <r>
    <m/>
    <m/>
    <s v="VIAGEM"/>
    <s v="VOB HOTEL - VCTO 04/04 - cartorio"/>
    <d v="2021-05-04T00:00:00"/>
    <n v="1168.79"/>
    <x v="1"/>
    <x v="1"/>
  </r>
  <r>
    <m/>
    <m/>
    <s v="VIAGEM"/>
    <s v="VOB HOTEL - vcto 15/04 - cartorio "/>
    <d v="2021-05-04T00:00:00"/>
    <n v="1117.79"/>
    <x v="1"/>
    <x v="1"/>
  </r>
  <r>
    <m/>
    <m/>
    <s v="INFORMATICA"/>
    <s v="POWER LINE - vcto 26/04 - cartorio"/>
    <d v="2021-05-04T00:00:00"/>
    <n v="330.68"/>
    <x v="1"/>
    <x v="1"/>
  </r>
  <r>
    <m/>
    <m/>
    <s v="PARCELAMENTO"/>
    <s v="EMPRESTIMO FOLHA BB - 05/30"/>
    <d v="2021-05-04T00:00:00"/>
    <n v="2292.86"/>
    <x v="1"/>
    <x v="1"/>
  </r>
  <r>
    <m/>
    <m/>
    <s v="COMBUSTIVEL"/>
    <s v="PAULO EDUARDO"/>
    <d v="2021-05-04T00:00:00"/>
    <n v="50"/>
    <x v="2"/>
    <x v="1"/>
  </r>
  <r>
    <m/>
    <m/>
    <s v="TRANSPORTE"/>
    <s v="VISATE - 33 CARTOES"/>
    <d v="2021-05-04T00:00:00"/>
    <n v="613.79999999999995"/>
    <x v="0"/>
    <x v="1"/>
  </r>
  <r>
    <m/>
    <m/>
    <s v="SOCIOS"/>
    <s v="SEGURO ROGERIO - PARC 05 (ultimo prazo)"/>
    <d v="2021-05-05T00:00:00"/>
    <n v="678.5"/>
    <x v="2"/>
    <x v="2"/>
  </r>
  <r>
    <m/>
    <m/>
    <s v="VIAGEM"/>
    <s v="FLAVIO - LIBRELATO"/>
    <d v="2021-05-05T00:00:00"/>
    <n v="370"/>
    <x v="1"/>
    <x v="2"/>
  </r>
  <r>
    <m/>
    <m/>
    <s v="COMBUSTIVEL"/>
    <s v="REEMBOLSAR GENILSON - abasteceu Uno Flavio"/>
    <d v="2021-05-05T00:00:00"/>
    <n v="50"/>
    <x v="1"/>
    <x v="2"/>
  </r>
  <r>
    <m/>
    <m/>
    <s v="COMBUSTIVEL"/>
    <s v="GABRIEL - abastecer Uno Cleber"/>
    <d v="2021-05-05T00:00:00"/>
    <n v="50"/>
    <x v="1"/>
    <x v="2"/>
  </r>
  <r>
    <m/>
    <m/>
    <s v="ASSESSORIA"/>
    <s v="VISAO - vcto 26/04 (Patricia prorrogou para 10 dias - maximo)"/>
    <d v="2021-05-05T00:00:00"/>
    <n v="3250"/>
    <x v="1"/>
    <x v="2"/>
  </r>
  <r>
    <m/>
    <m/>
    <s v="ASSESSORIA"/>
    <s v="OLIVEIRA E PERES - boletos vencidos em 25/03/20 e 30/03/20"/>
    <d v="2021-05-05T00:00:00"/>
    <n v="5956.5"/>
    <x v="0"/>
    <x v="2"/>
  </r>
  <r>
    <m/>
    <m/>
    <s v="ACORDO"/>
    <s v="SAMUEL - CIFERAL - 04/09 - VCTO 18/03"/>
    <d v="2021-05-05T00:00:00"/>
    <n v="1500"/>
    <x v="1"/>
    <x v="2"/>
  </r>
  <r>
    <m/>
    <m/>
    <s v="ACORDO"/>
    <s v="ARTHUR - CIFERAL - 04/08 - VCTO 18/03"/>
    <d v="2021-05-05T00:00:00"/>
    <n v="1500"/>
    <x v="1"/>
    <x v="2"/>
  </r>
  <r>
    <m/>
    <m/>
    <s v="ACORDO"/>
    <s v="LEONARDO - CIFERAL - 04/14 - VCTO 18/03"/>
    <d v="2021-05-05T00:00:00"/>
    <n v="1500"/>
    <x v="1"/>
    <x v="2"/>
  </r>
  <r>
    <m/>
    <m/>
    <s v="SALARIOS"/>
    <s v="SALARIOS - arquivo"/>
    <d v="2021-05-05T00:00:00"/>
    <n v="2951"/>
    <x v="0"/>
    <x v="2"/>
  </r>
  <r>
    <m/>
    <m/>
    <s v="SALARIOS"/>
    <s v="FUNC SEM CONTA - saque em dinheiro"/>
    <d v="2021-05-05T00:00:00"/>
    <n v="8286"/>
    <x v="1"/>
    <x v="2"/>
  </r>
  <r>
    <m/>
    <m/>
    <s v="SALARIOS"/>
    <s v="SALARIOS - arquivo producao"/>
    <d v="2021-05-05T00:00:00"/>
    <n v="47709"/>
    <x v="1"/>
    <x v="2"/>
  </r>
  <r>
    <m/>
    <m/>
    <s v="COMBUSTIVEL"/>
    <s v="REEMBOLSAR ROGERIO"/>
    <d v="2021-05-05T00:00:00"/>
    <n v="200"/>
    <x v="2"/>
    <x v="2"/>
  </r>
  <r>
    <m/>
    <m/>
    <s v="COMBUSTIVEL"/>
    <s v="ROGERIO"/>
    <d v="2021-05-06T00:00:00"/>
    <n v="100"/>
    <x v="2"/>
    <x v="3"/>
  </r>
  <r>
    <m/>
    <m/>
    <s v="FÉRIAS"/>
    <s v="DALNIR - 03/03"/>
    <d v="2021-05-06T00:00:00"/>
    <n v="1997"/>
    <x v="0"/>
    <x v="3"/>
  </r>
  <r>
    <m/>
    <m/>
    <s v="SALARIOS"/>
    <s v="FUNC SEM CONTA - saque em dinheiro"/>
    <d v="2021-05-06T00:00:00"/>
    <n v="4020"/>
    <x v="1"/>
    <x v="3"/>
  </r>
  <r>
    <m/>
    <m/>
    <s v="PARCELAMENTO"/>
    <s v="EMPRESTIMO FOLHA BB - 06/30"/>
    <d v="2021-05-06T00:00:00"/>
    <n v="2203.1799999999998"/>
    <x v="1"/>
    <x v="3"/>
  </r>
  <r>
    <m/>
    <m/>
    <s v="ALIMENTACAO"/>
    <s v="CANTINA DELA COLINA"/>
    <d v="2021-05-06T00:00:00"/>
    <n v="1170"/>
    <x v="1"/>
    <x v="3"/>
  </r>
  <r>
    <m/>
    <m/>
    <s v="ASSESSORIA"/>
    <s v="ROGERIO - PROJETISTA - WSUL - 02/06"/>
    <d v="2021-05-06T00:00:00"/>
    <n v="2500"/>
    <x v="0"/>
    <x v="3"/>
  </r>
  <r>
    <m/>
    <m/>
    <s v="COMBUSTIVEL"/>
    <s v="CLEBER"/>
    <d v="2021-05-07T00:00:00"/>
    <n v="130"/>
    <x v="1"/>
    <x v="4"/>
  </r>
  <r>
    <m/>
    <m/>
    <s v="RESCISAO"/>
    <s v="FGTS RESCISORIO NEILI"/>
    <d v="2021-05-07T00:00:00"/>
    <n v="91.23"/>
    <x v="1"/>
    <x v="4"/>
  </r>
  <r>
    <m/>
    <m/>
    <s v="SALARIOS"/>
    <s v="DALNIR"/>
    <d v="2021-05-07T00:00:00"/>
    <n v="4632"/>
    <x v="0"/>
    <x v="4"/>
  </r>
  <r>
    <m/>
    <m/>
    <s v="SALARIOS"/>
    <s v="SALARIOS "/>
    <d v="2021-05-07T00:00:00"/>
    <n v="17297"/>
    <x v="1"/>
    <x v="4"/>
  </r>
  <r>
    <m/>
    <m/>
    <s v="CONSUMO"/>
    <s v="SIMOQUIMICA"/>
    <d v="2021-05-07T00:00:00"/>
    <n v="220"/>
    <x v="1"/>
    <x v="4"/>
  </r>
  <r>
    <m/>
    <m/>
    <s v="TRANSPORTE"/>
    <s v="VAN - parte abril"/>
    <d v="2021-05-08T00:00:00"/>
    <n v="2000"/>
    <x v="0"/>
    <x v="5"/>
  </r>
  <r>
    <m/>
    <m/>
    <s v="MATERIAL"/>
    <s v="FERRAMENTAS GERAIS - arame mig"/>
    <d v="2021-05-09T00:00:00"/>
    <n v="700"/>
    <x v="1"/>
    <x v="5"/>
  </r>
  <r>
    <m/>
    <m/>
    <s v="SALARIOS"/>
    <s v="EDUARDA RODRIGUES - LIBRELATO"/>
    <d v="2021-05-10T00:00:00"/>
    <n v="390"/>
    <x v="1"/>
    <x v="5"/>
  </r>
  <r>
    <m/>
    <m/>
    <s v="SALARIOS"/>
    <s v="LUIS ROBERTO DA SILVA"/>
    <d v="2021-05-10T00:00:00"/>
    <n v="1421"/>
    <x v="1"/>
    <x v="5"/>
  </r>
  <r>
    <m/>
    <m/>
    <s v="SALARIOS"/>
    <s v="INGRID MACIEL "/>
    <d v="2021-05-10T00:00:00"/>
    <n v="708"/>
    <x v="1"/>
    <x v="5"/>
  </r>
  <r>
    <m/>
    <m/>
    <s v="RESCISAO"/>
    <s v="FABIANO PEREIRA DOS SANTOS - LIBRELATO"/>
    <d v="2021-05-10T00:00:00"/>
    <n v="522.99"/>
    <x v="1"/>
    <x v="5"/>
  </r>
  <r>
    <m/>
    <m/>
    <s v="SALARIOS"/>
    <s v="MISAEL - LIBRELATO"/>
    <d v="2021-05-10T00:00:00"/>
    <n v="497"/>
    <x v="1"/>
    <x v="5"/>
  </r>
  <r>
    <m/>
    <m/>
    <s v="SALARIOS"/>
    <s v="KENIA DA ROSA"/>
    <d v="2021-05-10T00:00:00"/>
    <n v="627"/>
    <x v="1"/>
    <x v="5"/>
  </r>
  <r>
    <m/>
    <m/>
    <s v="RESCISAO"/>
    <s v="NEILI CABRAL"/>
    <d v="2021-05-10T00:00:00"/>
    <n v="1290.6500000000001"/>
    <x v="1"/>
    <x v="5"/>
  </r>
  <r>
    <m/>
    <m/>
    <s v="SALARIOS"/>
    <s v="FLAVIO LOPES"/>
    <d v="2021-05-10T00:00:00"/>
    <n v="4284"/>
    <x v="1"/>
    <x v="5"/>
  </r>
  <r>
    <m/>
    <m/>
    <s v="SALARIOS"/>
    <s v="CLEBER - sacar em dinheiro"/>
    <d v="2021-05-10T00:00:00"/>
    <n v="3494"/>
    <x v="1"/>
    <x v="5"/>
  </r>
  <r>
    <m/>
    <m/>
    <s v="COMBUSTIVEL"/>
    <s v="REEMBOLSO LUIS BERTONCELLO"/>
    <d v="2021-05-10T00:00:00"/>
    <n v="250"/>
    <x v="2"/>
    <x v="5"/>
  </r>
  <r>
    <m/>
    <m/>
    <s v="TERCEIROS"/>
    <s v="MARCIA - LIMPEZA"/>
    <d v="2021-05-10T00:00:00"/>
    <n v="70"/>
    <x v="1"/>
    <x v="5"/>
  </r>
  <r>
    <m/>
    <m/>
    <s v="FÉRIAS"/>
    <s v="ARIANE - SALDO - vcto 15/04 - sem falta"/>
    <d v="2021-05-10T00:00:00"/>
    <n v="1521.5"/>
    <x v="1"/>
    <x v="5"/>
  </r>
  <r>
    <m/>
    <m/>
    <s v="FÉRIAS"/>
    <s v="RICARDO DEGGERONE - 01/03"/>
    <d v="2021-05-10T00:00:00"/>
    <n v="1050"/>
    <x v="1"/>
    <x v="5"/>
  </r>
  <r>
    <m/>
    <m/>
    <s v="VIAGEM"/>
    <s v="VOB HOTEL - vcto 22/04 - sem falta cartorio "/>
    <d v="2021-05-10T00:00:00"/>
    <n v="866.6"/>
    <x v="1"/>
    <x v="5"/>
  </r>
  <r>
    <m/>
    <m/>
    <s v="SALARIOS"/>
    <s v="SALARIOS (Gabriel, Joel)"/>
    <d v="2021-05-10T00:00:00"/>
    <n v="11161"/>
    <x v="1"/>
    <x v="5"/>
  </r>
  <r>
    <m/>
    <m/>
    <s v="SALARIOS"/>
    <s v="PENSAO ALIMENTICIA "/>
    <d v="2021-05-10T00:00:00"/>
    <n v="1749.73"/>
    <x v="1"/>
    <x v="5"/>
  </r>
  <r>
    <m/>
    <m/>
    <s v="VIAGEM"/>
    <s v="JOEL - 01/03"/>
    <d v="2021-05-10T00:00:00"/>
    <n v="2826"/>
    <x v="1"/>
    <x v="5"/>
  </r>
  <r>
    <m/>
    <m/>
    <s v="ACORDO"/>
    <s v="ARISTIDES FAGUNDES - 03/07 - vcto 29/12"/>
    <d v="2021-05-10T00:00:00"/>
    <n v="1350"/>
    <x v="1"/>
    <x v="5"/>
  </r>
  <r>
    <m/>
    <m/>
    <s v="RESCISAO"/>
    <s v="ROGER JULIO - LIBRELATO"/>
    <d v="2021-05-10T00:00:00"/>
    <n v="678.44"/>
    <x v="1"/>
    <x v="5"/>
  </r>
  <r>
    <m/>
    <m/>
    <s v="RESCISAO"/>
    <s v="GILBERTO DOS SANTOS - LIBRELATO"/>
    <d v="2021-05-10T00:00:00"/>
    <n v="235.9"/>
    <x v="1"/>
    <x v="5"/>
  </r>
  <r>
    <m/>
    <m/>
    <s v="SALARIOS"/>
    <s v="MARIA ADELMA - LIBRELATO"/>
    <d v="2021-05-10T00:00:00"/>
    <n v="114"/>
    <x v="1"/>
    <x v="5"/>
  </r>
  <r>
    <m/>
    <m/>
    <s v="TRANSPORTE"/>
    <s v="VISATE - 10 CARTOES"/>
    <d v="2021-05-11T00:00:00"/>
    <n v="186"/>
    <x v="0"/>
    <x v="6"/>
  </r>
  <r>
    <m/>
    <m/>
    <s v="MATERIAL"/>
    <s v="DANICA - entrada"/>
    <d v="2021-05-11T00:00:00"/>
    <n v="4318"/>
    <x v="1"/>
    <x v="6"/>
  </r>
  <r>
    <m/>
    <m/>
    <s v="TRANSPORTE"/>
    <s v="SCHEILA PACHECO - vcto 15/04 (saldo)"/>
    <d v="2021-05-11T00:00:00"/>
    <n v="1600"/>
    <x v="1"/>
    <x v="6"/>
  </r>
  <r>
    <m/>
    <m/>
    <s v="ALIMENTACAO"/>
    <s v="RODRIGO CARDOSO - vcto 17/04 - sem falta - data já prorrogada"/>
    <d v="2021-05-11T00:00:00"/>
    <n v="531"/>
    <x v="0"/>
    <x v="6"/>
  </r>
  <r>
    <m/>
    <m/>
    <s v="MATERIAL"/>
    <s v="KASI MOTORES- ASPMAQ- vcto 16/04 - sem falta - titulo prorrogado"/>
    <d v="2021-05-11T00:00:00"/>
    <n v="1020.1"/>
    <x v="0"/>
    <x v="6"/>
  </r>
  <r>
    <m/>
    <m/>
    <s v="MATERIAL"/>
    <s v="ACOPLANO - tubos WSUL"/>
    <d v="2021-05-11T00:00:00"/>
    <n v="844.6"/>
    <x v="0"/>
    <x v="6"/>
  </r>
  <r>
    <m/>
    <m/>
    <s v="SOCIOS"/>
    <s v="RETIRADA PAULO SILVA (R$ 1.200,00 paulo e 800,00 felipe)"/>
    <d v="2021-05-11T00:00:00"/>
    <n v="2000"/>
    <x v="2"/>
    <x v="6"/>
  </r>
  <r>
    <m/>
    <m/>
    <s v="SOCIOS"/>
    <s v="RETIRADA LUIS BERTONCELLO"/>
    <d v="2021-05-11T00:00:00"/>
    <n v="2500"/>
    <x v="2"/>
    <x v="6"/>
  </r>
  <r>
    <m/>
    <m/>
    <s v="VIAGEM"/>
    <s v="PAULO MOTA - VOLARE"/>
    <d v="2021-05-11T00:00:00"/>
    <n v="1000"/>
    <x v="1"/>
    <x v="6"/>
  </r>
  <r>
    <m/>
    <m/>
    <s v="SALARIOS"/>
    <s v="PAULO EDUARDO "/>
    <d v="2021-05-11T00:00:00"/>
    <n v="2800"/>
    <x v="1"/>
    <x v="6"/>
  </r>
  <r>
    <m/>
    <m/>
    <s v="ASSESSORIA"/>
    <s v="DEPOSITAR SEM FALTA PARA ROSELI BUZZATI - NF 220 (estufa - R$ 1.075,00 p/NF)"/>
    <d v="2021-05-11T00:00:00"/>
    <n v="1075"/>
    <x v="0"/>
    <x v="6"/>
  </r>
  <r>
    <m/>
    <m/>
    <s v="SALARIOS"/>
    <s v="BRUNO SOUZA - trabalhou de 20 a 30/04 no pavilhao pf"/>
    <d v="2021-05-11T00:00:00"/>
    <n v="594"/>
    <x v="1"/>
    <x v="6"/>
  </r>
  <r>
    <m/>
    <m/>
    <s v="ALIMENTACAO"/>
    <s v="RESTAURANTE ZAPAROLLI - vcto 30/04 (sem falta)"/>
    <d v="2021-05-11T00:00:00"/>
    <n v="7897"/>
    <x v="1"/>
    <x v="6"/>
  </r>
  <r>
    <m/>
    <m/>
    <s v="TERCEIROS"/>
    <s v="SERGIO DAMBROS - NF 37 - (PIX 28186826068) sem falta qdo entrar R$ da estufa"/>
    <d v="2021-05-11T00:00:00"/>
    <n v="1680"/>
    <x v="0"/>
    <x v="6"/>
  </r>
  <r>
    <m/>
    <m/>
    <s v="ALIMENTACAO"/>
    <s v="ALIMENTAR - vcto 08/04 - não permite compra sem este pgto"/>
    <d v="2021-05-11T00:00:00"/>
    <n v="1833.6"/>
    <x v="1"/>
    <x v="6"/>
  </r>
  <r>
    <m/>
    <m/>
    <s v="COMUNICACAO"/>
    <s v="NET - 20/04"/>
    <d v="2021-05-11T00:00:00"/>
    <n v="225.94"/>
    <x v="1"/>
    <x v="6"/>
  </r>
  <r>
    <m/>
    <m/>
    <s v="EPI"/>
    <s v="MAJUSEG"/>
    <d v="2021-05-11T00:00:00"/>
    <n v="993.84"/>
    <x v="1"/>
    <x v="6"/>
  </r>
  <r>
    <m/>
    <m/>
    <s v="EPI"/>
    <s v="MAJUSEG "/>
    <d v="2021-05-11T00:00:00"/>
    <n v="774.68"/>
    <x v="1"/>
    <x v="6"/>
  </r>
  <r>
    <m/>
    <m/>
    <s v="EPI"/>
    <s v="MAJUSEG"/>
    <d v="2021-05-11T00:00:00"/>
    <n v="755.56"/>
    <x v="1"/>
    <x v="6"/>
  </r>
  <r>
    <m/>
    <m/>
    <s v="SALARIOS"/>
    <s v="SABRINA - LIBRELATO"/>
    <d v="2021-05-11T00:00:00"/>
    <n v="354"/>
    <x v="1"/>
    <x v="6"/>
  </r>
  <r>
    <m/>
    <m/>
    <s v="EXPEDIENTE"/>
    <s v="INGRID CANELLO - GRAFICA VISAO - vcto 20/04 - sem falta - cartorio"/>
    <d v="2021-05-12T00:00:00"/>
    <n v="413.24"/>
    <x v="1"/>
    <x v="7"/>
  </r>
  <r>
    <m/>
    <m/>
    <s v="RESCISAO"/>
    <s v="ROBERTO COVAS - metade"/>
    <d v="2021-05-12T00:00:00"/>
    <n v="1025"/>
    <x v="1"/>
    <x v="7"/>
  </r>
  <r>
    <m/>
    <m/>
    <s v="RESCISAO"/>
    <s v="LUIS ROBERTO DA SILVA"/>
    <d v="2021-05-12T00:00:00"/>
    <n v="1295.1500000000001"/>
    <x v="1"/>
    <x v="7"/>
  </r>
  <r>
    <m/>
    <m/>
    <s v="COMUNICACAO"/>
    <s v="CLARO - 20/04"/>
    <d v="2021-05-12T00:00:00"/>
    <n v="1626.85"/>
    <x v="0"/>
    <x v="7"/>
  </r>
  <r>
    <m/>
    <m/>
    <s v="SALARIOS"/>
    <s v="PENSAO ALIMENTICIA REF FÉRIAS MARCIO SOARES"/>
    <d v="2021-05-12T00:00:00"/>
    <n v="643.58000000000004"/>
    <x v="1"/>
    <x v="7"/>
  </r>
  <r>
    <m/>
    <m/>
    <s v="SOCIOS"/>
    <s v="RETIRADA ROGERIO"/>
    <d v="2021-05-12T00:00:00"/>
    <n v="3000"/>
    <x v="2"/>
    <x v="7"/>
  </r>
  <r>
    <m/>
    <m/>
    <s v="MATERIAL"/>
    <s v="FUSOPAR"/>
    <d v="2021-05-12T00:00:00"/>
    <n v="298.64999999999998"/>
    <x v="0"/>
    <x v="7"/>
  </r>
  <r>
    <m/>
    <m/>
    <s v="MANUTENCAO"/>
    <s v="STEDILE - vcto 01/05 "/>
    <d v="2021-05-12T00:00:00"/>
    <n v="207.26"/>
    <x v="0"/>
    <x v="7"/>
  </r>
  <r>
    <m/>
    <m/>
    <s v="VEICULOS"/>
    <s v="MECANICA ADEMIR - vcto 28/04"/>
    <d v="2021-05-12T00:00:00"/>
    <n v="604.70000000000005"/>
    <x v="0"/>
    <x v="7"/>
  </r>
  <r>
    <m/>
    <m/>
    <s v="EPI"/>
    <s v="ZAPA - vcto 08/05"/>
    <d v="2021-05-12T00:00:00"/>
    <n v="328.97"/>
    <x v="1"/>
    <x v="7"/>
  </r>
  <r>
    <m/>
    <m/>
    <s v="IMPOSTOS"/>
    <s v="ART CREA - ROGERIO/WSUL"/>
    <d v="2021-05-12T00:00:00"/>
    <n v="88.78"/>
    <x v="0"/>
    <x v="7"/>
  </r>
  <r>
    <m/>
    <m/>
    <s v="MATERIAL"/>
    <s v="LUCHETTI COM DE GAS"/>
    <d v="2021-05-12T00:00:00"/>
    <n v="90.05"/>
    <x v="0"/>
    <x v="7"/>
  </r>
  <r>
    <m/>
    <m/>
    <s v="VIAGEM"/>
    <s v="VOB HOTEL"/>
    <d v="2021-05-12T00:00:00"/>
    <n v="456"/>
    <x v="1"/>
    <x v="7"/>
  </r>
  <r>
    <m/>
    <m/>
    <s v="EPI"/>
    <s v="CORSUL "/>
    <d v="2021-05-13T00:00:00"/>
    <n v="239.55"/>
    <x v="1"/>
    <x v="8"/>
  </r>
  <r>
    <m/>
    <m/>
    <s v="MANUTENCAO"/>
    <s v="BT5"/>
    <d v="2021-05-13T00:00:00"/>
    <n v="500"/>
    <x v="0"/>
    <x v="8"/>
  </r>
  <r>
    <m/>
    <m/>
    <s v="EPI"/>
    <s v="ZAPA - vcto 29/04 - cartorio"/>
    <d v="2021-05-13T00:00:00"/>
    <n v="535.82000000000005"/>
    <x v="1"/>
    <x v="8"/>
  </r>
  <r>
    <m/>
    <m/>
    <s v="EPI"/>
    <s v="ZAPA - vcto 30/04 - cartorio"/>
    <d v="2021-05-13T00:00:00"/>
    <n v="305.10000000000002"/>
    <x v="1"/>
    <x v="8"/>
  </r>
  <r>
    <m/>
    <m/>
    <s v="CONVENIO"/>
    <s v="MICROEMPA - vcto 15/04"/>
    <d v="2021-05-13T00:00:00"/>
    <n v="1288.6500000000001"/>
    <x v="3"/>
    <x v="8"/>
  </r>
  <r>
    <m/>
    <m/>
    <s v="TERCEIROS"/>
    <s v="IONICE - CHAVEIRO CASA DE PEDRA - falta boleto"/>
    <d v="2021-05-13T00:00:00"/>
    <n v="44"/>
    <x v="1"/>
    <x v="8"/>
  </r>
  <r>
    <m/>
    <m/>
    <s v="ENERGIA"/>
    <s v="RGE - vcto 05/04/21 "/>
    <d v="2021-05-13T00:00:00"/>
    <n v="1548.65"/>
    <x v="0"/>
    <x v="8"/>
  </r>
  <r>
    <m/>
    <m/>
    <s v="TERCEIROS"/>
    <s v="RESSARCIMENTO MARCOPOLO DESPESAS PROCESSOS TRABALHISTAS"/>
    <d v="2021-05-13T00:00:00"/>
    <n v="2640"/>
    <x v="0"/>
    <x v="8"/>
  </r>
  <r>
    <m/>
    <m/>
    <s v="SOCIOS"/>
    <s v="CASAS PAGLIARIN - VCTO 30/04 - BOLETO JÁ PRORROGADO"/>
    <d v="2021-05-13T00:00:00"/>
    <n v="1805.32"/>
    <x v="2"/>
    <x v="8"/>
  </r>
  <r>
    <m/>
    <m/>
    <s v="COMISSAO"/>
    <s v="TIAGO 3/3 - NF NEOBUS - SALDO FINAL - NF 1401 NF 1476"/>
    <d v="2021-05-13T00:00:00"/>
    <n v="6421"/>
    <x v="1"/>
    <x v="8"/>
  </r>
  <r>
    <m/>
    <m/>
    <s v="COMISSAO"/>
    <s v="TIAGO - VOLARE - NF 1546 - R$ 20.000,00"/>
    <d v="2021-05-13T00:00:00"/>
    <n v="2000"/>
    <x v="1"/>
    <x v="8"/>
  </r>
  <r>
    <m/>
    <m/>
    <s v="SALARIOS"/>
    <s v="ASSANE WADE"/>
    <d v="2021-05-13T00:00:00"/>
    <n v="212"/>
    <x v="1"/>
    <x v="8"/>
  </r>
  <r>
    <m/>
    <m/>
    <s v="ENCARGOS"/>
    <s v="FGTS - VCTO 07/04"/>
    <d v="2021-05-13T00:00:00"/>
    <n v="1384.61"/>
    <x v="0"/>
    <x v="8"/>
  </r>
  <r>
    <m/>
    <m/>
    <s v="MANUTENCAO"/>
    <s v="KIPEL - mangueiras Cleber"/>
    <d v="2021-05-13T00:00:00"/>
    <n v="26"/>
    <x v="1"/>
    <x v="8"/>
  </r>
  <r>
    <m/>
    <m/>
    <s v="MATERIAL"/>
    <s v="DANICA - saldo dep.ate dia 14/05 - não aprovou balanço da Seman, somente a vista"/>
    <d v="2021-05-13T00:00:00"/>
    <n v="10074.629999999999"/>
    <x v="1"/>
    <x v="8"/>
  </r>
  <r>
    <m/>
    <m/>
    <s v="MANUTENCAO"/>
    <s v="CADEIRA GABRIEL"/>
    <d v="2021-05-13T00:00:00"/>
    <n v="50"/>
    <x v="1"/>
    <x v="8"/>
  </r>
  <r>
    <m/>
    <m/>
    <s v="SALARIOS"/>
    <s v="WLADIMIR - LIBRELATO"/>
    <d v="2021-05-13T00:00:00"/>
    <n v="354"/>
    <x v="1"/>
    <x v="8"/>
  </r>
  <r>
    <m/>
    <m/>
    <s v="ACORDO"/>
    <s v="SERGIO JOSE MARTINS - 05/05 - vcto 26/02"/>
    <d v="2021-05-14T00:00:00"/>
    <n v="1971.74"/>
    <x v="1"/>
    <x v="9"/>
  </r>
  <r>
    <m/>
    <m/>
    <s v="SOCIOS"/>
    <s v="GUIA INSS LUIS BERTONCELLO - MÊS 01/2021"/>
    <d v="2021-05-14T00:00:00"/>
    <n v="1562.19"/>
    <x v="2"/>
    <x v="9"/>
  </r>
  <r>
    <m/>
    <m/>
    <s v="COMUNICACAO"/>
    <s v="VIVO - vcto 28/04"/>
    <d v="2021-05-14T00:00:00"/>
    <n v="380.52"/>
    <x v="4"/>
    <x v="9"/>
  </r>
  <r>
    <m/>
    <m/>
    <s v="EXPEDIENTE"/>
    <s v="STOLFO - 02 TONER"/>
    <d v="2021-05-14T00:00:00"/>
    <n v="122"/>
    <x v="1"/>
    <x v="9"/>
  </r>
  <r>
    <m/>
    <m/>
    <s v="EPI"/>
    <s v="MAJUSEG"/>
    <d v="2021-05-14T00:00:00"/>
    <n v="933.6"/>
    <x v="1"/>
    <x v="9"/>
  </r>
  <r>
    <m/>
    <m/>
    <s v="SOCIOS"/>
    <s v="SEGURO CASA PAULO SILVA"/>
    <d v="2021-05-14T00:00:00"/>
    <n v="299.25"/>
    <x v="2"/>
    <x v="9"/>
  </r>
  <r>
    <m/>
    <m/>
    <s v="ASSESSORIA"/>
    <s v="OLIVEIRA E PERES - 25/11/20"/>
    <d v="2021-05-14T00:00:00"/>
    <n v="2978.25"/>
    <x v="0"/>
    <x v="9"/>
  </r>
  <r>
    <m/>
    <m/>
    <s v="INFORMATICA"/>
    <s v="CORPORATIVA TI - ANTIVIRUS"/>
    <d v="2021-05-14T00:00:00"/>
    <n v="125"/>
    <x v="0"/>
    <x v="9"/>
  </r>
  <r>
    <m/>
    <m/>
    <s v="TRANSPORTE"/>
    <s v="VISATE - CARTAO SMART"/>
    <d v="2021-05-14T00:00:00"/>
    <n v="166.25"/>
    <x v="0"/>
    <x v="9"/>
  </r>
  <r>
    <m/>
    <m/>
    <s v="MANUTENCAO "/>
    <s v="SUMIG - email Dalnir"/>
    <d v="2021-05-14T00:00:00"/>
    <n v="675"/>
    <x v="0"/>
    <x v="9"/>
  </r>
  <r>
    <m/>
    <m/>
    <s v="EMPRESTIMO"/>
    <s v="SALARIOS - Operacional Caxias - devolver Renovar - 01/06"/>
    <d v="2021-05-14T00:00:00"/>
    <n v="5000"/>
    <x v="1"/>
    <x v="9"/>
  </r>
  <r>
    <m/>
    <m/>
    <s v="ACORDO"/>
    <s v="NATHAN PEREIRA - 02/04 - vcto 12/04"/>
    <d v="2021-05-14T00:00:00"/>
    <n v="1571.61"/>
    <x v="1"/>
    <x v="9"/>
  </r>
  <r>
    <m/>
    <m/>
    <s v="RESCISAO"/>
    <s v="JOSIANE METAYER + FGTS"/>
    <d v="2021-05-14T00:00:00"/>
    <n v="439.47999999999996"/>
    <x v="1"/>
    <x v="9"/>
  </r>
  <r>
    <m/>
    <m/>
    <s v="COMBUSTIVEL"/>
    <s v="REEMBOLSAR SR.RUBENS (marco e abril)"/>
    <d v="2021-05-14T00:00:00"/>
    <n v="377.87"/>
    <x v="2"/>
    <x v="9"/>
  </r>
  <r>
    <m/>
    <m/>
    <s v="COMBUSTIVEL"/>
    <s v="CLEBER"/>
    <d v="2021-05-14T00:00:00"/>
    <n v="150"/>
    <x v="1"/>
    <x v="9"/>
  </r>
  <r>
    <m/>
    <m/>
    <s v="COMBUSTIVEL"/>
    <s v="LUIS BERTONCELLO"/>
    <d v="2021-05-14T00:00:00"/>
    <n v="350"/>
    <x v="2"/>
    <x v="9"/>
  </r>
  <r>
    <m/>
    <m/>
    <s v="COMBUSTIVEL"/>
    <s v="ROGERIO SILVA"/>
    <d v="2021-05-14T00:00:00"/>
    <n v="150"/>
    <x v="1"/>
    <x v="9"/>
  </r>
  <r>
    <m/>
    <m/>
    <s v="VIAGEM "/>
    <s v="FLAVIO"/>
    <d v="2021-05-14T00:00:00"/>
    <n v="375.21"/>
    <x v="1"/>
    <x v="9"/>
  </r>
  <r>
    <m/>
    <m/>
    <s v="ALIMENTACAO"/>
    <s v="BISTRO LUCCAS RAMOS - vcto 03/05 - boleto prorrogado"/>
    <d v="2021-05-15T00:00:00"/>
    <n v="1860"/>
    <x v="0"/>
    <x v="10"/>
  </r>
  <r>
    <m/>
    <m/>
    <s v="TERCEIROS"/>
    <s v="MARCIA - LIMPEZA"/>
    <d v="2021-05-16T00:00:00"/>
    <n v="70"/>
    <x v="1"/>
    <x v="10"/>
  </r>
  <r>
    <m/>
    <m/>
    <s v="EXPEDIENTE"/>
    <s v="CERTIFICADO DIGITAL - emissao de notas Venture"/>
    <d v="2021-05-17T00:00:00"/>
    <n v="217.5"/>
    <x v="0"/>
    <x v="10"/>
  </r>
  <r>
    <m/>
    <m/>
    <s v="EXPEDIENTE"/>
    <s v="CERTIFICADO DIGITAL - emissao de notas Seman"/>
    <d v="2021-05-17T00:00:00"/>
    <n v="217.5"/>
    <x v="1"/>
    <x v="10"/>
  </r>
  <r>
    <m/>
    <m/>
    <s v="SOCIOS"/>
    <s v="RETIRADA PAULO SILVA - pgto cartao"/>
    <d v="2021-05-17T00:00:00"/>
    <n v="2500"/>
    <x v="2"/>
    <x v="10"/>
  </r>
  <r>
    <m/>
    <m/>
    <s v="SAUDE"/>
    <s v="UNIMED"/>
    <d v="2021-05-17T00:00:00"/>
    <n v="3594.05"/>
    <x v="4"/>
    <x v="10"/>
  </r>
  <r>
    <m/>
    <m/>
    <s v="SAUDE"/>
    <s v="PRO MED"/>
    <d v="2021-05-17T00:00:00"/>
    <n v="80.25"/>
    <x v="0"/>
    <x v="10"/>
  </r>
  <r>
    <m/>
    <m/>
    <s v="COMBUSTIVEL"/>
    <s v="GENILSON - MENSAL"/>
    <d v="2021-05-17T00:00:00"/>
    <n v="250"/>
    <x v="1"/>
    <x v="10"/>
  </r>
  <r>
    <m/>
    <m/>
    <s v="MATERIAL"/>
    <s v="LIBERGAS"/>
    <d v="2021-05-17T00:00:00"/>
    <n v="126"/>
    <x v="0"/>
    <x v="10"/>
  </r>
  <r>
    <m/>
    <m/>
    <s v="CONVENIO"/>
    <s v="MICROEMPA"/>
    <d v="2021-05-17T00:00:00"/>
    <n v="84"/>
    <x v="1"/>
    <x v="10"/>
  </r>
  <r>
    <m/>
    <m/>
    <s v="VEICULOS"/>
    <s v="MECANIA ADEMIR - CARRO CLEBER - 03/03"/>
    <d v="2021-05-17T00:00:00"/>
    <n v="566.66"/>
    <x v="0"/>
    <x v="10"/>
  </r>
  <r>
    <m/>
    <m/>
    <s v="TRANSPORTE"/>
    <s v="UNIAO TRANSPORTES - LIBRELATO"/>
    <d v="2021-05-17T00:00:00"/>
    <n v="3550"/>
    <x v="1"/>
    <x v="10"/>
  </r>
  <r>
    <m/>
    <m/>
    <s v="INFORMATICA"/>
    <s v="TI COMPUTADORES - vcto 26/04 - titulo prorrogado"/>
    <d v="2021-05-17T00:00:00"/>
    <n v="300"/>
    <x v="0"/>
    <x v="10"/>
  </r>
  <r>
    <m/>
    <m/>
    <s v="ALUGUEL"/>
    <s v="CANTON E FREITAS - vcto 20/04 - boleto prorrogado"/>
    <d v="2021-05-17T00:00:00"/>
    <n v="110"/>
    <x v="0"/>
    <x v="10"/>
  </r>
  <r>
    <m/>
    <m/>
    <s v="MATERIAL"/>
    <s v="LF SILVEIRA"/>
    <d v="2021-05-17T00:00:00"/>
    <n v="195"/>
    <x v="1"/>
    <x v="10"/>
  </r>
  <r>
    <m/>
    <m/>
    <s v="TRANSPORTE"/>
    <s v="VAN - vcto 15/04 - saldo final"/>
    <d v="2021-05-17T00:00:00"/>
    <n v="2000"/>
    <x v="0"/>
    <x v="10"/>
  </r>
  <r>
    <m/>
    <m/>
    <s v="SALARIOS"/>
    <s v="JEFERSON - LIBRELATO"/>
    <d v="2021-05-17T00:00:00"/>
    <n v="354"/>
    <x v="1"/>
    <x v="10"/>
  </r>
  <r>
    <m/>
    <m/>
    <s v="VIAGEM"/>
    <s v="PAULO MOTA"/>
    <d v="2021-05-18T00:00:00"/>
    <n v="600"/>
    <x v="1"/>
    <x v="11"/>
  </r>
  <r>
    <m/>
    <m/>
    <s v="RESCISAO"/>
    <s v="MAURO PEREIRA - em dinheiro"/>
    <d v="2021-05-18T00:00:00"/>
    <n v="69.900000000000006"/>
    <x v="1"/>
    <x v="11"/>
  </r>
  <r>
    <m/>
    <m/>
    <s v="SALARIOS"/>
    <s v="LUCAS - LIBRELATO"/>
    <d v="2021-05-18T00:00:00"/>
    <n v="212"/>
    <x v="1"/>
    <x v="11"/>
  </r>
  <r>
    <m/>
    <m/>
    <s v="TERCEIROS"/>
    <s v="TRABALHOS LUAN - LT MANUTENCAO - vcto 11/12  - saldo final"/>
    <d v="2021-05-18T00:00:00"/>
    <n v="1181.25"/>
    <x v="0"/>
    <x v="11"/>
  </r>
  <r>
    <m/>
    <m/>
    <s v="SOCIOS"/>
    <s v="CARTEIRA PAULO EDUARDO"/>
    <d v="2021-05-18T00:00:00"/>
    <n v="2000"/>
    <x v="1"/>
    <x v="11"/>
  </r>
  <r>
    <m/>
    <m/>
    <s v="COMBUSTIVEL"/>
    <s v="GABRIEL - abastecer Uno Genilson"/>
    <d v="2021-05-19T00:00:00"/>
    <n v="60"/>
    <x v="1"/>
    <x v="12"/>
  </r>
  <r>
    <m/>
    <m/>
    <s v="SAUDE"/>
    <s v="PRO SALUTE - plano funcionarios - já descontado"/>
    <d v="2021-05-19T00:00:00"/>
    <n v="898.49"/>
    <x v="1"/>
    <x v="12"/>
  </r>
  <r>
    <m/>
    <m/>
    <s v="VIAGEM"/>
    <s v="JOEL - 02/03"/>
    <d v="2021-05-19T00:00:00"/>
    <n v="2826"/>
    <x v="1"/>
    <x v="12"/>
  </r>
  <r>
    <m/>
    <m/>
    <s v="EPI"/>
    <s v="CORSUL"/>
    <d v="2021-05-19T00:00:00"/>
    <n v="529.34"/>
    <x v="1"/>
    <x v="12"/>
  </r>
  <r>
    <m/>
    <m/>
    <s v="COMISSAO"/>
    <s v="WSUL - NF 1549 - sacar"/>
    <d v="2021-05-20T00:00:00"/>
    <n v="4750"/>
    <x v="1"/>
    <x v="13"/>
  </r>
  <r>
    <m/>
    <m/>
    <s v="SOCIOS"/>
    <s v="RETIRADA LUIS BERTONCELLO"/>
    <d v="2021-05-20T00:00:00"/>
    <n v="300"/>
    <x v="1"/>
    <x v="13"/>
  </r>
  <r>
    <m/>
    <m/>
    <s v="COMBUSTIVEL"/>
    <s v="CLEBER"/>
    <d v="2021-05-20T00:00:00"/>
    <n v="100"/>
    <x v="1"/>
    <x v="13"/>
  </r>
  <r>
    <m/>
    <m/>
    <s v="VIAGEM "/>
    <s v="FLAVIO"/>
    <d v="2021-05-20T00:00:00"/>
    <n v="352.85"/>
    <x v="1"/>
    <x v="13"/>
  </r>
  <r>
    <m/>
    <m/>
    <s v="ENCARGOS"/>
    <s v="INSS"/>
    <d v="2021-05-20T00:00:00"/>
    <n v="970.56"/>
    <x v="0"/>
    <x v="13"/>
  </r>
  <r>
    <m/>
    <m/>
    <s v="ENCARGOS"/>
    <s v="INSS"/>
    <d v="2021-05-20T00:00:00"/>
    <n v="11149.69"/>
    <x v="1"/>
    <x v="13"/>
  </r>
  <r>
    <m/>
    <m/>
    <s v="EPI"/>
    <s v="ALSCO "/>
    <d v="2021-05-20T00:00:00"/>
    <n v="85.28"/>
    <x v="1"/>
    <x v="13"/>
  </r>
  <r>
    <m/>
    <m/>
    <s v="EPI"/>
    <s v="ASLCO"/>
    <d v="2021-05-20T00:00:00"/>
    <n v="288.94"/>
    <x v="1"/>
    <x v="13"/>
  </r>
  <r>
    <m/>
    <m/>
    <s v="VEICULOS"/>
    <s v="PNEUS UNO FLAVIO"/>
    <d v="2021-05-20T00:00:00"/>
    <n v="900"/>
    <x v="1"/>
    <x v="13"/>
  </r>
  <r>
    <m/>
    <m/>
    <s v="TRANSPORTE"/>
    <s v="VISATE - 40 cartoes"/>
    <d v="2021-05-20T00:00:00"/>
    <n v="760"/>
    <x v="1"/>
    <x v="13"/>
  </r>
  <r>
    <m/>
    <m/>
    <s v="AGUA"/>
    <s v="SAMAE - vcto 16/05"/>
    <d v="2021-05-21T00:00:00"/>
    <n v="141.97999999999999"/>
    <x v="0"/>
    <x v="14"/>
  </r>
  <r>
    <m/>
    <m/>
    <s v="TERCEIROS"/>
    <s v="EXCELENCIA RH - vcto 14/05"/>
    <d v="2021-05-21T00:00:00"/>
    <n v="625"/>
    <x v="1"/>
    <x v="14"/>
  </r>
  <r>
    <m/>
    <m/>
    <s v="FRETE"/>
    <s v="VENETO - boleto"/>
    <d v="2021-05-21T00:00:00"/>
    <n v="180.15"/>
    <x v="0"/>
    <x v="14"/>
  </r>
  <r>
    <m/>
    <m/>
    <s v="PARCELAMENTO"/>
    <s v="MONEO - 05/18 - parte"/>
    <d v="2021-05-21T00:00:00"/>
    <n v="4800"/>
    <x v="0"/>
    <x v="14"/>
  </r>
  <r>
    <m/>
    <m/>
    <s v="TRANSPORTE"/>
    <s v="VAN"/>
    <d v="2021-05-21T00:00:00"/>
    <n v="4654"/>
    <x v="1"/>
    <x v="14"/>
  </r>
  <r>
    <m/>
    <m/>
    <s v="EPI"/>
    <s v="MAJUSEG "/>
    <d v="2021-05-21T00:00:00"/>
    <n v="906.58"/>
    <x v="1"/>
    <x v="14"/>
  </r>
  <r>
    <m/>
    <m/>
    <s v="EXPEDIENTE"/>
    <s v="RS TONER - engenharia - sacar e entregar para gabriel"/>
    <d v="2021-05-21T00:00:00"/>
    <n v="52"/>
    <x v="0"/>
    <x v="14"/>
  </r>
  <r>
    <m/>
    <m/>
    <s v="COMBUSTIVEL"/>
    <s v="GABRIEL"/>
    <d v="2021-05-21T00:00:00"/>
    <n v="120"/>
    <x v="1"/>
    <x v="14"/>
  </r>
  <r>
    <m/>
    <m/>
    <s v="COMBUSTIVEL"/>
    <s v="ROGERIO"/>
    <d v="2021-05-21T00:00:00"/>
    <n v="100"/>
    <x v="1"/>
    <x v="14"/>
  </r>
  <r>
    <m/>
    <m/>
    <s v="SOCIOS"/>
    <s v="LUIS BERTONCELLO"/>
    <d v="2021-05-21T00:00:00"/>
    <n v="1000"/>
    <x v="2"/>
    <x v="14"/>
  </r>
  <r>
    <m/>
    <m/>
    <s v="SOCIOS"/>
    <s v="IPVA PAULO SILVA"/>
    <d v="2021-05-21T00:00:00"/>
    <n v="1325.74"/>
    <x v="2"/>
    <x v="14"/>
  </r>
  <r>
    <m/>
    <m/>
    <s v="EMPRESTIMO"/>
    <s v="SALARIOS - Operacional Caxias - devolver Andreia (Cabeça) - 01/04 - parte"/>
    <d v="2021-05-21T00:00:00"/>
    <n v="2500"/>
    <x v="1"/>
    <x v="14"/>
  </r>
  <r>
    <m/>
    <m/>
    <s v="PARCELAMENTO"/>
    <s v="ISS - PARC.17/32"/>
    <d v="2021-05-21T00:00:00"/>
    <n v="698.35"/>
    <x v="1"/>
    <x v="14"/>
  </r>
  <r>
    <m/>
    <m/>
    <s v="PARCELAMENTO"/>
    <s v="ISS - PARC.18/60"/>
    <d v="2021-05-21T00:00:00"/>
    <n v="402.25"/>
    <x v="1"/>
    <x v="14"/>
  </r>
  <r>
    <m/>
    <m/>
    <s v="MATERIAL"/>
    <s v="MAGNANI"/>
    <d v="2021-05-21T00:00:00"/>
    <n v="9.9499999999999993"/>
    <x v="1"/>
    <x v="14"/>
  </r>
  <r>
    <m/>
    <m/>
    <s v="VEICULOS"/>
    <s v="MECANICA ADEMIR"/>
    <d v="2021-05-21T00:00:00"/>
    <n v="553.33000000000004"/>
    <x v="0"/>
    <x v="14"/>
  </r>
  <r>
    <m/>
    <m/>
    <s v="FÉRIAS"/>
    <s v="FABIANA DECO - PARCELA 03/03 - cheque Banrisul"/>
    <d v="2021-05-22T00:00:00"/>
    <n v="1830"/>
    <x v="0"/>
    <x v="15"/>
  </r>
  <r>
    <m/>
    <m/>
    <s v="FRETE"/>
    <s v="CORREIOS - CALIBRADOR"/>
    <d v="2021-05-23T00:00:00"/>
    <n v="27.7"/>
    <x v="1"/>
    <x v="15"/>
  </r>
  <r>
    <m/>
    <m/>
    <s v="ASSESSORIA "/>
    <s v="GERENCIAL/BSP - VCTO 21/12/20 - cheque venture"/>
    <d v="2021-05-24T00:00:00"/>
    <n v="1045"/>
    <x v="5"/>
    <x v="15"/>
  </r>
  <r>
    <m/>
    <m/>
    <s v="ACORDO"/>
    <s v="RAMON - 01/04"/>
    <d v="2021-05-24T00:00:00"/>
    <n v="2000"/>
    <x v="1"/>
    <x v="15"/>
  </r>
  <r>
    <m/>
    <m/>
    <s v="TERCEIROS"/>
    <s v="MARCIA - LIMPEZA"/>
    <d v="2021-05-24T00:00:00"/>
    <n v="70"/>
    <x v="1"/>
    <x v="15"/>
  </r>
  <r>
    <m/>
    <m/>
    <s v="ENERGIA"/>
    <s v="RGE - VCTO 04/05"/>
    <d v="2021-05-24T00:00:00"/>
    <n v="308.98"/>
    <x v="0"/>
    <x v="15"/>
  </r>
  <r>
    <m/>
    <m/>
    <s v="EPI"/>
    <s v="MAJUSEG"/>
    <d v="2021-05-24T00:00:00"/>
    <n v="475.52"/>
    <x v="1"/>
    <x v="15"/>
  </r>
  <r>
    <m/>
    <m/>
    <s v="ENERGIA"/>
    <s v="RGE - para não cortar"/>
    <d v="2021-05-24T00:00:00"/>
    <n v="50"/>
    <x v="0"/>
    <x v="15"/>
  </r>
  <r>
    <m/>
    <m/>
    <s v="CONSUMO"/>
    <s v="FARMACIA"/>
    <d v="2021-05-25T00:00:00"/>
    <n v="73.13"/>
    <x v="1"/>
    <x v="16"/>
  </r>
  <r>
    <m/>
    <m/>
    <s v="TERCEIROS"/>
    <s v="IONICE - CHAVEIRO CASA DE PEDRA - falta boleto"/>
    <d v="2021-05-25T00:00:00"/>
    <n v="80"/>
    <x v="0"/>
    <x v="16"/>
  </r>
  <r>
    <m/>
    <m/>
    <s v="SALARIOS"/>
    <s v="MAICON FERREIRA - adiantamento"/>
    <d v="2021-05-25T00:00:00"/>
    <n v="50"/>
    <x v="1"/>
    <x v="16"/>
  </r>
  <r>
    <m/>
    <m/>
    <s v="COMBUSTIVEL"/>
    <s v="GABRIEL - CARRO CLEBER"/>
    <d v="2021-05-25T00:00:00"/>
    <n v="50"/>
    <x v="1"/>
    <x v="16"/>
  </r>
  <r>
    <m/>
    <m/>
    <s v="RESCISAO"/>
    <s v="JAINE FERREIRA"/>
    <d v="2021-05-25T00:00:00"/>
    <n v="1073.23"/>
    <x v="1"/>
    <x v="16"/>
  </r>
  <r>
    <m/>
    <m/>
    <s v="VIAGEM"/>
    <s v="LUIS/GABRIEL WEG"/>
    <d v="2021-05-25T00:00:00"/>
    <n v="950"/>
    <x v="1"/>
    <x v="16"/>
  </r>
  <r>
    <m/>
    <m/>
    <s v="SAUDE"/>
    <s v="PROMED - vcto 15/03"/>
    <d v="2021-05-25T00:00:00"/>
    <n v="3179.08"/>
    <x v="1"/>
    <x v="16"/>
  </r>
  <r>
    <m/>
    <m/>
    <m/>
    <m/>
    <d v="2021-05-26T00:00:00"/>
    <n v="0"/>
    <x v="0"/>
    <x v="17"/>
  </r>
  <r>
    <m/>
    <m/>
    <s v="MATERIAL"/>
    <s v="FUSOPAR"/>
    <d v="2021-05-27T00:00:00"/>
    <n v="52.65"/>
    <x v="0"/>
    <x v="18"/>
  </r>
  <r>
    <m/>
    <m/>
    <s v="BONUS"/>
    <s v="27 PESSOAS x R$ 120,00"/>
    <d v="2021-05-27T00:00:00"/>
    <n v="3240"/>
    <x v="1"/>
    <x v="18"/>
  </r>
  <r>
    <m/>
    <m/>
    <s v="SALARIOS"/>
    <s v="EXTRAS CIFERAL/VOLARE"/>
    <d v="2021-05-27T00:00:00"/>
    <n v="11134"/>
    <x v="1"/>
    <x v="18"/>
  </r>
  <r>
    <m/>
    <m/>
    <s v="SALARIOS"/>
    <s v="EXTRAS MECANICA"/>
    <d v="2021-05-27T00:00:00"/>
    <n v="1182"/>
    <x v="1"/>
    <x v="18"/>
  </r>
  <r>
    <m/>
    <m/>
    <s v="SALARIOS"/>
    <s v="EXTRAS LIMPEZA"/>
    <d v="2021-05-27T00:00:00"/>
    <n v="3792"/>
    <x v="1"/>
    <x v="18"/>
  </r>
  <r>
    <m/>
    <m/>
    <s v="SOCIOS"/>
    <s v="IPVA LUIS BERTONCELLO"/>
    <d v="2021-05-27T00:00:00"/>
    <n v="2135.06"/>
    <x v="2"/>
    <x v="18"/>
  </r>
  <r>
    <m/>
    <m/>
    <s v="ACORDO"/>
    <s v="ATANAIR - 06/10"/>
    <d v="2021-05-27T00:00:00"/>
    <n v="2000"/>
    <x v="1"/>
    <x v="18"/>
  </r>
  <r>
    <m/>
    <m/>
    <s v="RESCISAO"/>
    <s v="JONATHAN SOUZA DOS SANTOS"/>
    <d v="2021-05-27T00:00:00"/>
    <n v="850.76"/>
    <x v="1"/>
    <x v="18"/>
  </r>
  <r>
    <m/>
    <m/>
    <s v="SOCIOS"/>
    <s v="RETIRADA PAULO SILVA (JÁ INCLUIDO CARTAO)"/>
    <d v="2021-05-27T00:00:00"/>
    <n v="3000"/>
    <x v="2"/>
    <x v="18"/>
  </r>
  <r>
    <m/>
    <m/>
    <s v="PARCELAMENTO"/>
    <s v="MONEO - 05/18 - parte"/>
    <d v="2021-05-27T00:00:00"/>
    <n v="4800"/>
    <x v="0"/>
    <x v="18"/>
  </r>
  <r>
    <m/>
    <m/>
    <s v="ENCARGOS"/>
    <s v="FGTS - vcto 07/05"/>
    <d v="2021-05-27T00:00:00"/>
    <n v="10491.35"/>
    <x v="1"/>
    <x v="18"/>
  </r>
  <r>
    <m/>
    <m/>
    <s v="ENCARGOS"/>
    <s v="FGTS - vcto 07/05"/>
    <d v="2021-05-27T00:00:00"/>
    <n v="1284.82"/>
    <x v="0"/>
    <x v="18"/>
  </r>
  <r>
    <m/>
    <m/>
    <s v="EPI"/>
    <s v="CORSUL "/>
    <d v="2021-05-27T00:00:00"/>
    <n v="117"/>
    <x v="1"/>
    <x v="18"/>
  </r>
  <r>
    <m/>
    <m/>
    <s v="EPI"/>
    <s v="JUSTINA - 23/04"/>
    <d v="2021-05-27T00:00:00"/>
    <n v="1125"/>
    <x v="1"/>
    <x v="18"/>
  </r>
  <r>
    <m/>
    <m/>
    <s v="EPI"/>
    <s v="JUSTINA - 13/05"/>
    <d v="2021-05-27T00:00:00"/>
    <n v="1125"/>
    <x v="1"/>
    <x v="18"/>
  </r>
  <r>
    <m/>
    <m/>
    <s v="EPI"/>
    <s v="JUSTINA - 21/05"/>
    <d v="2021-05-27T00:00:00"/>
    <n v="900"/>
    <x v="1"/>
    <x v="18"/>
  </r>
  <r>
    <m/>
    <m/>
    <s v="RESCISAO"/>
    <s v="SANDRO AUGUSTO - FGTS"/>
    <d v="2021-05-28T00:00:00"/>
    <n v="36.79"/>
    <x v="1"/>
    <x v="19"/>
  </r>
  <r>
    <m/>
    <m/>
    <s v="RESCISAO"/>
    <s v="ASSANE WADE - FGTS"/>
    <d v="2021-05-28T00:00:00"/>
    <n v="19.43"/>
    <x v="1"/>
    <x v="19"/>
  </r>
  <r>
    <m/>
    <m/>
    <s v="SOCIOS"/>
    <s v="RETIRADA ROGERIO"/>
    <d v="2021-05-28T00:00:00"/>
    <n v="3000"/>
    <x v="2"/>
    <x v="19"/>
  </r>
  <r>
    <m/>
    <m/>
    <s v="EPI"/>
    <s v="MAJUSEG "/>
    <d v="2021-05-28T00:00:00"/>
    <n v="1060.28"/>
    <x v="1"/>
    <x v="19"/>
  </r>
  <r>
    <m/>
    <m/>
    <s v="COMBUSTIVEL"/>
    <s v="ROGERIO - reembolsar"/>
    <d v="2021-05-28T00:00:00"/>
    <n v="100"/>
    <x v="2"/>
    <x v="19"/>
  </r>
  <r>
    <m/>
    <m/>
    <s v="COMBUSTIVEL"/>
    <s v="CLEBER"/>
    <d v="2021-05-28T00:00:00"/>
    <n v="150"/>
    <x v="1"/>
    <x v="19"/>
  </r>
  <r>
    <m/>
    <m/>
    <s v="COMBUSTIVEL"/>
    <s v="REEMBOLSO DALNIR - GENILSON"/>
    <d v="2021-05-28T00:00:00"/>
    <n v="100"/>
    <x v="1"/>
    <x v="19"/>
  </r>
  <r>
    <m/>
    <m/>
    <s v="VIAGEM "/>
    <s v="FLAVIO"/>
    <d v="2021-05-28T00:00:00"/>
    <n v="445.8"/>
    <x v="1"/>
    <x v="19"/>
  </r>
  <r>
    <m/>
    <m/>
    <s v="MATERIAL"/>
    <s v="LF SILVEIRA"/>
    <d v="2021-05-28T00:00:00"/>
    <n v="154"/>
    <x v="1"/>
    <x v="19"/>
  </r>
  <r>
    <m/>
    <m/>
    <s v="SOCIOS"/>
    <s v="RETIRADA LUIS BERTONCELLO"/>
    <d v="2021-05-28T00:00:00"/>
    <n v="300"/>
    <x v="2"/>
    <x v="19"/>
  </r>
  <r>
    <m/>
    <m/>
    <s v="EMPRESTIMO"/>
    <s v="VERA KARLING - 10/17"/>
    <d v="2021-05-28T00:00:00"/>
    <n v="1750"/>
    <x v="0"/>
    <x v="19"/>
  </r>
  <r>
    <m/>
    <m/>
    <s v="SOCIOS"/>
    <s v="GUIA INSS LUIS BERTONCELLO - MÊS 02/2021 - reembolsar Dalnir"/>
    <d v="2021-05-28T00:00:00"/>
    <n v="1559.61"/>
    <x v="2"/>
    <x v="19"/>
  </r>
  <r>
    <m/>
    <m/>
    <s v="TERCEIROS"/>
    <s v="APOLO - colarinhos - meteade - cfe Paulo Silva (saldo a combinar)"/>
    <d v="2021-05-28T00:00:00"/>
    <n v="670"/>
    <x v="0"/>
    <x v="19"/>
  </r>
  <r>
    <m/>
    <m/>
    <s v="VIAGEM"/>
    <s v="JOEL - 03/03"/>
    <d v="2021-05-28T00:00:00"/>
    <n v="2826"/>
    <x v="1"/>
    <x v="19"/>
  </r>
  <r>
    <m/>
    <m/>
    <s v="COMBUSTIVEL"/>
    <s v="RUBENS PINTO - maio"/>
    <d v="2021-05-28T00:00:00"/>
    <n v="180"/>
    <x v="2"/>
    <x v="19"/>
  </r>
  <r>
    <m/>
    <m/>
    <s v="SALARIOS"/>
    <s v="JOSE LUIZ - desmanche equip.ciferal"/>
    <d v="2021-05-28T00:00:00"/>
    <n v="2400"/>
    <x v="1"/>
    <x v="19"/>
  </r>
  <r>
    <m/>
    <m/>
    <s v="SALARIOS"/>
    <s v="MARCIO - desmanche equip.ciferal"/>
    <d v="2021-05-28T00:00:00"/>
    <n v="2250"/>
    <x v="1"/>
    <x v="19"/>
  </r>
  <r>
    <m/>
    <m/>
    <s v="ACORDO"/>
    <s v="ANTONIO FRANCISCO - 04/08 - vcto 26/02"/>
    <d v="2021-05-28T00:00:00"/>
    <n v="2200"/>
    <x v="1"/>
    <x v="19"/>
  </r>
  <r>
    <m/>
    <m/>
    <s v="ASSESSORIA"/>
    <s v="VISAO - parcela 02"/>
    <d v="2021-05-28T00:00:00"/>
    <n v="1126.68"/>
    <x v="1"/>
    <x v="19"/>
  </r>
  <r>
    <m/>
    <m/>
    <s v="ALIMENTACAO"/>
    <s v="REST TIO JOAO - vcto 17/05"/>
    <d v="2021-05-28T00:00:00"/>
    <n v="1478.02"/>
    <x v="1"/>
    <x v="19"/>
  </r>
  <r>
    <m/>
    <m/>
    <s v="FÉRIAS"/>
    <s v="NELCI - 03/03"/>
    <d v="2021-05-28T00:00:00"/>
    <n v="1273"/>
    <x v="1"/>
    <x v="19"/>
  </r>
  <r>
    <m/>
    <m/>
    <s v="ALUGUEL"/>
    <s v="CANTON E FREITAS - vcto 25/05"/>
    <d v="2021-05-28T00:00:00"/>
    <n v="110"/>
    <x v="0"/>
    <x v="19"/>
  </r>
  <r>
    <m/>
    <m/>
    <s v="ASSESSORIA"/>
    <s v="HOLUS - vcto 20/04"/>
    <d v="2021-05-28T00:00:00"/>
    <n v="245.52"/>
    <x v="0"/>
    <x v="19"/>
  </r>
  <r>
    <m/>
    <m/>
    <s v="EXPEDIENTE"/>
    <s v="LICEIS"/>
    <d v="2021-05-28T00:00:00"/>
    <n v="23"/>
    <x v="1"/>
    <x v="19"/>
  </r>
  <r>
    <m/>
    <m/>
    <s v="SOCIOS"/>
    <s v="MANO MOTORS - GOLD ESTEINER - 01/02"/>
    <d v="2021-05-28T00:00:00"/>
    <n v="678.5"/>
    <x v="2"/>
    <x v="19"/>
  </r>
  <r>
    <m/>
    <m/>
    <s v="FRETE"/>
    <s v="REALISE - GUINCHO"/>
    <d v="2021-05-28T00:00:00"/>
    <n v="870.24"/>
    <x v="1"/>
    <x v="19"/>
  </r>
  <r>
    <m/>
    <m/>
    <s v="FRETE"/>
    <s v="VENETO - boleto"/>
    <d v="2021-05-28T00:00:00"/>
    <n v="346.48"/>
    <x v="0"/>
    <x v="19"/>
  </r>
  <r>
    <m/>
    <m/>
    <s v="MATERIAL"/>
    <s v="PERINI EQUIPAMENTOS"/>
    <d v="2021-05-28T00:00:00"/>
    <n v="314.44"/>
    <x v="0"/>
    <x v="19"/>
  </r>
  <r>
    <m/>
    <m/>
    <s v="VIAGEM"/>
    <s v="VOB HOTEL - vcto 19/05 - sem falta, boleto já prorrogado"/>
    <d v="2021-05-28T00:00:00"/>
    <n v="568"/>
    <x v="1"/>
    <x v="19"/>
  </r>
  <r>
    <m/>
    <m/>
    <s v="PARCELAMENTO"/>
    <s v="MONEO - 05/18 - saldo"/>
    <d v="2021-05-28T00:00:00"/>
    <n v="4816.4399999999996"/>
    <x v="0"/>
    <x v="19"/>
  </r>
  <r>
    <m/>
    <m/>
    <s v="ACORDO"/>
    <s v="BOX RAPIDO - 04/10"/>
    <d v="2021-05-28T00:00:00"/>
    <n v="444.18"/>
    <x v="0"/>
    <x v="19"/>
  </r>
  <r>
    <m/>
    <m/>
    <s v="RECLAMATORIA"/>
    <s v="GUIA PROCESSO JOSE MELO - 02/02"/>
    <d v="2021-05-28T00:00:00"/>
    <n v="1960.78"/>
    <x v="1"/>
    <x v="19"/>
  </r>
  <r>
    <m/>
    <m/>
    <s v="TERCEIROS"/>
    <s v="ZANOL - NF NEOBUS + CELETRO - saldo"/>
    <d v="2021-05-29T00:00:00"/>
    <n v="6500.5"/>
    <x v="1"/>
    <x v="20"/>
  </r>
  <r>
    <m/>
    <m/>
    <s v="MANUTENCAO"/>
    <s v="CLARA T.WOLF - calibrador Gabriel - sem falta titulo já prorrogado, vcto 26/04/21"/>
    <d v="2021-05-30T00:00:00"/>
    <n v="1090"/>
    <x v="1"/>
    <x v="20"/>
  </r>
  <r>
    <m/>
    <m/>
    <s v="CONVENIO"/>
    <s v="MICROEMPA - vcto 15/05"/>
    <d v="2021-05-31T00:00:00"/>
    <n v="1283.51"/>
    <x v="3"/>
    <x v="20"/>
  </r>
  <r>
    <m/>
    <m/>
    <s v="ACORDO"/>
    <s v="MICROEMPA - 03/13"/>
    <d v="2021-05-31T00:00:00"/>
    <n v="510.96"/>
    <x v="3"/>
    <x v="20"/>
  </r>
  <r>
    <m/>
    <m/>
    <s v="PARCELAMENTO"/>
    <s v="INSS"/>
    <d v="2021-05-31T00:00:00"/>
    <n v="1267.3499999999999"/>
    <x v="1"/>
    <x v="20"/>
  </r>
  <r>
    <m/>
    <m/>
    <s v="PARCELAMENTO"/>
    <s v="CSLL - DEBITO BB "/>
    <d v="2021-05-31T00:00:00"/>
    <n v="525.59"/>
    <x v="1"/>
    <x v="20"/>
  </r>
  <r>
    <m/>
    <m/>
    <s v="PARCELAMENTO"/>
    <s v="DARF IRPJ"/>
    <d v="2021-05-31T00:00:00"/>
    <n v="614.14"/>
    <x v="1"/>
    <x v="20"/>
  </r>
  <r>
    <m/>
    <m/>
    <s v="PARCELAMENTO"/>
    <s v="SIMPLES - 04/60"/>
    <d v="2021-05-31T00:00:00"/>
    <n v="10441.06"/>
    <x v="1"/>
    <x v="20"/>
  </r>
  <r>
    <m/>
    <m/>
    <s v="COMBUSTIVEL"/>
    <s v="PAULO EDUARDO"/>
    <d v="2021-05-31T00:00:00"/>
    <n v="70"/>
    <x v="1"/>
    <x v="20"/>
  </r>
  <r>
    <m/>
    <m/>
    <s v="TERCEIROS"/>
    <s v="CENTRAL TELEFONICA"/>
    <d v="2021-05-31T00:00:00"/>
    <n v="120"/>
    <x v="1"/>
    <x v="20"/>
  </r>
  <r>
    <m/>
    <m/>
    <s v="MATERIAL"/>
    <s v="MAGNANI - central telefonica"/>
    <d v="2021-05-31T00:00:00"/>
    <n v="14.12"/>
    <x v="1"/>
    <x v="20"/>
  </r>
  <r>
    <m/>
    <m/>
    <s v="RESCISAO"/>
    <s v="LUCAS - LIBRELATO"/>
    <d v="2021-05-31T00:00:00"/>
    <n v="102.56"/>
    <x v="1"/>
    <x v="20"/>
  </r>
  <r>
    <m/>
    <m/>
    <s v="RESCISAO"/>
    <s v="SANDRO AUGUSTO"/>
    <d v="2021-05-31T00:00:00"/>
    <n v="599.89"/>
    <x v="1"/>
    <x v="20"/>
  </r>
  <r>
    <m/>
    <m/>
    <s v="RESCISAO"/>
    <s v="ROBERTO COVAS - saldo"/>
    <d v="2021-05-31T00:00:00"/>
    <n v="1025"/>
    <x v="1"/>
    <x v="20"/>
  </r>
  <r>
    <m/>
    <m/>
    <s v="SOCIOS"/>
    <s v="CASAS PAGLIARIN-titulo descontado"/>
    <d v="2021-05-31T00:00:00"/>
    <n v="1822.49"/>
    <x v="1"/>
    <x v="20"/>
  </r>
  <r>
    <m/>
    <m/>
    <s v="MATERIAL"/>
    <s v="CHAPAS WSUL - Guilherme - 01/04"/>
    <d v="2021-05-31T00:00:00"/>
    <n v="1130"/>
    <x v="1"/>
    <x v="20"/>
  </r>
  <r>
    <m/>
    <m/>
    <s v="SOCIOS"/>
    <s v="SEGURO DE VIDA RUBENS PINTO - vcto 03/05"/>
    <d v="2021-05-31T00:00:00"/>
    <n v="1020.5"/>
    <x v="2"/>
    <x v="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18">
  <r>
    <m/>
    <m/>
    <s v="BANCOS"/>
    <s v="JUROS E DESPESAS BANCARIAS"/>
    <d v="2021-06-01T00:00:00"/>
    <n v="3699.5"/>
    <x v="0"/>
    <x v="0"/>
  </r>
  <r>
    <m/>
    <m/>
    <s v="COMBUSTIVEL"/>
    <s v="TEONAS - MENSAL"/>
    <d v="2021-06-01T00:00:00"/>
    <n v="150"/>
    <x v="1"/>
    <x v="0"/>
  </r>
  <r>
    <m/>
    <m/>
    <s v="COMBUSTIVEL"/>
    <s v="GENILSON - MENSAL"/>
    <d v="2021-06-01T00:00:00"/>
    <n v="250"/>
    <x v="1"/>
    <x v="0"/>
  </r>
  <r>
    <m/>
    <m/>
    <s v="CONSUMO"/>
    <s v="SIMOQUIMICA"/>
    <d v="2021-06-01T00:00:00"/>
    <n v="164.05"/>
    <x v="1"/>
    <x v="0"/>
  </r>
  <r>
    <m/>
    <m/>
    <s v="ASSESSORIA "/>
    <s v="GERENCIAL/PKS - VCTO 21/12/20"/>
    <d v="2021-06-01T00:00:00"/>
    <n v="1045"/>
    <x v="2"/>
    <x v="0"/>
  </r>
  <r>
    <m/>
    <m/>
    <s v="ASSESSORIA"/>
    <s v="ROGERIO - PROJETISTA - WSUL - 03/06"/>
    <d v="2021-06-01T00:00:00"/>
    <n v="2500"/>
    <x v="2"/>
    <x v="0"/>
  </r>
  <r>
    <m/>
    <m/>
    <m/>
    <m/>
    <d v="2021-06-02T00:00:00"/>
    <n v="0"/>
    <x v="2"/>
    <x v="1"/>
  </r>
  <r>
    <m/>
    <m/>
    <m/>
    <m/>
    <d v="2021-06-03T00:00:00"/>
    <n v="0"/>
    <x v="2"/>
    <x v="2"/>
  </r>
  <r>
    <m/>
    <m/>
    <s v="SOCIOS"/>
    <s v="RETIRADA LUIS BERTONCELLO"/>
    <d v="2021-06-04T00:00:00"/>
    <n v="2500"/>
    <x v="0"/>
    <x v="3"/>
  </r>
  <r>
    <m/>
    <m/>
    <s v="TRANSPORTE"/>
    <s v="VISATE - SMART"/>
    <d v="2021-06-04T00:00:00"/>
    <n v="190"/>
    <x v="2"/>
    <x v="3"/>
  </r>
  <r>
    <m/>
    <m/>
    <s v="SOCIOS"/>
    <s v="RETIRADA PAULO SILVA"/>
    <d v="2021-06-04T00:00:00"/>
    <n v="1500"/>
    <x v="0"/>
    <x v="3"/>
  </r>
  <r>
    <m/>
    <m/>
    <s v="SEGURO"/>
    <s v="ROGERIO SILVA - 06/06 - sem falta - ultima data"/>
    <d v="2021-06-04T00:00:00"/>
    <n v="678.5"/>
    <x v="0"/>
    <x v="3"/>
  </r>
  <r>
    <m/>
    <m/>
    <s v="PARCELAMENTO"/>
    <s v="EMPRESTIMO FOLHA BB - 06/30"/>
    <d v="2021-06-04T00:00:00"/>
    <n v="2296.34"/>
    <x v="1"/>
    <x v="3"/>
  </r>
  <r>
    <m/>
    <m/>
    <s v="SALARIOS"/>
    <s v="ARQUIVO PRODUCAO"/>
    <d v="2021-06-04T00:00:00"/>
    <n v="46049"/>
    <x v="1"/>
    <x v="3"/>
  </r>
  <r>
    <m/>
    <m/>
    <s v="FRETE"/>
    <s v="BRASSPRESS"/>
    <d v="2021-06-04T00:00:00"/>
    <n v="94.55"/>
    <x v="2"/>
    <x v="3"/>
  </r>
  <r>
    <m/>
    <m/>
    <s v="TERCEIROS"/>
    <s v="EA COMUNICACAO - JORNAL CRICIUMA"/>
    <d v="2021-06-04T00:00:00"/>
    <n v="200"/>
    <x v="1"/>
    <x v="3"/>
  </r>
  <r>
    <m/>
    <m/>
    <s v="EPI"/>
    <s v="ZAPA"/>
    <d v="2021-06-04T00:00:00"/>
    <n v="233.14"/>
    <x v="1"/>
    <x v="3"/>
  </r>
  <r>
    <m/>
    <m/>
    <s v="EPI"/>
    <s v="MAJUSEG "/>
    <d v="2021-06-04T00:00:00"/>
    <n v="743.78"/>
    <x v="1"/>
    <x v="3"/>
  </r>
  <r>
    <m/>
    <m/>
    <s v="COMBUSTIVEL"/>
    <s v="PAULO EDURDO"/>
    <d v="2021-06-04T00:00:00"/>
    <n v="100"/>
    <x v="1"/>
    <x v="3"/>
  </r>
  <r>
    <m/>
    <m/>
    <s v="COMBUSTIVEL"/>
    <s v="CLEBER"/>
    <d v="2021-06-04T00:00:00"/>
    <n v="150"/>
    <x v="1"/>
    <x v="3"/>
  </r>
  <r>
    <m/>
    <m/>
    <s v="VIAGEM "/>
    <s v="FLAVIO"/>
    <d v="2021-06-04T00:00:00"/>
    <n v="453.54"/>
    <x v="1"/>
    <x v="3"/>
  </r>
  <r>
    <m/>
    <m/>
    <s v="ALIMENTACAO"/>
    <s v="BOM TEMPERO - VOLARE - vcto 17/05"/>
    <d v="2021-06-04T00:00:00"/>
    <n v="2818.66"/>
    <x v="1"/>
    <x v="3"/>
  </r>
  <r>
    <m/>
    <m/>
    <s v="SALARIOS"/>
    <s v="SALARIOS"/>
    <d v="2021-06-04T00:00:00"/>
    <n v="10613"/>
    <x v="2"/>
    <x v="3"/>
  </r>
  <r>
    <m/>
    <m/>
    <s v="TRANSPORTE"/>
    <s v="VISATE - 25 CARTOES"/>
    <d v="2021-06-05T00:00:00"/>
    <n v="475"/>
    <x v="1"/>
    <x v="4"/>
  </r>
  <r>
    <m/>
    <m/>
    <s v="ALIMENTACAO"/>
    <s v="CANTINA DELA COLINA - nf 066"/>
    <d v="2021-06-06T00:00:00"/>
    <n v="972"/>
    <x v="1"/>
    <x v="4"/>
  </r>
  <r>
    <m/>
    <m/>
    <s v="EPI"/>
    <s v="JUSTINA - 28/05"/>
    <d v="2021-06-07T00:00:00"/>
    <n v="900"/>
    <x v="1"/>
    <x v="4"/>
  </r>
  <r>
    <m/>
    <m/>
    <s v="EPI"/>
    <s v="JUSTINA - 04/06"/>
    <d v="2021-06-07T00:00:00"/>
    <n v="675"/>
    <x v="1"/>
    <x v="4"/>
  </r>
  <r>
    <m/>
    <m/>
    <s v="TRANSPORTE"/>
    <s v="VISATE - 15 CARTOES"/>
    <d v="2021-06-07T00:00:00"/>
    <n v="285"/>
    <x v="1"/>
    <x v="4"/>
  </r>
  <r>
    <m/>
    <m/>
    <s v="SALARIOS"/>
    <s v="SALARIOS COM CHEQUE - FUNC.SEM CONTA"/>
    <d v="2021-06-07T00:00:00"/>
    <n v="20937"/>
    <x v="1"/>
    <x v="4"/>
  </r>
  <r>
    <m/>
    <m/>
    <s v="PARCELAMENTO"/>
    <s v="EMPRESTIMO FOLHA BB - 07/30"/>
    <d v="2021-06-07T00:00:00"/>
    <n v="2204.25"/>
    <x v="1"/>
    <x v="4"/>
  </r>
  <r>
    <m/>
    <m/>
    <s v="MATERIAL"/>
    <s v="PERINI EQUIPAMENTOS - vcto 26/05"/>
    <d v="2021-06-07T00:00:00"/>
    <n v="366.5"/>
    <x v="2"/>
    <x v="4"/>
  </r>
  <r>
    <m/>
    <m/>
    <s v="SALARIOS"/>
    <s v="SALARIOS - saldo"/>
    <d v="2021-06-07T00:00:00"/>
    <n v="42406"/>
    <x v="1"/>
    <x v="4"/>
  </r>
  <r>
    <m/>
    <m/>
    <s v="ACORDO"/>
    <s v="SAMUEL - CIFERAL - 05/09"/>
    <d v="2021-06-07T00:00:00"/>
    <n v="1500"/>
    <x v="1"/>
    <x v="4"/>
  </r>
  <r>
    <m/>
    <m/>
    <s v="ACORDO"/>
    <s v="ARTHUR - CIFERAL - 05/08"/>
    <d v="2021-06-07T00:00:00"/>
    <n v="1500"/>
    <x v="1"/>
    <x v="4"/>
  </r>
  <r>
    <m/>
    <m/>
    <s v="ACORDO"/>
    <s v="LEONARDO - CIFERAL - 05/14"/>
    <d v="2021-06-07T00:00:00"/>
    <n v="1500"/>
    <x v="1"/>
    <x v="4"/>
  </r>
  <r>
    <m/>
    <m/>
    <s v="ALIMENTACAO"/>
    <s v="RESTAURANTE ZAPAROLLI - vcto 30/05"/>
    <d v="2021-06-07T00:00:00"/>
    <n v="7403"/>
    <x v="1"/>
    <x v="4"/>
  </r>
  <r>
    <m/>
    <m/>
    <s v="SOCIOS"/>
    <s v="FELIPE BALLICO - RETIRADA PAULO SILVA"/>
    <d v="2021-06-07T00:00:00"/>
    <n v="500"/>
    <x v="0"/>
    <x v="4"/>
  </r>
  <r>
    <m/>
    <m/>
    <s v="SALARIOS"/>
    <s v="PAULO EDUARDO (salario + uber + dev.comb.Rogerio)"/>
    <d v="2021-06-07T00:00:00"/>
    <n v="2925.13"/>
    <x v="2"/>
    <x v="4"/>
  </r>
  <r>
    <m/>
    <m/>
    <s v="SALARIOS"/>
    <s v="PENSAO ALIMENTICIA "/>
    <d v="2021-06-07T00:00:00"/>
    <n v="1584.52"/>
    <x v="1"/>
    <x v="4"/>
  </r>
  <r>
    <m/>
    <m/>
    <s v="TERCEIROS"/>
    <s v="MARCIA - LIMPEZA - 2 SEMANAS"/>
    <d v="2021-06-07T00:00:00"/>
    <n v="140"/>
    <x v="1"/>
    <x v="4"/>
  </r>
  <r>
    <m/>
    <m/>
    <s v="COMISSAO"/>
    <s v="TIAGO - NF 1585 - Volare - R$ 86.228,00"/>
    <d v="2021-06-07T00:00:00"/>
    <n v="8622.7999999999993"/>
    <x v="1"/>
    <x v="4"/>
  </r>
  <r>
    <m/>
    <m/>
    <s v="SALARIOS"/>
    <s v="ADTO BRUNO - devolver para Sr.Paulo"/>
    <d v="2021-06-07T00:00:00"/>
    <n v="100"/>
    <x v="1"/>
    <x v="4"/>
  </r>
  <r>
    <m/>
    <m/>
    <s v="SOCIOS"/>
    <s v="VIVO - LUIS"/>
    <d v="2021-06-07T00:00:00"/>
    <n v="74.989999999999995"/>
    <x v="0"/>
    <x v="4"/>
  </r>
  <r>
    <m/>
    <m/>
    <s v="VIAGEM"/>
    <s v="PAULO SILVA - CIFERAL"/>
    <d v="2021-06-08T00:00:00"/>
    <n v="1000"/>
    <x v="2"/>
    <x v="5"/>
  </r>
  <r>
    <m/>
    <m/>
    <s v="INFORMATICA"/>
    <s v="CORPORATIVA TI - dominio (Seman e Venture) - sem falta"/>
    <d v="2021-06-08T00:00:00"/>
    <n v="315"/>
    <x v="1"/>
    <x v="5"/>
  </r>
  <r>
    <m/>
    <m/>
    <s v="COMBUSTIVEL"/>
    <s v="UNO CLEBER - ENTREGUE PARA GABRIEL"/>
    <d v="2021-06-08T00:00:00"/>
    <n v="50"/>
    <x v="1"/>
    <x v="5"/>
  </r>
  <r>
    <m/>
    <m/>
    <s v="COMBUSTIVEL"/>
    <s v="LUIS BERTONCELLO"/>
    <d v="2021-06-08T00:00:00"/>
    <n v="100"/>
    <x v="1"/>
    <x v="5"/>
  </r>
  <r>
    <m/>
    <m/>
    <s v="EXPEDIENTE"/>
    <s v="LICEIS - vcto 03/06"/>
    <d v="2021-06-09T00:00:00"/>
    <n v="217.79"/>
    <x v="1"/>
    <x v="6"/>
  </r>
  <r>
    <m/>
    <m/>
    <s v="ASSESSORIA "/>
    <s v="GT3 - vcto 20/05"/>
    <d v="2021-06-09T00:00:00"/>
    <n v="901.44"/>
    <x v="1"/>
    <x v="6"/>
  </r>
  <r>
    <m/>
    <m/>
    <s v="CURSO"/>
    <s v="RAFAEL SCOPEL - vcto 10/05"/>
    <d v="2021-06-09T00:00:00"/>
    <n v="1500"/>
    <x v="1"/>
    <x v="6"/>
  </r>
  <r>
    <m/>
    <m/>
    <s v="COMUNICACAO"/>
    <s v="NET - vcto 20/05"/>
    <d v="2021-06-09T00:00:00"/>
    <n v="213.63"/>
    <x v="1"/>
    <x v="6"/>
  </r>
  <r>
    <m/>
    <m/>
    <s v="VIAGEM"/>
    <s v="VOB HOTEL"/>
    <d v="2021-06-09T00:00:00"/>
    <n v="110"/>
    <x v="1"/>
    <x v="6"/>
  </r>
  <r>
    <m/>
    <m/>
    <s v="MATERIAL"/>
    <s v="LF SILVEIRA - GABRIEL"/>
    <d v="2021-06-09T00:00:00"/>
    <n v="50"/>
    <x v="1"/>
    <x v="6"/>
  </r>
  <r>
    <m/>
    <m/>
    <s v="COMBUSTIVEL"/>
    <s v="CLEBER"/>
    <d v="2021-06-09T00:00:00"/>
    <n v="50"/>
    <x v="1"/>
    <x v="6"/>
  </r>
  <r>
    <m/>
    <m/>
    <s v="COMBUSTIVEL"/>
    <s v="ROGERIO"/>
    <d v="2021-06-09T00:00:00"/>
    <n v="100"/>
    <x v="1"/>
    <x v="6"/>
  </r>
  <r>
    <m/>
    <m/>
    <s v="EPI"/>
    <s v="CORSUL"/>
    <d v="2021-06-10T00:00:00"/>
    <n v="173.64"/>
    <x v="1"/>
    <x v="7"/>
  </r>
  <r>
    <m/>
    <m/>
    <s v="MATERIAL"/>
    <s v="CELETRO - ZANOL"/>
    <d v="2021-06-10T00:00:00"/>
    <n v="3008.21"/>
    <x v="2"/>
    <x v="7"/>
  </r>
  <r>
    <m/>
    <m/>
    <s v="SOCIOS"/>
    <s v="RETIRADA ROGERIO"/>
    <d v="2021-06-10T00:00:00"/>
    <n v="3000"/>
    <x v="0"/>
    <x v="7"/>
  </r>
  <r>
    <m/>
    <m/>
    <s v="RESCISAO"/>
    <s v="MISAEL GUIMARAES - LIBRELATO"/>
    <d v="2021-06-10T00:00:00"/>
    <n v="303.08"/>
    <x v="1"/>
    <x v="7"/>
  </r>
  <r>
    <m/>
    <m/>
    <s v="RESCISAO"/>
    <s v="ANA MARIA - em dinheiro (Sindicato)"/>
    <d v="2021-06-11T00:00:00"/>
    <n v="442.25"/>
    <x v="1"/>
    <x v="8"/>
  </r>
  <r>
    <m/>
    <m/>
    <s v="RESCISAO"/>
    <s v="FGTS RESCISORIO LIAMARA + DAIANE + DANILZA"/>
    <d v="2021-06-11T00:00:00"/>
    <n v="25.29"/>
    <x v="1"/>
    <x v="8"/>
  </r>
  <r>
    <m/>
    <m/>
    <s v="MATERIAL"/>
    <s v="RS GASES - cartorio "/>
    <d v="2021-06-11T00:00:00"/>
    <n v="411.6"/>
    <x v="2"/>
    <x v="8"/>
  </r>
  <r>
    <m/>
    <m/>
    <s v="SOCIOS"/>
    <s v="SPADETTO - REEMBOLSAR SR.LUIS"/>
    <d v="2021-06-11T00:00:00"/>
    <n v="80"/>
    <x v="0"/>
    <x v="8"/>
  </r>
  <r>
    <m/>
    <m/>
    <s v="COMBUSTIVEL"/>
    <s v="GABRIEL"/>
    <d v="2021-06-11T00:00:00"/>
    <n v="100"/>
    <x v="1"/>
    <x v="8"/>
  </r>
  <r>
    <m/>
    <m/>
    <s v="COMBUSTIVEL"/>
    <s v="CLEBER"/>
    <d v="2021-06-11T00:00:00"/>
    <n v="100"/>
    <x v="1"/>
    <x v="8"/>
  </r>
  <r>
    <m/>
    <m/>
    <s v="VIAGEM "/>
    <s v="FLAVIO + TROCA AGUA RADIADOR"/>
    <d v="2021-06-11T00:00:00"/>
    <n v="550"/>
    <x v="1"/>
    <x v="8"/>
  </r>
  <r>
    <m/>
    <m/>
    <s v="SOCIOS"/>
    <s v="RETIRADA LUIS BERTONCELLO"/>
    <d v="2021-06-11T00:00:00"/>
    <n v="2000"/>
    <x v="0"/>
    <x v="8"/>
  </r>
  <r>
    <m/>
    <m/>
    <s v="RESCISAO"/>
    <s v="LEANDRO GONCALVES"/>
    <d v="2021-06-11T00:00:00"/>
    <n v="157.5"/>
    <x v="1"/>
    <x v="8"/>
  </r>
  <r>
    <m/>
    <m/>
    <s v="SAUDE"/>
    <s v="PROMED - vcto 15/04/21"/>
    <d v="2021-06-11T00:00:00"/>
    <n v="3138.11"/>
    <x v="1"/>
    <x v="8"/>
  </r>
  <r>
    <m/>
    <m/>
    <s v="RESCISAO"/>
    <s v="DANILZA SILVA"/>
    <d v="2021-06-14T00:00:00"/>
    <n v="226.11"/>
    <x v="1"/>
    <x v="9"/>
  </r>
  <r>
    <m/>
    <m/>
    <s v="RESCISAO"/>
    <s v="ASSANE WADE"/>
    <d v="2021-06-14T00:00:00"/>
    <n v="409.11"/>
    <x v="1"/>
    <x v="9"/>
  </r>
  <r>
    <m/>
    <m/>
    <s v="VIAGEM"/>
    <s v="JOEL - 01/03"/>
    <d v="2021-06-14T00:00:00"/>
    <n v="2876"/>
    <x v="1"/>
    <x v="9"/>
  </r>
  <r>
    <m/>
    <m/>
    <s v="ACORDO"/>
    <s v="NATHAN PEREIRA - 03/04"/>
    <d v="2021-06-14T00:00:00"/>
    <n v="1571.61"/>
    <x v="1"/>
    <x v="9"/>
  </r>
  <r>
    <m/>
    <m/>
    <s v="SOCIOS"/>
    <s v="RETIRADA PAULO SILVA"/>
    <d v="2021-06-14T00:00:00"/>
    <n v="2000"/>
    <x v="0"/>
    <x v="9"/>
  </r>
  <r>
    <m/>
    <m/>
    <s v="COMBUSTIVEL"/>
    <s v="LUIS BERTONCELLO"/>
    <d v="2021-06-14T00:00:00"/>
    <n v="100"/>
    <x v="0"/>
    <x v="9"/>
  </r>
  <r>
    <m/>
    <m/>
    <s v="COMUNICACAO"/>
    <s v="CLARO - vcto 20/05"/>
    <d v="2021-06-14T00:00:00"/>
    <n v="1636.57"/>
    <x v="2"/>
    <x v="9"/>
  </r>
  <r>
    <m/>
    <m/>
    <s v="INFORMATICA"/>
    <s v="DIGISAM "/>
    <d v="2021-06-14T00:00:00"/>
    <n v="619"/>
    <x v="2"/>
    <x v="9"/>
  </r>
  <r>
    <m/>
    <m/>
    <s v="MATERIAL"/>
    <s v="RS GASES - vcto 11/06"/>
    <d v="2021-06-14T00:00:00"/>
    <n v="738.72"/>
    <x v="2"/>
    <x v="9"/>
  </r>
  <r>
    <m/>
    <m/>
    <s v="MANUTENCAO"/>
    <s v="KLINSMAN - KIPONTO - vcto 11/06"/>
    <d v="2021-06-14T00:00:00"/>
    <n v="234.6"/>
    <x v="2"/>
    <x v="9"/>
  </r>
  <r>
    <m/>
    <m/>
    <s v="EMPRESTIMO"/>
    <s v="SALARIOS - Operacional Caxias - devolver Renovar - 02/06"/>
    <d v="2021-06-14T00:00:00"/>
    <n v="5000"/>
    <x v="1"/>
    <x v="9"/>
  </r>
  <r>
    <m/>
    <m/>
    <s v="CONSUMO"/>
    <s v="LUCHETTI COM DE GAS E AGUA - vcto 11/06"/>
    <d v="2021-06-14T00:00:00"/>
    <n v="224.82"/>
    <x v="2"/>
    <x v="9"/>
  </r>
  <r>
    <m/>
    <m/>
    <s v="SOCIOS"/>
    <s v="CARTEIRA PAULO EDUARDO - 01/02 - dep.paulo eduardo nu banck"/>
    <d v="2021-06-14T00:00:00"/>
    <n v="750"/>
    <x v="0"/>
    <x v="9"/>
  </r>
  <r>
    <m/>
    <m/>
    <s v="ASSESSORIA"/>
    <s v="OLIVEIRA E PERES - vcto 25/01"/>
    <d v="2021-06-14T00:00:00"/>
    <n v="3135"/>
    <x v="2"/>
    <x v="9"/>
  </r>
  <r>
    <m/>
    <m/>
    <s v="INFORMATICA"/>
    <s v="CORPORATIVA TI - vcto 10/03"/>
    <d v="2021-06-14T00:00:00"/>
    <n v="250"/>
    <x v="2"/>
    <x v="9"/>
  </r>
  <r>
    <m/>
    <m/>
    <s v="INFORMATICA"/>
    <s v="METADADOS - vcto 25/04"/>
    <d v="2021-06-14T00:00:00"/>
    <n v="318.68"/>
    <x v="2"/>
    <x v="9"/>
  </r>
  <r>
    <m/>
    <m/>
    <s v="EPI"/>
    <s v="ZAPA"/>
    <d v="2021-06-14T00:00:00"/>
    <n v="233.14"/>
    <x v="1"/>
    <x v="9"/>
  </r>
  <r>
    <m/>
    <m/>
    <s v="RESCISAO"/>
    <s v="FGTS RESCISORIO MAICO FERREIRA"/>
    <d v="2021-06-14T00:00:00"/>
    <n v="30.14"/>
    <x v="1"/>
    <x v="9"/>
  </r>
  <r>
    <m/>
    <m/>
    <s v="ASSESSORIA"/>
    <s v="DEPOSITAR SEM FALTA PARA ROSELI BUZZATI - NF 224 (estufa - R$ 1.075,00 p/NF) - agendado"/>
    <d v="2021-06-14T00:00:00"/>
    <n v="1075"/>
    <x v="2"/>
    <x v="9"/>
  </r>
  <r>
    <m/>
    <m/>
    <s v="ASSESSORIA"/>
    <s v="ROGERIO - PROJETISTA - WSUL - 04/06 - vencido dia 02 - já combinado com ele prorrogacao"/>
    <d v="2021-06-14T00:00:00"/>
    <n v="2500"/>
    <x v="2"/>
    <x v="9"/>
  </r>
  <r>
    <m/>
    <m/>
    <s v="TRANSPORTE"/>
    <s v="SCHEILA PACHECO - ultima nota fiscal"/>
    <d v="2021-06-15T00:00:00"/>
    <n v="1700"/>
    <x v="1"/>
    <x v="10"/>
  </r>
  <r>
    <m/>
    <m/>
    <s v="COMBUSTIVEL"/>
    <s v="GENILSON - MENSAL "/>
    <d v="2021-06-15T00:00:00"/>
    <n v="250"/>
    <x v="1"/>
    <x v="10"/>
  </r>
  <r>
    <m/>
    <m/>
    <s v="VIAGEM"/>
    <s v="LUIS/GABRIEL"/>
    <d v="2021-06-15T00:00:00"/>
    <n v="500"/>
    <x v="1"/>
    <x v="10"/>
  </r>
  <r>
    <m/>
    <m/>
    <s v="TERCEIROS"/>
    <s v="MARCIA - LIMPEZA "/>
    <d v="2021-06-15T00:00:00"/>
    <n v="70"/>
    <x v="1"/>
    <x v="10"/>
  </r>
  <r>
    <m/>
    <m/>
    <s v="EPI"/>
    <s v="ZAPA- VCTO 28/05 -  cartorio"/>
    <d v="2021-06-15T00:00:00"/>
    <n v="647.20000000000005"/>
    <x v="1"/>
    <x v="10"/>
  </r>
  <r>
    <m/>
    <m/>
    <s v="SAUDE"/>
    <s v="PROMED"/>
    <d v="2021-06-15T00:00:00"/>
    <n v="80.25"/>
    <x v="2"/>
    <x v="10"/>
  </r>
  <r>
    <m/>
    <m/>
    <s v="SAUDE"/>
    <s v="UNIMED"/>
    <d v="2021-06-15T00:00:00"/>
    <n v="3594.05"/>
    <x v="3"/>
    <x v="10"/>
  </r>
  <r>
    <m/>
    <m/>
    <s v="CONVENIO"/>
    <s v="MICROEMPA"/>
    <d v="2021-06-15T00:00:00"/>
    <n v="84"/>
    <x v="1"/>
    <x v="10"/>
  </r>
  <r>
    <m/>
    <m/>
    <s v="CONVENIO"/>
    <s v="MICROEMPA"/>
    <d v="2021-06-15T00:00:00"/>
    <n v="1251.76"/>
    <x v="4"/>
    <x v="10"/>
  </r>
  <r>
    <m/>
    <m/>
    <s v="COMBUSTIVEL"/>
    <s v="UNO CLEBER - ENTREGUE PARA GABRIEL"/>
    <d v="2021-06-15T00:00:00"/>
    <n v="50"/>
    <x v="1"/>
    <x v="10"/>
  </r>
  <r>
    <m/>
    <m/>
    <s v="TERCEIROS"/>
    <s v="IONICE - CHAVEIRO CASA DE PEDRA - em dinheiro"/>
    <d v="2021-06-15T00:00:00"/>
    <n v="72"/>
    <x v="2"/>
    <x v="10"/>
  </r>
  <r>
    <m/>
    <m/>
    <s v="CONSUMO"/>
    <s v="DE TONI"/>
    <d v="2021-06-15T00:00:00"/>
    <n v="151.4"/>
    <x v="1"/>
    <x v="10"/>
  </r>
  <r>
    <m/>
    <m/>
    <s v="EPI"/>
    <s v="ZAPA - VCTO 28/05 - cartorio"/>
    <d v="2021-06-16T00:00:00"/>
    <n v="272.72000000000003"/>
    <x v="1"/>
    <x v="11"/>
  </r>
  <r>
    <m/>
    <m/>
    <s v="AGUA"/>
    <s v="SAMAE"/>
    <d v="2021-06-16T00:00:00"/>
    <n v="178.23"/>
    <x v="2"/>
    <x v="11"/>
  </r>
  <r>
    <m/>
    <m/>
    <s v="MATERIAL"/>
    <s v="ARES - rotores - depositar para entrega do material"/>
    <d v="2021-06-16T00:00:00"/>
    <n v="2000"/>
    <x v="2"/>
    <x v="11"/>
  </r>
  <r>
    <m/>
    <m/>
    <s v="MANUTENCAO"/>
    <s v="STEDILE"/>
    <d v="2021-06-16T00:00:00"/>
    <n v="240.88"/>
    <x v="1"/>
    <x v="11"/>
  </r>
  <r>
    <m/>
    <m/>
    <s v="VEICULOS"/>
    <s v="MECANICA ADEMIR"/>
    <d v="2021-06-16T00:00:00"/>
    <n v="127"/>
    <x v="2"/>
    <x v="11"/>
  </r>
  <r>
    <m/>
    <m/>
    <s v="ALIMENTACAO"/>
    <s v="ALIMENTAR - vcto 27/05 - ultimo prazo - negociado com Camila"/>
    <d v="2021-06-16T00:00:00"/>
    <n v="3667.2"/>
    <x v="1"/>
    <x v="11"/>
  </r>
  <r>
    <m/>
    <m/>
    <s v="PARCELAMENTO"/>
    <s v="ISS - PARC.18/32"/>
    <d v="2021-06-16T00:00:00"/>
    <n v="695.57"/>
    <x v="1"/>
    <x v="11"/>
  </r>
  <r>
    <m/>
    <m/>
    <s v="EPI"/>
    <s v="CORSUL"/>
    <d v="2021-06-16T00:00:00"/>
    <n v="234.75"/>
    <x v="1"/>
    <x v="11"/>
  </r>
  <r>
    <m/>
    <m/>
    <s v="COMUNICACAO"/>
    <s v="VIVO - VCTO 28/05"/>
    <d v="2021-06-16T00:00:00"/>
    <n v="380.73"/>
    <x v="3"/>
    <x v="11"/>
  </r>
  <r>
    <m/>
    <m/>
    <s v="RESCISAO"/>
    <s v="MAICO FERREIRA"/>
    <d v="2021-06-16T00:00:00"/>
    <n v="839.95"/>
    <x v="1"/>
    <x v="11"/>
  </r>
  <r>
    <m/>
    <m/>
    <s v="RESCISAO"/>
    <s v="LIAMARA WILLE - 11/06"/>
    <d v="2021-06-16T00:00:00"/>
    <n v="249.74"/>
    <x v="1"/>
    <x v="11"/>
  </r>
  <r>
    <m/>
    <m/>
    <s v="RESCISAO"/>
    <s v="DAIANE LEMES - 11/06"/>
    <d v="2021-06-16T00:00:00"/>
    <n v="321.11"/>
    <x v="1"/>
    <x v="11"/>
  </r>
  <r>
    <m/>
    <m/>
    <s v="ENCARGOS"/>
    <s v="INSS"/>
    <d v="2021-06-17T00:00:00"/>
    <n v="978.59"/>
    <x v="2"/>
    <x v="12"/>
  </r>
  <r>
    <m/>
    <m/>
    <s v="ENCARGOS"/>
    <s v="INSS"/>
    <d v="2021-06-17T00:00:00"/>
    <n v="11337.56"/>
    <x v="1"/>
    <x v="12"/>
  </r>
  <r>
    <m/>
    <m/>
    <s v="COMBUSTIVEL"/>
    <s v="REEMBOLSAR ROGERIO"/>
    <d v="2021-06-17T00:00:00"/>
    <n v="150"/>
    <x v="0"/>
    <x v="12"/>
  </r>
  <r>
    <m/>
    <m/>
    <s v="SOCIOS"/>
    <s v="CARTAO PAULO SILVA (esta incluido passagens)"/>
    <d v="2021-06-17T00:00:00"/>
    <n v="2500"/>
    <x v="0"/>
    <x v="12"/>
  </r>
  <r>
    <m/>
    <m/>
    <s v="EMPRESTIMO"/>
    <s v="VERA KARLING - 11/17"/>
    <d v="2021-06-17T00:00:00"/>
    <n v="1750"/>
    <x v="2"/>
    <x v="12"/>
  </r>
  <r>
    <m/>
    <m/>
    <s v="RESCISAO"/>
    <s v="LUAN LUCAS - FGTS RESCISORIO"/>
    <d v="2021-06-17T00:00:00"/>
    <n v="12.09"/>
    <x v="1"/>
    <x v="12"/>
  </r>
  <r>
    <m/>
    <m/>
    <s v="IMPOSTOS"/>
    <s v="ISSQN"/>
    <d v="2021-06-17T00:00:00"/>
    <n v="33.56"/>
    <x v="1"/>
    <x v="12"/>
  </r>
  <r>
    <m/>
    <m/>
    <s v="TRANSPORTE"/>
    <s v="VISATE - 14 CARTOES"/>
    <d v="2021-06-17T00:00:00"/>
    <n v="266"/>
    <x v="1"/>
    <x v="12"/>
  </r>
  <r>
    <m/>
    <m/>
    <s v="IMPOSTOS"/>
    <s v="IRF S/NOTA FISCAL"/>
    <d v="2021-06-18T00:00:00"/>
    <n v="44.14"/>
    <x v="1"/>
    <x v="13"/>
  </r>
  <r>
    <m/>
    <m/>
    <s v="IMPOSTOS"/>
    <s v="CSLL S/NOTA FISCAL"/>
    <d v="2021-06-18T00:00:00"/>
    <n v="136.82"/>
    <x v="1"/>
    <x v="13"/>
  </r>
  <r>
    <m/>
    <m/>
    <s v="SOCIOS"/>
    <s v="RETIRADA LUIS BERTONCELLO"/>
    <d v="2021-06-18T00:00:00"/>
    <n v="2500"/>
    <x v="0"/>
    <x v="13"/>
  </r>
  <r>
    <m/>
    <m/>
    <s v="COMBUSTIVEL"/>
    <s v="CLEBER"/>
    <d v="2021-06-18T00:00:00"/>
    <n v="150"/>
    <x v="1"/>
    <x v="13"/>
  </r>
  <r>
    <m/>
    <m/>
    <s v="VIAGEM "/>
    <s v="FLAVIO + reembolsar gastos uno"/>
    <d v="2021-06-18T00:00:00"/>
    <n v="357.8"/>
    <x v="1"/>
    <x v="13"/>
  </r>
  <r>
    <m/>
    <m/>
    <s v="IMPOSTOS"/>
    <s v="INSS NF REALISE"/>
    <d v="2021-06-18T00:00:00"/>
    <n v="32.200000000000003"/>
    <x v="1"/>
    <x v="13"/>
  </r>
  <r>
    <m/>
    <m/>
    <s v="TRANSPORTE"/>
    <s v="VAN - vcto 10/06 (metade - ja prorrogado)"/>
    <d v="2021-06-18T00:00:00"/>
    <n v="3792"/>
    <x v="2"/>
    <x v="13"/>
  </r>
  <r>
    <m/>
    <m/>
    <s v="RESCISAO"/>
    <s v="ADAIR RABAIOLI"/>
    <d v="2021-06-19T00:00:00"/>
    <n v="412.52"/>
    <x v="1"/>
    <x v="14"/>
  </r>
  <r>
    <m/>
    <m/>
    <s v="FÉRIAS"/>
    <s v="ALGACIR MULLER - 02/03"/>
    <d v="2021-06-20T00:00:00"/>
    <n v="940"/>
    <x v="1"/>
    <x v="14"/>
  </r>
  <r>
    <m/>
    <m/>
    <s v="FÉRIAS"/>
    <s v="RICARDO DEGGERONE - 02/03"/>
    <d v="2021-06-21T00:00:00"/>
    <n v="1050"/>
    <x v="1"/>
    <x v="14"/>
  </r>
  <r>
    <m/>
    <m/>
    <s v="TERCEIROS"/>
    <s v="MARCIA - LIMPEZA"/>
    <d v="2021-06-21T00:00:00"/>
    <n v="70"/>
    <x v="1"/>
    <x v="14"/>
  </r>
  <r>
    <m/>
    <m/>
    <s v="VIAGEM"/>
    <s v="JOEL - 02/03"/>
    <d v="2021-06-21T00:00:00"/>
    <n v="2876"/>
    <x v="1"/>
    <x v="14"/>
  </r>
  <r>
    <m/>
    <m/>
    <s v="ASSESSORIA"/>
    <s v="VISAO - vcto 25/05"/>
    <d v="2021-06-21T00:00:00"/>
    <n v="3250"/>
    <x v="1"/>
    <x v="14"/>
  </r>
  <r>
    <m/>
    <m/>
    <s v="VIAGEM"/>
    <s v="VOB HOTEL - vcto 17/06"/>
    <d v="2021-06-21T00:00:00"/>
    <n v="228"/>
    <x v="1"/>
    <x v="14"/>
  </r>
  <r>
    <m/>
    <m/>
    <s v="TERCEIROS"/>
    <s v="EVANDRO APOLO - estufa Marcopolo (só entrega as chapas com pgto em dinheiro)"/>
    <d v="2021-06-21T00:00:00"/>
    <n v="770"/>
    <x v="2"/>
    <x v="14"/>
  </r>
  <r>
    <m/>
    <m/>
    <s v="EPI"/>
    <s v="ZAPA - CARTORIO"/>
    <d v="2021-06-22T00:00:00"/>
    <n v="272.72000000000003"/>
    <x v="1"/>
    <x v="15"/>
  </r>
  <r>
    <m/>
    <m/>
    <s v="RESCISAO"/>
    <s v="LUAN LUCAS"/>
    <d v="2021-06-22T00:00:00"/>
    <n v="328.27"/>
    <x v="1"/>
    <x v="15"/>
  </r>
  <r>
    <m/>
    <m/>
    <s v="FÉRIAS"/>
    <s v="MARCELO DOS SANTOS - metade (vcto 18/06)"/>
    <d v="2021-06-22T00:00:00"/>
    <n v="1230"/>
    <x v="1"/>
    <x v="15"/>
  </r>
  <r>
    <m/>
    <m/>
    <s v="SAUDE"/>
    <s v="PLANO DE SAUDE - já descontado dos funcionarios"/>
    <d v="2021-06-22T00:00:00"/>
    <n v="899.36"/>
    <x v="1"/>
    <x v="15"/>
  </r>
  <r>
    <m/>
    <m/>
    <s v="TRANSPORTE"/>
    <s v="EMPRESA UNIAO - LIBRELATO - vcto 17/06 - combinado com Diego pgto em 22/06"/>
    <d v="2021-06-22T00:00:00"/>
    <n v="4050"/>
    <x v="1"/>
    <x v="15"/>
  </r>
  <r>
    <m/>
    <m/>
    <s v="ALIMENTACAO"/>
    <s v="CRISTINE LANCHES - metade"/>
    <d v="2021-06-22T00:00:00"/>
    <n v="900"/>
    <x v="1"/>
    <x v="15"/>
  </r>
  <r>
    <m/>
    <m/>
    <s v="ACORDO"/>
    <s v="ATANAIR - 07/10"/>
    <d v="2021-06-22T00:00:00"/>
    <n v="2000"/>
    <x v="1"/>
    <x v="15"/>
  </r>
  <r>
    <m/>
    <m/>
    <s v="EPI"/>
    <s v="ZAPA  - vcto 17/06 "/>
    <d v="2021-06-22T00:00:00"/>
    <n v="301.64"/>
    <x v="1"/>
    <x v="15"/>
  </r>
  <r>
    <m/>
    <m/>
    <s v="TERCEIROS"/>
    <s v="CONSERTO 03 CELULARES (retirar)"/>
    <d v="2021-06-23T00:00:00"/>
    <n v="320"/>
    <x v="1"/>
    <x v="16"/>
  </r>
  <r>
    <m/>
    <m/>
    <s v="MATERIAL"/>
    <s v="FERRAMENTAS GERAIS - GENILSON"/>
    <d v="2021-06-23T00:00:00"/>
    <n v="462.5"/>
    <x v="1"/>
    <x v="16"/>
  </r>
  <r>
    <m/>
    <m/>
    <s v="COMBUSTIVEL"/>
    <s v="UNO CLEBER - UTILIZADO POR GENILSON"/>
    <d v="2021-06-23T00:00:00"/>
    <n v="100"/>
    <x v="1"/>
    <x v="16"/>
  </r>
  <r>
    <m/>
    <m/>
    <s v="COMBUSTIVEL"/>
    <s v="REEMBOLSAR LUIS"/>
    <d v="2021-06-23T00:00:00"/>
    <n v="100"/>
    <x v="0"/>
    <x v="16"/>
  </r>
  <r>
    <m/>
    <m/>
    <s v="COMBUSTIVEL"/>
    <s v="REEMBOLSAR ROGERIO"/>
    <d v="2021-06-23T00:00:00"/>
    <n v="200"/>
    <x v="0"/>
    <x v="16"/>
  </r>
  <r>
    <m/>
    <m/>
    <s v="VIAGEM"/>
    <s v="REEMBOLSAR LUIS - viagem Gabriel/SC - total 615,80"/>
    <d v="2021-06-23T00:00:00"/>
    <n v="115.8"/>
    <x v="1"/>
    <x v="16"/>
  </r>
  <r>
    <m/>
    <m/>
    <s v="COMBUSTIVEL"/>
    <s v="GABRIEL"/>
    <d v="2021-06-23T00:00:00"/>
    <n v="130"/>
    <x v="1"/>
    <x v="16"/>
  </r>
  <r>
    <m/>
    <m/>
    <s v="ACORDO"/>
    <s v="RAMON - 02/04"/>
    <d v="2021-06-23T00:00:00"/>
    <n v="2000"/>
    <x v="1"/>
    <x v="16"/>
  </r>
  <r>
    <m/>
    <m/>
    <s v="EPI"/>
    <s v="ALSCO - vcto 21/06"/>
    <d v="2021-06-23T00:00:00"/>
    <n v="123.8"/>
    <x v="1"/>
    <x v="16"/>
  </r>
  <r>
    <m/>
    <m/>
    <s v="EPI"/>
    <s v="ALSCO - vcto 21/06"/>
    <d v="2021-06-23T00:00:00"/>
    <n v="125.63"/>
    <x v="1"/>
    <x v="16"/>
  </r>
  <r>
    <m/>
    <m/>
    <s v="BANCOS"/>
    <s v="GUIA BSP x ITAU"/>
    <d v="2021-06-23T00:00:00"/>
    <n v="202.89"/>
    <x v="5"/>
    <x v="16"/>
  </r>
  <r>
    <m/>
    <m/>
    <s v="ACORDO"/>
    <s v="MICROEMPA - 04/13"/>
    <d v="2021-06-23T00:00:00"/>
    <n v="500"/>
    <x v="4"/>
    <x v="16"/>
  </r>
  <r>
    <m/>
    <m/>
    <s v="ALUGUEL"/>
    <s v="CANTON E FREITAS - vcto 21/06"/>
    <d v="2021-06-23T00:00:00"/>
    <n v="110"/>
    <x v="2"/>
    <x v="16"/>
  </r>
  <r>
    <m/>
    <m/>
    <s v="EXPEDIENTE"/>
    <s v="IDENTIFICA - CRACHAS - vcto 21/06"/>
    <d v="2021-06-23T00:00:00"/>
    <n v="399.6"/>
    <x v="1"/>
    <x v="16"/>
  </r>
  <r>
    <m/>
    <m/>
    <s v="MATERIAL"/>
    <s v="MARCARINI TINTAS - 01/02 - vcto 21/06"/>
    <d v="2021-06-23T00:00:00"/>
    <n v="2191"/>
    <x v="2"/>
    <x v="16"/>
  </r>
  <r>
    <m/>
    <m/>
    <s v="ENCARGOS"/>
    <s v="FGTS - vcto 07/06"/>
    <d v="2021-06-23T00:00:00"/>
    <n v="11475.56"/>
    <x v="1"/>
    <x v="16"/>
  </r>
  <r>
    <m/>
    <m/>
    <s v="ACORDO"/>
    <s v="IZAAC - 03/06 - foi depositado na conta do Joel e ele repassa (conta Nubank não aceitou)"/>
    <d v="2021-06-23T00:00:00"/>
    <n v="1643"/>
    <x v="1"/>
    <x v="16"/>
  </r>
  <r>
    <m/>
    <m/>
    <s v="INFORMATICA"/>
    <s v="METADADOS - vcto 25/05"/>
    <d v="2021-06-23T00:00:00"/>
    <n v="318.68"/>
    <x v="2"/>
    <x v="16"/>
  </r>
  <r>
    <m/>
    <m/>
    <s v="ASSESSORIA"/>
    <s v="HOLUS - vcto 20/05"/>
    <d v="2021-06-23T00:00:00"/>
    <n v="243.76"/>
    <x v="2"/>
    <x v="16"/>
  </r>
  <r>
    <m/>
    <m/>
    <s v="EPI"/>
    <s v="CORSUL"/>
    <d v="2021-06-24T00:00:00"/>
    <n v="385.7"/>
    <x v="1"/>
    <x v="17"/>
  </r>
  <r>
    <m/>
    <m/>
    <s v="SOCIOS"/>
    <s v="MANO MOTORS - GOLD ESTEINER - 02/02 (Luis) - vcto 17/06 combinado com Mano pgto em 24/06"/>
    <d v="2021-06-24T00:00:00"/>
    <n v="678.5"/>
    <x v="1"/>
    <x v="17"/>
  </r>
  <r>
    <m/>
    <m/>
    <s v="INFORMATICA"/>
    <s v="DIGISERVE"/>
    <d v="2021-06-24T00:00:00"/>
    <n v="142"/>
    <x v="2"/>
    <x v="17"/>
  </r>
  <r>
    <m/>
    <m/>
    <s v="PARCELAMENTO"/>
    <s v="MONEO - 06/18"/>
    <d v="2021-06-24T00:00:00"/>
    <n v="7230"/>
    <x v="2"/>
    <x v="17"/>
  </r>
  <r>
    <m/>
    <m/>
    <s v="INFORMATICA"/>
    <s v="CORPORATIVA TI - vcto 10/04"/>
    <d v="2021-06-24T00:00:00"/>
    <n v="250"/>
    <x v="2"/>
    <x v="17"/>
  </r>
  <r>
    <m/>
    <m/>
    <s v="EPI"/>
    <s v="ZAPA"/>
    <d v="2021-06-24T00:00:00"/>
    <n v="233.16"/>
    <x v="1"/>
    <x v="17"/>
  </r>
  <r>
    <m/>
    <m/>
    <s v="SOCIOS"/>
    <s v="RETIRADA LUIS BERTONCELLO"/>
    <d v="2021-06-24T00:00:00"/>
    <n v="2500"/>
    <x v="0"/>
    <x v="17"/>
  </r>
  <r>
    <m/>
    <m/>
    <s v="MATERIAL"/>
    <s v="CELETRO - ZANOL"/>
    <d v="2021-06-24T00:00:00"/>
    <n v="2402.56"/>
    <x v="2"/>
    <x v="17"/>
  </r>
  <r>
    <m/>
    <m/>
    <s v="RESCISAO"/>
    <s v="EDSON SALAZAR - FGTS RESCISORIO"/>
    <d v="2021-06-24T00:00:00"/>
    <n v="14.3"/>
    <x v="1"/>
    <x v="17"/>
  </r>
  <r>
    <m/>
    <m/>
    <s v="RESCISAO"/>
    <s v="LUCIANO JUNIOR - FGTS RESCISORIO"/>
    <d v="2021-06-24T00:00:00"/>
    <n v="22.12"/>
    <x v="1"/>
    <x v="17"/>
  </r>
  <r>
    <m/>
    <m/>
    <s v="RESCISAO"/>
    <s v="EDUARDA CRISTINE - FGTS RESCISORIO"/>
    <d v="2021-06-24T00:00:00"/>
    <n v="8.19"/>
    <x v="1"/>
    <x v="17"/>
  </r>
  <r>
    <m/>
    <m/>
    <s v="ACORDO"/>
    <s v="GERENCIAL - 1ª parcela do saldo devedor"/>
    <d v="2021-06-25T00:00:00"/>
    <n v="1000"/>
    <x v="2"/>
    <x v="18"/>
  </r>
  <r>
    <m/>
    <m/>
    <s v="ENERGIA"/>
    <s v="RGE - VCTO 04/06"/>
    <d v="2021-06-25T00:00:00"/>
    <n v="1658.96"/>
    <x v="2"/>
    <x v="18"/>
  </r>
  <r>
    <m/>
    <m/>
    <s v="SOCIOS"/>
    <s v="SEGURO DE VIDA RUBENS PINTO - vcto 03/05"/>
    <d v="2021-06-25T00:00:00"/>
    <n v="1020.5"/>
    <x v="0"/>
    <x v="18"/>
  </r>
  <r>
    <m/>
    <m/>
    <s v="SOCIOS"/>
    <s v="RETIRADA PAULO SILVA"/>
    <d v="2021-06-25T00:00:00"/>
    <n v="2000"/>
    <x v="0"/>
    <x v="18"/>
  </r>
  <r>
    <m/>
    <m/>
    <s v="PARCELAMENTO"/>
    <s v="ISS - PARC.19/60 - vcto 18/06"/>
    <d v="2021-06-25T00:00:00"/>
    <n v="403.86"/>
    <x v="1"/>
    <x v="18"/>
  </r>
  <r>
    <m/>
    <m/>
    <s v="ASSESSORIA"/>
    <s v="DEPOSITAR SEM FALTA PARA ROSELI BUZZATI - NF 232(estufa - R$ 1.075,00 p/NF)"/>
    <d v="2021-06-25T00:00:00"/>
    <n v="1075"/>
    <x v="2"/>
    <x v="18"/>
  </r>
  <r>
    <m/>
    <m/>
    <s v="MATERIAL"/>
    <s v="FERROS CAXIAS "/>
    <d v="2021-06-25T00:00:00"/>
    <n v="2637.18"/>
    <x v="2"/>
    <x v="18"/>
  </r>
  <r>
    <m/>
    <m/>
    <s v="INFORMATICA"/>
    <s v="NIC.BR - DOMINIO SEMAN"/>
    <d v="2021-06-25T00:00:00"/>
    <n v="76"/>
    <x v="1"/>
    <x v="18"/>
  </r>
  <r>
    <m/>
    <m/>
    <s v="SOCIOS"/>
    <s v="GUIA INSS LUIS BERTONCELLO - MÊS 03/2021 - reembolsar Dalnir"/>
    <d v="2021-06-25T00:00:00"/>
    <n v="1448.18"/>
    <x v="0"/>
    <x v="18"/>
  </r>
  <r>
    <m/>
    <m/>
    <s v="ACORDO"/>
    <s v="VISAO -  PARCELAMENTO"/>
    <d v="2021-06-25T00:00:00"/>
    <n v="1125.5999999999999"/>
    <x v="1"/>
    <x v="18"/>
  </r>
  <r>
    <m/>
    <m/>
    <s v="VIAGEM"/>
    <s v="JOEL - 03/03"/>
    <d v="2021-06-25T00:00:00"/>
    <n v="2876"/>
    <x v="1"/>
    <x v="18"/>
  </r>
  <r>
    <m/>
    <m/>
    <s v="MATERIAL"/>
    <s v="PERINI"/>
    <d v="2021-06-25T00:00:00"/>
    <n v="110.4"/>
    <x v="1"/>
    <x v="18"/>
  </r>
  <r>
    <m/>
    <m/>
    <s v="SOCIOS"/>
    <s v="RETIRADA ROGERIO"/>
    <d v="2021-06-25T00:00:00"/>
    <n v="3500"/>
    <x v="0"/>
    <x v="18"/>
  </r>
  <r>
    <m/>
    <m/>
    <s v="TERCEIROS"/>
    <s v="MARLO - CIFERAL (pagar qdo receber a nota de R$ 8.360,00 - servico não foi feito pela Seman)"/>
    <d v="2021-06-25T00:00:00"/>
    <n v="5400"/>
    <x v="1"/>
    <x v="18"/>
  </r>
  <r>
    <m/>
    <m/>
    <s v="ACORDO"/>
    <s v="ARISTIDES FAGUNDES - 04/07 - vcto 29/01"/>
    <d v="2021-06-25T00:00:00"/>
    <n v="1350"/>
    <x v="1"/>
    <x v="18"/>
  </r>
  <r>
    <m/>
    <m/>
    <s v="ACORDO"/>
    <s v="ANTONIO FRANCISCO - 05/08 - vcto 26/03"/>
    <d v="2021-06-25T00:00:00"/>
    <n v="2200"/>
    <x v="1"/>
    <x v="18"/>
  </r>
  <r>
    <m/>
    <m/>
    <s v="BONUS"/>
    <s v="17 PESSOAS"/>
    <d v="2021-06-25T00:00:00"/>
    <n v="2040"/>
    <x v="1"/>
    <x v="18"/>
  </r>
  <r>
    <m/>
    <m/>
    <s v="VIAGEM"/>
    <s v="FLAVIO (viagem semana + reembolso ultima - R$ 43,00 + 60,00 pix juliano + 10,00 chip)"/>
    <d v="2021-06-25T00:00:00"/>
    <n v="513"/>
    <x v="1"/>
    <x v="18"/>
  </r>
  <r>
    <m/>
    <m/>
    <s v="COMBUSTIVEL"/>
    <s v="CLEBER"/>
    <d v="2021-06-25T00:00:00"/>
    <n v="150"/>
    <x v="1"/>
    <x v="18"/>
  </r>
  <r>
    <m/>
    <m/>
    <s v="EPI"/>
    <s v="MAJUSEG - 11/06"/>
    <d v="2021-06-25T00:00:00"/>
    <n v="1114.47"/>
    <x v="1"/>
    <x v="18"/>
  </r>
  <r>
    <m/>
    <m/>
    <s v="EPI"/>
    <s v="MAJUSEG - 18/06"/>
    <d v="2021-06-25T00:00:00"/>
    <n v="507.98"/>
    <x v="1"/>
    <x v="18"/>
  </r>
  <r>
    <m/>
    <m/>
    <s v="TRANSPORTE"/>
    <s v="VAN - vcto 10/06 (saldo - ja prorrogado)"/>
    <d v="2021-06-25T00:00:00"/>
    <n v="3792"/>
    <x v="1"/>
    <x v="18"/>
  </r>
  <r>
    <m/>
    <m/>
    <s v="ASSESSORIA"/>
    <s v="ROGERIO - PROJETISTA - WSUL - 05/06"/>
    <d v="2021-06-25T00:00:00"/>
    <n v="2500"/>
    <x v="2"/>
    <x v="18"/>
  </r>
  <r>
    <m/>
    <m/>
    <s v="TERCEIROS"/>
    <s v="GERENCIAL - declaracoes de Luis, Paulo, Rogerio e Rubens - já combinado com Ivone"/>
    <d v="2021-06-26T00:00:00"/>
    <n v="1660"/>
    <x v="2"/>
    <x v="19"/>
  </r>
  <r>
    <m/>
    <m/>
    <s v="SOCIOS"/>
    <s v="VIVO - LUIS"/>
    <d v="2021-06-27T00:00:00"/>
    <n v="76.77"/>
    <x v="0"/>
    <x v="19"/>
  </r>
  <r>
    <m/>
    <m/>
    <s v="SOCIOS"/>
    <s v="CARTAO PAULO SILVA (esta incluido passagens)"/>
    <d v="2021-06-28T00:00:00"/>
    <n v="2800"/>
    <x v="0"/>
    <x v="19"/>
  </r>
  <r>
    <m/>
    <m/>
    <s v="MATERIAL"/>
    <s v="MARCARINI - vcto 25/06"/>
    <d v="2021-06-28T00:00:00"/>
    <n v="1056"/>
    <x v="2"/>
    <x v="19"/>
  </r>
  <r>
    <m/>
    <m/>
    <s v="ACORDO"/>
    <s v="BOX RAPIDO - 05/10"/>
    <d v="2021-06-28T00:00:00"/>
    <n v="444.18"/>
    <x v="2"/>
    <x v="19"/>
  </r>
  <r>
    <m/>
    <m/>
    <s v="SALARIOS"/>
    <s v="EXTRAS - VOLARE/CIFERAL"/>
    <d v="2021-06-28T00:00:00"/>
    <n v="11958"/>
    <x v="1"/>
    <x v="19"/>
  </r>
  <r>
    <m/>
    <m/>
    <s v="ASSESSORIA"/>
    <s v="GT3 - vcto 21/06"/>
    <d v="2021-06-28T00:00:00"/>
    <n v="893.51"/>
    <x v="1"/>
    <x v="19"/>
  </r>
  <r>
    <m/>
    <m/>
    <s v="SALARIOS"/>
    <s v="EXTRAS - LIMPEZA"/>
    <d v="2021-06-28T00:00:00"/>
    <n v="4417"/>
    <x v="1"/>
    <x v="19"/>
  </r>
  <r>
    <m/>
    <m/>
    <s v="SALARIOS"/>
    <s v="EXTRAS - MECANICA"/>
    <d v="2021-06-28T00:00:00"/>
    <n v="1221"/>
    <x v="1"/>
    <x v="19"/>
  </r>
  <r>
    <m/>
    <m/>
    <s v="TERCEIROS"/>
    <s v="MARCIA - LIMPEZA"/>
    <d v="2021-06-28T00:00:00"/>
    <n v="70"/>
    <x v="1"/>
    <x v="19"/>
  </r>
  <r>
    <m/>
    <m/>
    <s v="COMBUSTIVEL"/>
    <s v="REEMBOLSAR RUBENS PINTO"/>
    <d v="2021-06-29T00:00:00"/>
    <n v="235"/>
    <x v="0"/>
    <x v="20"/>
  </r>
  <r>
    <m/>
    <m/>
    <s v="RESCISAO"/>
    <s v="LUCIANO JUNIOR"/>
    <d v="2021-06-29T00:00:00"/>
    <n v="443.28"/>
    <x v="1"/>
    <x v="20"/>
  </r>
  <r>
    <m/>
    <m/>
    <s v="EMPRESTIMO"/>
    <s v="SALARIOS - Operacional Caxias - devolver Andreia (Cabeça) - 02/08"/>
    <d v="2021-06-29T00:00:00"/>
    <n v="2500"/>
    <x v="1"/>
    <x v="20"/>
  </r>
  <r>
    <m/>
    <m/>
    <s v="MATERIAL"/>
    <s v="CHAPAS WSUL - Guilherme - 02/05"/>
    <d v="2021-06-29T00:00:00"/>
    <n v="2500"/>
    <x v="1"/>
    <x v="20"/>
  </r>
  <r>
    <m/>
    <m/>
    <s v="VIAGEM"/>
    <s v="VOB HOTEL"/>
    <d v="2021-06-29T00:00:00"/>
    <n v="232"/>
    <x v="1"/>
    <x v="20"/>
  </r>
  <r>
    <m/>
    <m/>
    <s v="PARCELAMENTO"/>
    <s v="MONEO - 06/18"/>
    <d v="2021-06-29T00:00:00"/>
    <n v="7206.83"/>
    <x v="2"/>
    <x v="20"/>
  </r>
  <r>
    <m/>
    <m/>
    <s v="PARCELAMENTO"/>
    <s v="SIMPLES - 05/60"/>
    <d v="2021-06-29T00:00:00"/>
    <n v="10468.86"/>
    <x v="1"/>
    <x v="20"/>
  </r>
  <r>
    <m/>
    <m/>
    <s v="SOCIOS"/>
    <s v="IRF VERA KARLING - 02/08"/>
    <d v="2021-06-30T00:00:00"/>
    <n v="239.16"/>
    <x v="1"/>
    <x v="21"/>
  </r>
  <r>
    <m/>
    <m/>
    <s v="RESCISAO"/>
    <s v="EDSON SALAZAR"/>
    <d v="2021-06-30T00:00:00"/>
    <n v="308.54000000000002"/>
    <x v="1"/>
    <x v="21"/>
  </r>
  <r>
    <m/>
    <m/>
    <s v="ALIMENTACAO"/>
    <s v="CANTINA DELA COLINA - NF 071"/>
    <d v="2021-06-30T00:00:00"/>
    <n v="900"/>
    <x v="1"/>
    <x v="21"/>
  </r>
  <r>
    <m/>
    <m/>
    <s v="EPI"/>
    <s v="JUSTINA - 11/06"/>
    <d v="2021-06-30T00:00:00"/>
    <n v="900"/>
    <x v="1"/>
    <x v="2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86">
  <r>
    <m/>
    <m/>
    <s v="BANCOS"/>
    <s v="JUROS E DESPESAS BANCARIAS"/>
    <d v="2021-07-01T00:00:00"/>
    <n v="3665.63"/>
    <x v="0"/>
    <x v="0"/>
  </r>
  <r>
    <m/>
    <m/>
    <s v="ALIMENTACAO"/>
    <s v="CRISTINE LANCHES - saldo (já prorrogado)"/>
    <d v="2021-07-02T00:00:00"/>
    <n v="722.11"/>
    <x v="1"/>
    <x v="1"/>
  </r>
  <r>
    <m/>
    <m/>
    <s v="EPI"/>
    <s v="CORSUL"/>
    <d v="2021-07-02T00:00:00"/>
    <n v="179.1"/>
    <x v="1"/>
    <x v="1"/>
  </r>
  <r>
    <m/>
    <m/>
    <s v="INFORMATICA"/>
    <s v="DIGISAM - vcto 14/07/20 (sem falta)"/>
    <d v="2021-07-02T00:00:00"/>
    <n v="577"/>
    <x v="0"/>
    <x v="1"/>
  </r>
  <r>
    <m/>
    <m/>
    <s v="ALIMENTACAO"/>
    <s v="TIO JOAO - vcto 17/06"/>
    <d v="2021-07-02T00:00:00"/>
    <n v="1501.65"/>
    <x v="1"/>
    <x v="1"/>
  </r>
  <r>
    <m/>
    <m/>
    <s v="EXPEDIENTE"/>
    <s v="KIPONTO - cartao ponto - vcto 30/06"/>
    <d v="2021-07-02T00:00:00"/>
    <n v="102"/>
    <x v="0"/>
    <x v="1"/>
  </r>
  <r>
    <m/>
    <m/>
    <s v="SOCIOS"/>
    <s v="CASAS PAGLIARIN - VCTO 18/06 - TITULO JÁ PRORROGADO"/>
    <d v="2021-07-02T00:00:00"/>
    <n v="1858.18"/>
    <x v="2"/>
    <x v="1"/>
  </r>
  <r>
    <m/>
    <m/>
    <s v="COMBUSTIVEL"/>
    <s v="TEONAS - MENSAL (descontado dias de atestado)"/>
    <d v="2021-07-02T00:00:00"/>
    <n v="60"/>
    <x v="1"/>
    <x v="1"/>
  </r>
  <r>
    <m/>
    <m/>
    <s v="COMBUSTIVEL"/>
    <s v="GENILSON - MENSAL (incluido o reembolso de 03 cartoes de 04 passagens)"/>
    <d v="2021-07-02T00:00:00"/>
    <n v="300"/>
    <x v="1"/>
    <x v="1"/>
  </r>
  <r>
    <m/>
    <m/>
    <s v="COMBUSTIVEL"/>
    <s v="ROGERIO - REEMBOLSO"/>
    <d v="2021-07-02T00:00:00"/>
    <n v="150"/>
    <x v="1"/>
    <x v="1"/>
  </r>
  <r>
    <m/>
    <m/>
    <s v="COMBUSTIVEL"/>
    <s v="CLEBER"/>
    <d v="2021-07-02T00:00:00"/>
    <n v="100"/>
    <x v="1"/>
    <x v="1"/>
  </r>
  <r>
    <m/>
    <m/>
    <s v="VIAGEM"/>
    <s v="FLAVIO (reembolsar 12,00)"/>
    <d v="2021-07-02T00:00:00"/>
    <n v="412"/>
    <x v="1"/>
    <x v="1"/>
  </r>
  <r>
    <m/>
    <m/>
    <s v="SOCIOS"/>
    <s v="RETIRADA RUBENS PINTO"/>
    <d v="2021-07-02T00:00:00"/>
    <n v="1500"/>
    <x v="2"/>
    <x v="1"/>
  </r>
  <r>
    <m/>
    <m/>
    <s v="PARCELAMENTO"/>
    <s v="EMPRESTIMO FOLHA BB - 07/30"/>
    <d v="2021-07-03T00:00:00"/>
    <n v="2289.66"/>
    <x v="1"/>
    <x v="2"/>
  </r>
  <r>
    <m/>
    <m/>
    <s v="ALIMENTACAO"/>
    <s v="BISTRO LUCAS RAMOS -cheque em 03/06/21 "/>
    <d v="2021-07-04T00:00:00"/>
    <n v="1560"/>
    <x v="0"/>
    <x v="2"/>
  </r>
  <r>
    <m/>
    <m/>
    <s v="TERCEIROS"/>
    <s v="ZANOL - novo trabalho na plasticos - confirmar valor exato - descontado valor da passagem RJ"/>
    <d v="2021-07-05T00:00:00"/>
    <n v="3147.79"/>
    <x v="1"/>
    <x v="2"/>
  </r>
  <r>
    <m/>
    <m/>
    <s v="RESCISAO"/>
    <s v="EMANOEL DE SOUZA"/>
    <d v="2021-07-05T00:00:00"/>
    <n v="299.85000000000002"/>
    <x v="1"/>
    <x v="2"/>
  </r>
  <r>
    <m/>
    <m/>
    <s v="SALARIOS"/>
    <s v="SALARIOS - arquivo"/>
    <d v="2021-07-05T00:00:00"/>
    <n v="56916"/>
    <x v="1"/>
    <x v="2"/>
  </r>
  <r>
    <m/>
    <m/>
    <s v="SALARIOS"/>
    <s v="SALARIOS - cheques"/>
    <d v="2021-07-05T00:00:00"/>
    <n v="4464"/>
    <x v="1"/>
    <x v="2"/>
  </r>
  <r>
    <m/>
    <m/>
    <s v="SALARIOS"/>
    <s v="SALARIOS"/>
    <d v="2021-07-06T00:00:00"/>
    <n v="8441"/>
    <x v="0"/>
    <x v="3"/>
  </r>
  <r>
    <m/>
    <m/>
    <s v="PARCELAMENTO"/>
    <s v="EMPRESTIMO FOLHA BB - 08/30"/>
    <d v="2021-07-06T00:00:00"/>
    <n v="2183.3200000000002"/>
    <x v="1"/>
    <x v="3"/>
  </r>
  <r>
    <m/>
    <m/>
    <s v="SALARIOS"/>
    <s v="SALARIOS - depositos"/>
    <d v="2021-07-06T00:00:00"/>
    <n v="32783"/>
    <x v="1"/>
    <x v="3"/>
  </r>
  <r>
    <m/>
    <m/>
    <s v="VIAGEM"/>
    <s v="LIRANE - VOLARE"/>
    <d v="2021-07-06T00:00:00"/>
    <n v="1532.04"/>
    <x v="1"/>
    <x v="3"/>
  </r>
  <r>
    <m/>
    <m/>
    <s v="COMBUSTIVEL"/>
    <s v="FLAVIO - combustivel + pedagio (vai levar Lirane ao aeroporto)"/>
    <d v="2021-07-06T00:00:00"/>
    <n v="200"/>
    <x v="1"/>
    <x v="3"/>
  </r>
  <r>
    <m/>
    <m/>
    <s v="COMBUSTIVEL"/>
    <s v="TEONAS - SALDO MENSAL"/>
    <d v="2021-07-06T00:00:00"/>
    <n v="90"/>
    <x v="1"/>
    <x v="3"/>
  </r>
  <r>
    <m/>
    <m/>
    <s v="ENCARGOS"/>
    <s v="FGTS - vcto 07/06/21"/>
    <d v="2021-07-06T00:00:00"/>
    <n v="958.8"/>
    <x v="0"/>
    <x v="3"/>
  </r>
  <r>
    <m/>
    <m/>
    <s v="SALARIOS"/>
    <s v="PAULO EDUARDO"/>
    <d v="2021-07-07T00:00:00"/>
    <n v="2800"/>
    <x v="1"/>
    <x v="4"/>
  </r>
  <r>
    <m/>
    <m/>
    <s v="SALARIOS"/>
    <s v="CLEBER - sacar em dinheiro - já descontado plano de saude (R$ 4.549,00 - R$ 315,00)"/>
    <d v="2021-07-07T00:00:00"/>
    <n v="4234"/>
    <x v="1"/>
    <x v="4"/>
  </r>
  <r>
    <m/>
    <m/>
    <s v="SALARIOS"/>
    <s v="PENSAO ALIMENTICIA"/>
    <d v="2021-07-07T00:00:00"/>
    <n v="2150.06"/>
    <x v="1"/>
    <x v="4"/>
  </r>
  <r>
    <m/>
    <m/>
    <s v="EPI"/>
    <s v="CORSUL"/>
    <d v="2021-07-07T00:00:00"/>
    <n v="149.53"/>
    <x v="1"/>
    <x v="4"/>
  </r>
  <r>
    <m/>
    <m/>
    <s v="VIAGEM"/>
    <s v="VOB HOTEL - vcto 30/06 - JÁ PRORROGADO"/>
    <d v="2021-07-08T00:00:00"/>
    <n v="718"/>
    <x v="1"/>
    <x v="5"/>
  </r>
  <r>
    <m/>
    <m/>
    <s v="MATERIAL"/>
    <s v="MARCARINI TINTAS - vcto 06/07"/>
    <d v="2021-07-08T00:00:00"/>
    <n v="240.16"/>
    <x v="0"/>
    <x v="5"/>
  </r>
  <r>
    <m/>
    <m/>
    <s v="MATERIAL"/>
    <s v="CELETRO - material comprado por Zanol em 02/07 "/>
    <d v="2021-07-08T00:00:00"/>
    <n v="612.6"/>
    <x v="0"/>
    <x v="5"/>
  </r>
  <r>
    <m/>
    <m/>
    <s v="VEICULOS"/>
    <s v="MOLAS UNO FLAVIO"/>
    <d v="2021-07-08T00:00:00"/>
    <n v="195"/>
    <x v="1"/>
    <x v="5"/>
  </r>
  <r>
    <m/>
    <m/>
    <s v="COMBUSTIVEL"/>
    <s v="ROGERIO"/>
    <d v="2021-07-08T00:00:00"/>
    <n v="210"/>
    <x v="2"/>
    <x v="5"/>
  </r>
  <r>
    <m/>
    <m/>
    <s v="COMBUSTIVEL"/>
    <s v="LUIS BERTONCELLO"/>
    <d v="2021-07-08T00:00:00"/>
    <n v="400"/>
    <x v="2"/>
    <x v="5"/>
  </r>
  <r>
    <m/>
    <m/>
    <s v="COMBUSTIVEL"/>
    <s v="CLEBER"/>
    <d v="2021-07-08T00:00:00"/>
    <n v="120"/>
    <x v="1"/>
    <x v="5"/>
  </r>
  <r>
    <m/>
    <m/>
    <s v="COMBUSTIVEL"/>
    <s v="REEMBOLSO GABRIEL - abasteceu Uno Cleber"/>
    <d v="2021-07-08T00:00:00"/>
    <n v="60"/>
    <x v="1"/>
    <x v="5"/>
  </r>
  <r>
    <m/>
    <m/>
    <s v="VIAGEM"/>
    <s v="FLAVIO"/>
    <d v="2021-07-08T00:00:00"/>
    <n v="443.87"/>
    <x v="1"/>
    <x v="5"/>
  </r>
  <r>
    <m/>
    <m/>
    <s v="SALARIOS"/>
    <s v="SALARIOS - cheques"/>
    <d v="2021-07-08T00:00:00"/>
    <n v="6993"/>
    <x v="1"/>
    <x v="5"/>
  </r>
  <r>
    <m/>
    <m/>
    <s v="EPI"/>
    <s v="JUSTINA - CHEQUE 25/06"/>
    <d v="2021-07-08T00:00:00"/>
    <n v="1350"/>
    <x v="1"/>
    <x v="5"/>
  </r>
  <r>
    <m/>
    <m/>
    <s v="ACORDO"/>
    <s v="SAMUEL - CIFERAL - 06/09 - já prorrogado venceu em 06/07"/>
    <d v="2021-07-09T00:00:00"/>
    <n v="1500"/>
    <x v="1"/>
    <x v="6"/>
  </r>
  <r>
    <m/>
    <m/>
    <s v="ACORDO"/>
    <s v="ARTHUR - CIFERAL - 06/08 - já prorrogado venceu em 06/07"/>
    <d v="2021-07-09T00:00:00"/>
    <n v="1500"/>
    <x v="1"/>
    <x v="6"/>
  </r>
  <r>
    <m/>
    <m/>
    <s v="ACORDO"/>
    <s v="LEONARDO - CIFERAL - 06/14 - já prorrogado venceu em 06/07"/>
    <d v="2021-07-09T00:00:00"/>
    <n v="1500"/>
    <x v="1"/>
    <x v="6"/>
  </r>
  <r>
    <m/>
    <m/>
    <s v="MATERIAL"/>
    <s v="LF MAQUINAS - estilete Flavio"/>
    <d v="2021-07-09T00:00:00"/>
    <n v="135"/>
    <x v="1"/>
    <x v="6"/>
  </r>
  <r>
    <m/>
    <m/>
    <s v="ALIMENTACAO"/>
    <s v="ZAPAROLLI - vcto 30/06 - sem falta - já prorrogado"/>
    <d v="2021-07-09T00:00:00"/>
    <n v="7749.12"/>
    <x v="1"/>
    <x v="6"/>
  </r>
  <r>
    <m/>
    <m/>
    <s v="ALIMENTACAO"/>
    <s v="RESTAURANTE BOM TEMPERO - vcto 17/06 - já prorrogado"/>
    <d v="2021-07-09T00:00:00"/>
    <n v="1889.71"/>
    <x v="1"/>
    <x v="6"/>
  </r>
  <r>
    <m/>
    <m/>
    <s v="CURSO"/>
    <s v="JOAO VITOR - TREINAMENTO VOLARE - 01/02"/>
    <d v="2021-07-09T00:00:00"/>
    <n v="1322.5"/>
    <x v="1"/>
    <x v="6"/>
  </r>
  <r>
    <m/>
    <m/>
    <s v="FÉRIAS"/>
    <s v="MARCELO DOS SANTOS - vcto 18/06 - saldo"/>
    <d v="2021-07-09T00:00:00"/>
    <n v="1230"/>
    <x v="1"/>
    <x v="6"/>
  </r>
  <r>
    <m/>
    <m/>
    <s v="SOCIOS"/>
    <s v="RETIRADA PAULO SILVA"/>
    <d v="2021-07-09T00:00:00"/>
    <n v="1000"/>
    <x v="2"/>
    <x v="6"/>
  </r>
  <r>
    <m/>
    <m/>
    <s v="COMUNICACAO"/>
    <s v="NET - vcto 20/06 (corte em 14/07)"/>
    <d v="2021-07-09T00:00:00"/>
    <n v="206.79"/>
    <x v="1"/>
    <x v="6"/>
  </r>
  <r>
    <m/>
    <m/>
    <s v="SOCIOS"/>
    <s v="RETIRADA LUIS BERTONCELLO - troca sr.rubens"/>
    <d v="2021-07-09T00:00:00"/>
    <n v="2500"/>
    <x v="2"/>
    <x v="6"/>
  </r>
  <r>
    <m/>
    <m/>
    <s v="VIAGEM"/>
    <s v="JOEL - CAIXINHA"/>
    <d v="2021-07-10T00:00:00"/>
    <n v="2626"/>
    <x v="1"/>
    <x v="7"/>
  </r>
  <r>
    <m/>
    <m/>
    <s v="COMUNICACAO"/>
    <s v="CLARO - vcto 20/06 (corte em 14/07)"/>
    <d v="2021-07-11T00:00:00"/>
    <n v="1641.1200000000001"/>
    <x v="0"/>
    <x v="7"/>
  </r>
  <r>
    <m/>
    <m/>
    <s v="MATERIAL"/>
    <s v="FUSOPAR - vcto 09/06 - falta boleto (falado com Laura)"/>
    <d v="2021-07-12T00:00:00"/>
    <n v="163.98"/>
    <x v="1"/>
    <x v="7"/>
  </r>
  <r>
    <m/>
    <m/>
    <s v="MATERIAL"/>
    <s v="VALVULA - POLIMATIQ"/>
    <d v="2021-07-12T00:00:00"/>
    <n v="1400"/>
    <x v="0"/>
    <x v="7"/>
  </r>
  <r>
    <m/>
    <m/>
    <s v="SOCIOS"/>
    <s v="CARTEIRA PAULO EDUARDO - 02/02 "/>
    <d v="2021-07-13T00:00:00"/>
    <n v="750"/>
    <x v="2"/>
    <x v="8"/>
  </r>
  <r>
    <m/>
    <m/>
    <s v="MATERIAL"/>
    <s v="FERRAGEM DO TONINHO - DISCO DE CORTE - DEVOLVER P/ PAULO EDUARDO"/>
    <d v="2021-07-13T00:00:00"/>
    <n v="30"/>
    <x v="1"/>
    <x v="8"/>
  </r>
  <r>
    <m/>
    <m/>
    <s v="AGUA"/>
    <s v="LUCHETTI"/>
    <d v="2021-07-13T00:00:00"/>
    <n v="60"/>
    <x v="0"/>
    <x v="8"/>
  </r>
  <r>
    <m/>
    <m/>
    <s v="RECLAMATORIA"/>
    <s v="ACAO ADEMAR - guias"/>
    <d v="2021-07-14T00:00:00"/>
    <n v="5456.07"/>
    <x v="1"/>
    <x v="9"/>
  </r>
  <r>
    <m/>
    <m/>
    <s v="COMBUSTIVEL"/>
    <s v="CLEBER - Florense"/>
    <d v="2021-07-14T00:00:00"/>
    <n v="100"/>
    <x v="1"/>
    <x v="9"/>
  </r>
  <r>
    <m/>
    <m/>
    <s v="MATERIAL"/>
    <s v="REEMBOLSO ROGERIO PROJETISTA (Dosso e Fusopar)"/>
    <d v="2021-07-14T00:00:00"/>
    <n v="165.99"/>
    <x v="1"/>
    <x v="9"/>
  </r>
  <r>
    <m/>
    <m/>
    <s v="VIAGEM"/>
    <s v="VOB HOTEL - vcto 08/07 - sem falta (já prorrogado)"/>
    <d v="2021-07-14T00:00:00"/>
    <n v="564"/>
    <x v="1"/>
    <x v="9"/>
  </r>
  <r>
    <m/>
    <m/>
    <s v="COMUNICACAO"/>
    <s v="VIVO - vcto 28/06 (corte em 16/07)"/>
    <d v="2021-07-14T00:00:00"/>
    <n v="380.65"/>
    <x v="3"/>
    <x v="9"/>
  </r>
  <r>
    <m/>
    <m/>
    <s v="ASSESSORIA"/>
    <s v="ROGERIO - PROJETISTA - WSUL - 06/06 (Já prorrogado - vcto 02/07)"/>
    <d v="2021-07-14T00:00:00"/>
    <n v="3100"/>
    <x v="1"/>
    <x v="9"/>
  </r>
  <r>
    <m/>
    <m/>
    <s v="RECLAMATORIA"/>
    <s v="ANDRE MARQUES - 01/20"/>
    <d v="2021-07-14T00:00:00"/>
    <n v="3200"/>
    <x v="1"/>
    <x v="9"/>
  </r>
  <r>
    <m/>
    <m/>
    <s v="TRANSPORTE"/>
    <s v="VISATE - 15 CARTOES"/>
    <d v="2021-07-15T00:00:00"/>
    <n v="285"/>
    <x v="1"/>
    <x v="10"/>
  </r>
  <r>
    <m/>
    <m/>
    <s v="COMBUSTIVEL"/>
    <s v="REEMBOLSO LUIS BERTONCELLO"/>
    <d v="2021-07-16T00:00:00"/>
    <n v="200"/>
    <x v="1"/>
    <x v="11"/>
  </r>
  <r>
    <m/>
    <m/>
    <s v="COMBUSTIVEL"/>
    <s v="REEMBOLSO ROGERIO"/>
    <d v="2021-07-16T00:00:00"/>
    <n v="200"/>
    <x v="1"/>
    <x v="11"/>
  </r>
  <r>
    <m/>
    <m/>
    <s v="COMBUSTIVEL"/>
    <s v="CLEBER"/>
    <d v="2021-07-16T00:00:00"/>
    <n v="100"/>
    <x v="1"/>
    <x v="11"/>
  </r>
  <r>
    <m/>
    <m/>
    <s v="COMBUSTIVEL"/>
    <s v="GENILSON - MENSAL (parte)"/>
    <d v="2021-07-16T00:00:00"/>
    <n v="100"/>
    <x v="1"/>
    <x v="11"/>
  </r>
  <r>
    <m/>
    <m/>
    <s v="VIAGEM"/>
    <s v="FLAVIO"/>
    <d v="2021-07-16T00:00:00"/>
    <n v="400"/>
    <x v="1"/>
    <x v="11"/>
  </r>
  <r>
    <m/>
    <m/>
    <s v="EPI"/>
    <s v="OTICA LAURO - NFs marco e abril"/>
    <d v="2021-07-16T00:00:00"/>
    <n v="360"/>
    <x v="1"/>
    <x v="11"/>
  </r>
  <r>
    <m/>
    <m/>
    <s v="FÉRIAS "/>
    <s v="ALGACIR MULLER - 03/03"/>
    <d v="2021-07-17T00:00:00"/>
    <n v="941"/>
    <x v="1"/>
    <x v="12"/>
  </r>
  <r>
    <m/>
    <m/>
    <s v="FÉRIAS"/>
    <s v="RICARDO DEGGERONE - 03/03"/>
    <d v="2021-07-18T00:00:00"/>
    <n v="1049"/>
    <x v="1"/>
    <x v="12"/>
  </r>
  <r>
    <m/>
    <m/>
    <s v="SAUDE"/>
    <s v="UNIMED - vcto 15/07"/>
    <d v="2021-07-19T00:00:00"/>
    <n v="3670.73"/>
    <x v="3"/>
    <x v="12"/>
  </r>
  <r>
    <m/>
    <m/>
    <s v="CONVENIO"/>
    <s v="MICROEMPA - vcto 15/07"/>
    <d v="2021-07-19T00:00:00"/>
    <n v="1278.47"/>
    <x v="4"/>
    <x v="12"/>
  </r>
  <r>
    <m/>
    <m/>
    <s v="COMBUSTIVEL"/>
    <s v="GENILSON - MENSAL (saldo)"/>
    <d v="2021-07-19T00:00:00"/>
    <n v="150"/>
    <x v="1"/>
    <x v="12"/>
  </r>
  <r>
    <m/>
    <m/>
    <s v="SOCIOS"/>
    <s v="RETIRADA ROGERIO - parte"/>
    <d v="2021-07-19T00:00:00"/>
    <n v="1500"/>
    <x v="2"/>
    <x v="12"/>
  </r>
  <r>
    <m/>
    <m/>
    <s v="SOCIOS"/>
    <s v="LUIS BERTONCELLO - 16/07"/>
    <d v="2021-07-19T00:00:00"/>
    <n v="500"/>
    <x v="2"/>
    <x v="12"/>
  </r>
  <r>
    <m/>
    <m/>
    <s v="TERCEIROS"/>
    <s v="MARCIA - 02 SEMANAS"/>
    <d v="2021-07-19T00:00:00"/>
    <n v="110"/>
    <x v="1"/>
    <x v="12"/>
  </r>
  <r>
    <m/>
    <m/>
    <s v="ASSESSORIA"/>
    <s v="PARCELAMENTO VISAO - vcto 15/07"/>
    <d v="2021-07-19T00:00:00"/>
    <n v="1123.44"/>
    <x v="1"/>
    <x v="12"/>
  </r>
  <r>
    <m/>
    <m/>
    <s v="SAUDE"/>
    <s v="FATIMA - plano funcionarios - já descontado"/>
    <d v="2021-07-19T00:00:00"/>
    <n v="949.71"/>
    <x v="1"/>
    <x v="12"/>
  </r>
  <r>
    <m/>
    <m/>
    <s v="SOCIOS"/>
    <s v="PAULO SILVA - cartao"/>
    <d v="2021-07-19T00:00:00"/>
    <n v="3000"/>
    <x v="2"/>
    <x v="12"/>
  </r>
  <r>
    <m/>
    <m/>
    <s v="SAUDE"/>
    <s v="PROMED - vcto 15/07"/>
    <d v="2021-07-19T00:00:00"/>
    <n v="94.21"/>
    <x v="0"/>
    <x v="12"/>
  </r>
  <r>
    <m/>
    <m/>
    <s v="PARCELAMENTO"/>
    <s v="MONEO - 07/18"/>
    <d v="2021-07-19T00:00:00"/>
    <n v="4800"/>
    <x v="0"/>
    <x v="12"/>
  </r>
  <r>
    <m/>
    <m/>
    <s v="EPI"/>
    <s v="ACORDO PONTO DAS SOLDAS - entrada (PIX 30.383.069/0001-02)"/>
    <d v="2021-07-19T00:00:00"/>
    <n v="250"/>
    <x v="1"/>
    <x v="12"/>
  </r>
  <r>
    <m/>
    <m/>
    <s v="ASSESSORIA"/>
    <s v="OLIVEIRA E PERES - vcto 25/12"/>
    <d v="2021-07-19T00:00:00"/>
    <n v="2978.25"/>
    <x v="0"/>
    <x v="12"/>
  </r>
  <r>
    <m/>
    <m/>
    <s v="MATERIAL"/>
    <s v="MARCARINI - vcto 15/07"/>
    <d v="2021-07-19T00:00:00"/>
    <n v="423.7"/>
    <x v="0"/>
    <x v="12"/>
  </r>
  <r>
    <m/>
    <m/>
    <s v="AGUA"/>
    <s v="SAMAE - vcto 16/07"/>
    <d v="2021-07-19T00:00:00"/>
    <n v="81.99"/>
    <x v="0"/>
    <x v="12"/>
  </r>
  <r>
    <m/>
    <m/>
    <s v="ALUGUEL"/>
    <s v="CANTON E FREITAS"/>
    <d v="2021-07-19T00:00:00"/>
    <n v="110"/>
    <x v="0"/>
    <x v="12"/>
  </r>
  <r>
    <m/>
    <m/>
    <s v="EPI"/>
    <s v="JUSTINA - CHEQUE 01/07"/>
    <d v="2021-07-19T00:00:00"/>
    <n v="1125"/>
    <x v="1"/>
    <x v="12"/>
  </r>
  <r>
    <m/>
    <m/>
    <s v="EPI"/>
    <s v="JUSTINA - CHEQUE 09/07"/>
    <d v="2021-07-19T00:00:00"/>
    <n v="1125"/>
    <x v="1"/>
    <x v="12"/>
  </r>
  <r>
    <m/>
    <m/>
    <s v="SALARIOS"/>
    <s v="SALARIOS - cheques"/>
    <d v="2021-07-19T00:00:00"/>
    <n v="593"/>
    <x v="1"/>
    <x v="12"/>
  </r>
  <r>
    <m/>
    <m/>
    <s v="RESCISAO"/>
    <s v="CRISTIANO DA CUNHA "/>
    <d v="2021-07-19T00:00:00"/>
    <n v="1656.43"/>
    <x v="1"/>
    <x v="12"/>
  </r>
  <r>
    <m/>
    <m/>
    <s v="ENCARGOS"/>
    <s v="FGTS - vcto 07/07"/>
    <d v="2021-07-20T00:00:00"/>
    <n v="1224.75"/>
    <x v="0"/>
    <x v="13"/>
  </r>
  <r>
    <m/>
    <m/>
    <s v="ENCARGOS"/>
    <s v="INSS"/>
    <d v="2021-07-20T00:00:00"/>
    <n v="338.42"/>
    <x v="0"/>
    <x v="13"/>
  </r>
  <r>
    <m/>
    <m/>
    <s v="ENCARGOS"/>
    <s v="INSS"/>
    <d v="2021-07-20T00:00:00"/>
    <n v="11027.88"/>
    <x v="1"/>
    <x v="13"/>
  </r>
  <r>
    <m/>
    <m/>
    <s v="VEICULOS"/>
    <s v="MANO MOTORS - UNO CLEBER"/>
    <d v="2021-07-20T00:00:00"/>
    <n v="500"/>
    <x v="1"/>
    <x v="13"/>
  </r>
  <r>
    <m/>
    <m/>
    <s v="MANUTENCAO"/>
    <s v="STEDILE - vcto 14/07"/>
    <d v="2021-07-20T00:00:00"/>
    <n v="252.9"/>
    <x v="1"/>
    <x v="13"/>
  </r>
  <r>
    <m/>
    <m/>
    <s v="CONVENIO"/>
    <s v="MICROEMPA - vcto 15/07"/>
    <d v="2021-07-20T00:00:00"/>
    <n v="84"/>
    <x v="1"/>
    <x v="13"/>
  </r>
  <r>
    <m/>
    <m/>
    <s v="VIAGEM"/>
    <s v="JOEL - CAIXINHA"/>
    <d v="2021-07-20T00:00:00"/>
    <n v="2626"/>
    <x v="1"/>
    <x v="13"/>
  </r>
  <r>
    <m/>
    <m/>
    <s v="EPI"/>
    <s v="ZAPA - vcto 14/07 "/>
    <d v="2021-07-20T00:00:00"/>
    <n v="326.77"/>
    <x v="1"/>
    <x v="13"/>
  </r>
  <r>
    <m/>
    <m/>
    <s v="EPI"/>
    <s v="ZAPA - vcto 16/07 "/>
    <d v="2021-07-20T00:00:00"/>
    <n v="670.18"/>
    <x v="1"/>
    <x v="13"/>
  </r>
  <r>
    <m/>
    <m/>
    <s v="EPI"/>
    <s v="ALSCO"/>
    <d v="2021-07-20T00:00:00"/>
    <n v="126.94"/>
    <x v="1"/>
    <x v="13"/>
  </r>
  <r>
    <m/>
    <m/>
    <s v="EPI"/>
    <s v="ALSCO"/>
    <d v="2021-07-20T00:00:00"/>
    <n v="75.34"/>
    <x v="1"/>
    <x v="13"/>
  </r>
  <r>
    <m/>
    <m/>
    <s v="PARCELAMENTO"/>
    <s v="CSLL - DEBITO BB (nova guia - debito não ocorreu - pagar ate 30/07)"/>
    <d v="2021-07-20T00:00:00"/>
    <n v="528.54"/>
    <x v="1"/>
    <x v="13"/>
  </r>
  <r>
    <m/>
    <m/>
    <s v="ASSESSORIA"/>
    <s v="HOLUS - VCTO 20/06"/>
    <d v="2021-07-20T00:00:00"/>
    <n v="242"/>
    <x v="0"/>
    <x v="13"/>
  </r>
  <r>
    <m/>
    <m/>
    <s v="COMBUSTIVEL"/>
    <s v="CLEBER - Florense"/>
    <d v="2021-07-21T00:00:00"/>
    <n v="100"/>
    <x v="1"/>
    <x v="14"/>
  </r>
  <r>
    <m/>
    <m/>
    <s v="TRANSPORTE "/>
    <s v="VAN - metade - vcto 16/07"/>
    <d v="2021-07-21T00:00:00"/>
    <n v="3955.5"/>
    <x v="1"/>
    <x v="14"/>
  </r>
  <r>
    <m/>
    <m/>
    <s v="EPI"/>
    <s v="CORSUL"/>
    <d v="2021-07-21T00:00:00"/>
    <n v="132.81"/>
    <x v="1"/>
    <x v="14"/>
  </r>
  <r>
    <m/>
    <m/>
    <s v="COMISSAO"/>
    <s v="TIAGO - NF 1597 - VOLARE - R$ 42.000,00"/>
    <d v="2021-07-21T00:00:00"/>
    <n v="4200"/>
    <x v="1"/>
    <x v="14"/>
  </r>
  <r>
    <m/>
    <m/>
    <s v="ENCARGOS"/>
    <s v="FGTS - vcto 07/07"/>
    <d v="2021-07-21T00:00:00"/>
    <n v="10356.280000000001"/>
    <x v="1"/>
    <x v="14"/>
  </r>
  <r>
    <m/>
    <m/>
    <s v="ENCARGOS"/>
    <s v="GUIA CAU/RS - solicitador por Lirane"/>
    <d v="2021-07-21T00:00:00"/>
    <n v="97.95"/>
    <x v="1"/>
    <x v="14"/>
  </r>
  <r>
    <m/>
    <m/>
    <s v="RESCISAO"/>
    <s v="FGTS RESCISORIO JOSE GABRIEL"/>
    <d v="2021-07-21T00:00:00"/>
    <n v="35.44"/>
    <x v="1"/>
    <x v="14"/>
  </r>
  <r>
    <m/>
    <m/>
    <s v="PARCELAMENTO"/>
    <s v="INSS - vcto 30/06"/>
    <d v="2021-07-21T00:00:00"/>
    <n v="1274.4100000000001"/>
    <x v="1"/>
    <x v="14"/>
  </r>
  <r>
    <m/>
    <m/>
    <s v="PARCELAMENTO"/>
    <s v="IRPJ - vcto 30/06"/>
    <d v="2021-07-21T00:00:00"/>
    <n v="617.64"/>
    <x v="1"/>
    <x v="14"/>
  </r>
  <r>
    <m/>
    <m/>
    <s v="VIAGEM"/>
    <s v="VOB HOTEL"/>
    <d v="2021-07-21T00:00:00"/>
    <n v="572"/>
    <x v="1"/>
    <x v="14"/>
  </r>
  <r>
    <m/>
    <m/>
    <s v="MATERIAL"/>
    <s v="02 CAPS P/ESTUFA"/>
    <d v="2021-07-21T00:00:00"/>
    <n v="360"/>
    <x v="1"/>
    <x v="14"/>
  </r>
  <r>
    <m/>
    <m/>
    <s v="RECLAMATORIA"/>
    <s v="ATANAIR - 08/10"/>
    <d v="2021-07-21T00:00:00"/>
    <n v="2000"/>
    <x v="1"/>
    <x v="14"/>
  </r>
  <r>
    <m/>
    <m/>
    <s v="COMBUSTIVEL"/>
    <s v="REEMBOLSO ROGERIO"/>
    <d v="2021-07-21T00:00:00"/>
    <n v="200"/>
    <x v="1"/>
    <x v="14"/>
  </r>
  <r>
    <m/>
    <m/>
    <s v="ALIMENTACAO"/>
    <s v="BISTRO LUCAS RAMOS - vcto 30/06 "/>
    <d v="2021-07-21T00:00:00"/>
    <n v="1125"/>
    <x v="0"/>
    <x v="14"/>
  </r>
  <r>
    <m/>
    <m/>
    <s v="TERCEIROS"/>
    <s v="GUIA MATRICULA DE IMOVEIS ATUALIZADA"/>
    <d v="2021-07-22T00:00:00"/>
    <n v="72.95"/>
    <x v="0"/>
    <x v="15"/>
  </r>
  <r>
    <m/>
    <m/>
    <s v="TERCEIROS"/>
    <s v="VIDROS - MARINA/RAFAELA"/>
    <d v="2021-07-22T00:00:00"/>
    <n v="350"/>
    <x v="1"/>
    <x v="15"/>
  </r>
  <r>
    <m/>
    <m/>
    <s v="FÉRIAS "/>
    <s v="ERIVELTO (JOEL) - vcto 16/07 - parcela 01/02"/>
    <d v="2021-07-22T00:00:00"/>
    <n v="1243"/>
    <x v="1"/>
    <x v="15"/>
  </r>
  <r>
    <m/>
    <m/>
    <s v="FÉRIAS "/>
    <s v="JANETE DA SILVA"/>
    <d v="2021-07-22T00:00:00"/>
    <n v="645"/>
    <x v="1"/>
    <x v="15"/>
  </r>
  <r>
    <m/>
    <m/>
    <s v="EPI"/>
    <s v="MAJUSEG - CHEQUE 01/07"/>
    <d v="2021-07-22T00:00:00"/>
    <n v="949.49"/>
    <x v="1"/>
    <x v="15"/>
  </r>
  <r>
    <m/>
    <m/>
    <s v="SAUDE"/>
    <s v="PROMED - vcto 15/05 (sem falta, já negociado para não cortar)"/>
    <d v="2021-07-22T00:00:00"/>
    <n v="2761.53"/>
    <x v="1"/>
    <x v="15"/>
  </r>
  <r>
    <m/>
    <m/>
    <s v="COMBUSTIVEL"/>
    <s v="GABRIEL"/>
    <d v="2021-07-23T00:00:00"/>
    <n v="120"/>
    <x v="1"/>
    <x v="16"/>
  </r>
  <r>
    <m/>
    <m/>
    <s v="COMBUSTIVEL"/>
    <s v="REEMBOLSO LUIS BERTONCELLO"/>
    <d v="2021-07-23T00:00:00"/>
    <n v="100"/>
    <x v="1"/>
    <x v="16"/>
  </r>
  <r>
    <m/>
    <m/>
    <s v="COMBUSTIVEL"/>
    <s v="CLEBER"/>
    <d v="2021-07-23T00:00:00"/>
    <n v="70"/>
    <x v="1"/>
    <x v="16"/>
  </r>
  <r>
    <m/>
    <m/>
    <s v="TERCEIROS"/>
    <s v="CONSERTO CELULAR CLEBER"/>
    <d v="2021-07-23T00:00:00"/>
    <n v="80"/>
    <x v="1"/>
    <x v="16"/>
  </r>
  <r>
    <m/>
    <m/>
    <s v="COMBUSTIVEL"/>
    <s v="PAULO EDUARDO (R$ 100,00) + REEMBOLSO LIVRARIA (R$ 20,00)"/>
    <d v="2021-07-23T00:00:00"/>
    <n v="120"/>
    <x v="1"/>
    <x v="16"/>
  </r>
  <r>
    <m/>
    <m/>
    <s v="INFORMATICA"/>
    <s v="DIGISAM - vcto 10/05/2021"/>
    <d v="2021-07-23T00:00:00"/>
    <n v="619"/>
    <x v="0"/>
    <x v="16"/>
  </r>
  <r>
    <m/>
    <m/>
    <s v="TRANSPORTE"/>
    <s v="05 CARTOES VISATE"/>
    <d v="2021-07-23T00:00:00"/>
    <n v="95"/>
    <x v="1"/>
    <x v="16"/>
  </r>
  <r>
    <m/>
    <m/>
    <s v="VIAGEM"/>
    <s v="FLAVIO"/>
    <d v="2021-07-23T00:00:00"/>
    <n v="400"/>
    <x v="1"/>
    <x v="16"/>
  </r>
  <r>
    <m/>
    <m/>
    <s v="SOCIOS"/>
    <s v="LUIS BERTONCELLO"/>
    <d v="2021-07-23T00:00:00"/>
    <n v="750"/>
    <x v="2"/>
    <x v="16"/>
  </r>
  <r>
    <m/>
    <m/>
    <s v="ACORDO"/>
    <s v="RAMON - 03/04"/>
    <d v="2021-07-23T00:00:00"/>
    <n v="2000"/>
    <x v="1"/>
    <x v="16"/>
  </r>
  <r>
    <m/>
    <m/>
    <s v="SOCIOS"/>
    <s v="RETIRADA ROGERIO - parte"/>
    <d v="2021-07-23T00:00:00"/>
    <n v="1500"/>
    <x v="2"/>
    <x v="16"/>
  </r>
  <r>
    <m/>
    <m/>
    <s v="SOCIOS"/>
    <s v="SEGURO DE VIDA RUBENS PINTO - vcto 01/07"/>
    <d v="2021-07-23T00:00:00"/>
    <n v="1020.5"/>
    <x v="2"/>
    <x v="16"/>
  </r>
  <r>
    <m/>
    <m/>
    <s v="TERCEIROS"/>
    <s v="LAVOROLAB "/>
    <d v="2021-07-23T00:00:00"/>
    <n v="891.07"/>
    <x v="1"/>
    <x v="16"/>
  </r>
  <r>
    <m/>
    <m/>
    <s v="ALIMENTACAO"/>
    <s v="BOM TEMPERO - vcto 13/06 - já prorrogado"/>
    <d v="2021-07-23T00:00:00"/>
    <n v="1326"/>
    <x v="1"/>
    <x v="16"/>
  </r>
  <r>
    <m/>
    <m/>
    <s v="COMBUSTIVEL"/>
    <s v="LUIS BERTONCELLO"/>
    <d v="2021-07-24T00:00:00"/>
    <n v="200"/>
    <x v="2"/>
    <x v="17"/>
  </r>
  <r>
    <m/>
    <m/>
    <s v="TERCEIROS"/>
    <s v="MARCIA"/>
    <d v="2021-07-25T00:00:00"/>
    <n v="70"/>
    <x v="1"/>
    <x v="17"/>
  </r>
  <r>
    <m/>
    <m/>
    <s v="INFORMATICA"/>
    <s v="METADADOS - VCTO 25/06"/>
    <d v="2021-07-26T00:00:00"/>
    <n v="318.68"/>
    <x v="0"/>
    <x v="17"/>
  </r>
  <r>
    <m/>
    <m/>
    <s v="CURSO"/>
    <s v="JOAO VITOR - TREINAMENTO VOLARE - 02/02"/>
    <d v="2021-07-26T00:00:00"/>
    <n v="1322.5"/>
    <x v="1"/>
    <x v="17"/>
  </r>
  <r>
    <m/>
    <m/>
    <s v="SOCIOS"/>
    <s v="RETIRADA PAULO SILVA - cartao vcto 27/07"/>
    <d v="2021-07-26T00:00:00"/>
    <n v="3270"/>
    <x v="2"/>
    <x v="17"/>
  </r>
  <r>
    <m/>
    <m/>
    <s v="VIAGEM"/>
    <s v="VOB HOTEL - vcto 15/07 - já prorrogado"/>
    <d v="2021-07-26T00:00:00"/>
    <n v="684"/>
    <x v="1"/>
    <x v="17"/>
  </r>
  <r>
    <m/>
    <m/>
    <s v="TRANSPORTE"/>
    <s v="VAN - saldo"/>
    <d v="2021-07-26T00:00:00"/>
    <n v="3955.5"/>
    <x v="1"/>
    <x v="17"/>
  </r>
  <r>
    <m/>
    <m/>
    <s v="TERCEIROS"/>
    <s v="AKRON - cabos internet salas Nelci e Ester - deposito dados nf"/>
    <d v="2021-07-26T00:00:00"/>
    <n v="980"/>
    <x v="0"/>
    <x v="17"/>
  </r>
  <r>
    <m/>
    <m/>
    <s v="EPI"/>
    <s v="ZAPA"/>
    <d v="2021-07-26T00:00:00"/>
    <n v="308.93"/>
    <x v="1"/>
    <x v="17"/>
  </r>
  <r>
    <m/>
    <m/>
    <s v="MATERIAL"/>
    <s v="MARCARINI TINTAS - 02/02 - vcto 18/07 - prorrogado com Priscila"/>
    <d v="2021-07-26T00:00:00"/>
    <n v="2191"/>
    <x v="0"/>
    <x v="17"/>
  </r>
  <r>
    <m/>
    <m/>
    <s v="VIAGEM"/>
    <s v="JOEL - CAIXINHA"/>
    <d v="2021-07-26T00:00:00"/>
    <n v="2626"/>
    <x v="1"/>
    <x v="17"/>
  </r>
  <r>
    <m/>
    <m/>
    <s v="EPI"/>
    <s v="ZAPA (solicitado prorrogacao p/27/07)"/>
    <d v="2021-07-27T00:00:00"/>
    <n v="623.97"/>
    <x v="1"/>
    <x v="18"/>
  </r>
  <r>
    <m/>
    <m/>
    <s v="EPI"/>
    <s v="ZAPA (solicitado prorrogacao p/27/07)"/>
    <d v="2021-07-27T00:00:00"/>
    <n v="189.96"/>
    <x v="1"/>
    <x v="18"/>
  </r>
  <r>
    <m/>
    <m/>
    <s v="ALIMENTACAO"/>
    <s v="CRISTINE LANCHES - vcto 10/07 (já prorrogado)"/>
    <d v="2021-07-27T00:00:00"/>
    <n v="823.48"/>
    <x v="1"/>
    <x v="18"/>
  </r>
  <r>
    <m/>
    <m/>
    <s v="SOCIOS"/>
    <s v="RETIRADA ROGERIO - parte"/>
    <d v="2021-07-27T00:00:00"/>
    <n v="1500"/>
    <x v="2"/>
    <x v="18"/>
  </r>
  <r>
    <m/>
    <m/>
    <s v="ENERGIA"/>
    <s v="RGE - vcto 05/07 (corte em 30/07)"/>
    <d v="2021-07-27T00:00:00"/>
    <n v="1490.3"/>
    <x v="0"/>
    <x v="18"/>
  </r>
  <r>
    <m/>
    <m/>
    <s v="ALIMENTACAO"/>
    <s v="RODRIGO GONCALVES - IRMAOS DA FRONTEIRA - vcto 13/07"/>
    <d v="2021-07-28T00:00:00"/>
    <n v="482"/>
    <x v="0"/>
    <x v="19"/>
  </r>
  <r>
    <m/>
    <m/>
    <s v="ASSESSORIA"/>
    <s v="GERENCIAL - 2ª parcela do saldo devedor - vcto 28/06"/>
    <d v="2021-07-28T00:00:00"/>
    <n v="1000"/>
    <x v="0"/>
    <x v="19"/>
  </r>
  <r>
    <m/>
    <m/>
    <s v="SALARIOS"/>
    <s v="EXTRAS - VOLARE/CIFERAL"/>
    <d v="2021-07-28T00:00:00"/>
    <n v="11876"/>
    <x v="1"/>
    <x v="19"/>
  </r>
  <r>
    <m/>
    <m/>
    <s v="SALARIOS"/>
    <s v="EXTRAS - LIMPEZA/MECANICA"/>
    <d v="2021-07-28T00:00:00"/>
    <n v="5757"/>
    <x v="1"/>
    <x v="19"/>
  </r>
  <r>
    <m/>
    <m/>
    <s v="COMBUSTIVEL"/>
    <s v="CLEBER - Florense"/>
    <d v="2021-07-28T00:00:00"/>
    <n v="80"/>
    <x v="1"/>
    <x v="19"/>
  </r>
  <r>
    <m/>
    <m/>
    <s v="ACORDO"/>
    <s v="SINDIASSEIO - 01/03"/>
    <d v="2021-07-28T00:00:00"/>
    <n v="304.95999999999998"/>
    <x v="1"/>
    <x v="19"/>
  </r>
  <r>
    <m/>
    <m/>
    <s v="EPI"/>
    <s v="CORSUL"/>
    <d v="2021-07-28T00:00:00"/>
    <n v="134.36000000000001"/>
    <x v="1"/>
    <x v="19"/>
  </r>
  <r>
    <m/>
    <m/>
    <s v="EPI"/>
    <s v="ACORDO PONTO DAS SOLDAS - 1.PARCELA (PIX 30.383.069/0001-02)"/>
    <d v="2021-07-29T00:00:00"/>
    <n v="584"/>
    <x v="1"/>
    <x v="20"/>
  </r>
  <r>
    <m/>
    <m/>
    <s v="SOCIOS"/>
    <s v="IRF VERA KARLING - 03/08"/>
    <d v="2021-07-29T00:00:00"/>
    <n v="239.9"/>
    <x v="1"/>
    <x v="20"/>
  </r>
  <r>
    <m/>
    <m/>
    <s v="SEGURO"/>
    <s v="OUTLANDER - LUIS "/>
    <d v="2021-07-29T00:00:00"/>
    <n v="404.35"/>
    <x v="2"/>
    <x v="20"/>
  </r>
  <r>
    <m/>
    <m/>
    <s v="BONUS"/>
    <s v="18 PESSOAS"/>
    <d v="2021-07-29T00:00:00"/>
    <n v="2160"/>
    <x v="1"/>
    <x v="20"/>
  </r>
  <r>
    <m/>
    <m/>
    <s v="VEICULOS"/>
    <s v="ARNILDO - UNO FLAVIO - prorrogado"/>
    <d v="2021-07-29T00:00:00"/>
    <n v="250"/>
    <x v="0"/>
    <x v="20"/>
  </r>
  <r>
    <m/>
    <m/>
    <s v="COMBUSTIVEL"/>
    <s v="CLEBER"/>
    <d v="2021-07-29T00:00:00"/>
    <n v="150"/>
    <x v="1"/>
    <x v="20"/>
  </r>
  <r>
    <m/>
    <m/>
    <s v="VIAGEM"/>
    <s v="FLAVIO"/>
    <d v="2021-07-29T00:00:00"/>
    <n v="400"/>
    <x v="1"/>
    <x v="20"/>
  </r>
  <r>
    <m/>
    <m/>
    <s v="ASSESSORIA"/>
    <s v="OLIVEIRA E PERES - vcto 30/01"/>
    <d v="2021-07-29T00:00:00"/>
    <n v="3135"/>
    <x v="0"/>
    <x v="20"/>
  </r>
  <r>
    <m/>
    <m/>
    <s v="ASSESSORIA"/>
    <s v="GT3 - vcto 20/07"/>
    <d v="2021-07-29T00:00:00"/>
    <n v="781.54"/>
    <x v="1"/>
    <x v="20"/>
  </r>
  <r>
    <m/>
    <m/>
    <s v="ALIMENTACAO"/>
    <s v="REST TIO JOAO - vcto 17/07 - já prorrogado"/>
    <d v="2021-07-29T00:00:00"/>
    <n v="2867.09"/>
    <x v="1"/>
    <x v="20"/>
  </r>
  <r>
    <m/>
    <m/>
    <s v="ACORDO"/>
    <s v="ANTONIO FRANCISCO - 06/08 - vcto 26/04"/>
    <d v="2021-07-29T00:00:00"/>
    <n v="2200"/>
    <x v="1"/>
    <x v="20"/>
  </r>
  <r>
    <m/>
    <m/>
    <s v="EPI"/>
    <s v="MAJUSEG - boleto"/>
    <d v="2021-07-29T00:00:00"/>
    <n v="829.43"/>
    <x v="1"/>
    <x v="20"/>
  </r>
  <r>
    <m/>
    <m/>
    <s v="EPI"/>
    <s v="M JU - boleto"/>
    <d v="2021-07-29T00:00:00"/>
    <n v="220"/>
    <x v="1"/>
    <x v="20"/>
  </r>
  <r>
    <m/>
    <m/>
    <s v="PARCELAMENTO"/>
    <s v="INSS"/>
    <d v="2021-07-29T00:00:00"/>
    <n v="1274.4100000000001"/>
    <x v="1"/>
    <x v="20"/>
  </r>
  <r>
    <m/>
    <m/>
    <s v="PARCELAMENTO"/>
    <s v="IRPJ"/>
    <d v="2021-07-29T00:00:00"/>
    <n v="617.64"/>
    <x v="1"/>
    <x v="20"/>
  </r>
  <r>
    <m/>
    <m/>
    <s v="PARCELAMENTO"/>
    <s v="SIMPLES - 06/60"/>
    <d v="2021-07-29T00:00:00"/>
    <n v="10500.77"/>
    <x v="1"/>
    <x v="20"/>
  </r>
  <r>
    <m/>
    <m/>
    <s v="TERCEIROS"/>
    <s v="GUINCHOS WEBBER"/>
    <d v="2021-07-29T00:00:00"/>
    <n v="630"/>
    <x v="0"/>
    <x v="20"/>
  </r>
  <r>
    <m/>
    <m/>
    <s v="RESCISAO"/>
    <s v="MATHEUS DE SOUZA TEIXEIRA"/>
    <d v="2021-07-30T00:00:00"/>
    <n v="531.99"/>
    <x v="1"/>
    <x v="21"/>
  </r>
  <r>
    <m/>
    <m/>
    <s v="ALIMENTACAO"/>
    <s v="RESTAURANTE ZAPAROLLI - metade"/>
    <d v="2021-07-30T00:00:00"/>
    <n v="3025"/>
    <x v="1"/>
    <x v="21"/>
  </r>
  <r>
    <m/>
    <m/>
    <s v="SOCIOS"/>
    <s v="RETIRADA ROGERIO - saldo"/>
    <d v="2021-07-30T00:00:00"/>
    <n v="2000"/>
    <x v="2"/>
    <x v="21"/>
  </r>
  <r>
    <m/>
    <m/>
    <s v="PARCELAMENTO"/>
    <s v="CSLL - DEBITO BB "/>
    <d v="2021-07-30T00:00:00"/>
    <n v="528.54"/>
    <x v="1"/>
    <x v="2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41">
  <r>
    <m/>
    <m/>
    <s v="BANCOS"/>
    <s v="JUROS E DESP BANCARIAS"/>
    <d v="2021-08-01T00:00:00"/>
    <n v="4993.88"/>
    <x v="0"/>
    <x v="0"/>
  </r>
  <r>
    <m/>
    <m/>
    <s v="VIAGEM"/>
    <s v="VOB HOTEL"/>
    <d v="2021-08-01T00:00:00"/>
    <n v="456"/>
    <x v="1"/>
    <x v="0"/>
  </r>
  <r>
    <m/>
    <m/>
    <s v="COMBUSTIVEL"/>
    <s v="TEONAS - MENSAL"/>
    <d v="2021-08-02T00:00:00"/>
    <n v="150"/>
    <x v="1"/>
    <x v="0"/>
  </r>
  <r>
    <m/>
    <m/>
    <s v="COMBUSTIVEL"/>
    <s v="GENILSON - MENSAL"/>
    <d v="2021-08-02T00:00:00"/>
    <n v="250"/>
    <x v="1"/>
    <x v="0"/>
  </r>
  <r>
    <m/>
    <m/>
    <s v="CONSUMO"/>
    <s v="DE TONI"/>
    <d v="2021-08-02T00:00:00"/>
    <n v="32"/>
    <x v="1"/>
    <x v="0"/>
  </r>
  <r>
    <m/>
    <m/>
    <s v="CONSUMO"/>
    <s v="TONER FINANCEIRO"/>
    <d v="2021-08-02T00:00:00"/>
    <n v="52"/>
    <x v="1"/>
    <x v="0"/>
  </r>
  <r>
    <m/>
    <m/>
    <s v="TERCEIROS"/>
    <s v="MARCIA - LIMPEZA"/>
    <d v="2021-08-03T00:00:00"/>
    <n v="70"/>
    <x v="1"/>
    <x v="1"/>
  </r>
  <r>
    <m/>
    <m/>
    <s v="RESCISAO"/>
    <s v="FGTS RESCISORIO VALTER MUNHOZ"/>
    <d v="2021-08-03T00:00:00"/>
    <n v="22.3"/>
    <x v="1"/>
    <x v="1"/>
  </r>
  <r>
    <m/>
    <m/>
    <s v="CONSUMO"/>
    <s v="DE TONI"/>
    <d v="2021-08-03T00:00:00"/>
    <n v="243.67"/>
    <x v="1"/>
    <x v="1"/>
  </r>
  <r>
    <m/>
    <m/>
    <s v="SALARIOS"/>
    <s v="JAQUELINE NASCIMENTO (em dinheiro)"/>
    <d v="2021-08-03T00:00:00"/>
    <n v="90"/>
    <x v="1"/>
    <x v="1"/>
  </r>
  <r>
    <m/>
    <m/>
    <s v="PARCELAMENTO"/>
    <s v="EMPRESTIMO FOLHA BB - 08/30"/>
    <d v="2021-08-04T00:00:00"/>
    <n v="2277.79"/>
    <x v="1"/>
    <x v="2"/>
  </r>
  <r>
    <m/>
    <m/>
    <s v="SALARIOS"/>
    <s v="EDUARDA CRISTINE - Librelato"/>
    <d v="2021-08-04T00:00:00"/>
    <n v="205"/>
    <x v="1"/>
    <x v="2"/>
  </r>
  <r>
    <m/>
    <m/>
    <s v="RESCISAO"/>
    <s v="EDUARDA CRISTINE"/>
    <d v="2021-08-04T00:00:00"/>
    <n v="219.15"/>
    <x v="1"/>
    <x v="2"/>
  </r>
  <r>
    <m/>
    <m/>
    <s v="TRANSPORTE"/>
    <s v="10 CARTOES"/>
    <d v="2021-08-05T00:00:00"/>
    <n v="190"/>
    <x v="0"/>
    <x v="3"/>
  </r>
  <r>
    <m/>
    <m/>
    <s v="COMUNICACAO"/>
    <s v="NET - vcto 20/07 "/>
    <d v="2021-08-05T00:00:00"/>
    <n v="194.02"/>
    <x v="1"/>
    <x v="3"/>
  </r>
  <r>
    <m/>
    <m/>
    <s v="SALARIOS"/>
    <s v="SALARIOS - ARQUIVO"/>
    <d v="2021-08-05T00:00:00"/>
    <n v="48109"/>
    <x v="1"/>
    <x v="3"/>
  </r>
  <r>
    <m/>
    <m/>
    <s v="SALARIOS"/>
    <s v="SALARIOS - volare (sem conta)"/>
    <d v="2021-08-05T00:00:00"/>
    <n v="13730"/>
    <x v="1"/>
    <x v="3"/>
  </r>
  <r>
    <m/>
    <m/>
    <s v="SALARIOS"/>
    <s v="RUTIELE VIEIRA"/>
    <d v="2021-08-05T00:00:00"/>
    <n v="851"/>
    <x v="1"/>
    <x v="3"/>
  </r>
  <r>
    <m/>
    <m/>
    <s v="ENCARGOS"/>
    <s v="FGTS"/>
    <d v="2021-08-06T00:00:00"/>
    <n v="793.14"/>
    <x v="0"/>
    <x v="4"/>
  </r>
  <r>
    <m/>
    <m/>
    <s v="SALARIOS"/>
    <s v="FABIANE RODRIGUES"/>
    <d v="2021-08-06T00:00:00"/>
    <n v="611"/>
    <x v="1"/>
    <x v="4"/>
  </r>
  <r>
    <m/>
    <m/>
    <s v="PARCELAMENTO"/>
    <s v="EMPRESTIMO FOLHA BB - 09/30"/>
    <d v="2021-08-06T00:00:00"/>
    <n v="2186.46"/>
    <x v="1"/>
    <x v="4"/>
  </r>
  <r>
    <m/>
    <m/>
    <s v="COMBUSTIVEL"/>
    <s v="CLEBER"/>
    <d v="2021-08-06T00:00:00"/>
    <n v="150"/>
    <x v="1"/>
    <x v="4"/>
  </r>
  <r>
    <m/>
    <m/>
    <s v="VIAGEM"/>
    <s v="FLAVIO"/>
    <d v="2021-08-06T00:00:00"/>
    <n v="640.73"/>
    <x v="1"/>
    <x v="4"/>
  </r>
  <r>
    <m/>
    <m/>
    <s v="EXPEDIENTE"/>
    <s v="KIPONTO"/>
    <d v="2021-08-06T00:00:00"/>
    <n v="100"/>
    <x v="0"/>
    <x v="4"/>
  </r>
  <r>
    <m/>
    <m/>
    <s v="SALARIOS"/>
    <s v="GEAN SOARES DA SILVA - VOLARE"/>
    <d v="2021-08-06T00:00:00"/>
    <n v="2848"/>
    <x v="1"/>
    <x v="4"/>
  </r>
  <r>
    <m/>
    <m/>
    <s v="SALARIOS"/>
    <s v="DIF SALARIO RAFAEL"/>
    <d v="2021-08-06T00:00:00"/>
    <n v="179"/>
    <x v="1"/>
    <x v="4"/>
  </r>
  <r>
    <m/>
    <m/>
    <s v="EPI"/>
    <s v="MAJUSEG - CHEQUE 08/07"/>
    <d v="2021-08-06T00:00:00"/>
    <n v="575.36"/>
    <x v="1"/>
    <x v="4"/>
  </r>
  <r>
    <m/>
    <m/>
    <s v="IMPOSTOS"/>
    <s v="ART ROGERIO MACEDO - ESTUFA MARCOPOLO"/>
    <d v="2021-08-07T00:00:00"/>
    <n v="88.78"/>
    <x v="0"/>
    <x v="5"/>
  </r>
  <r>
    <m/>
    <m/>
    <s v="ASSESSORIA"/>
    <s v="OLIVEIRA E PERES - MATRICULA PAVILHAO"/>
    <d v="2021-08-08T00:00:00"/>
    <n v="247.05"/>
    <x v="1"/>
    <x v="5"/>
  </r>
  <r>
    <m/>
    <m/>
    <s v="INFORMATICA"/>
    <s v="INFOCALL"/>
    <d v="2021-08-09T00:00:00"/>
    <n v="220"/>
    <x v="0"/>
    <x v="5"/>
  </r>
  <r>
    <m/>
    <m/>
    <s v="EPI"/>
    <s v="M JU - vcto 05/08"/>
    <d v="2021-08-09T00:00:00"/>
    <n v="301.79000000000002"/>
    <x v="1"/>
    <x v="5"/>
  </r>
  <r>
    <m/>
    <m/>
    <s v="EPI"/>
    <s v="MAJUSEG - vcto 05/08"/>
    <d v="2021-08-09T00:00:00"/>
    <n v="784.1"/>
    <x v="1"/>
    <x v="5"/>
  </r>
  <r>
    <m/>
    <m/>
    <s v="SALARIOS"/>
    <s v="SALARIOS - cheques"/>
    <d v="2021-08-09T00:00:00"/>
    <n v="4077"/>
    <x v="1"/>
    <x v="5"/>
  </r>
  <r>
    <m/>
    <m/>
    <s v="VIAGEM"/>
    <s v="JOEL - CAIXINHA (fazer sem falta - troca pelo salario)"/>
    <d v="2021-08-09T00:00:00"/>
    <n v="3000"/>
    <x v="1"/>
    <x v="5"/>
  </r>
  <r>
    <m/>
    <m/>
    <s v="EPI"/>
    <s v="MAJUSEG - CHEQUE 25/06"/>
    <d v="2021-08-09T00:00:00"/>
    <n v="895.48"/>
    <x v="1"/>
    <x v="5"/>
  </r>
  <r>
    <m/>
    <m/>
    <s v="ALIMENTACAO"/>
    <s v="RESTAURANTE ZAPAROLLI - saldo "/>
    <d v="2021-08-10T00:00:00"/>
    <n v="3025"/>
    <x v="1"/>
    <x v="6"/>
  </r>
  <r>
    <m/>
    <m/>
    <s v="ALIMENTACAO"/>
    <s v="ALIMENTAR - NEOBUS - vcto 07/07 - sem falta, já prorrogado por duas vezes"/>
    <d v="2021-08-10T00:00:00"/>
    <n v="1860.75"/>
    <x v="1"/>
    <x v="6"/>
  </r>
  <r>
    <m/>
    <m/>
    <s v="SALARIOS"/>
    <s v="SALARIOS - cheques"/>
    <d v="2021-08-10T00:00:00"/>
    <n v="4899"/>
    <x v="1"/>
    <x v="6"/>
  </r>
  <r>
    <m/>
    <m/>
    <s v="CURSO"/>
    <s v="RAFAEL SCOPEL - parte entrada acordo"/>
    <d v="2021-08-10T00:00:00"/>
    <n v="500"/>
    <x v="1"/>
    <x v="6"/>
  </r>
  <r>
    <m/>
    <m/>
    <s v="SALARIOS"/>
    <s v="CLEBER - parte (em dinheiro)"/>
    <d v="2021-08-10T00:00:00"/>
    <n v="500"/>
    <x v="1"/>
    <x v="6"/>
  </r>
  <r>
    <m/>
    <m/>
    <s v="SALARIOS"/>
    <s v="GENILSON MENEZES"/>
    <d v="2021-08-10T00:00:00"/>
    <n v="3607"/>
    <x v="1"/>
    <x v="6"/>
  </r>
  <r>
    <m/>
    <m/>
    <s v="SALARIOS"/>
    <s v="SALARIOS - cheques"/>
    <d v="2021-08-11T00:00:00"/>
    <n v="1600"/>
    <x v="1"/>
    <x v="7"/>
  </r>
  <r>
    <m/>
    <m/>
    <s v="CONSUMO"/>
    <s v="LUCHETTI - AGUAS"/>
    <d v="2021-08-11T00:00:00"/>
    <n v="90"/>
    <x v="0"/>
    <x v="7"/>
  </r>
  <r>
    <m/>
    <m/>
    <s v="EPI"/>
    <s v="ZAPA - vcto 05/08 - já prorrogado"/>
    <d v="2021-08-12T00:00:00"/>
    <n v="312.33999999999997"/>
    <x v="1"/>
    <x v="8"/>
  </r>
  <r>
    <m/>
    <m/>
    <s v="FÉRIAS "/>
    <s v="ERIVELTO (JOEL) - vcto 16/07 - parcela 02/02"/>
    <d v="2021-08-12T00:00:00"/>
    <n v="1243"/>
    <x v="1"/>
    <x v="8"/>
  </r>
  <r>
    <m/>
    <m/>
    <s v="SALARIOS"/>
    <s v="SALARIOS - cheques"/>
    <d v="2021-08-12T00:00:00"/>
    <n v="1094"/>
    <x v="1"/>
    <x v="8"/>
  </r>
  <r>
    <m/>
    <m/>
    <s v="SALARIOS"/>
    <s v="SALARIOS - supervisores e adm"/>
    <d v="2021-08-12T00:00:00"/>
    <n v="26932.799999999999"/>
    <x v="1"/>
    <x v="8"/>
  </r>
  <r>
    <m/>
    <m/>
    <s v="COMUNICACAO"/>
    <s v="CLARO - vcto 20/07 (corte em 13/08)"/>
    <d v="2021-08-12T00:00:00"/>
    <n v="1639.6000000000001"/>
    <x v="0"/>
    <x v="8"/>
  </r>
  <r>
    <m/>
    <m/>
    <s v="MANUTENCAO"/>
    <s v="DIGISERVE - vcto 04/08 - prorrogado"/>
    <d v="2021-08-12T00:00:00"/>
    <n v="699.3"/>
    <x v="0"/>
    <x v="8"/>
  </r>
  <r>
    <m/>
    <m/>
    <s v="SALARIOS"/>
    <s v="PENSAO ALIMENTICIA (já avisado)"/>
    <d v="2021-08-12T00:00:00"/>
    <n v="2180.21"/>
    <x v="1"/>
    <x v="8"/>
  </r>
  <r>
    <m/>
    <m/>
    <s v="EPI"/>
    <s v="ZAPA - vcto 09/08"/>
    <d v="2021-08-12T00:00:00"/>
    <n v="161.58000000000001"/>
    <x v="1"/>
    <x v="8"/>
  </r>
  <r>
    <m/>
    <m/>
    <s v="COMBUSTIVEL"/>
    <s v="CLEBER"/>
    <d v="2021-08-12T00:00:00"/>
    <n v="150"/>
    <x v="1"/>
    <x v="8"/>
  </r>
  <r>
    <m/>
    <m/>
    <s v="VIAGEM"/>
    <s v="FLAVIO"/>
    <d v="2021-08-12T00:00:00"/>
    <n v="408.8"/>
    <x v="1"/>
    <x v="8"/>
  </r>
  <r>
    <m/>
    <m/>
    <s v="VIAGEM"/>
    <s v="MARCIO - LIBRELATO (levou em dinheiro)"/>
    <d v="2021-08-12T00:00:00"/>
    <n v="450"/>
    <x v="1"/>
    <x v="8"/>
  </r>
  <r>
    <m/>
    <m/>
    <s v="VIAGEM"/>
    <s v="MARCIO - LIBRELATO (gastos RIO/CAXIAS) - deposito"/>
    <d v="2021-08-12T00:00:00"/>
    <n v="630.04999999999995"/>
    <x v="1"/>
    <x v="8"/>
  </r>
  <r>
    <m/>
    <m/>
    <s v="EPI"/>
    <s v="MAJUSEG - cheque 16/07"/>
    <d v="2021-08-12T00:00:00"/>
    <n v="1129.25"/>
    <x v="1"/>
    <x v="8"/>
  </r>
  <r>
    <m/>
    <m/>
    <s v="MANUTENCAO"/>
    <s v=" STEDILE"/>
    <d v="2021-08-13T00:00:00"/>
    <n v="240.86"/>
    <x v="1"/>
    <x v="9"/>
  </r>
  <r>
    <m/>
    <m/>
    <s v="SALARIOS"/>
    <s v="PAULO EDUARDO + reembolso Fusopar"/>
    <d v="2021-08-13T00:00:00"/>
    <n v="2838.12"/>
    <x v="1"/>
    <x v="9"/>
  </r>
  <r>
    <m/>
    <m/>
    <s v="SOCIOS"/>
    <s v="LUIS BERTONCELLO"/>
    <d v="2021-08-13T00:00:00"/>
    <n v="2000"/>
    <x v="2"/>
    <x v="9"/>
  </r>
  <r>
    <m/>
    <m/>
    <s v="RESCISAO"/>
    <s v="MARCIO FERNANDES (depositar na conta do Joel)"/>
    <d v="2021-08-13T00:00:00"/>
    <n v="727.95"/>
    <x v="1"/>
    <x v="9"/>
  </r>
  <r>
    <m/>
    <m/>
    <s v="ACORDO"/>
    <s v="SAMUEL - CIFERAL - 07/09 - vcto 05/08"/>
    <d v="2021-08-13T00:00:00"/>
    <n v="1500"/>
    <x v="1"/>
    <x v="9"/>
  </r>
  <r>
    <m/>
    <m/>
    <s v="ACORDO"/>
    <s v="ARTHUR - CIFERAL - 07/08 - vcto 05/08"/>
    <d v="2021-08-13T00:00:00"/>
    <n v="1500"/>
    <x v="1"/>
    <x v="9"/>
  </r>
  <r>
    <m/>
    <m/>
    <s v="ACORDO"/>
    <s v="LEONARDO - CIFERAL - 07/14 - vcto 05/08"/>
    <d v="2021-08-13T00:00:00"/>
    <n v="1500"/>
    <x v="1"/>
    <x v="9"/>
  </r>
  <r>
    <m/>
    <m/>
    <s v="RECLAMATORIA"/>
    <s v="GUIA PROCESSO JOSE MELO"/>
    <d v="2021-08-13T00:00:00"/>
    <n v="911.08"/>
    <x v="1"/>
    <x v="9"/>
  </r>
  <r>
    <m/>
    <m/>
    <s v="MATERIAL"/>
    <s v="PERINI - vcto em 30/07 - prorrogado"/>
    <d v="2021-08-13T00:00:00"/>
    <n v="564.55999999999995"/>
    <x v="0"/>
    <x v="9"/>
  </r>
  <r>
    <m/>
    <m/>
    <s v="COMBUSTIVEL"/>
    <s v="ROGERIO"/>
    <d v="2021-08-13T00:00:00"/>
    <n v="300"/>
    <x v="2"/>
    <x v="9"/>
  </r>
  <r>
    <m/>
    <m/>
    <s v="VIAGEM"/>
    <s v="LUIS BERTONCELLO/GABRIEL"/>
    <d v="2021-08-13T00:00:00"/>
    <n v="1498.68"/>
    <x v="1"/>
    <x v="9"/>
  </r>
  <r>
    <m/>
    <m/>
    <s v="SALARIOS"/>
    <s v="SALARIOS - cheques"/>
    <d v="2021-08-13T00:00:00"/>
    <n v="1202"/>
    <x v="1"/>
    <x v="9"/>
  </r>
  <r>
    <m/>
    <m/>
    <s v="EPI"/>
    <s v="JUSTINA - boleto"/>
    <d v="2021-08-13T00:00:00"/>
    <n v="1125"/>
    <x v="1"/>
    <x v="9"/>
  </r>
  <r>
    <m/>
    <m/>
    <s v="RESCISAO"/>
    <s v="FGTS RESCISORIO TIAGO FERNANDES"/>
    <d v="2021-08-13T00:00:00"/>
    <n v="84.18"/>
    <x v="1"/>
    <x v="9"/>
  </r>
  <r>
    <m/>
    <m/>
    <s v="COMUNICACAO"/>
    <s v="VIVO - vcto 28/07 (corte em 17/08)"/>
    <d v="2021-08-14T00:00:00"/>
    <n v="534.69000000000005"/>
    <x v="3"/>
    <x v="10"/>
  </r>
  <r>
    <m/>
    <m/>
    <s v="TERCEIROS"/>
    <s v="MARCIA - LIMPEZA - DUAS SEMANAS"/>
    <d v="2021-08-15T00:00:00"/>
    <n v="140"/>
    <x v="1"/>
    <x v="10"/>
  </r>
  <r>
    <m/>
    <m/>
    <s v="COMBUSTIVEL"/>
    <s v="GENILSON "/>
    <d v="2021-08-16T00:00:00"/>
    <n v="250"/>
    <x v="1"/>
    <x v="10"/>
  </r>
  <r>
    <m/>
    <m/>
    <s v="SALARIOS"/>
    <s v="EXTRAS TIAGO (Joel) - demitido"/>
    <d v="2021-08-16T00:00:00"/>
    <n v="613"/>
    <x v="1"/>
    <x v="10"/>
  </r>
  <r>
    <m/>
    <m/>
    <s v="SAUDE"/>
    <s v="PROMED"/>
    <d v="2021-08-16T00:00:00"/>
    <n v="92.25"/>
    <x v="0"/>
    <x v="10"/>
  </r>
  <r>
    <m/>
    <m/>
    <s v="ASSESSORIA"/>
    <s v="VISAO - parcelamento"/>
    <d v="2021-08-16T00:00:00"/>
    <n v="1100"/>
    <x v="1"/>
    <x v="10"/>
  </r>
  <r>
    <m/>
    <m/>
    <s v="CONVENIO"/>
    <s v="MICROEMPA"/>
    <d v="2021-08-16T00:00:00"/>
    <n v="84"/>
    <x v="1"/>
    <x v="10"/>
  </r>
  <r>
    <m/>
    <m/>
    <s v="AGUA"/>
    <s v="SAMAE"/>
    <d v="2021-08-16T00:00:00"/>
    <n v="83.7"/>
    <x v="0"/>
    <x v="10"/>
  </r>
  <r>
    <m/>
    <m/>
    <s v="FÉRIAS"/>
    <s v="ADRIANA DA SILVA - PARTE"/>
    <d v="2021-08-16T00:00:00"/>
    <n v="1000"/>
    <x v="1"/>
    <x v="10"/>
  </r>
  <r>
    <m/>
    <m/>
    <s v="SALARIOS"/>
    <s v="SALARIOS - cheques"/>
    <d v="2021-08-16T00:00:00"/>
    <n v="1823"/>
    <x v="1"/>
    <x v="10"/>
  </r>
  <r>
    <m/>
    <m/>
    <s v="INFORMATICA"/>
    <s v="NIC.BR - DOMINIO VENTURE"/>
    <d v="2021-08-17T00:00:00"/>
    <n v="76"/>
    <x v="0"/>
    <x v="11"/>
  </r>
  <r>
    <m/>
    <m/>
    <s v="ENCARGOS"/>
    <s v="INSS"/>
    <d v="2021-08-17T00:00:00"/>
    <n v="326.38"/>
    <x v="0"/>
    <x v="11"/>
  </r>
  <r>
    <m/>
    <m/>
    <s v="EPI"/>
    <s v="ZAPA - vcto 03/08 - já prorrogado"/>
    <d v="2021-08-17T00:00:00"/>
    <n v="389.65"/>
    <x v="1"/>
    <x v="11"/>
  </r>
  <r>
    <m/>
    <m/>
    <s v="TERCEIROS"/>
    <s v="CHAVEIRO CASA DE PEDRA - pagar em dinheiro"/>
    <d v="2021-08-17T00:00:00"/>
    <n v="77"/>
    <x v="0"/>
    <x v="11"/>
  </r>
  <r>
    <m/>
    <m/>
    <s v="COMBUSTIVEL"/>
    <s v="UNO (Gabriel vai usar)"/>
    <d v="2021-08-17T00:00:00"/>
    <n v="50"/>
    <x v="1"/>
    <x v="11"/>
  </r>
  <r>
    <m/>
    <m/>
    <s v="CURSO"/>
    <s v="RAFAEL SCOPEL - saldo entrada (acordo)"/>
    <d v="2021-08-17T00:00:00"/>
    <n v="500"/>
    <x v="1"/>
    <x v="11"/>
  </r>
  <r>
    <m/>
    <m/>
    <s v="SOCIOS"/>
    <s v="RETIRADA PAULO SILVA - cartao "/>
    <d v="2021-08-17T00:00:00"/>
    <n v="2500"/>
    <x v="2"/>
    <x v="11"/>
  </r>
  <r>
    <m/>
    <m/>
    <s v="SAUDE"/>
    <s v="PLANO DE SAUDE FUNCIONARIOS"/>
    <d v="2021-08-17T00:00:00"/>
    <n v="949.71"/>
    <x v="1"/>
    <x v="11"/>
  </r>
  <r>
    <m/>
    <m/>
    <s v="TRANSPORTE"/>
    <s v="VAN - parte"/>
    <d v="2021-08-17T00:00:00"/>
    <n v="2000"/>
    <x v="1"/>
    <x v="11"/>
  </r>
  <r>
    <m/>
    <m/>
    <s v="EPI"/>
    <s v="MAJUSEG"/>
    <d v="2021-08-17T00:00:00"/>
    <n v="209.9"/>
    <x v="1"/>
    <x v="11"/>
  </r>
  <r>
    <m/>
    <m/>
    <s v="VIAGEM"/>
    <s v="VOB HOTEL"/>
    <d v="2021-08-17T00:00:00"/>
    <n v="916"/>
    <x v="1"/>
    <x v="11"/>
  </r>
  <r>
    <m/>
    <m/>
    <s v="SAUDE"/>
    <s v="PROMED - VCTO 15/06  (negociado para não cortar) - cheque"/>
    <d v="2021-08-17T00:00:00"/>
    <n v="2813.47"/>
    <x v="1"/>
    <x v="11"/>
  </r>
  <r>
    <m/>
    <m/>
    <s v="ALIMENTACAO"/>
    <s v="BISTRO LUCAS RAMOS - vcto 03/08 - já prorrogado - cheque"/>
    <d v="2021-08-17T00:00:00"/>
    <n v="1635"/>
    <x v="0"/>
    <x v="11"/>
  </r>
  <r>
    <m/>
    <m/>
    <s v="RESCISAO"/>
    <s v="ALEXANDRE DE VASCONCELOS"/>
    <d v="2021-08-18T00:00:00"/>
    <n v="42.65"/>
    <x v="1"/>
    <x v="12"/>
  </r>
  <r>
    <m/>
    <m/>
    <s v="ALIMENTACAO"/>
    <s v="CANTINA DELA COLINA - cheque entregue em 27/07"/>
    <d v="2021-08-19T00:00:00"/>
    <n v="1000"/>
    <x v="1"/>
    <x v="13"/>
  </r>
  <r>
    <m/>
    <m/>
    <s v="TRANSPORTE"/>
    <s v="VISATE - 20 CARTOES"/>
    <d v="2021-08-19T00:00:00"/>
    <n v="380"/>
    <x v="1"/>
    <x v="13"/>
  </r>
  <r>
    <m/>
    <m/>
    <s v="RESCISAO"/>
    <s v="FGTS RESCISORIO ROGER"/>
    <d v="2021-08-20T00:00:00"/>
    <n v="4.3"/>
    <x v="1"/>
    <x v="14"/>
  </r>
  <r>
    <m/>
    <m/>
    <s v="RESCISAO"/>
    <s v="FGTS RESCISORIO MAICON"/>
    <d v="2021-08-20T00:00:00"/>
    <n v="5.53"/>
    <x v="1"/>
    <x v="14"/>
  </r>
  <r>
    <m/>
    <m/>
    <s v="COMBUSTIVEL"/>
    <s v="CLEBER"/>
    <d v="2021-08-20T00:00:00"/>
    <n v="150"/>
    <x v="1"/>
    <x v="14"/>
  </r>
  <r>
    <m/>
    <m/>
    <s v="VIAGEM"/>
    <s v="FLAVIO"/>
    <d v="2021-08-20T00:00:00"/>
    <n v="378.8"/>
    <x v="1"/>
    <x v="14"/>
  </r>
  <r>
    <m/>
    <m/>
    <s v="MANUTENCAO"/>
    <s v="BT5 - VALVULA E TAMPAO LAVAJATO CLEBER"/>
    <d v="2021-08-20T00:00:00"/>
    <n v="50"/>
    <x v="1"/>
    <x v="14"/>
  </r>
  <r>
    <m/>
    <m/>
    <s v="EPI"/>
    <s v="ALSCO"/>
    <d v="2021-08-20T00:00:00"/>
    <n v="75.34"/>
    <x v="1"/>
    <x v="14"/>
  </r>
  <r>
    <m/>
    <m/>
    <s v="RECLAMATORIA"/>
    <s v="ANDRE MARQUES - 02/20"/>
    <d v="2021-08-20T00:00:00"/>
    <n v="3200"/>
    <x v="1"/>
    <x v="14"/>
  </r>
  <r>
    <m/>
    <m/>
    <s v="ENCARGOS"/>
    <s v="INSS "/>
    <d v="2021-08-20T00:00:00"/>
    <n v="11212.45"/>
    <x v="1"/>
    <x v="14"/>
  </r>
  <r>
    <m/>
    <m/>
    <s v="IMPOSTOS"/>
    <s v="IRF/CONFINS - NF PROMED"/>
    <d v="2021-08-20T00:00:00"/>
    <n v="170.26999999999998"/>
    <x v="1"/>
    <x v="14"/>
  </r>
  <r>
    <m/>
    <m/>
    <s v="EPI"/>
    <s v="ALSCO"/>
    <d v="2021-08-20T00:00:00"/>
    <n v="148.38999999999999"/>
    <x v="1"/>
    <x v="14"/>
  </r>
  <r>
    <m/>
    <m/>
    <s v="VIAGEM"/>
    <s v="VOB HOTEL - vcto 28/07 - já prorrogado"/>
    <d v="2021-08-21T00:00:00"/>
    <n v="684"/>
    <x v="1"/>
    <x v="15"/>
  </r>
  <r>
    <m/>
    <m/>
    <s v="ACORDO"/>
    <s v="RAMON - 04/04 - vcto 23/08"/>
    <d v="2021-08-22T00:00:00"/>
    <n v="1316.88"/>
    <x v="1"/>
    <x v="15"/>
  </r>
  <r>
    <m/>
    <m/>
    <s v="CONSUMO"/>
    <s v="DE TONI"/>
    <d v="2021-08-23T00:00:00"/>
    <n v="63.8"/>
    <x v="0"/>
    <x v="15"/>
  </r>
  <r>
    <m/>
    <m/>
    <s v="PARCELAMENTO"/>
    <s v="MONEO - 07/18 (saldo vcto 15/07) "/>
    <d v="2021-08-24T00:00:00"/>
    <n v="9821"/>
    <x v="0"/>
    <x v="16"/>
  </r>
  <r>
    <m/>
    <m/>
    <s v="ALIMENTACAO"/>
    <s v="MARMITAS LIBRELATO"/>
    <d v="2021-08-24T00:00:00"/>
    <n v="125"/>
    <x v="1"/>
    <x v="16"/>
  </r>
  <r>
    <m/>
    <m/>
    <s v="VIAGEM"/>
    <s v="JOEL - CAIXINHA - sem falta (venceu dia 17)"/>
    <d v="2021-08-24T00:00:00"/>
    <n v="3000"/>
    <x v="1"/>
    <x v="16"/>
  </r>
  <r>
    <m/>
    <m/>
    <s v="SALARIOS"/>
    <s v="SALARIOS - cheques"/>
    <d v="2021-08-24T00:00:00"/>
    <n v="409"/>
    <x v="1"/>
    <x v="16"/>
  </r>
  <r>
    <m/>
    <m/>
    <s v="ENCARGOS"/>
    <s v="FGTS - VCTO 07/08 - pagar ate o dia 25"/>
    <d v="2021-08-25T00:00:00"/>
    <n v="11319.75"/>
    <x v="1"/>
    <x v="17"/>
  </r>
  <r>
    <m/>
    <m/>
    <s v="ACORDO"/>
    <s v="ATANAIR - 09/10 - segura somente ate quarta dia 25"/>
    <d v="2021-08-25T00:00:00"/>
    <n v="2000"/>
    <x v="1"/>
    <x v="17"/>
  </r>
  <r>
    <m/>
    <m/>
    <s v="VIAGEM"/>
    <s v="VOB HOTEL - vcto 05/08 - já prorrogado"/>
    <d v="2021-08-25T00:00:00"/>
    <n v="456"/>
    <x v="1"/>
    <x v="17"/>
  </r>
  <r>
    <m/>
    <m/>
    <s v="TRANSPORTE"/>
    <s v="VAN - parte"/>
    <d v="2021-08-26T00:00:00"/>
    <n v="2000"/>
    <x v="1"/>
    <x v="18"/>
  </r>
  <r>
    <m/>
    <m/>
    <s v="SOCIOS"/>
    <s v="RETIRADA PAULO SILVA - cartao"/>
    <d v="2021-08-26T00:00:00"/>
    <n v="3550"/>
    <x v="2"/>
    <x v="18"/>
  </r>
  <r>
    <m/>
    <m/>
    <s v="FÉRIAS"/>
    <s v="LIRANE - 01/03"/>
    <d v="2021-08-26T00:00:00"/>
    <n v="1380"/>
    <x v="1"/>
    <x v="18"/>
  </r>
  <r>
    <m/>
    <m/>
    <s v="TRANSPORTE"/>
    <s v="VISATE - 15 CARTOES"/>
    <d v="2021-08-26T00:00:00"/>
    <n v="285"/>
    <x v="1"/>
    <x v="18"/>
  </r>
  <r>
    <m/>
    <m/>
    <s v="RESCISAO"/>
    <s v="MAICON DE PAULA "/>
    <d v="2021-08-26T00:00:00"/>
    <n v="60.82"/>
    <x v="1"/>
    <x v="18"/>
  </r>
  <r>
    <m/>
    <m/>
    <s v="RESCISAO"/>
    <s v="JOSE GABRIEL - vcto 26/07"/>
    <d v="2021-08-26T00:00:00"/>
    <n v="453.51"/>
    <x v="1"/>
    <x v="18"/>
  </r>
  <r>
    <m/>
    <m/>
    <s v="COMBUSTIVEL"/>
    <s v="ROGERIO"/>
    <d v="2021-08-27T00:00:00"/>
    <n v="100"/>
    <x v="2"/>
    <x v="19"/>
  </r>
  <r>
    <m/>
    <m/>
    <s v="COMBUSTIVEL"/>
    <s v="CLEBER"/>
    <d v="2021-08-27T00:00:00"/>
    <n v="150"/>
    <x v="1"/>
    <x v="19"/>
  </r>
  <r>
    <m/>
    <m/>
    <s v="VIAGEM"/>
    <s v="FLAVIO"/>
    <d v="2021-08-27T00:00:00"/>
    <n v="400"/>
    <x v="1"/>
    <x v="19"/>
  </r>
  <r>
    <m/>
    <m/>
    <s v="CONVENIO"/>
    <s v="MICROEMPA - vcto 15/08"/>
    <d v="2021-08-27T00:00:00"/>
    <n v="1283.0899999999999"/>
    <x v="4"/>
    <x v="19"/>
  </r>
  <r>
    <m/>
    <m/>
    <s v="SAUDE"/>
    <s v="UNIMED - vcto 15/08 (cartorio)"/>
    <d v="2021-08-27T00:00:00"/>
    <n v="3710.47"/>
    <x v="3"/>
    <x v="19"/>
  </r>
  <r>
    <m/>
    <m/>
    <s v="TRANSPORTE"/>
    <s v="VAN - parte"/>
    <d v="2021-08-27T00:00:00"/>
    <n v="1000"/>
    <x v="1"/>
    <x v="19"/>
  </r>
  <r>
    <m/>
    <m/>
    <s v="SOCIOS"/>
    <s v="ROGERIO"/>
    <d v="2021-08-27T00:00:00"/>
    <n v="2000"/>
    <x v="1"/>
    <x v="19"/>
  </r>
  <r>
    <m/>
    <m/>
    <s v="EPI"/>
    <s v="MAJUSEG"/>
    <d v="2021-08-27T00:00:00"/>
    <n v="374.57"/>
    <x v="1"/>
    <x v="19"/>
  </r>
  <r>
    <m/>
    <m/>
    <s v="EPI"/>
    <s v="JUSTINA - vcto 20/08 - pagar sem falta"/>
    <d v="2021-08-27T00:00:00"/>
    <n v="1125"/>
    <x v="1"/>
    <x v="19"/>
  </r>
  <r>
    <m/>
    <m/>
    <s v="SOCIOS"/>
    <s v="SEGURO DE VIDA RUBENS PINTO - vcto 02/08"/>
    <d v="2021-08-27T00:00:00"/>
    <n v="1020"/>
    <x v="2"/>
    <x v="19"/>
  </r>
  <r>
    <m/>
    <m/>
    <s v="BONUS"/>
    <s v="16 PESSOAS"/>
    <d v="2021-08-27T00:00:00"/>
    <n v="1920"/>
    <x v="1"/>
    <x v="19"/>
  </r>
  <r>
    <m/>
    <m/>
    <s v="ENERGIA"/>
    <s v="RGE - vcto 04/08/21"/>
    <d v="2021-08-27T00:00:00"/>
    <n v="1907.48"/>
    <x v="0"/>
    <x v="19"/>
  </r>
  <r>
    <m/>
    <m/>
    <s v="ALIMENTACAO"/>
    <s v="RESTAURANTE TIO JOAO - vcto 17/08"/>
    <d v="2021-08-27T00:00:00"/>
    <n v="2657.43"/>
    <x v="1"/>
    <x v="19"/>
  </r>
  <r>
    <m/>
    <m/>
    <m/>
    <m/>
    <d v="2021-08-28T00:00:00"/>
    <n v="0"/>
    <x v="1"/>
    <x v="20"/>
  </r>
  <r>
    <m/>
    <m/>
    <s v="TERCEIROS"/>
    <s v="LIMPEZA MARCIA - 02 SEMANAS"/>
    <d v="2021-08-29T00:00:00"/>
    <n v="140"/>
    <x v="1"/>
    <x v="20"/>
  </r>
  <r>
    <m/>
    <m/>
    <s v="SOCIOS"/>
    <s v="IRF VERA KARLING - 04/08"/>
    <d v="2021-08-30T00:00:00"/>
    <n v="240.75"/>
    <x v="1"/>
    <x v="20"/>
  </r>
  <r>
    <m/>
    <m/>
    <s v="SALARIOS"/>
    <s v="SALARIOS - cheques"/>
    <d v="2021-08-30T00:00:00"/>
    <n v="247.66"/>
    <x v="1"/>
    <x v="20"/>
  </r>
  <r>
    <m/>
    <m/>
    <s v="INFORMATICA"/>
    <s v="COMPUTADOR e TONNER IMPRESSORA - LIBRELATO"/>
    <d v="2021-08-31T00:00:00"/>
    <n v="650"/>
    <x v="1"/>
    <x v="21"/>
  </r>
  <r>
    <m/>
    <m/>
    <s v="PARCELAMENTO"/>
    <s v="CSLL - DEBITO BB "/>
    <d v="2021-08-31T00:00:00"/>
    <n v="530.37"/>
    <x v="1"/>
    <x v="2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84">
  <r>
    <m/>
    <m/>
    <s v="BANCOS"/>
    <s v="JUROS E DESP BANCARIAS "/>
    <d v="2021-09-01T00:00:00"/>
    <n v="3133.2799999999997"/>
    <x v="0"/>
    <x v="0"/>
  </r>
  <r>
    <m/>
    <m/>
    <s v="EPI"/>
    <s v="ZAPA - vcto 17/08 - sem falta - boleto já prorrogado"/>
    <d v="2021-09-01T00:00:00"/>
    <n v="589.88"/>
    <x v="1"/>
    <x v="0"/>
  </r>
  <r>
    <m/>
    <m/>
    <s v="EPI"/>
    <s v="ZAPA - vcto 19/08 - sem falta - boleto já prorrogado"/>
    <d v="2021-09-01T00:00:00"/>
    <n v="251.83"/>
    <x v="1"/>
    <x v="0"/>
  </r>
  <r>
    <m/>
    <m/>
    <s v="SALARIOS"/>
    <s v="ARQUIVO - parte"/>
    <d v="2021-09-01T00:00:00"/>
    <n v="29574"/>
    <x v="1"/>
    <x v="0"/>
  </r>
  <r>
    <m/>
    <m/>
    <s v="RESCISAO"/>
    <s v="FGTS RESCISORIO ALISSON FRANCISCONI - LIBRELATO"/>
    <d v="2021-09-01T00:00:00"/>
    <n v="26.82"/>
    <x v="1"/>
    <x v="0"/>
  </r>
  <r>
    <m/>
    <m/>
    <s v="ALIMENTACAO"/>
    <s v="ZAPAROLI - vcto 30/08 - parcelado em 3 vezes (01/03)"/>
    <d v="2021-09-01T00:00:00"/>
    <n v="2000"/>
    <x v="1"/>
    <x v="0"/>
  </r>
  <r>
    <m/>
    <m/>
    <s v="COMBUSTIVEL"/>
    <s v="UNO FLAVIO"/>
    <d v="2021-09-02T00:00:00"/>
    <n v="50"/>
    <x v="1"/>
    <x v="1"/>
  </r>
  <r>
    <m/>
    <m/>
    <s v="COMBUSTIVEL"/>
    <s v="UNO CLEBER"/>
    <d v="2021-09-02T00:00:00"/>
    <n v="50"/>
    <x v="1"/>
    <x v="1"/>
  </r>
  <r>
    <m/>
    <m/>
    <s v="MATERIAL"/>
    <s v="PERINI"/>
    <d v="2021-09-02T00:00:00"/>
    <n v="92"/>
    <x v="1"/>
    <x v="1"/>
  </r>
  <r>
    <m/>
    <m/>
    <s v="SALARIOS"/>
    <s v="ARQUIVO - parte"/>
    <d v="2021-09-02T00:00:00"/>
    <n v="10049"/>
    <x v="1"/>
    <x v="1"/>
  </r>
  <r>
    <m/>
    <m/>
    <s v="EPI"/>
    <s v="CORSUL"/>
    <d v="2021-09-02T00:00:00"/>
    <n v="97.2"/>
    <x v="1"/>
    <x v="1"/>
  </r>
  <r>
    <m/>
    <m/>
    <s v="SOCIOS"/>
    <s v="VIVO - LUIS - vcto 26/08"/>
    <d v="2021-09-03T00:00:00"/>
    <n v="80.989999999999995"/>
    <x v="2"/>
    <x v="2"/>
  </r>
  <r>
    <m/>
    <m/>
    <s v="VIAGEM"/>
    <s v="JOEL - CAIXINHA"/>
    <d v="2021-09-03T00:00:00"/>
    <n v="3000"/>
    <x v="1"/>
    <x v="2"/>
  </r>
  <r>
    <m/>
    <m/>
    <s v="VIAGEM"/>
    <s v="FLAVIO"/>
    <d v="2021-09-03T00:00:00"/>
    <n v="415"/>
    <x v="1"/>
    <x v="2"/>
  </r>
  <r>
    <m/>
    <m/>
    <s v="COMBUSTIVEL"/>
    <s v="CLEBER"/>
    <d v="2021-09-03T00:00:00"/>
    <n v="150"/>
    <x v="1"/>
    <x v="2"/>
  </r>
  <r>
    <m/>
    <m/>
    <s v="SOCIOS"/>
    <s v="LUIS BERTONCELLO"/>
    <d v="2021-09-03T00:00:00"/>
    <n v="1000"/>
    <x v="2"/>
    <x v="2"/>
  </r>
  <r>
    <m/>
    <m/>
    <s v="SALARIOS"/>
    <s v="SALARIOS - ARQUIVO "/>
    <d v="2021-09-03T00:00:00"/>
    <n v="10982"/>
    <x v="1"/>
    <x v="2"/>
  </r>
  <r>
    <m/>
    <m/>
    <s v="EMPRESTIMO"/>
    <s v="MONEO - parte"/>
    <d v="2021-09-03T00:00:00"/>
    <n v="3000"/>
    <x v="1"/>
    <x v="2"/>
  </r>
  <r>
    <m/>
    <m/>
    <s v="TRANSPORTE"/>
    <s v="VAN - saldo - pagar em cheque"/>
    <d v="2021-09-03T00:00:00"/>
    <n v="4727"/>
    <x v="1"/>
    <x v="2"/>
  </r>
  <r>
    <m/>
    <m/>
    <s v="PARCELAMENTO"/>
    <s v="EMPRESTIMO FOLHA BB - 09/30 e 10/30"/>
    <d v="2021-09-04T00:00:00"/>
    <n v="4465.8500000000004"/>
    <x v="1"/>
    <x v="3"/>
  </r>
  <r>
    <m/>
    <m/>
    <s v="ENCARGOS"/>
    <s v="FGTS (combinado com Geise, não atrasar)"/>
    <d v="2021-09-06T00:00:00"/>
    <n v="793.15"/>
    <x v="0"/>
    <x v="3"/>
  </r>
  <r>
    <m/>
    <m/>
    <s v="SALARIOS"/>
    <s v="GEAN e IGOR (VOLARE)"/>
    <d v="2021-09-06T00:00:00"/>
    <n v="5070"/>
    <x v="1"/>
    <x v="3"/>
  </r>
  <r>
    <m/>
    <m/>
    <s v="FÉRIAS"/>
    <s v="ADRIANA DA SILVA - vcto 17/08 (saldo)"/>
    <d v="2021-09-07T00:00:00"/>
    <n v="594"/>
    <x v="1"/>
    <x v="4"/>
  </r>
  <r>
    <m/>
    <m/>
    <s v="FÉRIAS"/>
    <s v="RUTIELI VIEIRA - vcto 30/07"/>
    <d v="2021-09-08T00:00:00"/>
    <n v="1032"/>
    <x v="1"/>
    <x v="5"/>
  </r>
  <r>
    <m/>
    <m/>
    <s v="COMUNICACAO"/>
    <s v="NET - vcto 20/08 (corte em 13/09)"/>
    <d v="2021-09-09T00:00:00"/>
    <n v="215.85"/>
    <x v="1"/>
    <x v="6"/>
  </r>
  <r>
    <m/>
    <m/>
    <s v="FÉRIAS"/>
    <s v="KARINE BARBIERI - vcto 26/08"/>
    <d v="2021-09-09T00:00:00"/>
    <n v="843"/>
    <x v="1"/>
    <x v="6"/>
  </r>
  <r>
    <m/>
    <m/>
    <s v="RESCISAO"/>
    <s v="INGRIDI MACIEL DOS SANTOS"/>
    <d v="2021-09-09T00:00:00"/>
    <n v="262.58999999999997"/>
    <x v="1"/>
    <x v="6"/>
  </r>
  <r>
    <m/>
    <m/>
    <s v="SALARIOS"/>
    <s v="SALARIOS - VOLARE"/>
    <d v="2021-09-09T00:00:00"/>
    <n v="10835"/>
    <x v="1"/>
    <x v="6"/>
  </r>
  <r>
    <m/>
    <m/>
    <s v="SALARIOS"/>
    <s v="SALARIOS - secretaria Joel"/>
    <d v="2021-09-09T00:00:00"/>
    <n v="928"/>
    <x v="1"/>
    <x v="6"/>
  </r>
  <r>
    <m/>
    <m/>
    <s v="SALARIOS"/>
    <s v="SALARIOS - CHEQUES"/>
    <d v="2021-09-09T00:00:00"/>
    <n v="1763"/>
    <x v="1"/>
    <x v="6"/>
  </r>
  <r>
    <m/>
    <m/>
    <s v="INFORMATICA"/>
    <s v="INFOCALL - vcto 10/08"/>
    <d v="2021-09-10T00:00:00"/>
    <n v="200"/>
    <x v="0"/>
    <x v="7"/>
  </r>
  <r>
    <m/>
    <m/>
    <s v="VIAGEM"/>
    <s v="FLAVIO"/>
    <d v="2021-09-10T00:00:00"/>
    <n v="400"/>
    <x v="1"/>
    <x v="7"/>
  </r>
  <r>
    <m/>
    <m/>
    <s v="RESCISAO"/>
    <s v="RAFAEL SCARSI - FGTS RESCISORIO"/>
    <d v="2021-09-10T00:00:00"/>
    <n v="9.25"/>
    <x v="1"/>
    <x v="7"/>
  </r>
  <r>
    <m/>
    <m/>
    <s v="COMBUSTIVEL"/>
    <s v="REEMBOLSAR RUBENS PINTO (julho/agosto)"/>
    <d v="2021-09-10T00:00:00"/>
    <n v="400"/>
    <x v="2"/>
    <x v="7"/>
  </r>
  <r>
    <m/>
    <m/>
    <s v="SALARIOS"/>
    <s v="ADMIN - PARCIAL"/>
    <d v="2021-09-10T00:00:00"/>
    <n v="12231"/>
    <x v="1"/>
    <x v="7"/>
  </r>
  <r>
    <m/>
    <m/>
    <s v="EPI"/>
    <s v="JUSTINA - vcto 29/08 "/>
    <d v="2021-09-10T00:00:00"/>
    <n v="900"/>
    <x v="1"/>
    <x v="7"/>
  </r>
  <r>
    <m/>
    <m/>
    <s v="RESCISAO"/>
    <s v="TIAGO DA SILVA - Joel (vcto 18/08)"/>
    <d v="2021-09-10T00:00:00"/>
    <n v="1555.98"/>
    <x v="1"/>
    <x v="7"/>
  </r>
  <r>
    <m/>
    <m/>
    <s v="VIAGEM"/>
    <s v="JOEL - CIFERAL"/>
    <d v="2021-09-10T00:00:00"/>
    <n v="3000"/>
    <x v="1"/>
    <x v="7"/>
  </r>
  <r>
    <m/>
    <m/>
    <s v="EXPEDIENTE"/>
    <s v="LICEIS SUPRIMENTOS - vcto 26/08"/>
    <d v="2021-09-10T00:00:00"/>
    <n v="248.71"/>
    <x v="1"/>
    <x v="7"/>
  </r>
  <r>
    <m/>
    <m/>
    <s v="ALIMENTACAO"/>
    <s v="BOM TEMPERO - VOLARE - 02/02 (vcto 26/08)"/>
    <d v="2021-09-10T00:00:00"/>
    <n v="742.51"/>
    <x v="1"/>
    <x v="7"/>
  </r>
  <r>
    <m/>
    <m/>
    <s v="ALIMENTACAO"/>
    <s v="ZAPAROLI - vcto 30/08 - parcelado em 3 vezes (02/03)"/>
    <d v="2021-09-10T00:00:00"/>
    <n v="3120"/>
    <x v="1"/>
    <x v="7"/>
  </r>
  <r>
    <m/>
    <m/>
    <s v="TERCEIROS"/>
    <s v="GT3 - vcto 20/08 - prazo maximo (Iracema)"/>
    <d v="2021-09-10T00:00:00"/>
    <n v="853.65"/>
    <x v="1"/>
    <x v="7"/>
  </r>
  <r>
    <m/>
    <m/>
    <s v="EPI"/>
    <s v="M JU - UNIFORMES JOEL - 01/02"/>
    <d v="2021-09-10T00:00:00"/>
    <n v="495.25"/>
    <x v="1"/>
    <x v="7"/>
  </r>
  <r>
    <m/>
    <m/>
    <s v="ASSESSORIA"/>
    <s v="VISAO - 01/02 - PESQUISA IBGE"/>
    <d v="2021-09-10T00:00:00"/>
    <n v="100"/>
    <x v="1"/>
    <x v="7"/>
  </r>
  <r>
    <m/>
    <m/>
    <s v="FÉRIAS"/>
    <s v="LIRANE - 02/03"/>
    <d v="2021-09-10T00:00:00"/>
    <n v="1380"/>
    <x v="1"/>
    <x v="7"/>
  </r>
  <r>
    <m/>
    <m/>
    <s v="COMUNICACAO"/>
    <s v="CLARO - vcto 20/08 (corte em 13/09)"/>
    <d v="2021-09-10T00:00:00"/>
    <n v="1527.3300000000002"/>
    <x v="0"/>
    <x v="7"/>
  </r>
  <r>
    <m/>
    <m/>
    <s v="SALARIOS"/>
    <s v="PENSAO ALIMENTICIA "/>
    <d v="2021-09-10T00:00:00"/>
    <n v="2184.31"/>
    <x v="1"/>
    <x v="7"/>
  </r>
  <r>
    <m/>
    <m/>
    <s v="EPI"/>
    <s v="FERRAGEM IMPERIO - vcto 04/09"/>
    <d v="2021-09-10T00:00:00"/>
    <n v="728.94"/>
    <x v="1"/>
    <x v="7"/>
  </r>
  <r>
    <m/>
    <m/>
    <s v="TERCEIROS"/>
    <s v="MARCIA - LIMPEZA - DUAS SEMANAS"/>
    <d v="2021-09-11T00:00:00"/>
    <n v="140"/>
    <x v="1"/>
    <x v="8"/>
  </r>
  <r>
    <m/>
    <m/>
    <s v="SEGURO"/>
    <s v="OUTLANDER - LUIS - 02/07 - ultimo vcto 13/09"/>
    <d v="2021-09-12T00:00:00"/>
    <n v="404.34"/>
    <x v="2"/>
    <x v="8"/>
  </r>
  <r>
    <m/>
    <m/>
    <s v="ASSESSORIA"/>
    <s v="LAVOROLAB - vcto 10/09"/>
    <d v="2021-09-13T00:00:00"/>
    <n v="892.29"/>
    <x v="1"/>
    <x v="8"/>
  </r>
  <r>
    <m/>
    <m/>
    <s v="SOCIOS"/>
    <s v="LUIS BERTONCELLO"/>
    <d v="2021-09-13T00:00:00"/>
    <n v="200"/>
    <x v="2"/>
    <x v="8"/>
  </r>
  <r>
    <m/>
    <m/>
    <s v="SALARIOS"/>
    <s v="SALARIOS - CHEQUES"/>
    <d v="2021-09-13T00:00:00"/>
    <n v="2709"/>
    <x v="1"/>
    <x v="8"/>
  </r>
  <r>
    <m/>
    <m/>
    <s v="RESCISAO"/>
    <s v="FGTS RESCISORIO "/>
    <d v="2021-09-13T00:00:00"/>
    <n v="14.18"/>
    <x v="1"/>
    <x v="8"/>
  </r>
  <r>
    <m/>
    <m/>
    <s v="PARCELAMENTO"/>
    <s v="IRPJ - vcto 31/08"/>
    <d v="2021-09-13T00:00:00"/>
    <n v="622.41999999999996"/>
    <x v="1"/>
    <x v="8"/>
  </r>
  <r>
    <m/>
    <m/>
    <s v="PARCELAMENTO"/>
    <s v="INSS - vcto 31/08"/>
    <d v="2021-09-13T00:00:00"/>
    <n v="1284.04"/>
    <x v="1"/>
    <x v="8"/>
  </r>
  <r>
    <m/>
    <m/>
    <s v="PARCELAMENTO"/>
    <s v="ENTRADA PGFN"/>
    <d v="2021-09-13T00:00:00"/>
    <n v="522.01"/>
    <x v="1"/>
    <x v="8"/>
  </r>
  <r>
    <m/>
    <m/>
    <s v="RESCISAO"/>
    <s v="WATSON SAINTILUS"/>
    <d v="2021-09-13T00:00:00"/>
    <n v="302.45999999999998"/>
    <x v="1"/>
    <x v="8"/>
  </r>
  <r>
    <m/>
    <m/>
    <s v="EPI"/>
    <s v="MAJUSEG - vcto 03/09 - já prorrogado"/>
    <d v="2021-09-13T00:00:00"/>
    <n v="440.74"/>
    <x v="1"/>
    <x v="8"/>
  </r>
  <r>
    <m/>
    <m/>
    <s v="EPI"/>
    <s v="M JU - vcto 03/09 - já prorrogado"/>
    <d v="2021-09-13T00:00:00"/>
    <n v="145"/>
    <x v="1"/>
    <x v="8"/>
  </r>
  <r>
    <m/>
    <m/>
    <s v="PARCELAMENTO"/>
    <s v="SIMPLES - 01/60 "/>
    <d v="2021-09-13T00:00:00"/>
    <n v="176189.58"/>
    <x v="1"/>
    <x v="8"/>
  </r>
  <r>
    <m/>
    <m/>
    <s v="RESCISAO"/>
    <s v="ROGER VENANCIO - LIBRELATO"/>
    <d v="2021-09-13T00:00:00"/>
    <n v="96.86"/>
    <x v="1"/>
    <x v="8"/>
  </r>
  <r>
    <m/>
    <m/>
    <s v="VIAGEM"/>
    <s v="MARCIO - despesas"/>
    <d v="2021-09-14T00:00:00"/>
    <n v="523"/>
    <x v="1"/>
    <x v="9"/>
  </r>
  <r>
    <m/>
    <m/>
    <s v="FÉRIAS"/>
    <s v="PAOLA GOMES CAMINHA - vcto 09/09/21 - parte"/>
    <d v="2021-09-14T00:00:00"/>
    <n v="400"/>
    <x v="1"/>
    <x v="9"/>
  </r>
  <r>
    <m/>
    <m/>
    <s v="SOCIOS"/>
    <s v="RUBENS PINTO - reembolso juros cheque especial"/>
    <d v="2021-09-14T00:00:00"/>
    <n v="460"/>
    <x v="2"/>
    <x v="9"/>
  </r>
  <r>
    <m/>
    <m/>
    <s v="ASSESSORIA"/>
    <s v="VISAO - parte processo parcelamento"/>
    <d v="2021-09-14T00:00:00"/>
    <n v="550"/>
    <x v="1"/>
    <x v="9"/>
  </r>
  <r>
    <m/>
    <m/>
    <s v="PARCELAMENTO"/>
    <s v="MONEO - vcto 15/08 - parte"/>
    <d v="2021-09-14T00:00:00"/>
    <n v="4000"/>
    <x v="0"/>
    <x v="9"/>
  </r>
  <r>
    <m/>
    <m/>
    <s v="VIAGEM"/>
    <s v="JOEL - CAIXINHA CIFERAL"/>
    <d v="2021-09-14T00:00:00"/>
    <n v="3169"/>
    <x v="1"/>
    <x v="9"/>
  </r>
  <r>
    <m/>
    <m/>
    <s v="VIAGEM"/>
    <s v="JOEL - CAIXINHA VOLARE"/>
    <d v="2021-09-14T00:00:00"/>
    <n v="2377"/>
    <x v="1"/>
    <x v="9"/>
  </r>
  <r>
    <m/>
    <m/>
    <s v="MATERIAL"/>
    <s v="MARCARINI - vcto 06/09 - já prorrogado"/>
    <d v="2021-09-14T00:00:00"/>
    <n v="200"/>
    <x v="0"/>
    <x v="9"/>
  </r>
  <r>
    <m/>
    <m/>
    <s v="COMUNICACAO"/>
    <s v="VIVO - vcto 28/08 (corte em 17/09)"/>
    <d v="2021-09-14T00:00:00"/>
    <n v="534.69000000000005"/>
    <x v="3"/>
    <x v="9"/>
  </r>
  <r>
    <m/>
    <m/>
    <s v="TRANSPORTE"/>
    <s v="ROTEIROS DO SUL - vcto 18/08 - sem falta - prorrogado 2 vezes"/>
    <d v="2021-09-14T00:00:00"/>
    <n v="4167.41"/>
    <x v="1"/>
    <x v="9"/>
  </r>
  <r>
    <m/>
    <m/>
    <s v="RESCISAO"/>
    <s v="RAFAEL SCARSI"/>
    <d v="2021-09-14T00:00:00"/>
    <n v="72.89"/>
    <x v="1"/>
    <x v="9"/>
  </r>
  <r>
    <m/>
    <m/>
    <s v="CONVENIO"/>
    <s v="MICROEMPA"/>
    <d v="2021-09-15T00:00:00"/>
    <n v="84"/>
    <x v="1"/>
    <x v="10"/>
  </r>
  <r>
    <m/>
    <m/>
    <s v="SAUDE"/>
    <s v="PROMED"/>
    <d v="2021-09-15T00:00:00"/>
    <n v="92.25"/>
    <x v="0"/>
    <x v="10"/>
  </r>
  <r>
    <m/>
    <m/>
    <s v="SALARIOS"/>
    <s v="FLAVIO/CLEBER/NELCI/FABIANA- saldo final"/>
    <d v="2021-09-15T00:00:00"/>
    <n v="10366"/>
    <x v="1"/>
    <x v="10"/>
  </r>
  <r>
    <m/>
    <m/>
    <s v="SALARIOS"/>
    <s v="JOEL - parte"/>
    <d v="2021-09-15T00:00:00"/>
    <n v="2000"/>
    <x v="1"/>
    <x v="10"/>
  </r>
  <r>
    <m/>
    <m/>
    <s v="SALARIOS"/>
    <s v="PAULO EDUARDO + reembolso NF Polimeros Sul - almocos paulo e ester"/>
    <d v="2021-09-15T00:00:00"/>
    <n v="2610.5"/>
    <x v="1"/>
    <x v="10"/>
  </r>
  <r>
    <m/>
    <m/>
    <s v="RESCISAO"/>
    <s v="ZAGALO LORMOND"/>
    <d v="2021-09-15T00:00:00"/>
    <n v="273.952"/>
    <x v="1"/>
    <x v="10"/>
  </r>
  <r>
    <m/>
    <m/>
    <s v="COMBUSTIVEL"/>
    <s v="ROGERIO"/>
    <d v="2021-09-15T00:00:00"/>
    <n v="370"/>
    <x v="2"/>
    <x v="10"/>
  </r>
  <r>
    <m/>
    <m/>
    <s v="PARCELAMENTO"/>
    <s v="VISAO - PARCELAMENTO"/>
    <d v="2021-09-15T00:00:00"/>
    <n v="1100"/>
    <x v="1"/>
    <x v="10"/>
  </r>
  <r>
    <m/>
    <m/>
    <s v="ENCARGOS"/>
    <s v="INSS"/>
    <d v="2021-09-15T00:00:00"/>
    <n v="624.19000000000005"/>
    <x v="0"/>
    <x v="10"/>
  </r>
  <r>
    <m/>
    <m/>
    <s v="ALIMENTACAO"/>
    <s v="BISTRO LUCAS RAMOS - vcto 02/09 - já prorrogado"/>
    <d v="2021-09-15T00:00:00"/>
    <n v="2322"/>
    <x v="0"/>
    <x v="10"/>
  </r>
  <r>
    <m/>
    <m/>
    <s v="ENCARGOS"/>
    <s v="TAXA CERTIDAO JUNTA COML - WEG"/>
    <d v="2021-09-15T00:00:00"/>
    <n v="51.78"/>
    <x v="1"/>
    <x v="10"/>
  </r>
  <r>
    <m/>
    <m/>
    <s v="RESCISAO"/>
    <s v="ALISSON FRANCISCONI - LIBRELATO - 25/08"/>
    <d v="2021-09-15T00:00:00"/>
    <n v="331.43"/>
    <x v="1"/>
    <x v="10"/>
  </r>
  <r>
    <m/>
    <m/>
    <s v="SALARIOS"/>
    <s v="SALARIOS - CHEQUES"/>
    <d v="2021-09-15T00:00:00"/>
    <n v="1128"/>
    <x v="1"/>
    <x v="10"/>
  </r>
  <r>
    <m/>
    <m/>
    <s v="AGUA"/>
    <s v="SAMAE"/>
    <d v="2021-09-16T00:00:00"/>
    <n v="81.99"/>
    <x v="0"/>
    <x v="11"/>
  </r>
  <r>
    <m/>
    <m/>
    <s v="COMBUSTIVEL"/>
    <s v="PAULO EDUARDO"/>
    <d v="2021-09-17T00:00:00"/>
    <n v="50"/>
    <x v="1"/>
    <x v="12"/>
  </r>
  <r>
    <m/>
    <m/>
    <s v="VIAGEM"/>
    <s v="FLAVIO"/>
    <d v="2021-09-17T00:00:00"/>
    <n v="400"/>
    <x v="1"/>
    <x v="12"/>
  </r>
  <r>
    <m/>
    <m/>
    <s v="EMPRESTIMO"/>
    <s v="VERA KARLING - 12/17 "/>
    <d v="2021-09-17T00:00:00"/>
    <n v="1750"/>
    <x v="0"/>
    <x v="12"/>
  </r>
  <r>
    <m/>
    <m/>
    <s v="SOCIOS"/>
    <s v="RETIRADA LUIS BERTONCELLO"/>
    <d v="2021-09-17T00:00:00"/>
    <n v="600"/>
    <x v="2"/>
    <x v="12"/>
  </r>
  <r>
    <m/>
    <m/>
    <s v="TRANSPORTE"/>
    <s v="VISATE - 10 CARTOES"/>
    <d v="2021-09-17T00:00:00"/>
    <n v="190"/>
    <x v="1"/>
    <x v="12"/>
  </r>
  <r>
    <m/>
    <m/>
    <s v="ALUGUEL"/>
    <s v="ALUGAMAQ - vcto 12/07"/>
    <d v="2021-09-17T00:00:00"/>
    <n v="130"/>
    <x v="0"/>
    <x v="12"/>
  </r>
  <r>
    <m/>
    <m/>
    <s v="TERCEIROS"/>
    <s v="HOLUS - vcto 20/08"/>
    <d v="2021-09-17T00:00:00"/>
    <n v="244.2"/>
    <x v="0"/>
    <x v="12"/>
  </r>
  <r>
    <m/>
    <m/>
    <s v="VIAGEM"/>
    <s v="VOB HOTEL - vcto 09/09 - já prorrogado"/>
    <d v="2021-09-17T00:00:00"/>
    <n v="460"/>
    <x v="1"/>
    <x v="12"/>
  </r>
  <r>
    <m/>
    <m/>
    <s v="IMPOSTOS"/>
    <s v="DARF RETENCAO NF "/>
    <d v="2021-09-17T00:00:00"/>
    <n v="189.07"/>
    <x v="1"/>
    <x v="12"/>
  </r>
  <r>
    <m/>
    <m/>
    <s v="SALARIOS"/>
    <s v="SALARIOS - CHEQUES"/>
    <d v="2021-09-17T00:00:00"/>
    <n v="1308"/>
    <x v="1"/>
    <x v="12"/>
  </r>
  <r>
    <m/>
    <m/>
    <s v="ALIMENTACAO"/>
    <s v="ZAPAROLI - vcto 30/08 - parcelado em 3vezes (03/03)"/>
    <d v="2021-09-17T00:00:00"/>
    <n v="3120"/>
    <x v="1"/>
    <x v="12"/>
  </r>
  <r>
    <m/>
    <m/>
    <s v="SOCIOS"/>
    <s v="RETIRADA ROGERIO"/>
    <d v="2021-09-17T00:00:00"/>
    <n v="1000"/>
    <x v="2"/>
    <x v="12"/>
  </r>
  <r>
    <m/>
    <m/>
    <s v="SOCIOS"/>
    <s v="RETIRADA PAULO SILVA - cartao"/>
    <d v="2021-09-17T00:00:00"/>
    <n v="2500"/>
    <x v="2"/>
    <x v="12"/>
  </r>
  <r>
    <m/>
    <m/>
    <s v="EPI"/>
    <s v="JUSTINA - vcto 06/09 - já prorrogado"/>
    <d v="2021-09-17T00:00:00"/>
    <n v="787.5"/>
    <x v="1"/>
    <x v="12"/>
  </r>
  <r>
    <m/>
    <m/>
    <s v="SALARIOS"/>
    <s v="GABRIEL - combinado com ele"/>
    <d v="2021-09-17T00:00:00"/>
    <n v="5037"/>
    <x v="1"/>
    <x v="12"/>
  </r>
  <r>
    <m/>
    <m/>
    <s v="SALARIOS"/>
    <s v="EXTRAS VOLARE - agosto - metade"/>
    <d v="2021-09-17T00:00:00"/>
    <n v="5166"/>
    <x v="1"/>
    <x v="12"/>
  </r>
  <r>
    <m/>
    <m/>
    <s v="TRANSPORTE"/>
    <s v="VAN -01/04"/>
    <d v="2021-09-17T00:00:00"/>
    <n v="1000"/>
    <x v="1"/>
    <x v="12"/>
  </r>
  <r>
    <m/>
    <m/>
    <m/>
    <m/>
    <d v="2021-09-18T00:00:00"/>
    <n v="0"/>
    <x v="1"/>
    <x v="13"/>
  </r>
  <r>
    <m/>
    <m/>
    <m/>
    <m/>
    <d v="2021-09-19T00:00:00"/>
    <n v="0"/>
    <x v="1"/>
    <x v="13"/>
  </r>
  <r>
    <m/>
    <m/>
    <m/>
    <m/>
    <d v="2021-09-20T00:00:00"/>
    <n v="0"/>
    <x v="1"/>
    <x v="13"/>
  </r>
  <r>
    <m/>
    <m/>
    <s v="VIAGEM"/>
    <s v="VOB HOTEL - vcto 17/09 - já prorrogado"/>
    <d v="2021-09-21T00:00:00"/>
    <n v="664"/>
    <x v="1"/>
    <x v="14"/>
  </r>
  <r>
    <m/>
    <m/>
    <s v="ASSESSORIA"/>
    <s v="GUIA OLIVEIRA E PERES"/>
    <d v="2021-09-22T00:00:00"/>
    <n v="177"/>
    <x v="0"/>
    <x v="15"/>
  </r>
  <r>
    <m/>
    <m/>
    <s v="SALARIOS"/>
    <s v="SALARIOS - CHEQUES"/>
    <d v="2021-09-22T00:00:00"/>
    <n v="380"/>
    <x v="1"/>
    <x v="15"/>
  </r>
  <r>
    <m/>
    <m/>
    <s v="ALUGUEL"/>
    <s v="CARRO MARCIO - entrada (em dinheiro Paulo Eduardo)"/>
    <d v="2021-09-23T00:00:00"/>
    <n v="700"/>
    <x v="1"/>
    <x v="16"/>
  </r>
  <r>
    <m/>
    <m/>
    <s v="ACORDO"/>
    <s v="IZAAC - EMAIL JOEL - 04/06 - vcto 10/12/20 - sem falta já negociado varias vezes"/>
    <d v="2021-09-23T00:00:00"/>
    <n v="1643"/>
    <x v="1"/>
    <x v="16"/>
  </r>
  <r>
    <m/>
    <m/>
    <s v="SALARIOS"/>
    <s v="JOEL - SALDO"/>
    <d v="2021-09-23T00:00:00"/>
    <n v="2078"/>
    <x v="1"/>
    <x v="16"/>
  </r>
  <r>
    <m/>
    <m/>
    <s v="EPI"/>
    <s v="M JU - UNIFORMES JOEL - 02/02 - vcto 21/09 (pagar para liberar pedido semana)"/>
    <d v="2021-09-23T00:00:00"/>
    <n v="507.09"/>
    <x v="1"/>
    <x v="16"/>
  </r>
  <r>
    <m/>
    <m/>
    <s v="ENCARGOS"/>
    <s v="FGTS - vcto 06/09 (ate o dia 30 para portal marcopolo)"/>
    <d v="2021-09-23T00:00:00"/>
    <n v="11287.05"/>
    <x v="1"/>
    <x v="16"/>
  </r>
  <r>
    <m/>
    <m/>
    <s v="RECLAMATORIA"/>
    <s v="ANDRE MARQUES - 03/20 - vcto 20/09 - AGUARDA SOMENTE ATE 24/09"/>
    <d v="2021-09-23T00:00:00"/>
    <n v="3200"/>
    <x v="1"/>
    <x v="16"/>
  </r>
  <r>
    <m/>
    <m/>
    <s v="VIAGEM"/>
    <s v="JOEL - CAIXINHA VOLARE"/>
    <d v="2021-09-23T00:00:00"/>
    <n v="2300"/>
    <x v="1"/>
    <x v="16"/>
  </r>
  <r>
    <m/>
    <m/>
    <s v="ACORDO"/>
    <s v="SAMUEL - CIFERAL - 08/09 - vcto 05/09"/>
    <d v="2021-09-23T00:00:00"/>
    <n v="1500"/>
    <x v="1"/>
    <x v="16"/>
  </r>
  <r>
    <m/>
    <m/>
    <s v="ACORDO"/>
    <s v="ARTHUR - CIFERAL - 08/08 - vcto 05/09"/>
    <d v="2021-09-23T00:00:00"/>
    <n v="1604.18"/>
    <x v="1"/>
    <x v="16"/>
  </r>
  <r>
    <m/>
    <m/>
    <s v="ACORDO"/>
    <s v="LEONARDO - CIFERAL - 08/14 - vcto 05/09"/>
    <d v="2021-09-23T00:00:00"/>
    <n v="1500"/>
    <x v="1"/>
    <x v="16"/>
  </r>
  <r>
    <m/>
    <m/>
    <s v="ALUGUEL"/>
    <s v="CANTON E FREITAS - vcto 16/08 - já prorrogado"/>
    <d v="2021-09-23T00:00:00"/>
    <n v="110"/>
    <x v="0"/>
    <x v="16"/>
  </r>
  <r>
    <m/>
    <m/>
    <s v="VIAGEM"/>
    <s v="MARCIO - viagem RJ - dias 23 a 28/09 (depositar cfe solicitar)"/>
    <d v="2021-09-23T00:00:00"/>
    <n v="800"/>
    <x v="1"/>
    <x v="16"/>
  </r>
  <r>
    <m/>
    <m/>
    <s v="VIAGEM"/>
    <s v="MARCIO - viagem RJ - dias 23 a 28/09 (depositar cfe solicitar)"/>
    <d v="2021-09-24T00:00:00"/>
    <n v="800"/>
    <x v="1"/>
    <x v="17"/>
  </r>
  <r>
    <m/>
    <m/>
    <s v="RECLAMATORIA"/>
    <s v="ATANAIR - 10/10 - vcto 21/09 - espera somente ate sexta, 24"/>
    <d v="2021-09-24T00:00:00"/>
    <n v="2000"/>
    <x v="1"/>
    <x v="17"/>
  </r>
  <r>
    <m/>
    <m/>
    <s v="VIAGEM"/>
    <s v="FLAVIO"/>
    <d v="2021-09-24T00:00:00"/>
    <n v="400"/>
    <x v="1"/>
    <x v="17"/>
  </r>
  <r>
    <m/>
    <m/>
    <s v="EPI"/>
    <s v="ALSCO - vcto 20/09"/>
    <d v="2021-09-24T00:00:00"/>
    <n v="75.66"/>
    <x v="1"/>
    <x v="17"/>
  </r>
  <r>
    <m/>
    <m/>
    <s v="EPI"/>
    <s v="ALSCO - vcto 20/09"/>
    <d v="2021-09-24T00:00:00"/>
    <n v="36.68"/>
    <x v="1"/>
    <x v="17"/>
  </r>
  <r>
    <m/>
    <m/>
    <s v="ENCARGOS"/>
    <s v="DIF FGTS"/>
    <d v="2021-09-24T00:00:00"/>
    <n v="38.880000000000003"/>
    <x v="1"/>
    <x v="17"/>
  </r>
  <r>
    <m/>
    <m/>
    <s v="TRANSPORTE"/>
    <s v="VISATE - 10 CARTOES"/>
    <d v="2021-09-24T00:00:00"/>
    <n v="190"/>
    <x v="1"/>
    <x v="17"/>
  </r>
  <r>
    <m/>
    <m/>
    <s v="ENCARGOS"/>
    <s v="INSS - vcto 17/09 (ate o dia 30 para portal marcopolo)"/>
    <d v="2021-09-25T00:00:00"/>
    <n v="11638.19"/>
    <x v="1"/>
    <x v="18"/>
  </r>
  <r>
    <m/>
    <m/>
    <s v="ENCARGOS"/>
    <s v="GUIA OLIVEIRA E PERES"/>
    <d v="2021-09-26T00:00:00"/>
    <n v="178"/>
    <x v="0"/>
    <x v="18"/>
  </r>
  <r>
    <m/>
    <m/>
    <s v="MATERIAL"/>
    <s v="LF SILVEIRA - vcto 17/09"/>
    <d v="2021-09-27T00:00:00"/>
    <n v="135.56"/>
    <x v="1"/>
    <x v="18"/>
  </r>
  <r>
    <m/>
    <m/>
    <s v="TERCEIROS"/>
    <s v="MARCIA - LIMPEZA - DUAS SEMANAS"/>
    <d v="2021-09-27T00:00:00"/>
    <n v="140"/>
    <x v="1"/>
    <x v="18"/>
  </r>
  <r>
    <m/>
    <m/>
    <s v="VIAGEM"/>
    <s v="MARCIO - viagem RJ - dias 23 a 28/09 (depositar cfe solicitar)"/>
    <d v="2021-09-27T00:00:00"/>
    <n v="1000"/>
    <x v="1"/>
    <x v="18"/>
  </r>
  <r>
    <m/>
    <m/>
    <s v="SOCIOS"/>
    <s v="RETIRADA PAULO SILVA - cartao"/>
    <d v="2021-09-27T00:00:00"/>
    <n v="3500"/>
    <x v="2"/>
    <x v="18"/>
  </r>
  <r>
    <m/>
    <m/>
    <s v="VIAGEM"/>
    <s v="VOB HOTEL - vcto 03/09 - já prorrogado"/>
    <d v="2021-09-27T00:00:00"/>
    <n v="1027"/>
    <x v="1"/>
    <x v="18"/>
  </r>
  <r>
    <m/>
    <m/>
    <s v="EPI"/>
    <s v="MAJUSEG - vcto 17/09 - já prorrogado"/>
    <d v="2021-09-27T00:00:00"/>
    <n v="927.58"/>
    <x v="1"/>
    <x v="18"/>
  </r>
  <r>
    <m/>
    <m/>
    <s v="EPI"/>
    <s v="MAJUSEG - vcto 24/09"/>
    <d v="2021-09-27T00:00:00"/>
    <n v="835.35"/>
    <x v="1"/>
    <x v="18"/>
  </r>
  <r>
    <m/>
    <m/>
    <s v="SALARIOS"/>
    <s v="EXTRAS VOLARE - agosto - saldo"/>
    <d v="2021-09-27T00:00:00"/>
    <n v="5166"/>
    <x v="1"/>
    <x v="18"/>
  </r>
  <r>
    <m/>
    <m/>
    <s v="SAUDE"/>
    <s v="UNIMED - vcto 15/09 - sem falta - cartorio"/>
    <d v="2021-09-27T00:00:00"/>
    <n v="3710.47"/>
    <x v="3"/>
    <x v="18"/>
  </r>
  <r>
    <m/>
    <m/>
    <s v="EPI"/>
    <s v="ACORDO PONTO DAS SOLDAS - 2.PARCELA (PIX 30.383.069/0001-02) - 20/09"/>
    <d v="2021-09-27T00:00:00"/>
    <n v="642.4"/>
    <x v="1"/>
    <x v="18"/>
  </r>
  <r>
    <m/>
    <m/>
    <s v="EPI"/>
    <s v="PONTO DAS SOLDAS - vcto 21/09 - pagar sem falta Ciferal - aguarda ate 27/09"/>
    <d v="2021-09-27T00:00:00"/>
    <n v="1024.03"/>
    <x v="0"/>
    <x v="18"/>
  </r>
  <r>
    <m/>
    <m/>
    <s v="TRANSPORTE"/>
    <s v="VAN - sem falta recebeu somente 1.000,00"/>
    <d v="2021-09-27T00:00:00"/>
    <n v="4000"/>
    <x v="1"/>
    <x v="18"/>
  </r>
  <r>
    <m/>
    <m/>
    <s v="CONSUMO"/>
    <s v="LUCHETI COM DE AGUA - vcto 10/09"/>
    <d v="2021-09-27T00:00:00"/>
    <n v="122.63"/>
    <x v="0"/>
    <x v="18"/>
  </r>
  <r>
    <m/>
    <m/>
    <s v="SOCIOS"/>
    <s v="SEGURO DE VIDA RUBENS PINTO - vcto 01/09"/>
    <d v="2021-09-27T00:00:00"/>
    <n v="1020"/>
    <x v="2"/>
    <x v="18"/>
  </r>
  <r>
    <m/>
    <m/>
    <s v="ENERGIA"/>
    <s v="RGE - vcto 06/09"/>
    <d v="2021-09-27T00:00:00"/>
    <n v="1600.37"/>
    <x v="0"/>
    <x v="18"/>
  </r>
  <r>
    <m/>
    <m/>
    <s v="ALIMENTACAO"/>
    <s v="REST TIO JOAO - vcto 17/09"/>
    <d v="2021-09-27T00:00:00"/>
    <n v="2507.86"/>
    <x v="1"/>
    <x v="18"/>
  </r>
  <r>
    <m/>
    <m/>
    <s v="SAUDE"/>
    <s v="PROMED - vcto 15/07 (negociado para não cortar)"/>
    <d v="2021-09-27T00:00:00"/>
    <n v="2935.87"/>
    <x v="1"/>
    <x v="18"/>
  </r>
  <r>
    <m/>
    <m/>
    <s v="ALIMENTACAO"/>
    <s v="CANTINA DELA COLINA - vcto julho"/>
    <d v="2021-09-27T00:00:00"/>
    <n v="1000"/>
    <x v="1"/>
    <x v="18"/>
  </r>
  <r>
    <m/>
    <m/>
    <s v="BONUS"/>
    <s v="22 PESSOAS x 120,00"/>
    <d v="2021-09-28T00:00:00"/>
    <n v="2640"/>
    <x v="1"/>
    <x v="19"/>
  </r>
  <r>
    <m/>
    <m/>
    <s v="SOCIOS"/>
    <s v="LUIS BERTONCELLO"/>
    <d v="2021-09-28T00:00:00"/>
    <n v="300"/>
    <x v="1"/>
    <x v="19"/>
  </r>
  <r>
    <m/>
    <m/>
    <s v="EXPEDIENTE"/>
    <s v="REEMBOLSO DALNIR - CERTIFICADO DIGITAL"/>
    <d v="2021-09-28T00:00:00"/>
    <n v="260"/>
    <x v="1"/>
    <x v="19"/>
  </r>
  <r>
    <m/>
    <m/>
    <s v="ACORDO"/>
    <s v="ANTONIO FRANCISCO - ultima"/>
    <d v="2021-09-28T00:00:00"/>
    <n v="2200"/>
    <x v="1"/>
    <x v="19"/>
  </r>
  <r>
    <m/>
    <m/>
    <s v="ALUGUEL"/>
    <s v="MARCIO"/>
    <d v="2021-09-28T00:00:00"/>
    <n v="950"/>
    <x v="1"/>
    <x v="19"/>
  </r>
  <r>
    <m/>
    <m/>
    <s v="RESCISAO"/>
    <s v="THIAGO TABORDA CUNHA - fazer cheque com data de 30/08"/>
    <d v="2021-09-29T00:00:00"/>
    <n v="223.57"/>
    <x v="1"/>
    <x v="20"/>
  </r>
  <r>
    <m/>
    <m/>
    <s v="TERCEIROS"/>
    <s v="HOLUS - vcto 20/07"/>
    <d v="2021-09-29T00:00:00"/>
    <n v="279.95"/>
    <x v="0"/>
    <x v="20"/>
  </r>
  <r>
    <m/>
    <m/>
    <s v="ACORDO"/>
    <s v="MARCELO QUIRINO - 01/06"/>
    <d v="2021-09-29T00:00:00"/>
    <n v="1758.2"/>
    <x v="1"/>
    <x v="20"/>
  </r>
  <r>
    <m/>
    <m/>
    <s v="ACORDO"/>
    <s v="ARISTIDES FAGUNDES - 05/07 (vcto 26/02/21) - sem falta prorrogado em julho"/>
    <d v="2021-09-29T00:00:00"/>
    <n v="1350"/>
    <x v="1"/>
    <x v="20"/>
  </r>
  <r>
    <m/>
    <m/>
    <s v="VIAGEM"/>
    <s v="MARCIO"/>
    <d v="2021-09-29T00:00:00"/>
    <n v="500"/>
    <x v="1"/>
    <x v="20"/>
  </r>
  <r>
    <m/>
    <m/>
    <s v="SOCIOS"/>
    <s v="ROGERIO SILVA"/>
    <d v="2021-09-29T00:00:00"/>
    <n v="2000"/>
    <x v="2"/>
    <x v="20"/>
  </r>
  <r>
    <m/>
    <m/>
    <s v="EPI"/>
    <s v="JUSTINA - vcto 17/09"/>
    <d v="2021-09-29T00:00:00"/>
    <n v="787.5"/>
    <x v="1"/>
    <x v="20"/>
  </r>
  <r>
    <m/>
    <m/>
    <s v="ASSESSORIA"/>
    <s v="GERENCIAL - 3ªparcela do saldo devedor - vcto 17/08"/>
    <d v="2021-09-29T00:00:00"/>
    <n v="1000"/>
    <x v="0"/>
    <x v="20"/>
  </r>
  <r>
    <m/>
    <m/>
    <s v="VEICULOS"/>
    <s v="MANO MOTORS - UNO CLEBER - vcto 07/08 - já prorrogado duas vezes"/>
    <d v="2021-09-29T00:00:00"/>
    <n v="500"/>
    <x v="1"/>
    <x v="20"/>
  </r>
  <r>
    <m/>
    <m/>
    <s v="VEICULOS"/>
    <s v="JOLD ESTEINER - TROCA DE OLEO - OUTLANDER LUIS "/>
    <d v="2021-09-29T00:00:00"/>
    <n v="260"/>
    <x v="1"/>
    <x v="20"/>
  </r>
  <r>
    <m/>
    <m/>
    <s v="CONVENIO"/>
    <s v="MICROEMPA - vcto 15/09"/>
    <d v="2021-09-29T00:00:00"/>
    <n v="1283.0899999999999"/>
    <x v="4"/>
    <x v="20"/>
  </r>
  <r>
    <m/>
    <m/>
    <s v="TRANSPORTE"/>
    <s v="ROTEIROS DO SUL - vcto 17/09 - já prorrogado"/>
    <d v="2021-09-29T00:00:00"/>
    <n v="4132.34"/>
    <x v="1"/>
    <x v="20"/>
  </r>
  <r>
    <m/>
    <m/>
    <s v="INFORMATICA"/>
    <s v="DIGISAM - 14/06/20"/>
    <d v="2021-09-29T00:00:00"/>
    <n v="742"/>
    <x v="0"/>
    <x v="20"/>
  </r>
  <r>
    <m/>
    <m/>
    <s v="VIAGEM"/>
    <s v="JOEL - CAIXINHA VOLARE"/>
    <d v="2021-09-29T00:00:00"/>
    <n v="2377"/>
    <x v="1"/>
    <x v="20"/>
  </r>
  <r>
    <m/>
    <m/>
    <s v="ASSESSORIA"/>
    <s v="ROGERIO - PROJETISTA (estufa) - vcto 25/07/21"/>
    <d v="2021-09-29T00:00:00"/>
    <n v="3000"/>
    <x v="0"/>
    <x v="20"/>
  </r>
  <r>
    <m/>
    <m/>
    <s v="VIAGEM"/>
    <s v="CITY HOTEL - hospedagem Marcio - 30/08 a 03/09"/>
    <d v="2021-09-29T00:00:00"/>
    <n v="319"/>
    <x v="1"/>
    <x v="20"/>
  </r>
  <r>
    <m/>
    <m/>
    <s v="TERCEIROS"/>
    <s v="DIGISERVE - 01/03 - vcto 08/09 - já prorrogado duas vezes"/>
    <d v="2021-09-29T00:00:00"/>
    <n v="473.94"/>
    <x v="0"/>
    <x v="20"/>
  </r>
  <r>
    <m/>
    <m/>
    <s v="SAUDE"/>
    <s v="FATIMA - plano de saude funcionarios - já descontado - vcto 20/09"/>
    <d v="2021-09-29T00:00:00"/>
    <n v="1153.53"/>
    <x v="1"/>
    <x v="20"/>
  </r>
  <r>
    <m/>
    <m/>
    <s v="PARCELAMENTO"/>
    <s v="CSLL - DEBITO BB "/>
    <d v="2021-09-29T00:00:00"/>
    <n v="532.54999999999995"/>
    <x v="1"/>
    <x v="20"/>
  </r>
  <r>
    <m/>
    <m/>
    <s v="SOCIOS"/>
    <s v="IRF VERA KARLING - 05/08"/>
    <d v="2021-09-29T00:00:00"/>
    <n v="241.77"/>
    <x v="1"/>
    <x v="20"/>
  </r>
  <r>
    <m/>
    <m/>
    <s v="ALIMENTACAO"/>
    <s v="BOM TEMPERO - VOLARE - 02/02 - vcto 23/08 (já prorrogado)"/>
    <d v="2021-09-29T00:00:00"/>
    <n v="749.28"/>
    <x v="1"/>
    <x v="20"/>
  </r>
  <r>
    <m/>
    <m/>
    <s v="VEICULOS"/>
    <s v="HOLLAS BATERIAS - UNO FLAVIO - vcto 07/09 - já prorrogado"/>
    <d v="2021-09-29T00:00:00"/>
    <n v="178.5"/>
    <x v="0"/>
    <x v="20"/>
  </r>
  <r>
    <m/>
    <m/>
    <s v="ALUGUEL"/>
    <s v="TYJAUSA/ALUGAMAQ - vcto 17/09 - já prorrogado"/>
    <d v="2021-09-29T00:00:00"/>
    <n v="160.32"/>
    <x v="0"/>
    <x v="20"/>
  </r>
  <r>
    <m/>
    <m/>
    <s v="TRANSPORTE"/>
    <s v="VAN -04/04"/>
    <d v="2021-09-30T00:00:00"/>
    <n v="3151"/>
    <x v="1"/>
    <x v="21"/>
  </r>
  <r>
    <m/>
    <m/>
    <s v="MATERIAL"/>
    <s v="PERINI - vcto 17/09"/>
    <d v="2021-09-30T00:00:00"/>
    <n v="325.27"/>
    <x v="1"/>
    <x v="21"/>
  </r>
  <r>
    <m/>
    <m/>
    <s v="MATERIAL"/>
    <s v="LF SILVEIRA - FLAVIO"/>
    <d v="2021-09-30T00:00:00"/>
    <n v="60"/>
    <x v="1"/>
    <x v="21"/>
  </r>
  <r>
    <m/>
    <m/>
    <s v="COMBUSTIVEL"/>
    <s v="UNO FLAVIO"/>
    <d v="2021-09-30T00:00:00"/>
    <n v="40"/>
    <x v="1"/>
    <x v="21"/>
  </r>
  <r>
    <m/>
    <m/>
    <s v="COMBUSTIVEL"/>
    <s v="UNO CLEBER"/>
    <d v="2021-09-30T00:00:00"/>
    <n v="150"/>
    <x v="1"/>
    <x v="21"/>
  </r>
  <r>
    <m/>
    <m/>
    <s v="EXPEDIENTE"/>
    <s v="TONER FINANCEIRO"/>
    <d v="2021-09-30T00:00:00"/>
    <n v="52"/>
    <x v="1"/>
    <x v="21"/>
  </r>
  <r>
    <m/>
    <m/>
    <s v="FÉRIAS"/>
    <s v="RONI GUEDES - sem falta - vencida em 24/09"/>
    <d v="2021-09-30T00:00:00"/>
    <n v="565"/>
    <x v="1"/>
    <x v="2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226">
  <r>
    <m/>
    <m/>
    <s v="BANCOS"/>
    <s v="JUROS E DESPESAS BANCARIAS - PREVISAO"/>
    <d v="2021-03-01T00:00:00"/>
    <n v="3605.49"/>
    <x v="0"/>
    <x v="0"/>
  </r>
  <r>
    <m/>
    <m/>
    <s v="ACORDO"/>
    <s v="BOX RAPIDO - 01/10"/>
    <d v="2021-03-01T00:00:00"/>
    <n v="444.2"/>
    <x v="0"/>
    <x v="0"/>
  </r>
  <r>
    <m/>
    <m/>
    <s v="TERCEIROS"/>
    <s v="BUZZATTI - NF NEOBUS - saldo (em dinheiro)"/>
    <d v="2021-03-01T00:00:00"/>
    <n v="4000"/>
    <x v="1"/>
    <x v="0"/>
  </r>
  <r>
    <m/>
    <m/>
    <s v="EPI"/>
    <s v="ZAPA"/>
    <d v="2021-03-01T00:00:00"/>
    <n v="347.6"/>
    <x v="1"/>
    <x v="0"/>
  </r>
  <r>
    <m/>
    <m/>
    <s v="ALIMENTACAO"/>
    <s v="ALIMENTAR - acordo - 02/02 - sem falta (bloqueado)"/>
    <d v="2021-03-01T00:00:00"/>
    <n v="2409.61"/>
    <x v="1"/>
    <x v="0"/>
  </r>
  <r>
    <m/>
    <m/>
    <s v="VIAGEM"/>
    <s v="LUIS/GABRIEL -LIBRELATO"/>
    <d v="2021-03-01T00:00:00"/>
    <n v="454.93"/>
    <x v="1"/>
    <x v="0"/>
  </r>
  <r>
    <m/>
    <m/>
    <s v="COMBUSTIVEL"/>
    <s v="REEMBOLSO LUIS BERTONCELLO"/>
    <d v="2021-03-01T00:00:00"/>
    <n v="200"/>
    <x v="1"/>
    <x v="0"/>
  </r>
  <r>
    <m/>
    <m/>
    <s v="TERCEIROS"/>
    <s v="UBER - EXAMES (KARINA)"/>
    <d v="2021-03-01T00:00:00"/>
    <n v="140"/>
    <x v="1"/>
    <x v="0"/>
  </r>
  <r>
    <m/>
    <m/>
    <s v="TERCEIROS"/>
    <s v="MARCIA "/>
    <d v="2021-03-01T00:00:00"/>
    <n v="70"/>
    <x v="1"/>
    <x v="0"/>
  </r>
  <r>
    <m/>
    <m/>
    <s v="COMBUSTIVEL"/>
    <s v="TEONAS - MENSAL"/>
    <d v="2021-03-01T00:00:00"/>
    <n v="150"/>
    <x v="1"/>
    <x v="0"/>
  </r>
  <r>
    <m/>
    <m/>
    <s v="COMBUSTIVEL"/>
    <s v="GENILSON - MENSAL"/>
    <d v="2021-03-01T00:00:00"/>
    <n v="300"/>
    <x v="1"/>
    <x v="0"/>
  </r>
  <r>
    <m/>
    <m/>
    <s v="COMUNICACAO"/>
    <s v="NET - vcto 20/02"/>
    <d v="2021-03-01T00:00:00"/>
    <n v="233.19"/>
    <x v="1"/>
    <x v="0"/>
  </r>
  <r>
    <m/>
    <m/>
    <s v="EXPEDIENTE"/>
    <s v="TONER - FINANCEIRO"/>
    <d v="2021-03-01T00:00:00"/>
    <n v="47.4"/>
    <x v="0"/>
    <x v="0"/>
  </r>
  <r>
    <m/>
    <m/>
    <s v="RESCISAO "/>
    <s v="ANDREINA - FGTS"/>
    <d v="2021-03-01T00:00:00"/>
    <n v="38.049999999999997"/>
    <x v="1"/>
    <x v="0"/>
  </r>
  <r>
    <m/>
    <m/>
    <s v="RESCISAO "/>
    <s v="SONIA ZERILDA DOS SANTOS"/>
    <d v="2021-03-01T00:00:00"/>
    <n v="35.42"/>
    <x v="1"/>
    <x v="0"/>
  </r>
  <r>
    <m/>
    <m/>
    <s v="TERCEIROS"/>
    <s v="TRABALHOS LUAN - LT MANUTENCAO - vcto 11/12 - PARTE"/>
    <d v="2021-03-01T00:00:00"/>
    <n v="1000"/>
    <x v="0"/>
    <x v="0"/>
  </r>
  <r>
    <m/>
    <m/>
    <s v="RESCISAO "/>
    <s v="VANESSA CARDOSO"/>
    <d v="2021-03-02T00:00:00"/>
    <n v="363.85"/>
    <x v="1"/>
    <x v="1"/>
  </r>
  <r>
    <m/>
    <m/>
    <s v="SOCIOS"/>
    <s v="SEGURO DE VIDA RUBENS PINTO"/>
    <d v="2021-03-02T00:00:00"/>
    <n v="725"/>
    <x v="2"/>
    <x v="1"/>
  </r>
  <r>
    <m/>
    <m/>
    <s v="TRANSPORTE"/>
    <s v="VISATE - 35 CARTOES"/>
    <d v="2021-03-02T00:00:00"/>
    <n v="651"/>
    <x v="1"/>
    <x v="1"/>
  </r>
  <r>
    <m/>
    <m/>
    <s v="ALIMENTACAO"/>
    <s v="BISTRO LUCAS RAMOS - boleto"/>
    <d v="2021-03-03T00:00:00"/>
    <n v="765"/>
    <x v="0"/>
    <x v="2"/>
  </r>
  <r>
    <m/>
    <m/>
    <s v="MATERIAL"/>
    <s v="MARCARINI TINTAS"/>
    <d v="2021-03-03T00:00:00"/>
    <n v="118"/>
    <x v="0"/>
    <x v="2"/>
  </r>
  <r>
    <m/>
    <m/>
    <s v="COMBUSTIVEL"/>
    <s v="REEMBOLSO ROGERIO"/>
    <d v="2021-03-03T00:00:00"/>
    <n v="150"/>
    <x v="1"/>
    <x v="2"/>
  </r>
  <r>
    <m/>
    <m/>
    <s v="SALARIOS"/>
    <s v="EXTRAS ARIANE"/>
    <d v="2021-03-03T00:00:00"/>
    <n v="380"/>
    <x v="1"/>
    <x v="2"/>
  </r>
  <r>
    <m/>
    <m/>
    <s v="TERCEIROS"/>
    <s v="TRABALHOS LUAN - LT MANUTENCAO - vcto 11/12 - PARTE"/>
    <d v="2021-03-03T00:00:00"/>
    <n v="1000"/>
    <x v="0"/>
    <x v="2"/>
  </r>
  <r>
    <m/>
    <m/>
    <s v="PARCELAMENTO"/>
    <s v="EMPRESTIMO FOLHA BB - 03/30"/>
    <d v="2021-03-04T00:00:00"/>
    <n v="2298.1"/>
    <x v="1"/>
    <x v="3"/>
  </r>
  <r>
    <m/>
    <m/>
    <s v="EPI"/>
    <s v="CORSUL"/>
    <d v="2021-03-04T00:00:00"/>
    <n v="696.67"/>
    <x v="1"/>
    <x v="3"/>
  </r>
  <r>
    <m/>
    <m/>
    <s v="ACORDO"/>
    <s v="ARTHUR - CIFERAL - 02/08 - vcto 18/01 - SR.PAULO/JOEL"/>
    <d v="2021-03-04T00:00:00"/>
    <n v="1500"/>
    <x v="1"/>
    <x v="3"/>
  </r>
  <r>
    <m/>
    <m/>
    <s v="ACORDO"/>
    <s v="LEONARDO - CIFERAL - 02/14 - vcto 18/01 - SR.PAULO/JOEL"/>
    <d v="2021-03-04T00:00:00"/>
    <n v="1500"/>
    <x v="1"/>
    <x v="3"/>
  </r>
  <r>
    <m/>
    <m/>
    <s v="ACORDO"/>
    <s v="SAMUEL - CIFERAL - 02/09 - vcto 18/01 - SR.PAULO/JOEL"/>
    <d v="2021-03-04T00:00:00"/>
    <n v="1500"/>
    <x v="1"/>
    <x v="3"/>
  </r>
  <r>
    <m/>
    <m/>
    <s v="RESCISAO "/>
    <s v="LUAN BARCELLOS - FGTS"/>
    <d v="2021-03-04T00:00:00"/>
    <n v="31.18"/>
    <x v="1"/>
    <x v="3"/>
  </r>
  <r>
    <m/>
    <m/>
    <s v="BANCOS"/>
    <s v="BLOQUEIO JUDICIAL"/>
    <d v="2021-03-05T00:00:00"/>
    <n v="60528.35"/>
    <x v="1"/>
    <x v="4"/>
  </r>
  <r>
    <m/>
    <m/>
    <m/>
    <m/>
    <d v="2021-03-06T00:00:00"/>
    <n v="0"/>
    <x v="1"/>
    <x v="5"/>
  </r>
  <r>
    <m/>
    <m/>
    <m/>
    <m/>
    <d v="2021-03-07T00:00:00"/>
    <n v="0"/>
    <x v="1"/>
    <x v="5"/>
  </r>
  <r>
    <m/>
    <m/>
    <s v="SALARIOS"/>
    <s v="PENSAO ALIMENTICIA"/>
    <d v="2021-03-08T00:00:00"/>
    <n v="2126.0699999999997"/>
    <x v="1"/>
    <x v="5"/>
  </r>
  <r>
    <m/>
    <m/>
    <s v="SALARIOS"/>
    <s v="MARCIA - CHEQUE VENTURE"/>
    <d v="2021-03-08T00:00:00"/>
    <n v="1037"/>
    <x v="1"/>
    <x v="5"/>
  </r>
  <r>
    <m/>
    <m/>
    <s v="SALARIOS"/>
    <s v="RUTIELE - CHEQUE VENTURE"/>
    <d v="2021-03-08T00:00:00"/>
    <n v="810"/>
    <x v="1"/>
    <x v="5"/>
  </r>
  <r>
    <m/>
    <m/>
    <s v="SALARIOS"/>
    <s v="ADAIR - CHEQUE VENTURE"/>
    <d v="2021-03-08T00:00:00"/>
    <n v="299"/>
    <x v="1"/>
    <x v="5"/>
  </r>
  <r>
    <m/>
    <m/>
    <s v="SALARIOS"/>
    <s v="SANDRO - CHEQUE VENTURE"/>
    <d v="2021-03-08T00:00:00"/>
    <n v="206"/>
    <x v="1"/>
    <x v="5"/>
  </r>
  <r>
    <m/>
    <m/>
    <s v="EPI"/>
    <s v="MAJUSEG - CHEQUE VENTURE"/>
    <d v="2021-03-08T00:00:00"/>
    <n v="495"/>
    <x v="1"/>
    <x v="5"/>
  </r>
  <r>
    <m/>
    <m/>
    <s v="SALARIOS"/>
    <s v="VOLARE/CIFERAL - depositado pela Venture"/>
    <d v="2021-03-08T00:00:00"/>
    <n v="2000"/>
    <x v="1"/>
    <x v="5"/>
  </r>
  <r>
    <m/>
    <m/>
    <s v="PARCELAMENTO"/>
    <s v="EMPRESTIMO FOLHA BB - 04/30"/>
    <d v="2021-03-08T00:00:00"/>
    <n v="2201.61"/>
    <x v="1"/>
    <x v="5"/>
  </r>
  <r>
    <m/>
    <m/>
    <s v="COMBUSTIVEL"/>
    <s v="REEBOLSO LUIS BERTONCELLO"/>
    <d v="2021-03-09T00:00:00"/>
    <n v="100"/>
    <x v="1"/>
    <x v="6"/>
  </r>
  <r>
    <m/>
    <m/>
    <s v="SALARIOS"/>
    <s v="SALARIOS - Caxias"/>
    <d v="2021-03-10T00:00:00"/>
    <n v="26641"/>
    <x v="0"/>
    <x v="7"/>
  </r>
  <r>
    <m/>
    <m/>
    <s v="EXPEDIENTE"/>
    <s v="LICEIS - VCTO 08/03"/>
    <d v="2021-03-10T00:00:00"/>
    <n v="41.31"/>
    <x v="1"/>
    <x v="7"/>
  </r>
  <r>
    <m/>
    <m/>
    <s v="TRANSPORTE"/>
    <s v="VISATE SMART"/>
    <d v="2021-03-10T00:00:00"/>
    <n v="93"/>
    <x v="0"/>
    <x v="7"/>
  </r>
  <r>
    <m/>
    <m/>
    <s v="CONSUMO"/>
    <s v="LUCHETTI COM DE AGUA"/>
    <d v="2021-03-10T00:00:00"/>
    <n v="105"/>
    <x v="0"/>
    <x v="7"/>
  </r>
  <r>
    <m/>
    <m/>
    <s v="COMUNICACAO"/>
    <s v="CLARO - vcto 20/02/21"/>
    <d v="2021-03-10T00:00:00"/>
    <n v="1451.07"/>
    <x v="0"/>
    <x v="7"/>
  </r>
  <r>
    <m/>
    <m/>
    <s v="EPI"/>
    <s v="ZAPA - vcto 08/03"/>
    <d v="2021-03-10T00:00:00"/>
    <n v="151.26"/>
    <x v="1"/>
    <x v="7"/>
  </r>
  <r>
    <m/>
    <m/>
    <s v="ACORDO"/>
    <s v="MICROEMPA - 04/05"/>
    <d v="2021-03-10T00:00:00"/>
    <n v="280"/>
    <x v="1"/>
    <x v="7"/>
  </r>
  <r>
    <m/>
    <m/>
    <s v="ALIMENTACAO"/>
    <s v="CANTINA DELA COLINA - 03/06 - vcto 30/12"/>
    <d v="2021-03-10T00:00:00"/>
    <n v="1000"/>
    <x v="1"/>
    <x v="7"/>
  </r>
  <r>
    <m/>
    <m/>
    <s v="RESCISAO "/>
    <s v="LUAN BARCELLOS"/>
    <d v="2021-03-10T00:00:00"/>
    <n v="391.72"/>
    <x v="1"/>
    <x v="7"/>
  </r>
  <r>
    <m/>
    <m/>
    <s v="SALARIOS"/>
    <s v="PAULO EDUARDO - salario + reembolso lanche"/>
    <d v="2021-03-11T00:00:00"/>
    <n v="2837.6"/>
    <x v="1"/>
    <x v="8"/>
  </r>
  <r>
    <m/>
    <m/>
    <s v="VIAGEM"/>
    <s v="CAIXINHA JOEL"/>
    <d v="2021-03-11T00:00:00"/>
    <n v="2624"/>
    <x v="1"/>
    <x v="8"/>
  </r>
  <r>
    <m/>
    <m/>
    <s v="VIAGEM"/>
    <s v="FLAVIO "/>
    <d v="2021-03-11T00:00:00"/>
    <n v="334.2"/>
    <x v="1"/>
    <x v="8"/>
  </r>
  <r>
    <m/>
    <m/>
    <s v="COMBUSTIVEL"/>
    <s v="COMBUSTIVEL CLEBER"/>
    <d v="2021-03-11T00:00:00"/>
    <n v="120"/>
    <x v="1"/>
    <x v="8"/>
  </r>
  <r>
    <m/>
    <m/>
    <s v="COMBUSTIVEL"/>
    <s v="COMBUSTIVEL ROGERIO"/>
    <d v="2021-03-11T00:00:00"/>
    <n v="150"/>
    <x v="1"/>
    <x v="8"/>
  </r>
  <r>
    <m/>
    <m/>
    <s v="COMBUSTIVEL"/>
    <s v="COMBUSTIVEL FLAVIO"/>
    <d v="2021-03-11T00:00:00"/>
    <n v="50"/>
    <x v="1"/>
    <x v="8"/>
  </r>
  <r>
    <m/>
    <m/>
    <s v="FÉRIAS"/>
    <s v="LUCINARA MARQUES"/>
    <d v="2021-03-11T00:00:00"/>
    <n v="747"/>
    <x v="1"/>
    <x v="8"/>
  </r>
  <r>
    <m/>
    <m/>
    <s v="MATERIAL"/>
    <s v="SUMIG"/>
    <d v="2021-03-11T00:00:00"/>
    <n v="635.36"/>
    <x v="1"/>
    <x v="8"/>
  </r>
  <r>
    <m/>
    <m/>
    <s v="RESCISAO "/>
    <s v="EVA GUTERRES - FGTS"/>
    <d v="2021-03-11T00:00:00"/>
    <n v="7.05"/>
    <x v="1"/>
    <x v="8"/>
  </r>
  <r>
    <m/>
    <m/>
    <s v="ACORDO"/>
    <s v="SERGIO JOSE MARTINS - 04/05 - vcto 27/01"/>
    <d v="2021-03-11T00:00:00"/>
    <n v="1971.74"/>
    <x v="1"/>
    <x v="8"/>
  </r>
  <r>
    <m/>
    <m/>
    <s v="EPI"/>
    <s v="MAJUSEG"/>
    <d v="2021-03-11T00:00:00"/>
    <n v="650.28"/>
    <x v="1"/>
    <x v="8"/>
  </r>
  <r>
    <m/>
    <m/>
    <s v="TERCEIROS"/>
    <s v="ZANOL - CEF (Ag 3112 - Cc 2747-4) - CNPJ 33.442.780/0001-89 - Projeta"/>
    <d v="2021-03-11T00:00:00"/>
    <n v="400"/>
    <x v="1"/>
    <x v="8"/>
  </r>
  <r>
    <m/>
    <m/>
    <s v="RESCISAO "/>
    <s v="ANDREINA "/>
    <d v="2021-03-11T00:00:00"/>
    <n v="485.13"/>
    <x v="1"/>
    <x v="8"/>
  </r>
  <r>
    <m/>
    <m/>
    <s v="EPI"/>
    <s v="CORSUL"/>
    <d v="2021-03-12T00:00:00"/>
    <n v="340.53"/>
    <x v="1"/>
    <x v="9"/>
  </r>
  <r>
    <m/>
    <m/>
    <s v="SOCIOS"/>
    <s v="RETIRADA PAULO SILVA"/>
    <d v="2021-03-12T00:00:00"/>
    <n v="2000"/>
    <x v="2"/>
    <x v="9"/>
  </r>
  <r>
    <m/>
    <m/>
    <s v="SOCIOS"/>
    <s v="RETIRADA LUIS BERTONCELLO"/>
    <d v="2021-03-12T00:00:00"/>
    <n v="2500"/>
    <x v="2"/>
    <x v="9"/>
  </r>
  <r>
    <m/>
    <m/>
    <s v="MATERIAL"/>
    <s v="PERINI EQUIPAMENTOS - vcto 05/03"/>
    <d v="2021-03-12T00:00:00"/>
    <n v="428.34"/>
    <x v="1"/>
    <x v="9"/>
  </r>
  <r>
    <m/>
    <m/>
    <s v="INFORMATICA"/>
    <s v="INFOCALL - vcto 05/03"/>
    <d v="2021-03-12T00:00:00"/>
    <n v="195"/>
    <x v="0"/>
    <x v="9"/>
  </r>
  <r>
    <m/>
    <m/>
    <s v="ASSESSORIA "/>
    <s v="VISAO - 02/02"/>
    <d v="2021-03-12T00:00:00"/>
    <n v="153.08000000000001"/>
    <x v="1"/>
    <x v="9"/>
  </r>
  <r>
    <m/>
    <m/>
    <s v="RESCISAO "/>
    <s v="FGTS DIEGO"/>
    <d v="2021-03-12T00:00:00"/>
    <n v="7.22"/>
    <x v="1"/>
    <x v="9"/>
  </r>
  <r>
    <m/>
    <m/>
    <s v="TERCEIROS"/>
    <s v="ZANOL - NF NEOBUS - PARTE"/>
    <d v="2021-03-12T00:00:00"/>
    <n v="1562.5"/>
    <x v="1"/>
    <x v="9"/>
  </r>
  <r>
    <m/>
    <m/>
    <s v="COMBUSTIVEL"/>
    <s v="COMBUSTIVEL LUIS BERTONCELLO"/>
    <d v="2021-03-13T00:00:00"/>
    <n v="200"/>
    <x v="2"/>
    <x v="10"/>
  </r>
  <r>
    <m/>
    <m/>
    <s v="SAUDE"/>
    <s v="PRO SALUTE - pagar sem falta (plano dos funcionarios já descontado)"/>
    <d v="2021-03-14T00:00:00"/>
    <n v="880.59"/>
    <x v="1"/>
    <x v="10"/>
  </r>
  <r>
    <m/>
    <m/>
    <s v="MATERIAL"/>
    <s v="TECNOFAST - confirmar com Dalnir"/>
    <d v="2021-03-15T00:00:00"/>
    <n v="892.5"/>
    <x v="0"/>
    <x v="10"/>
  </r>
  <r>
    <m/>
    <m/>
    <s v="COMBUSTIVEL"/>
    <s v="RAMON"/>
    <d v="2021-03-15T00:00:00"/>
    <n v="50"/>
    <x v="1"/>
    <x v="10"/>
  </r>
  <r>
    <m/>
    <m/>
    <s v="AGUA"/>
    <s v="SAMAE"/>
    <d v="2021-03-15T00:00:00"/>
    <n v="88.86"/>
    <x v="0"/>
    <x v="10"/>
  </r>
  <r>
    <m/>
    <m/>
    <s v="ASSESSORIA"/>
    <s v="VISAO - VCTO 10/03"/>
    <d v="2021-03-15T00:00:00"/>
    <n v="393.3"/>
    <x v="1"/>
    <x v="10"/>
  </r>
  <r>
    <m/>
    <m/>
    <s v="RESCISAO "/>
    <s v="KMBERLY GERING"/>
    <d v="2021-03-15T00:00:00"/>
    <n v="86.29"/>
    <x v="1"/>
    <x v="10"/>
  </r>
  <r>
    <m/>
    <m/>
    <s v="SAUDE"/>
    <s v="PRO MED - MÊS"/>
    <d v="2021-03-15T00:00:00"/>
    <n v="80.25"/>
    <x v="0"/>
    <x v="10"/>
  </r>
  <r>
    <m/>
    <m/>
    <s v="CURSO"/>
    <s v="RAFAEL SCOPEL - vcto 10/02"/>
    <d v="2021-03-15T00:00:00"/>
    <n v="1500"/>
    <x v="2"/>
    <x v="10"/>
  </r>
  <r>
    <m/>
    <m/>
    <s v="PARCELAMENTO"/>
    <s v="MONEO - 03/18"/>
    <d v="2021-03-15T00:00:00"/>
    <n v="14028.3"/>
    <x v="0"/>
    <x v="10"/>
  </r>
  <r>
    <m/>
    <m/>
    <s v="CONVENIO"/>
    <s v="MICROEMPA"/>
    <d v="2021-03-15T00:00:00"/>
    <n v="84"/>
    <x v="1"/>
    <x v="10"/>
  </r>
  <r>
    <m/>
    <m/>
    <s v="VEICULOS"/>
    <s v="MECANIA ADEMIR - CARRO CLEBER - 01/03"/>
    <d v="2021-03-15T00:00:00"/>
    <n v="566.66"/>
    <x v="0"/>
    <x v="10"/>
  </r>
  <r>
    <m/>
    <m/>
    <s v="ASSESSORIA "/>
    <s v="OLIVEIRA E PERES - vcto 28/02"/>
    <d v="2021-03-15T00:00:00"/>
    <n v="3153.72"/>
    <x v="0"/>
    <x v="10"/>
  </r>
  <r>
    <m/>
    <m/>
    <s v="CONVENIO"/>
    <s v="PRO MED - vcto 15/02"/>
    <d v="2021-03-15T00:00:00"/>
    <n v="2409.71"/>
    <x v="1"/>
    <x v="10"/>
  </r>
  <r>
    <m/>
    <m/>
    <s v="ACORDO"/>
    <s v="ANTONIO FRANCISCO - 02/08 - vcto 26/12"/>
    <d v="2021-03-15T00:00:00"/>
    <n v="2200"/>
    <x v="1"/>
    <x v="10"/>
  </r>
  <r>
    <m/>
    <m/>
    <s v="SOCIOS"/>
    <s v="RETIRADA ROGERIO"/>
    <d v="2021-03-15T00:00:00"/>
    <n v="3000"/>
    <x v="2"/>
    <x v="10"/>
  </r>
  <r>
    <m/>
    <m/>
    <s v="VIAGEM"/>
    <s v="DALNIR/GABRIEL - CRICIUMA"/>
    <d v="2021-03-15T00:00:00"/>
    <n v="485.05"/>
    <x v="1"/>
    <x v="10"/>
  </r>
  <r>
    <m/>
    <m/>
    <s v="SAUDE"/>
    <s v="UNIMED"/>
    <d v="2021-03-15T00:00:00"/>
    <n v="3594.05"/>
    <x v="3"/>
    <x v="10"/>
  </r>
  <r>
    <m/>
    <m/>
    <s v="TERCEIROS"/>
    <s v="MARCIA - LIMPEZA"/>
    <d v="2021-03-15T00:00:00"/>
    <n v="70"/>
    <x v="0"/>
    <x v="10"/>
  </r>
  <r>
    <m/>
    <m/>
    <s v="RESCISAO "/>
    <s v="EVA GUTERRES"/>
    <d v="2021-03-15T00:00:00"/>
    <n v="220.9"/>
    <x v="1"/>
    <x v="10"/>
  </r>
  <r>
    <m/>
    <m/>
    <s v="RESCISAO "/>
    <s v="DIEGO PARDELINHAS"/>
    <d v="2021-03-15T00:00:00"/>
    <n v="263.75"/>
    <x v="1"/>
    <x v="10"/>
  </r>
  <r>
    <m/>
    <m/>
    <s v="SALARIOS"/>
    <s v="ADTO JONATHAN"/>
    <d v="2021-03-16T00:00:00"/>
    <n v="500"/>
    <x v="1"/>
    <x v="11"/>
  </r>
  <r>
    <m/>
    <m/>
    <s v="EPI"/>
    <s v="ZAPA - VCTO 16/03"/>
    <d v="2021-03-16T00:00:00"/>
    <n v="925.8"/>
    <x v="1"/>
    <x v="11"/>
  </r>
  <r>
    <m/>
    <m/>
    <s v="VEICULOS"/>
    <s v="FORZZA - 02/03 - VCTO 15/03"/>
    <d v="2021-03-16T00:00:00"/>
    <n v="439.6"/>
    <x v="0"/>
    <x v="11"/>
  </r>
  <r>
    <m/>
    <m/>
    <s v="EPI"/>
    <s v="JUSTINA"/>
    <d v="2021-03-16T00:00:00"/>
    <n v="675"/>
    <x v="1"/>
    <x v="11"/>
  </r>
  <r>
    <m/>
    <m/>
    <s v="EPI"/>
    <s v="CORSUL "/>
    <d v="2021-03-17T00:00:00"/>
    <n v="558.20000000000005"/>
    <x v="1"/>
    <x v="12"/>
  </r>
  <r>
    <m/>
    <m/>
    <s v="ASSESSORIA"/>
    <s v="PSP ADVOGADOS - PKS"/>
    <d v="2021-03-17T00:00:00"/>
    <n v="369"/>
    <x v="1"/>
    <x v="12"/>
  </r>
  <r>
    <m/>
    <m/>
    <s v="SALARIOS"/>
    <s v="SALARIOS - Volare/Ciferal - devolver para Joel (juros)"/>
    <d v="2021-03-17T00:00:00"/>
    <n v="22370"/>
    <x v="1"/>
    <x v="12"/>
  </r>
  <r>
    <m/>
    <m/>
    <s v="SOCIOS"/>
    <s v="DEPOSITO PAULO SILVA"/>
    <d v="2021-03-17T00:00:00"/>
    <n v="1000"/>
    <x v="1"/>
    <x v="12"/>
  </r>
  <r>
    <m/>
    <m/>
    <s v="FÉRIAS"/>
    <s v="JOSE LUIS MARIA RODRIGUES - vcto 12/03"/>
    <d v="2021-03-17T00:00:00"/>
    <n v="3651"/>
    <x v="1"/>
    <x v="12"/>
  </r>
  <r>
    <m/>
    <m/>
    <s v="ALIMENTACAO"/>
    <s v="CRISTINE LANCHES"/>
    <d v="2021-03-17T00:00:00"/>
    <n v="1840.72"/>
    <x v="1"/>
    <x v="12"/>
  </r>
  <r>
    <m/>
    <m/>
    <s v="TRANSPORTE"/>
    <s v="VAN - VCTO 16/03 - metade"/>
    <d v="2021-03-17T00:00:00"/>
    <n v="3572"/>
    <x v="1"/>
    <x v="12"/>
  </r>
  <r>
    <m/>
    <m/>
    <s v="SOCIOS"/>
    <s v="RETIRADA LUIS BERTONCELLO"/>
    <d v="2021-03-17T00:00:00"/>
    <n v="1500"/>
    <x v="1"/>
    <x v="12"/>
  </r>
  <r>
    <m/>
    <m/>
    <s v="CONVENIO"/>
    <s v="MICROEMPA - vcto 15/03"/>
    <d v="2021-03-17T00:00:00"/>
    <n v="1277.6300000000001"/>
    <x v="4"/>
    <x v="12"/>
  </r>
  <r>
    <m/>
    <m/>
    <s v="VIAGEM"/>
    <s v="CAIXINHA JOEL"/>
    <d v="2021-03-17T00:00:00"/>
    <n v="2624"/>
    <x v="1"/>
    <x v="12"/>
  </r>
  <r>
    <m/>
    <m/>
    <s v="TERCEIROS"/>
    <s v="CORREIO"/>
    <d v="2021-03-17T00:00:00"/>
    <n v="24.3"/>
    <x v="1"/>
    <x v="12"/>
  </r>
  <r>
    <m/>
    <m/>
    <s v="SALARIOS"/>
    <s v="SALARIOS - Volare/Ciferal - devolver Kely em dinheiro"/>
    <d v="2021-03-18T00:00:00"/>
    <n v="10000"/>
    <x v="1"/>
    <x v="13"/>
  </r>
  <r>
    <m/>
    <m/>
    <s v="MATERIAL"/>
    <s v="ACOPLANO"/>
    <d v="2021-03-18T00:00:00"/>
    <n v="10914.68"/>
    <x v="0"/>
    <x v="13"/>
  </r>
  <r>
    <m/>
    <m/>
    <s v="TERCEIROS"/>
    <s v="BUZZATTI - NF NEOBUS - saldo (R$ 500,00) + 1.500,00 (salario)"/>
    <d v="2021-03-18T00:00:00"/>
    <n v="2000"/>
    <x v="0"/>
    <x v="13"/>
  </r>
  <r>
    <m/>
    <m/>
    <s v="COMUNICACAO"/>
    <s v="VIVO - vcto 28/02"/>
    <d v="2021-03-18T00:00:00"/>
    <n v="388.19"/>
    <x v="3"/>
    <x v="13"/>
  </r>
  <r>
    <m/>
    <m/>
    <s v="TERCEIROS"/>
    <s v="CARTORIO"/>
    <d v="2021-03-18T00:00:00"/>
    <n v="72.959999999999994"/>
    <x v="0"/>
    <x v="13"/>
  </r>
  <r>
    <m/>
    <m/>
    <s v="INFORMATICA"/>
    <s v="CORPORATIVA TI - AVISO DE CARTORIO (vcto 11/01 e 14/12)"/>
    <d v="2021-03-18T00:00:00"/>
    <n v="679.16"/>
    <x v="0"/>
    <x v="13"/>
  </r>
  <r>
    <m/>
    <m/>
    <s v="TERCEIROS"/>
    <s v="CHAVEIRO CASA DE PEDRA - cartao debito"/>
    <d v="2021-03-18T00:00:00"/>
    <n v="82"/>
    <x v="0"/>
    <x v="13"/>
  </r>
  <r>
    <m/>
    <m/>
    <s v="MATERIAL"/>
    <s v="LF SILVEIRA"/>
    <d v="2021-03-18T00:00:00"/>
    <n v="82"/>
    <x v="1"/>
    <x v="13"/>
  </r>
  <r>
    <m/>
    <m/>
    <s v="EXPEDIENTE"/>
    <s v="LICEIS"/>
    <d v="2021-03-18T00:00:00"/>
    <n v="26"/>
    <x v="1"/>
    <x v="13"/>
  </r>
  <r>
    <m/>
    <m/>
    <s v="MATERIAL"/>
    <s v="KIPEL"/>
    <d v="2021-03-18T00:00:00"/>
    <n v="20"/>
    <x v="1"/>
    <x v="13"/>
  </r>
  <r>
    <m/>
    <m/>
    <s v="EPI"/>
    <s v="MAJUSEG "/>
    <d v="2021-03-18T00:00:00"/>
    <n v="1826.9"/>
    <x v="1"/>
    <x v="13"/>
  </r>
  <r>
    <m/>
    <m/>
    <s v="COMBUSTIVEL"/>
    <s v="UNO FLAVIO"/>
    <d v="2021-03-19T00:00:00"/>
    <n v="100"/>
    <x v="1"/>
    <x v="14"/>
  </r>
  <r>
    <m/>
    <m/>
    <s v="VIAGEM"/>
    <s v="FLAVIO "/>
    <d v="2021-03-19T00:00:00"/>
    <n v="350"/>
    <x v="1"/>
    <x v="14"/>
  </r>
  <r>
    <m/>
    <m/>
    <s v="COMBUSTIVEL"/>
    <s v="REEMBOLSAR LUIS BERTONCELLO"/>
    <d v="2021-03-19T00:00:00"/>
    <n v="100"/>
    <x v="2"/>
    <x v="14"/>
  </r>
  <r>
    <m/>
    <m/>
    <s v="COMBUSTIVEL"/>
    <s v="REEMBOLSAR ROGERIO"/>
    <d v="2021-03-19T00:00:00"/>
    <n v="150"/>
    <x v="2"/>
    <x v="14"/>
  </r>
  <r>
    <m/>
    <m/>
    <s v="EMPRESTIMO"/>
    <s v="VERA KARLING - 08/17"/>
    <d v="2021-03-19T00:00:00"/>
    <n v="1750"/>
    <x v="0"/>
    <x v="14"/>
  </r>
  <r>
    <m/>
    <m/>
    <s v="MATERIAL"/>
    <s v="CHAPAS WSUL - Guilherme"/>
    <d v="2021-03-19T00:00:00"/>
    <n v="11675.16"/>
    <x v="0"/>
    <x v="14"/>
  </r>
  <r>
    <m/>
    <m/>
    <s v="ACORDO"/>
    <s v="NATHAN PEREIRA - 01/04 - vcto 12/03"/>
    <d v="2021-03-19T00:00:00"/>
    <n v="1571.61"/>
    <x v="1"/>
    <x v="14"/>
  </r>
  <r>
    <m/>
    <m/>
    <s v="TRANSPORTE"/>
    <s v="SCHEILA - CRICIUMA - VCTO 16/03"/>
    <d v="2021-03-19T00:00:00"/>
    <n v="4700"/>
    <x v="1"/>
    <x v="14"/>
  </r>
  <r>
    <m/>
    <m/>
    <s v="FÉRIAS"/>
    <s v="ARIANE - VCTO 16/03"/>
    <d v="2021-03-19T00:00:00"/>
    <n v="1521.5"/>
    <x v="1"/>
    <x v="14"/>
  </r>
  <r>
    <m/>
    <m/>
    <s v="ALIMENTACAO"/>
    <s v="REST ZAPAROLLI - 02/02 - VCTO 15/03"/>
    <d v="2021-03-19T00:00:00"/>
    <n v="3512"/>
    <x v="0"/>
    <x v="14"/>
  </r>
  <r>
    <m/>
    <m/>
    <s v="EXPEDIENTE"/>
    <s v="KI PONTO - VCTO 15/03"/>
    <d v="2021-03-19T00:00:00"/>
    <n v="153"/>
    <x v="0"/>
    <x v="14"/>
  </r>
  <r>
    <m/>
    <m/>
    <s v="ALUGUEL"/>
    <s v="TYJAUSA - LOCAMAQ - VCTO 16/03"/>
    <d v="2021-03-19T00:00:00"/>
    <n v="491.47"/>
    <x v="0"/>
    <x v="14"/>
  </r>
  <r>
    <m/>
    <m/>
    <s v="ALIMENTACAO"/>
    <s v="REST TIO JOAO - vcto 17/03"/>
    <d v="2021-03-19T00:00:00"/>
    <n v="2164.48"/>
    <x v="1"/>
    <x v="14"/>
  </r>
  <r>
    <m/>
    <m/>
    <s v="ALUGUEL"/>
    <s v="CANTON E FREITAS"/>
    <d v="2021-03-19T00:00:00"/>
    <n v="110"/>
    <x v="0"/>
    <x v="14"/>
  </r>
  <r>
    <m/>
    <m/>
    <s v="TERCEIROS"/>
    <s v="BRAS PRESS - FRETE ASPMAQ"/>
    <d v="2021-03-19T00:00:00"/>
    <n v="138.94999999999999"/>
    <x v="0"/>
    <x v="14"/>
  </r>
  <r>
    <m/>
    <m/>
    <s v="ENCARGOS"/>
    <s v="INSS - somente parte funcionarios"/>
    <d v="2021-03-19T00:00:00"/>
    <n v="1573.72"/>
    <x v="0"/>
    <x v="14"/>
  </r>
  <r>
    <m/>
    <m/>
    <s v="ENCARGOS"/>
    <s v="INSS"/>
    <d v="2021-03-19T00:00:00"/>
    <n v="11424.93"/>
    <x v="1"/>
    <x v="14"/>
  </r>
  <r>
    <m/>
    <m/>
    <s v="SOCIOS"/>
    <s v="SEGURO STRADA LUIS - 06/07"/>
    <d v="2021-03-19T00:00:00"/>
    <n v="216.67"/>
    <x v="2"/>
    <x v="14"/>
  </r>
  <r>
    <m/>
    <m/>
    <s v="RESCISAO "/>
    <s v="HELIO DE CASTRO"/>
    <d v="2021-03-19T00:00:00"/>
    <n v="2049.25"/>
    <x v="1"/>
    <x v="14"/>
  </r>
  <r>
    <m/>
    <m/>
    <s v="RESCISAO "/>
    <s v="ADRIANO PEREIRA"/>
    <d v="2021-03-19T00:00:00"/>
    <n v="2528.36"/>
    <x v="1"/>
    <x v="14"/>
  </r>
  <r>
    <m/>
    <m/>
    <s v="RESCISAO "/>
    <s v="FGTS RESCISORIO - HELIO e ADRIANO"/>
    <d v="2021-03-19T00:00:00"/>
    <n v="265.64"/>
    <x v="1"/>
    <x v="14"/>
  </r>
  <r>
    <m/>
    <m/>
    <s v="ASSESSORIA"/>
    <s v="HOLUS "/>
    <d v="2021-03-19T00:00:00"/>
    <n v="220"/>
    <x v="0"/>
    <x v="14"/>
  </r>
  <r>
    <m/>
    <m/>
    <s v="VEICULOS"/>
    <s v="MECANIA ADEMIR"/>
    <d v="2021-03-19T00:00:00"/>
    <n v="553.34"/>
    <x v="0"/>
    <x v="14"/>
  </r>
  <r>
    <m/>
    <m/>
    <s v="TERCEIROS"/>
    <s v="LIMPEZA - MARCIA"/>
    <d v="2021-03-19T00:00:00"/>
    <n v="70"/>
    <x v="1"/>
    <x v="14"/>
  </r>
  <r>
    <m/>
    <m/>
    <s v="ALIMENTACAO"/>
    <s v="CANTINA DELA COLINA "/>
    <d v="2021-03-19T00:00:00"/>
    <n v="1000"/>
    <x v="1"/>
    <x v="14"/>
  </r>
  <r>
    <m/>
    <m/>
    <s v="TRANSPORTE"/>
    <s v="VISATE - 45 CARTOES"/>
    <d v="2021-03-19T00:00:00"/>
    <n v="837"/>
    <x v="1"/>
    <x v="14"/>
  </r>
  <r>
    <m/>
    <m/>
    <s v="TERCEIROS"/>
    <s v="ROGERIO - ENGENHEIRO - NF 1452 VOLARE (R$ 10.000,00)"/>
    <d v="2021-03-19T00:00:00"/>
    <n v="3500"/>
    <x v="1"/>
    <x v="14"/>
  </r>
  <r>
    <m/>
    <m/>
    <s v="EPI"/>
    <s v="JUSTINA - cheque Seman"/>
    <d v="2021-03-20T00:00:00"/>
    <n v="2137"/>
    <x v="1"/>
    <x v="15"/>
  </r>
  <r>
    <m/>
    <m/>
    <s v="TRANSPORTE"/>
    <s v="VISATE - 40 CARTOES - cheque Seman"/>
    <d v="2021-03-21T00:00:00"/>
    <n v="744"/>
    <x v="1"/>
    <x v="15"/>
  </r>
  <r>
    <m/>
    <m/>
    <s v="FÉRIAS"/>
    <s v="FABIANA DECO - PARCELA 01/03 - cheque Banrisul"/>
    <d v="2021-03-22T00:00:00"/>
    <n v="1825"/>
    <x v="0"/>
    <x v="15"/>
  </r>
  <r>
    <m/>
    <m/>
    <s v="EXPEDIENTE"/>
    <s v="simoquimica nf 189714 debito cartão"/>
    <d v="2021-03-22T00:00:00"/>
    <n v="164.15"/>
    <x v="1"/>
    <x v="15"/>
  </r>
  <r>
    <m/>
    <m/>
    <s v="EPI"/>
    <s v="ALSCO"/>
    <d v="2021-03-22T00:00:00"/>
    <n v="101.26"/>
    <x v="1"/>
    <x v="15"/>
  </r>
  <r>
    <m/>
    <m/>
    <s v="EPI"/>
    <s v="ALSCO"/>
    <d v="2021-03-22T00:00:00"/>
    <n v="346.28"/>
    <x v="1"/>
    <x v="15"/>
  </r>
  <r>
    <m/>
    <m/>
    <s v="SEGURO"/>
    <s v="ROGERIO - 04/06"/>
    <d v="2021-03-22T00:00:00"/>
    <n v="645.61"/>
    <x v="2"/>
    <x v="15"/>
  </r>
  <r>
    <m/>
    <m/>
    <s v="EPI"/>
    <s v="ZAPA"/>
    <d v="2021-03-22T00:00:00"/>
    <n v="144.83000000000001"/>
    <x v="1"/>
    <x v="15"/>
  </r>
  <r>
    <m/>
    <m/>
    <s v="COMBUSTIVEL"/>
    <s v="flavio saque bb"/>
    <d v="2021-03-22T00:00:00"/>
    <n v="60"/>
    <x v="1"/>
    <x v="15"/>
  </r>
  <r>
    <m/>
    <m/>
    <s v="MATERIAL"/>
    <s v="fusopar  - mat Wsul debito"/>
    <d v="2021-03-22T00:00:00"/>
    <n v="481.39"/>
    <x v="1"/>
    <x v="15"/>
  </r>
  <r>
    <m/>
    <m/>
    <s v="MANUTENCAO "/>
    <s v="STEDILE"/>
    <d v="2021-03-22T00:00:00"/>
    <n v="148.71"/>
    <x v="0"/>
    <x v="15"/>
  </r>
  <r>
    <m/>
    <m/>
    <s v="RECLAMATORIA"/>
    <s v="ATANAIR - 04/10 - VIA JUSTICA"/>
    <d v="2021-03-22T00:00:00"/>
    <n v="2000"/>
    <x v="1"/>
    <x v="15"/>
  </r>
  <r>
    <m/>
    <m/>
    <s v="ENCARGOS"/>
    <s v="FGTS - vcto 05/02 - pagar ate 30/03/21"/>
    <d v="2021-03-23T00:00:00"/>
    <n v="10664.45"/>
    <x v="1"/>
    <x v="16"/>
  </r>
  <r>
    <m/>
    <m/>
    <s v="ENCARGOS"/>
    <s v="FGTS - vcto 05/02 - dif dissidio - pagar ate 30/03/21"/>
    <d v="2021-03-23T00:00:00"/>
    <n v="374.96"/>
    <x v="1"/>
    <x v="16"/>
  </r>
  <r>
    <m/>
    <m/>
    <s v="EXPEDIENTE"/>
    <s v="atc  pic - computador segurança"/>
    <d v="2021-03-23T00:00:00"/>
    <n v="130"/>
    <x v="1"/>
    <x v="16"/>
  </r>
  <r>
    <m/>
    <m/>
    <s v="ALIMENTACAO"/>
    <s v="ALIMENTAR - aviso de cartorio"/>
    <d v="2021-03-23T00:00:00"/>
    <n v="3554.42"/>
    <x v="1"/>
    <x v="16"/>
  </r>
  <r>
    <m/>
    <m/>
    <s v="SALARIOS"/>
    <s v="extras mecancia caxias do sul"/>
    <d v="2021-03-23T00:00:00"/>
    <n v="2386"/>
    <x v="1"/>
    <x v="16"/>
  </r>
  <r>
    <m/>
    <m/>
    <s v="FÉRIAS"/>
    <s v="SALETE PAIM MACIEL - vcto 19/02 - saldo"/>
    <d v="2021-03-24T00:00:00"/>
    <n v="1180"/>
    <x v="1"/>
    <x v="17"/>
  </r>
  <r>
    <m/>
    <m/>
    <s v="SEGURO"/>
    <s v="PAVILHAO - 03/04 - debito automatico banrisul ate 25/03"/>
    <d v="2021-03-24T00:00:00"/>
    <n v="319.91000000000003"/>
    <x v="0"/>
    <x v="17"/>
  </r>
  <r>
    <m/>
    <m/>
    <s v="RESCISAO "/>
    <s v="multa fgts Mame"/>
    <d v="2021-03-24T00:00:00"/>
    <n v="8.06"/>
    <x v="1"/>
    <x v="17"/>
  </r>
  <r>
    <m/>
    <m/>
    <s v="COMBUSTIVEL"/>
    <s v="gabriel Librelato"/>
    <d v="2021-03-25T00:00:00"/>
    <n v="300"/>
    <x v="1"/>
    <x v="18"/>
  </r>
  <r>
    <m/>
    <m/>
    <s v="SALARIOS"/>
    <s v="EXTRAS CIFERAL/VOLARE"/>
    <d v="2021-03-25T00:00:00"/>
    <n v="9797"/>
    <x v="1"/>
    <x v="18"/>
  </r>
  <r>
    <m/>
    <m/>
    <s v="SALARIOS"/>
    <s v="EXTRAS LIMPEZA"/>
    <d v="2021-03-25T00:00:00"/>
    <n v="1427"/>
    <x v="1"/>
    <x v="18"/>
  </r>
  <r>
    <m/>
    <m/>
    <s v="SALARIOS"/>
    <s v="extras Nelci"/>
    <d v="2021-03-25T00:00:00"/>
    <n v="432"/>
    <x v="1"/>
    <x v="18"/>
  </r>
  <r>
    <m/>
    <m/>
    <s v="SALARIOS"/>
    <s v="EXTRAS Ramon"/>
    <d v="2021-03-25T00:00:00"/>
    <n v="1711"/>
    <x v="1"/>
    <x v="18"/>
  </r>
  <r>
    <m/>
    <m/>
    <s v="SALARIOS"/>
    <s v="extras limpeza bco horas   "/>
    <d v="2021-03-25T00:00:00"/>
    <n v="995"/>
    <x v="1"/>
    <x v="18"/>
  </r>
  <r>
    <m/>
    <m/>
    <s v="BONUS"/>
    <s v="BONUS   17"/>
    <d v="2021-03-25T00:00:00"/>
    <n v="2040"/>
    <x v="1"/>
    <x v="18"/>
  </r>
  <r>
    <m/>
    <m/>
    <s v="COMBUSTIVEL"/>
    <s v="gas Gabriel"/>
    <d v="2021-03-25T00:00:00"/>
    <n v="100"/>
    <x v="1"/>
    <x v="18"/>
  </r>
  <r>
    <m/>
    <m/>
    <s v="RESCISAO "/>
    <s v="rct Mame Mbaye Ndiaye"/>
    <d v="2021-03-25T00:00:00"/>
    <n v="250"/>
    <x v="1"/>
    <x v="18"/>
  </r>
  <r>
    <m/>
    <m/>
    <s v="COMISSAO"/>
    <s v="TIAGO 1/3 - NF NEOBUS - SALDO FINAL - NF 1401 NF 1476 3.970,00 SAQUE "/>
    <d v="2021-03-25T00:00:00"/>
    <n v="6418"/>
    <x v="1"/>
    <x v="18"/>
  </r>
  <r>
    <m/>
    <m/>
    <s v="ACORDO"/>
    <s v="MICROEMPA - 01/13"/>
    <d v="2021-03-25T00:00:00"/>
    <n v="500"/>
    <x v="4"/>
    <x v="18"/>
  </r>
  <r>
    <m/>
    <m/>
    <s v="ASSESSORIA"/>
    <s v="VISAO"/>
    <d v="2021-03-25T00:00:00"/>
    <n v="3250"/>
    <x v="1"/>
    <x v="18"/>
  </r>
  <r>
    <m/>
    <m/>
    <s v="TRANSPORTE"/>
    <s v="VAN - VCTO 16/03 - sado"/>
    <d v="2021-03-25T00:00:00"/>
    <n v="3572"/>
    <x v="1"/>
    <x v="18"/>
  </r>
  <r>
    <m/>
    <m/>
    <s v="EPI"/>
    <s v="majuseg"/>
    <d v="2021-03-25T00:00:00"/>
    <n v="790.31"/>
    <x v="1"/>
    <x v="18"/>
  </r>
  <r>
    <m/>
    <m/>
    <s v="SOCIOS"/>
    <s v="RETIRADA LUIS BERTONCELLO"/>
    <d v="2021-03-26T00:00:00"/>
    <n v="2500"/>
    <x v="2"/>
    <x v="19"/>
  </r>
  <r>
    <m/>
    <m/>
    <s v="SOCIOS"/>
    <s v="RETIRADA PAULO SILVA"/>
    <d v="2021-03-26T00:00:00"/>
    <n v="3000"/>
    <x v="2"/>
    <x v="19"/>
  </r>
  <r>
    <m/>
    <m/>
    <s v="SOCIOS"/>
    <s v="RETIRADA ROGERIO"/>
    <d v="2021-03-26T00:00:00"/>
    <n v="2000"/>
    <x v="2"/>
    <x v="19"/>
  </r>
  <r>
    <m/>
    <m/>
    <s v="SOCIOS"/>
    <s v="GUIA INSS LUIS BERTONCELLO - MÊS 10/2020"/>
    <d v="2021-03-26T00:00:00"/>
    <n v="1482"/>
    <x v="2"/>
    <x v="19"/>
  </r>
  <r>
    <m/>
    <m/>
    <s v="MATERIAL"/>
    <s v="lf silveira debito"/>
    <d v="2021-03-26T00:00:00"/>
    <n v="364.2"/>
    <x v="1"/>
    <x v="19"/>
  </r>
  <r>
    <m/>
    <m/>
    <s v="MATERIAL"/>
    <s v="lf  nf 76275 debito cartão"/>
    <d v="2021-03-26T00:00:00"/>
    <n v="567"/>
    <x v="1"/>
    <x v="19"/>
  </r>
  <r>
    <m/>
    <m/>
    <s v="VIAGEM"/>
    <s v="Flavio chapeco Randon -  saque bb"/>
    <d v="2021-03-26T00:00:00"/>
    <n v="750"/>
    <x v="1"/>
    <x v="19"/>
  </r>
  <r>
    <m/>
    <m/>
    <s v="VIAGEM"/>
    <s v="conbustivel gabriel librelato - sque bb"/>
    <d v="2021-03-26T00:00:00"/>
    <n v="100"/>
    <x v="1"/>
    <x v="19"/>
  </r>
  <r>
    <m/>
    <m/>
    <s v="EXPEDIENTE"/>
    <s v="liceis debito cartão nf 40433"/>
    <d v="2021-03-26T00:00:00"/>
    <n v="17.7"/>
    <x v="1"/>
    <x v="19"/>
  </r>
  <r>
    <m/>
    <m/>
    <s v="ALIMENTACAO"/>
    <s v="REST BOM TEMPERO - VCTO 15/03 - deposito"/>
    <d v="2021-03-26T00:00:00"/>
    <n v="1745.46"/>
    <x v="1"/>
    <x v="19"/>
  </r>
  <r>
    <m/>
    <m/>
    <s v="SALARIOS"/>
    <s v="SALARIOS - Librelato - devolver Renovar  cheque"/>
    <d v="2021-03-26T00:00:00"/>
    <n v="4029"/>
    <x v="1"/>
    <x v="19"/>
  </r>
  <r>
    <m/>
    <m/>
    <s v="ACORDO"/>
    <s v="BOX RAPIDO - 02/10"/>
    <d v="2021-03-27T00:00:00"/>
    <n v="444.18"/>
    <x v="0"/>
    <x v="20"/>
  </r>
  <r>
    <m/>
    <m/>
    <s v="INFORMATICA"/>
    <s v="CORPORATIVA TI - vcto 18/03"/>
    <d v="2021-03-28T00:00:00"/>
    <n v="250"/>
    <x v="0"/>
    <x v="20"/>
  </r>
  <r>
    <m/>
    <m/>
    <s v="ENCARGOS"/>
    <s v="FGTS - vcto 05/02 - pedir nova guia"/>
    <d v="2021-03-29T00:00:00"/>
    <n v="1319.9"/>
    <x v="0"/>
    <x v="20"/>
  </r>
  <r>
    <m/>
    <m/>
    <s v="TERCEIROS"/>
    <s v="concato"/>
    <d v="2021-03-29T00:00:00"/>
    <n v="60"/>
    <x v="1"/>
    <x v="20"/>
  </r>
  <r>
    <m/>
    <m/>
    <s v="TERCEIROS"/>
    <s v="MARCIA"/>
    <d v="2021-03-29T00:00:00"/>
    <n v="70"/>
    <x v="1"/>
    <x v="20"/>
  </r>
  <r>
    <m/>
    <m/>
    <s v="EPI"/>
    <s v="ZAPA"/>
    <d v="2021-03-29T00:00:00"/>
    <n v="477.95"/>
    <x v="1"/>
    <x v="20"/>
  </r>
  <r>
    <m/>
    <m/>
    <s v="MATERIAL"/>
    <s v="LF SILVEIRA"/>
    <d v="2021-03-29T00:00:00"/>
    <n v="313"/>
    <x v="1"/>
    <x v="20"/>
  </r>
  <r>
    <m/>
    <m/>
    <s v="TRANSPORTE"/>
    <s v="CARTAO SMART"/>
    <d v="2021-03-30T00:00:00"/>
    <n v="186"/>
    <x v="0"/>
    <x v="21"/>
  </r>
  <r>
    <m/>
    <m/>
    <s v="TERCEIROS"/>
    <s v="OLIVEIRA E PERES - Inst.Reg.Imobiliario "/>
    <d v="2021-03-30T00:00:00"/>
    <n v="27.66"/>
    <x v="1"/>
    <x v="21"/>
  </r>
  <r>
    <m/>
    <m/>
    <s v="ALIMENTACAO"/>
    <s v="BISTRO LUCAS RAMOS - boleto"/>
    <d v="2021-03-30T00:00:00"/>
    <n v="1410"/>
    <x v="0"/>
    <x v="21"/>
  </r>
  <r>
    <m/>
    <m/>
    <s v="VIAGEM"/>
    <s v="CAIXINHA JOEL"/>
    <d v="2021-03-30T00:00:00"/>
    <n v="2624"/>
    <x v="1"/>
    <x v="21"/>
  </r>
  <r>
    <m/>
    <m/>
    <s v="MATERIAL"/>
    <s v="LF SILVEIRA"/>
    <d v="2021-03-30T00:00:00"/>
    <n v="58"/>
    <x v="1"/>
    <x v="21"/>
  </r>
  <r>
    <m/>
    <m/>
    <s v="CAIXINHA"/>
    <s v="CAIXINHA "/>
    <d v="2021-03-30T00:00:00"/>
    <n v="320"/>
    <x v="1"/>
    <x v="21"/>
  </r>
  <r>
    <m/>
    <m/>
    <s v="EPI"/>
    <s v="MAJUSEG"/>
    <d v="2021-03-31T00:00:00"/>
    <n v="1214"/>
    <x v="1"/>
    <x v="22"/>
  </r>
  <r>
    <m/>
    <m/>
    <s v="PARCELAMENTO"/>
    <s v="ISS - PARC.15/32 -VCTO 16/03"/>
    <d v="2021-03-31T00:00:00"/>
    <n v="706"/>
    <x v="1"/>
    <x v="22"/>
  </r>
  <r>
    <m/>
    <m/>
    <s v="PARCELAMENTO"/>
    <s v="ISS - PARC.16/60 - vcto 17/03"/>
    <d v="2021-03-31T00:00:00"/>
    <n v="406.26"/>
    <x v="1"/>
    <x v="22"/>
  </r>
  <r>
    <m/>
    <m/>
    <s v="CURSO"/>
    <s v="TREINAMENTO VOLARE - JOAO VITOR"/>
    <d v="2021-03-31T00:00:00"/>
    <n v="800"/>
    <x v="1"/>
    <x v="22"/>
  </r>
  <r>
    <m/>
    <m/>
    <s v="EPI"/>
    <s v="CORSUL"/>
    <d v="2021-03-31T00:00:00"/>
    <n v="1643.58"/>
    <x v="1"/>
    <x v="22"/>
  </r>
  <r>
    <m/>
    <m/>
    <s v="ASSESSORIA"/>
    <s v="GT3 - vcto 22/03"/>
    <d v="2021-03-31T00:00:00"/>
    <n v="757.27"/>
    <x v="1"/>
    <x v="22"/>
  </r>
  <r>
    <m/>
    <m/>
    <s v="SOCIOS"/>
    <s v="IPVA RUBENS PINTO"/>
    <d v="2021-03-31T00:00:00"/>
    <n v="930.04"/>
    <x v="2"/>
    <x v="22"/>
  </r>
  <r>
    <m/>
    <m/>
    <s v="MATERIAL"/>
    <s v="DIFERRO"/>
    <d v="2021-03-31T00:00:00"/>
    <n v="99.33"/>
    <x v="0"/>
    <x v="22"/>
  </r>
  <r>
    <m/>
    <m/>
    <s v="ASSESSORIA"/>
    <s v="GERENCIAL - vcto 28/02/20"/>
    <d v="2021-03-31T00:00:00"/>
    <n v="1600"/>
    <x v="0"/>
    <x v="22"/>
  </r>
  <r>
    <m/>
    <m/>
    <s v="SOCIOS"/>
    <s v="GUIA INSS LUIS BERTONCELLO - MÊS 11/2020"/>
    <d v="2021-03-31T00:00:00"/>
    <n v="1479.8"/>
    <x v="2"/>
    <x v="22"/>
  </r>
  <r>
    <m/>
    <m/>
    <s v="COMBUSTIVEL"/>
    <s v="REEMBOLSAR ROGERIO"/>
    <d v="2021-03-31T00:00:00"/>
    <n v="150"/>
    <x v="2"/>
    <x v="22"/>
  </r>
  <r>
    <m/>
    <m/>
    <s v="ALIMENTACAO"/>
    <s v="RESTAURANTE ZAPAROLLI"/>
    <d v="2021-03-31T00:00:00"/>
    <n v="3369.36"/>
    <x v="0"/>
    <x v="22"/>
  </r>
  <r>
    <m/>
    <m/>
    <s v="VIAGEM"/>
    <s v="VOB HOTEL"/>
    <d v="2021-03-31T00:00:00"/>
    <n v="573"/>
    <x v="1"/>
    <x v="22"/>
  </r>
  <r>
    <m/>
    <m/>
    <s v="MATERIAL"/>
    <s v="SIFER"/>
    <d v="2021-03-31T00:00:00"/>
    <n v="900"/>
    <x v="0"/>
    <x v="22"/>
  </r>
  <r>
    <m/>
    <m/>
    <s v="INFORMATICA"/>
    <s v="INFOCALL"/>
    <d v="2021-03-31T00:00:00"/>
    <n v="198.96"/>
    <x v="0"/>
    <x v="22"/>
  </r>
  <r>
    <m/>
    <m/>
    <s v="EPI"/>
    <s v="ZAPA"/>
    <d v="2021-03-31T00:00:00"/>
    <n v="144.83000000000001"/>
    <x v="1"/>
    <x v="22"/>
  </r>
  <r>
    <m/>
    <m/>
    <s v="SOCIOS"/>
    <s v="CREA - RUBENS PINTO"/>
    <d v="2021-03-31T00:00:00"/>
    <n v="57.11"/>
    <x v="2"/>
    <x v="22"/>
  </r>
  <r>
    <m/>
    <m/>
    <s v="ENERGIA"/>
    <s v="RGE - vcto 04/02"/>
    <d v="2021-03-31T00:00:00"/>
    <n v="1033.72"/>
    <x v="0"/>
    <x v="22"/>
  </r>
  <r>
    <m/>
    <m/>
    <s v="PARCELAMENTO"/>
    <s v="INSS - PARC 15/60 "/>
    <d v="2021-03-31T00:00:00"/>
    <n v="1262.3499999999999"/>
    <x v="1"/>
    <x v="22"/>
  </r>
  <r>
    <m/>
    <m/>
    <s v="PARCELAMENTO"/>
    <s v="IRPJ - 03/03 "/>
    <d v="2021-03-31T00:00:00"/>
    <n v="611.66999999999996"/>
    <x v="1"/>
    <x v="22"/>
  </r>
  <r>
    <m/>
    <m/>
    <s v="PARCELAMENTO"/>
    <s v="SIMPLES - 02/60"/>
    <d v="2021-03-31T00:00:00"/>
    <n v="10398.84"/>
    <x v="1"/>
    <x v="22"/>
  </r>
  <r>
    <m/>
    <m/>
    <s v="PARCELAMENTO"/>
    <s v="CSLL - DEBITO BB "/>
    <d v="2021-03-31T00:00:00"/>
    <n v="523.5"/>
    <x v="1"/>
    <x v="2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211">
  <r>
    <m/>
    <m/>
    <s v="IMPOSTOS"/>
    <s v="ART - BONDIOLLI/BUZZATTI"/>
    <d v="2021-02-01T00:00:00"/>
    <n v="88.78"/>
    <x v="0"/>
    <x v="0"/>
  </r>
  <r>
    <m/>
    <m/>
    <s v="BANCOS"/>
    <s v="JUROS E DESPESAS BANCARIAS"/>
    <d v="2021-02-01T00:00:00"/>
    <n v="3917.49"/>
    <x v="0"/>
    <x v="0"/>
  </r>
  <r>
    <m/>
    <m/>
    <s v="EPI"/>
    <s v="JUSTINA "/>
    <d v="2021-02-01T00:00:00"/>
    <n v="787.5"/>
    <x v="1"/>
    <x v="0"/>
  </r>
  <r>
    <m/>
    <m/>
    <s v="TERCEIROS"/>
    <s v="MARCIA - LIMPEZA - (devo 20,00)"/>
    <d v="2021-02-02T00:00:00"/>
    <n v="50"/>
    <x v="1"/>
    <x v="1"/>
  </r>
  <r>
    <m/>
    <m/>
    <s v="TRANSPORTE"/>
    <s v="VISATE - 28 CARTOES"/>
    <d v="2021-02-02T00:00:00"/>
    <n v="520.79999999999995"/>
    <x v="1"/>
    <x v="1"/>
  </r>
  <r>
    <m/>
    <m/>
    <s v="ALIMENTACAO"/>
    <s v="BOM TEMPERO - VCTO 25/01"/>
    <d v="2021-02-02T00:00:00"/>
    <n v="1363.85"/>
    <x v="1"/>
    <x v="1"/>
  </r>
  <r>
    <m/>
    <m/>
    <s v="PARCELAMENTO"/>
    <s v="SIMPLES - entrada"/>
    <d v="2021-02-03T00:00:00"/>
    <n v="151864.5"/>
    <x v="1"/>
    <x v="2"/>
  </r>
  <r>
    <m/>
    <m/>
    <s v="VIAGEM"/>
    <s v="JOEL - 03/03 - saldo"/>
    <d v="2021-02-03T00:00:00"/>
    <n v="1360"/>
    <x v="1"/>
    <x v="2"/>
  </r>
  <r>
    <m/>
    <m/>
    <s v="SOCIOS"/>
    <s v="RETIRADA PAULO SILVA"/>
    <d v="2021-02-03T00:00:00"/>
    <n v="300"/>
    <x v="2"/>
    <x v="2"/>
  </r>
  <r>
    <m/>
    <m/>
    <s v="PARCELAMENTO"/>
    <s v="EMPRESTIMO FOLHA BB - 02/30"/>
    <d v="2021-02-04T00:00:00"/>
    <n v="2322.87"/>
    <x v="1"/>
    <x v="3"/>
  </r>
  <r>
    <m/>
    <m/>
    <s v="RESCISAO"/>
    <s v="ELISSANDRA TRINDADE"/>
    <d v="2021-02-04T00:00:00"/>
    <n v="459.36"/>
    <x v="1"/>
    <x v="3"/>
  </r>
  <r>
    <m/>
    <m/>
    <s v="SALARIOS"/>
    <s v="SALARIOS - arquivo"/>
    <d v="2021-02-04T00:00:00"/>
    <n v="45332"/>
    <x v="1"/>
    <x v="3"/>
  </r>
  <r>
    <m/>
    <m/>
    <s v="EPI"/>
    <s v="CORSUL"/>
    <d v="2021-02-05T00:00:00"/>
    <n v="541.82000000000005"/>
    <x v="1"/>
    <x v="4"/>
  </r>
  <r>
    <m/>
    <m/>
    <s v="TRANSPORTE"/>
    <s v="VISATE - FUNC.FLORENSE"/>
    <d v="2021-02-05T00:00:00"/>
    <n v="93"/>
    <x v="1"/>
    <x v="4"/>
  </r>
  <r>
    <m/>
    <m/>
    <s v="COMBUSTIVEL"/>
    <s v="COMBUSTIVEL: 458,00 Librelato - uno flavio + 100 uno cleber"/>
    <d v="2021-02-05T00:00:00"/>
    <n v="558"/>
    <x v="1"/>
    <x v="4"/>
  </r>
  <r>
    <m/>
    <m/>
    <s v="COMBUSTIVEL"/>
    <s v="LUIS BERTONCELLO"/>
    <d v="2021-02-05T00:00:00"/>
    <n v="150"/>
    <x v="2"/>
    <x v="4"/>
  </r>
  <r>
    <m/>
    <m/>
    <s v="COMBUSTIVEL"/>
    <s v="ROGERIO"/>
    <d v="2021-02-05T00:00:00"/>
    <n v="100"/>
    <x v="2"/>
    <x v="4"/>
  </r>
  <r>
    <m/>
    <m/>
    <s v="TRANSPORTE"/>
    <s v="UBER - EXAMES 03 FUNCIONARIOS CRICIUMA"/>
    <d v="2021-02-05T00:00:00"/>
    <n v="140"/>
    <x v="1"/>
    <x v="4"/>
  </r>
  <r>
    <m/>
    <m/>
    <s v="SOCIOS"/>
    <s v="LUIS BERTONCELLO"/>
    <d v="2021-02-05T00:00:00"/>
    <n v="300"/>
    <x v="2"/>
    <x v="4"/>
  </r>
  <r>
    <m/>
    <m/>
    <s v="ACORDO"/>
    <s v="ARTHUR - CIFERAL - 01/08 - vcto 18/12 - SR.PAULO/JOEL"/>
    <d v="2021-02-05T00:00:00"/>
    <n v="1500"/>
    <x v="1"/>
    <x v="4"/>
  </r>
  <r>
    <m/>
    <m/>
    <s v="ACORDO"/>
    <s v="LEONARDO - CIFERAL - 01/14 - vcto 18/12 - SR.PAULO/JOEL"/>
    <d v="2021-02-05T00:00:00"/>
    <n v="1500"/>
    <x v="1"/>
    <x v="4"/>
  </r>
  <r>
    <m/>
    <m/>
    <s v="ACORDO"/>
    <s v="SAMUEL - CIFERAL - 01/09 - vcto 18/12 - SR.PAULO/JOEL"/>
    <d v="2021-02-05T00:00:00"/>
    <n v="1500"/>
    <x v="1"/>
    <x v="4"/>
  </r>
  <r>
    <m/>
    <m/>
    <s v="SEGURO"/>
    <s v="ROGERIO - 02/06 - ULTIMO PRAZO - SEM FALTA"/>
    <d v="2021-02-05T00:00:00"/>
    <n v="678.5"/>
    <x v="2"/>
    <x v="4"/>
  </r>
  <r>
    <m/>
    <m/>
    <s v="VIAGEM"/>
    <s v="VOB HOTEL - vcto 30/01 -sem falta"/>
    <d v="2021-02-05T00:00:00"/>
    <n v="249"/>
    <x v="1"/>
    <x v="4"/>
  </r>
  <r>
    <m/>
    <m/>
    <s v="ALIMENTACAO"/>
    <s v="BAR E RESTAURANTE TIO JOAO - vcto 18/01 -sem falta"/>
    <d v="2021-02-05T00:00:00"/>
    <n v="2569.25"/>
    <x v="1"/>
    <x v="4"/>
  </r>
  <r>
    <m/>
    <m/>
    <s v="EPI"/>
    <s v="ZAPA - vcto 01/02 - parcela 01/03"/>
    <d v="2021-02-05T00:00:00"/>
    <n v="286.29000000000002"/>
    <x v="1"/>
    <x v="4"/>
  </r>
  <r>
    <m/>
    <m/>
    <s v="SALARIOS"/>
    <s v="VOLARE"/>
    <d v="2021-02-05T00:00:00"/>
    <n v="16971"/>
    <x v="1"/>
    <x v="4"/>
  </r>
  <r>
    <m/>
    <m/>
    <s v="SALARIOS"/>
    <s v="SALARIOS - dinheiro "/>
    <d v="2021-02-05T00:00:00"/>
    <n v="8358"/>
    <x v="1"/>
    <x v="4"/>
  </r>
  <r>
    <m/>
    <m/>
    <s v="MATERIAL"/>
    <s v="MAXIFERRO"/>
    <d v="2021-02-05T00:00:00"/>
    <n v="88"/>
    <x v="0"/>
    <x v="4"/>
  </r>
  <r>
    <m/>
    <m/>
    <s v="TERCEIROS"/>
    <s v="PROMED - PARCELA 03 EM ATRASO"/>
    <d v="2021-02-05T00:00:00"/>
    <n v="2144.44"/>
    <x v="1"/>
    <x v="4"/>
  </r>
  <r>
    <m/>
    <m/>
    <s v="EPI"/>
    <s v="MAJUSEG"/>
    <d v="2021-02-06T00:00:00"/>
    <n v="1176.58"/>
    <x v="1"/>
    <x v="5"/>
  </r>
  <r>
    <m/>
    <m/>
    <s v="RESCISAO"/>
    <s v="ALISON RAMIRES GARCIA"/>
    <d v="2021-02-08T00:00:00"/>
    <n v="1645.76"/>
    <x v="1"/>
    <x v="5"/>
  </r>
  <r>
    <m/>
    <m/>
    <s v="EPI"/>
    <s v="MAJUSEG"/>
    <d v="2021-02-08T00:00:00"/>
    <n v="1665.74"/>
    <x v="1"/>
    <x v="5"/>
  </r>
  <r>
    <m/>
    <m/>
    <s v="PARCELAMENTO"/>
    <s v="EMPRESTIMO FOLHA BB - 03/30"/>
    <d v="2021-02-08T00:00:00"/>
    <n v="2236.36"/>
    <x v="1"/>
    <x v="5"/>
  </r>
  <r>
    <m/>
    <m/>
    <s v="SALARIOS"/>
    <s v="SALARIOS - outras contas"/>
    <d v="2021-02-08T00:00:00"/>
    <n v="37217.019999999997"/>
    <x v="1"/>
    <x v="5"/>
  </r>
  <r>
    <m/>
    <m/>
    <s v="SALARIOS"/>
    <s v="SALARIOS"/>
    <d v="2021-02-08T00:00:00"/>
    <n v="8263"/>
    <x v="0"/>
    <x v="5"/>
  </r>
  <r>
    <m/>
    <m/>
    <s v="SALARIOS"/>
    <s v="PAULO EDUARDO (salario + reembolso contas)"/>
    <d v="2021-02-08T00:00:00"/>
    <n v="2930"/>
    <x v="1"/>
    <x v="5"/>
  </r>
  <r>
    <m/>
    <m/>
    <s v="SALARIOS"/>
    <s v="PENSAO ALIMENTICIA"/>
    <d v="2021-02-08T00:00:00"/>
    <n v="2751.2400000000002"/>
    <x v="1"/>
    <x v="5"/>
  </r>
  <r>
    <m/>
    <m/>
    <s v="SOCIOS"/>
    <s v="GAS - LUIS BERTONCELLO"/>
    <d v="2021-02-08T00:00:00"/>
    <n v="160.62"/>
    <x v="2"/>
    <x v="5"/>
  </r>
  <r>
    <m/>
    <m/>
    <s v="ALUGUEL"/>
    <s v="CASA DO CONSTRUTOR - ASPIRADOR E ROMPEDOR - CRICIUMA"/>
    <d v="2021-02-08T00:00:00"/>
    <n v="596.1"/>
    <x v="1"/>
    <x v="5"/>
  </r>
  <r>
    <m/>
    <m/>
    <s v="TERCEIROS"/>
    <s v="MARCIA - LIMPEZA - (20,00 semana anterior + 70,00)"/>
    <d v="2021-02-08T00:00:00"/>
    <n v="90"/>
    <x v="1"/>
    <x v="5"/>
  </r>
  <r>
    <m/>
    <m/>
    <s v="VEICULOS"/>
    <s v="ESTACIONAMENTO MENSAL UNO FLAVIO"/>
    <d v="2021-02-08T00:00:00"/>
    <n v="60"/>
    <x v="1"/>
    <x v="5"/>
  </r>
  <r>
    <m/>
    <m/>
    <s v="COMBUSTIVEL"/>
    <s v="UNO CLEBER - FLORENSE"/>
    <d v="2021-02-09T00:00:00"/>
    <n v="50"/>
    <x v="1"/>
    <x v="6"/>
  </r>
  <r>
    <m/>
    <m/>
    <s v="ALIMENTACAO"/>
    <s v="ZAPAROLLI - parcela 01/02 - vcto 01/02"/>
    <d v="2021-02-09T00:00:00"/>
    <n v="2663"/>
    <x v="0"/>
    <x v="6"/>
  </r>
  <r>
    <m/>
    <m/>
    <s v="EPI"/>
    <s v="ZAPA"/>
    <d v="2021-02-09T00:00:00"/>
    <n v="287.2"/>
    <x v="1"/>
    <x v="6"/>
  </r>
  <r>
    <m/>
    <m/>
    <s v="SOCIOS"/>
    <s v="SEGURO DE VIDA RUBENS PINTO - Dalnir solicitar boleto"/>
    <d v="2021-02-09T00:00:00"/>
    <n v="725"/>
    <x v="2"/>
    <x v="6"/>
  </r>
  <r>
    <m/>
    <m/>
    <s v="RESCISAO"/>
    <s v="FGTS RESCISORIO NATHAN"/>
    <d v="2021-02-09T00:00:00"/>
    <n v="716.61"/>
    <x v="1"/>
    <x v="6"/>
  </r>
  <r>
    <m/>
    <m/>
    <s v="RESCISAO"/>
    <s v="FGTS RESCISORIO ANDELSON"/>
    <d v="2021-02-09T00:00:00"/>
    <n v="1152.83"/>
    <x v="1"/>
    <x v="6"/>
  </r>
  <r>
    <m/>
    <m/>
    <s v="VIAGEM"/>
    <s v="JOEL - 01/03"/>
    <d v="2021-02-09T00:00:00"/>
    <n v="2618"/>
    <x v="1"/>
    <x v="6"/>
  </r>
  <r>
    <m/>
    <m/>
    <s v="ALIMENTACAO"/>
    <s v="ALIMENTAR - acordo - 01/02 - sem falta (bloqueado)"/>
    <d v="2021-02-09T00:00:00"/>
    <n v="2409.61"/>
    <x v="1"/>
    <x v="6"/>
  </r>
  <r>
    <m/>
    <m/>
    <s v="VEICULOS"/>
    <s v="MECANICA ADEMIR - UNO CLEBER - 02/02 - vcto 15/01 - Ligar p/ combinar deposito com Rose"/>
    <d v="2021-02-09T00:00:00"/>
    <n v="416.01"/>
    <x v="0"/>
    <x v="6"/>
  </r>
  <r>
    <m/>
    <m/>
    <s v="ASSESSORIA"/>
    <s v="VISAO - VENCIDO EM  05/02"/>
    <d v="2021-02-09T00:00:00"/>
    <n v="150"/>
    <x v="1"/>
    <x v="6"/>
  </r>
  <r>
    <m/>
    <m/>
    <s v="SOCIOS"/>
    <s v="RETIRADA ROGERIO"/>
    <d v="2021-02-09T00:00:00"/>
    <n v="3000"/>
    <x v="2"/>
    <x v="6"/>
  </r>
  <r>
    <m/>
    <m/>
    <s v="SOCIOS"/>
    <s v="RETIRADA LUIS BERTONCELLO"/>
    <d v="2021-02-09T00:00:00"/>
    <n v="2500"/>
    <x v="2"/>
    <x v="6"/>
  </r>
  <r>
    <m/>
    <m/>
    <s v="SOCIOS"/>
    <s v="RETIRADA PAULO SILVA"/>
    <d v="2021-02-09T00:00:00"/>
    <n v="2000"/>
    <x v="2"/>
    <x v="6"/>
  </r>
  <r>
    <m/>
    <m/>
    <s v="VEICULOS"/>
    <s v="MECANICA ADEMIR - UNO CLEBER - 03/03 - vcto 02/02 - Ligar p/ combinar deposito com Rose"/>
    <d v="2021-02-09T00:00:00"/>
    <n v="379.66"/>
    <x v="0"/>
    <x v="6"/>
  </r>
  <r>
    <m/>
    <m/>
    <s v="TRANSPORTE"/>
    <s v="VISATE - 37 CARTOES"/>
    <d v="2021-02-09T00:00:00"/>
    <n v="688.2"/>
    <x v="1"/>
    <x v="6"/>
  </r>
  <r>
    <m/>
    <m/>
    <s v="EMPRESTIMO"/>
    <s v="VERA KARLING - parcela 06/17"/>
    <d v="2021-02-10T00:00:00"/>
    <n v="1750"/>
    <x v="1"/>
    <x v="7"/>
  </r>
  <r>
    <m/>
    <m/>
    <s v="COMISSAO"/>
    <s v="NF 1401 - VOLARE - R$ 91.500,00 - PARTE"/>
    <d v="2021-02-10T00:00:00"/>
    <n v="10000"/>
    <x v="1"/>
    <x v="7"/>
  </r>
  <r>
    <m/>
    <m/>
    <s v="RESCISAO"/>
    <s v="JOAO MARCELO"/>
    <d v="2021-02-10T00:00:00"/>
    <n v="198.06"/>
    <x v="1"/>
    <x v="7"/>
  </r>
  <r>
    <m/>
    <m/>
    <s v="SOCIOS"/>
    <s v="CASAS PAGLIARIN - VCTO 31/01 - acertado com Patricia"/>
    <d v="2021-02-10T00:00:00"/>
    <n v="1735.17"/>
    <x v="1"/>
    <x v="7"/>
  </r>
  <r>
    <m/>
    <m/>
    <s v="ACORDO"/>
    <s v="MICROEMPA - 03/05"/>
    <d v="2021-02-10T00:00:00"/>
    <n v="280"/>
    <x v="1"/>
    <x v="7"/>
  </r>
  <r>
    <m/>
    <m/>
    <s v="CONSUMO"/>
    <s v="LUCHETTI COM DE AGUA"/>
    <d v="2021-02-10T00:00:00"/>
    <n v="90"/>
    <x v="0"/>
    <x v="7"/>
  </r>
  <r>
    <m/>
    <m/>
    <s v="COMUNICACAO"/>
    <s v="NET - VCTO 20/01"/>
    <d v="2021-02-10T00:00:00"/>
    <n v="243.21"/>
    <x v="1"/>
    <x v="7"/>
  </r>
  <r>
    <m/>
    <m/>
    <s v="ASSESSORIA"/>
    <s v="VISAO"/>
    <d v="2021-02-10T00:00:00"/>
    <n v="150"/>
    <x v="1"/>
    <x v="7"/>
  </r>
  <r>
    <m/>
    <m/>
    <s v="RESCISAO"/>
    <s v="RESCISAO RAFAEL "/>
    <d v="2021-02-10T00:00:00"/>
    <n v="758.09"/>
    <x v="1"/>
    <x v="7"/>
  </r>
  <r>
    <m/>
    <m/>
    <s v="ACORDO"/>
    <s v="JEAN DEIVID - 04/04 - vcto 28/11  SEM FALTA"/>
    <d v="2021-02-11T00:00:00"/>
    <n v="1751.33"/>
    <x v="1"/>
    <x v="8"/>
  </r>
  <r>
    <m/>
    <m/>
    <s v="FÉRIAS"/>
    <s v="JESSICA BRITO DA SILVA"/>
    <d v="2021-02-11T00:00:00"/>
    <n v="471"/>
    <x v="1"/>
    <x v="8"/>
  </r>
  <r>
    <m/>
    <m/>
    <s v="FÉRIAS"/>
    <s v="TEONAS - 02/02"/>
    <d v="2021-02-11T00:00:00"/>
    <n v="2468"/>
    <x v="1"/>
    <x v="8"/>
  </r>
  <r>
    <m/>
    <m/>
    <s v="ALUGUEL"/>
    <s v="CANTON E FREITAS"/>
    <d v="2021-02-11T00:00:00"/>
    <n v="110"/>
    <x v="0"/>
    <x v="8"/>
  </r>
  <r>
    <m/>
    <m/>
    <s v="EPI"/>
    <s v="ZAPA - 02/03"/>
    <d v="2021-02-11T00:00:00"/>
    <n v="271.33"/>
    <x v="1"/>
    <x v="8"/>
  </r>
  <r>
    <m/>
    <m/>
    <s v="MATERIAL"/>
    <s v="IBP METALURGICA"/>
    <d v="2021-02-11T00:00:00"/>
    <n v="780"/>
    <x v="0"/>
    <x v="8"/>
  </r>
  <r>
    <m/>
    <m/>
    <s v="TERCEIROS"/>
    <s v="SIND EMPRESAS - EXAME VOLARE"/>
    <d v="2021-02-11T00:00:00"/>
    <n v="24.3"/>
    <x v="1"/>
    <x v="8"/>
  </r>
  <r>
    <m/>
    <m/>
    <s v="EPI"/>
    <s v="CORSUL"/>
    <d v="2021-02-11T00:00:00"/>
    <n v="465.97"/>
    <x v="1"/>
    <x v="8"/>
  </r>
  <r>
    <m/>
    <m/>
    <s v="MATERIAL"/>
    <s v="COMPRAS DIVERSAS"/>
    <d v="2021-02-11T00:00:00"/>
    <n v="211.44"/>
    <x v="0"/>
    <x v="8"/>
  </r>
  <r>
    <m/>
    <m/>
    <s v="COMUNICACAO"/>
    <s v="CLARO - VCTO 20/01 - SEM FALTA - BLOQUEIO DIA 15/02"/>
    <d v="2021-02-12T00:00:00"/>
    <n v="1446.3100000000002"/>
    <x v="0"/>
    <x v="9"/>
  </r>
  <r>
    <m/>
    <m/>
    <s v="VIAGEM"/>
    <s v="RETORNO TEONAS (RJ) - pagar paulo silva/cartao"/>
    <d v="2021-02-12T00:00:00"/>
    <n v="830"/>
    <x v="1"/>
    <x v="9"/>
  </r>
  <r>
    <m/>
    <m/>
    <s v="FÉRIAS"/>
    <s v="GABRIEL - 03/04"/>
    <d v="2021-02-12T00:00:00"/>
    <n v="1613.5"/>
    <x v="1"/>
    <x v="9"/>
  </r>
  <r>
    <m/>
    <m/>
    <s v="INFORMATICA"/>
    <s v="DIGISAM - mês corrente"/>
    <d v="2021-02-12T00:00:00"/>
    <n v="619"/>
    <x v="0"/>
    <x v="9"/>
  </r>
  <r>
    <m/>
    <m/>
    <s v="INFORMATICA"/>
    <s v="DIGISAM - vcto 09/12/2019"/>
    <d v="2021-02-12T00:00:00"/>
    <n v="1155"/>
    <x v="0"/>
    <x v="9"/>
  </r>
  <r>
    <m/>
    <m/>
    <s v="ACORDO"/>
    <s v="ANTONIO FRANCISCO - 01/08 - VCTO 26/11 - Voltou a trabalhar - pagar sem falta"/>
    <d v="2021-02-12T00:00:00"/>
    <n v="2200"/>
    <x v="1"/>
    <x v="9"/>
  </r>
  <r>
    <m/>
    <m/>
    <s v="SOCIOS"/>
    <s v="SEGURO TR4 LUIS - 06/06 - sem falta "/>
    <d v="2021-02-12T00:00:00"/>
    <n v="293.82"/>
    <x v="2"/>
    <x v="9"/>
  </r>
  <r>
    <m/>
    <m/>
    <s v="COMBUSTIVEL"/>
    <s v="ROGERIO (100,00) + FLAVIO (100,00) + LUIS (150,00)"/>
    <d v="2021-02-12T00:00:00"/>
    <n v="400"/>
    <x v="1"/>
    <x v="9"/>
  </r>
  <r>
    <m/>
    <m/>
    <s v="SOCIOS"/>
    <s v="REEMBOLSAR LUIS BERTONCELLO (saldo dezembro e janeiro)"/>
    <d v="2021-02-12T00:00:00"/>
    <n v="705.79"/>
    <x v="2"/>
    <x v="9"/>
  </r>
  <r>
    <m/>
    <m/>
    <s v="SOCIOS"/>
    <s v="REEMBOLSAR LUIS BERTONCELLO (troca de oleo - dezembro)"/>
    <d v="2021-02-12T00:00:00"/>
    <n v="250"/>
    <x v="2"/>
    <x v="9"/>
  </r>
  <r>
    <m/>
    <m/>
    <s v="SAUDE"/>
    <s v="PLANO FUNCIONARIOS - sem falta - já descontado"/>
    <d v="2021-02-12T00:00:00"/>
    <n v="880.59"/>
    <x v="1"/>
    <x v="9"/>
  </r>
  <r>
    <m/>
    <m/>
    <s v="TERCEIROS"/>
    <s v="BUZZATTI - NF NEOBUS - PARTE"/>
    <d v="2021-02-12T00:00:00"/>
    <n v="4111.3"/>
    <x v="1"/>
    <x v="9"/>
  </r>
  <r>
    <m/>
    <m/>
    <s v="EPI"/>
    <s v="MAJUSEG"/>
    <d v="2021-02-12T00:00:00"/>
    <n v="605.08000000000004"/>
    <x v="1"/>
    <x v="9"/>
  </r>
  <r>
    <m/>
    <m/>
    <m/>
    <m/>
    <d v="2021-02-13T00:00:00"/>
    <n v="0"/>
    <x v="1"/>
    <x v="10"/>
  </r>
  <r>
    <m/>
    <m/>
    <m/>
    <m/>
    <d v="2021-02-14T00:00:00"/>
    <n v="0"/>
    <x v="1"/>
    <x v="10"/>
  </r>
  <r>
    <m/>
    <m/>
    <s v="TERCEIROS"/>
    <s v="MAURO VEGHER - TORNO"/>
    <d v="2021-02-15T00:00:00"/>
    <n v="250"/>
    <x v="0"/>
    <x v="10"/>
  </r>
  <r>
    <m/>
    <m/>
    <s v="MATERIAL"/>
    <s v="J MARCANTE"/>
    <d v="2021-02-16T00:00:00"/>
    <n v="64"/>
    <x v="0"/>
    <x v="11"/>
  </r>
  <r>
    <m/>
    <m/>
    <s v="AGUA"/>
    <s v="SAMAE"/>
    <d v="2021-02-17T00:00:00"/>
    <n v="45.76"/>
    <x v="0"/>
    <x v="12"/>
  </r>
  <r>
    <m/>
    <m/>
    <s v="CONVENIO"/>
    <s v="PRO MED - MÊS CORRENTE"/>
    <d v="2021-02-17T00:00:00"/>
    <n v="80.25"/>
    <x v="0"/>
    <x v="12"/>
  </r>
  <r>
    <m/>
    <m/>
    <s v="COMBUSTIVEL"/>
    <s v="COMBUSTIVEL 50,00 RAMON + 50,00 CLEBER/FLORENSE"/>
    <d v="2021-02-17T00:00:00"/>
    <n v="100"/>
    <x v="1"/>
    <x v="12"/>
  </r>
  <r>
    <m/>
    <m/>
    <s v="PARCELAMENTO"/>
    <s v="MONEO - 02/18"/>
    <d v="2021-02-17T00:00:00"/>
    <n v="14028.3"/>
    <x v="0"/>
    <x v="12"/>
  </r>
  <r>
    <m/>
    <m/>
    <s v="CONVENIO"/>
    <s v="MICROEMPA"/>
    <d v="2021-02-17T00:00:00"/>
    <n v="84"/>
    <x v="1"/>
    <x v="12"/>
  </r>
  <r>
    <m/>
    <m/>
    <s v="SAUDE"/>
    <s v="UNIMED - pagar pela empresa - estamos devendo dezembro para sr.rubens"/>
    <d v="2021-02-17T00:00:00"/>
    <n v="3594.05"/>
    <x v="3"/>
    <x v="12"/>
  </r>
  <r>
    <m/>
    <m/>
    <s v="VEICULOS"/>
    <s v="FORZZA - 01/03"/>
    <d v="2021-02-17T00:00:00"/>
    <n v="430.83"/>
    <x v="0"/>
    <x v="12"/>
  </r>
  <r>
    <m/>
    <m/>
    <s v="PARCELAMENTO"/>
    <s v="ISS - PARC.14/32"/>
    <d v="2021-02-17T00:00:00"/>
    <n v="695.57"/>
    <x v="1"/>
    <x v="12"/>
  </r>
  <r>
    <m/>
    <m/>
    <s v="RESCISAO"/>
    <s v="PENSAO ALIMENTICIA/RESCISAO ANDELSON"/>
    <d v="2021-02-17T00:00:00"/>
    <n v="1716.26"/>
    <x v="1"/>
    <x v="12"/>
  </r>
  <r>
    <m/>
    <m/>
    <s v="RESCISAO"/>
    <s v="ANDELSON ALVES DOS SANTOS"/>
    <d v="2021-02-17T00:00:00"/>
    <n v="2920.09"/>
    <x v="1"/>
    <x v="12"/>
  </r>
  <r>
    <m/>
    <m/>
    <s v="TRANSPORTE"/>
    <s v="VISATE - 35 CARTOES"/>
    <d v="2021-02-17T00:00:00"/>
    <n v="651"/>
    <x v="1"/>
    <x v="12"/>
  </r>
  <r>
    <m/>
    <m/>
    <s v="EPI"/>
    <s v="ZAPA"/>
    <d v="2021-02-18T00:00:00"/>
    <n v="522.70000000000005"/>
    <x v="1"/>
    <x v="13"/>
  </r>
  <r>
    <m/>
    <m/>
    <s v="VIAGEM"/>
    <s v="REEMBOLSAR TEONAS - VIAGEM CIFERAL "/>
    <d v="2021-02-18T00:00:00"/>
    <n v="124"/>
    <x v="1"/>
    <x v="13"/>
  </r>
  <r>
    <m/>
    <m/>
    <s v="VIAGEM"/>
    <s v="JOEL - 02/03"/>
    <d v="2021-02-18T00:00:00"/>
    <n v="2618"/>
    <x v="1"/>
    <x v="13"/>
  </r>
  <r>
    <m/>
    <m/>
    <s v="ALUGUEL"/>
    <s v="CANTON E FREITAS - vcto 18/01 -TITULO PRORROGADO COM ANDREIA"/>
    <d v="2021-02-18T00:00:00"/>
    <n v="110"/>
    <x v="0"/>
    <x v="13"/>
  </r>
  <r>
    <m/>
    <m/>
    <s v="SOCIOS"/>
    <s v="PAULO SILVA - CARTAO"/>
    <d v="2021-02-18T00:00:00"/>
    <n v="2300"/>
    <x v="2"/>
    <x v="13"/>
  </r>
  <r>
    <m/>
    <m/>
    <s v="EPI"/>
    <s v="CORSUL"/>
    <d v="2021-02-18T00:00:00"/>
    <n v="206.8"/>
    <x v="1"/>
    <x v="13"/>
  </r>
  <r>
    <m/>
    <m/>
    <s v="TRANSPORTE"/>
    <s v="LIBRELATO - SCHEILA"/>
    <d v="2021-02-18T00:00:00"/>
    <n v="2640"/>
    <x v="1"/>
    <x v="13"/>
  </r>
  <r>
    <m/>
    <m/>
    <s v="SAUDE"/>
    <s v="EXAME COVID SERGIO MARTINS"/>
    <d v="2021-02-18T00:00:00"/>
    <n v="160"/>
    <x v="1"/>
    <x v="13"/>
  </r>
  <r>
    <m/>
    <m/>
    <s v="SAUDE"/>
    <s v="EXAME OFTALMOLOGISTA ALUIZIO SALES"/>
    <d v="2021-02-19T00:00:00"/>
    <n v="220"/>
    <x v="1"/>
    <x v="14"/>
  </r>
  <r>
    <m/>
    <m/>
    <s v="SAUDE"/>
    <s v="REEMBOLSO EXAME COVID RAMON"/>
    <d v="2021-02-19T00:00:00"/>
    <n v="160"/>
    <x v="1"/>
    <x v="14"/>
  </r>
  <r>
    <m/>
    <m/>
    <s v="MATERIAL"/>
    <s v="DIF NF AIRTEC - BUZZATTI"/>
    <d v="2021-02-19T00:00:00"/>
    <n v="301.7"/>
    <x v="0"/>
    <x v="14"/>
  </r>
  <r>
    <m/>
    <m/>
    <s v="MATERIAL"/>
    <s v="DIVERSOS - REEMBOLSAR DALNIR"/>
    <d v="2021-02-19T00:00:00"/>
    <n v="50"/>
    <x v="1"/>
    <x v="14"/>
  </r>
  <r>
    <m/>
    <m/>
    <s v="COMBUSTIVEL"/>
    <s v="FLAVIO - 100,00 / ROGERIO - 100,00 / RAMON - 50,00"/>
    <d v="2021-02-19T00:00:00"/>
    <n v="250"/>
    <x v="1"/>
    <x v="14"/>
  </r>
  <r>
    <m/>
    <m/>
    <s v="ALIMENTACAO"/>
    <s v="REEMBOLSO LANCHES RAMON"/>
    <d v="2021-02-19T00:00:00"/>
    <n v="130"/>
    <x v="1"/>
    <x v="14"/>
  </r>
  <r>
    <m/>
    <m/>
    <s v="ENCARGOS"/>
    <s v="INSS (FUNCIONARIOS)"/>
    <d v="2021-02-19T00:00:00"/>
    <n v="476.45"/>
    <x v="0"/>
    <x v="14"/>
  </r>
  <r>
    <m/>
    <m/>
    <s v="SOCIOS"/>
    <s v="SEGURO STRADA LUIS - 05/07 - SEM FALTA - ULTIMO VCTO"/>
    <d v="2021-02-19T00:00:00"/>
    <n v="216.67"/>
    <x v="2"/>
    <x v="14"/>
  </r>
  <r>
    <m/>
    <m/>
    <s v="MANUTENCAO "/>
    <s v="BT5 MAQUINAS - Flavio"/>
    <d v="2021-02-19T00:00:00"/>
    <n v="475"/>
    <x v="1"/>
    <x v="14"/>
  </r>
  <r>
    <m/>
    <m/>
    <s v="RESCISAO"/>
    <s v="IVANIA FERREIRA DA SILVA - fgts"/>
    <d v="2021-02-19T00:00:00"/>
    <n v="4.9800000000000004"/>
    <x v="1"/>
    <x v="14"/>
  </r>
  <r>
    <m/>
    <m/>
    <s v="RESCISAO"/>
    <s v="IVANI FERREIRA DA SILVA - fgts"/>
    <d v="2021-02-19T00:00:00"/>
    <n v="3.74"/>
    <x v="1"/>
    <x v="14"/>
  </r>
  <r>
    <m/>
    <m/>
    <s v="SOCIOS"/>
    <s v="RETIRADA LUIS BERTONCELLO"/>
    <d v="2021-02-19T00:00:00"/>
    <n v="2000"/>
    <x v="2"/>
    <x v="14"/>
  </r>
  <r>
    <m/>
    <m/>
    <s v="TRANSPORTE"/>
    <s v="VAN - metade"/>
    <d v="2021-02-19T00:00:00"/>
    <n v="4825"/>
    <x v="1"/>
    <x v="14"/>
  </r>
  <r>
    <m/>
    <m/>
    <s v="SOCIOS"/>
    <s v="GUIA INSS LUIS BERTONCELLO - MÊS 09/2020"/>
    <d v="2021-02-19T00:00:00"/>
    <n v="1482.06"/>
    <x v="2"/>
    <x v="14"/>
  </r>
  <r>
    <m/>
    <m/>
    <s v="SALARIOS"/>
    <s v="EXTRAS LIBRELATO"/>
    <d v="2021-02-19T00:00:00"/>
    <n v="1926"/>
    <x v="1"/>
    <x v="14"/>
  </r>
  <r>
    <m/>
    <m/>
    <s v="COMBUSTIVEL"/>
    <s v="LIDER LIBRELATO"/>
    <d v="2021-02-19T00:00:00"/>
    <n v="130"/>
    <x v="1"/>
    <x v="14"/>
  </r>
  <r>
    <m/>
    <m/>
    <s v="ENCARGOS"/>
    <s v="INSS"/>
    <d v="2021-02-19T00:00:00"/>
    <n v="12464.67"/>
    <x v="1"/>
    <x v="14"/>
  </r>
  <r>
    <m/>
    <m/>
    <s v="ENCARGOS"/>
    <s v="INSS - nota fiscal pro med"/>
    <d v="2021-02-19T00:00:00"/>
    <n v="132.22"/>
    <x v="1"/>
    <x v="14"/>
  </r>
  <r>
    <m/>
    <m/>
    <s v="ENCARGOS"/>
    <s v="IRF - s/notas fiscais"/>
    <d v="2021-02-19T00:00:00"/>
    <n v="60.56"/>
    <x v="1"/>
    <x v="14"/>
  </r>
  <r>
    <m/>
    <m/>
    <s v="ENCARGOS"/>
    <s v="CSLL/COFINS - s/notas fiscais"/>
    <d v="2021-02-19T00:00:00"/>
    <n v="187.74"/>
    <x v="1"/>
    <x v="14"/>
  </r>
  <r>
    <m/>
    <m/>
    <s v="ALIMENTACAO"/>
    <s v="ZAPAROLLI - 02/02 - vcto 10/02"/>
    <d v="2021-02-19T00:00:00"/>
    <n v="2663"/>
    <x v="0"/>
    <x v="14"/>
  </r>
  <r>
    <m/>
    <m/>
    <s v="CONVENIO"/>
    <s v="MICROEMPA - vcto 15/02"/>
    <d v="2021-02-19T00:00:00"/>
    <n v="1278.05"/>
    <x v="4"/>
    <x v="14"/>
  </r>
  <r>
    <m/>
    <m/>
    <s v="CURSO"/>
    <s v="RAFAEL - vcto 10/01"/>
    <d v="2021-02-19T00:00:00"/>
    <n v="1000"/>
    <x v="1"/>
    <x v="14"/>
  </r>
  <r>
    <m/>
    <m/>
    <s v="ALIMENTACAO"/>
    <s v="CRISTINE LANCHES - janeiro"/>
    <d v="2021-02-19T00:00:00"/>
    <n v="1986.04"/>
    <x v="1"/>
    <x v="14"/>
  </r>
  <r>
    <m/>
    <m/>
    <s v="EPI"/>
    <s v="ZAPA"/>
    <d v="2021-02-19T00:00:00"/>
    <n v="173.8"/>
    <x v="1"/>
    <x v="14"/>
  </r>
  <r>
    <m/>
    <m/>
    <s v="EPI"/>
    <s v="ZAPA"/>
    <d v="2021-02-19T00:00:00"/>
    <n v="358.4"/>
    <x v="1"/>
    <x v="14"/>
  </r>
  <r>
    <m/>
    <m/>
    <s v="CONSUMO"/>
    <s v="SIMOQUIMICA"/>
    <d v="2021-02-20T00:00:00"/>
    <n v="160"/>
    <x v="1"/>
    <x v="15"/>
  </r>
  <r>
    <m/>
    <m/>
    <s v="RESCISAO"/>
    <s v="IVANIA FERREIRA DA SILVA"/>
    <d v="2021-02-21T00:00:00"/>
    <n v="323.42"/>
    <x v="1"/>
    <x v="15"/>
  </r>
  <r>
    <m/>
    <m/>
    <s v="SOCIOS"/>
    <s v="RETIRA ROGERIO"/>
    <d v="2021-02-22T00:00:00"/>
    <n v="50"/>
    <x v="0"/>
    <x v="15"/>
  </r>
  <r>
    <m/>
    <m/>
    <s v="RESCISAO"/>
    <s v="IVANI FERREIRA DA SILVA"/>
    <d v="2021-02-22T00:00:00"/>
    <n v="266.38"/>
    <x v="1"/>
    <x v="15"/>
  </r>
  <r>
    <m/>
    <m/>
    <s v="EPI"/>
    <s v="MAJUSEG"/>
    <d v="2021-02-22T00:00:00"/>
    <n v="504.62"/>
    <x v="1"/>
    <x v="15"/>
  </r>
  <r>
    <m/>
    <m/>
    <s v="ACORDO"/>
    <s v="ATANAIR - 03/10"/>
    <d v="2021-02-22T00:00:00"/>
    <n v="2000"/>
    <x v="1"/>
    <x v="15"/>
  </r>
  <r>
    <m/>
    <m/>
    <s v="FÉRIAS"/>
    <s v="DALNIR - 01/03"/>
    <d v="2021-02-22T00:00:00"/>
    <n v="1997"/>
    <x v="0"/>
    <x v="15"/>
  </r>
  <r>
    <m/>
    <m/>
    <s v="COMBUSTIVEL"/>
    <s v="DALNIR - 267,00 COMBUST. + 22,00 CORREIO + 3,00 ESTAC."/>
    <d v="2021-02-22T00:00:00"/>
    <n v="300"/>
    <x v="1"/>
    <x v="15"/>
  </r>
  <r>
    <m/>
    <m/>
    <s v="MANUTENCAO "/>
    <s v="STEDILE - vcto 15/02"/>
    <d v="2021-02-22T00:00:00"/>
    <n v="303.08"/>
    <x v="0"/>
    <x v="15"/>
  </r>
  <r>
    <m/>
    <m/>
    <s v="EMPRESTIMO"/>
    <s v="VERA KARLING - parcela 07/17"/>
    <d v="2021-02-22T00:00:00"/>
    <n v="1750"/>
    <x v="0"/>
    <x v="15"/>
  </r>
  <r>
    <m/>
    <m/>
    <s v="ALIMENTACAO"/>
    <s v="BAR E RESTAURANTE TIO JOAO - vcto 17/02"/>
    <d v="2021-02-22T00:00:00"/>
    <n v="1781.57"/>
    <x v="1"/>
    <x v="15"/>
  </r>
  <r>
    <m/>
    <m/>
    <s v="MANUTENCAO "/>
    <s v="STEDILE - vcto 19/02"/>
    <d v="2021-02-22T00:00:00"/>
    <n v="362.86"/>
    <x v="0"/>
    <x v="15"/>
  </r>
  <r>
    <m/>
    <m/>
    <s v="TERCEIROS"/>
    <s v="HOLUS"/>
    <d v="2021-02-22T00:00:00"/>
    <n v="220"/>
    <x v="0"/>
    <x v="15"/>
  </r>
  <r>
    <m/>
    <m/>
    <s v="ENCARGOS"/>
    <s v="FGTS - vcto 05/02"/>
    <d v="2021-02-22T00:00:00"/>
    <n v="11610.91"/>
    <x v="1"/>
    <x v="15"/>
  </r>
  <r>
    <m/>
    <m/>
    <s v="FÉRIAS"/>
    <s v="ARIEL - SALDO"/>
    <d v="2021-02-22T00:00:00"/>
    <n v="1163"/>
    <x v="1"/>
    <x v="15"/>
  </r>
  <r>
    <m/>
    <m/>
    <s v="SEGURO"/>
    <s v="ROGERIO - 03/06"/>
    <d v="2021-02-22T00:00:00"/>
    <n v="645.61"/>
    <x v="2"/>
    <x v="15"/>
  </r>
  <r>
    <m/>
    <m/>
    <s v="EPI"/>
    <s v="ZAPA - 03/03"/>
    <d v="2021-02-22T00:00:00"/>
    <n v="271.39999999999998"/>
    <x v="1"/>
    <x v="15"/>
  </r>
  <r>
    <m/>
    <m/>
    <s v="RESCISAO"/>
    <s v="MARCELO UARTHE - SALDO FINAL"/>
    <d v="2021-02-22T00:00:00"/>
    <n v="2165.59"/>
    <x v="1"/>
    <x v="15"/>
  </r>
  <r>
    <m/>
    <m/>
    <s v="INFORMATICA"/>
    <s v="CORPORATIVA TI - DOMINIO SEMAN - vcto 30/12"/>
    <d v="2021-02-22T00:00:00"/>
    <n v="165"/>
    <x v="0"/>
    <x v="15"/>
  </r>
  <r>
    <m/>
    <m/>
    <s v="INFORMATICA"/>
    <s v="CORPORATIVA TI - DOMINIO VENTURE - vcto 30/12"/>
    <d v="2021-02-22T00:00:00"/>
    <n v="150"/>
    <x v="0"/>
    <x v="15"/>
  </r>
  <r>
    <m/>
    <m/>
    <s v="MATERIAL"/>
    <s v="MARCARINI - VCTO 18/02"/>
    <d v="2021-02-22T00:00:00"/>
    <n v="72"/>
    <x v="1"/>
    <x v="15"/>
  </r>
  <r>
    <m/>
    <m/>
    <s v="ASSESSORIA"/>
    <s v="GERENCIAL - 10/10/20"/>
    <d v="2021-02-22T00:00:00"/>
    <n v="720.18"/>
    <x v="0"/>
    <x v="15"/>
  </r>
  <r>
    <m/>
    <m/>
    <s v="ASSESSORIA"/>
    <s v="OLIVEIRA E PERES - 30/11/20"/>
    <d v="2021-02-22T00:00:00"/>
    <n v="2978.25"/>
    <x v="0"/>
    <x v="15"/>
  </r>
  <r>
    <m/>
    <m/>
    <s v="ACORDO"/>
    <s v="ARISTIDES FAGUNDES - 02/07 - vcto 29/11"/>
    <d v="2021-02-22T00:00:00"/>
    <n v="1350"/>
    <x v="1"/>
    <x v="15"/>
  </r>
  <r>
    <m/>
    <m/>
    <s v="EXPEDIENTE"/>
    <s v="CRACHA RANDON"/>
    <d v="2021-02-22T00:00:00"/>
    <n v="10"/>
    <x v="1"/>
    <x v="15"/>
  </r>
  <r>
    <m/>
    <m/>
    <s v="PARCELAMENTO"/>
    <s v="ISS - PARC.15/60"/>
    <d v="2021-02-22T00:00:00"/>
    <n v="403.06"/>
    <x v="1"/>
    <x v="15"/>
  </r>
  <r>
    <m/>
    <m/>
    <s v="ENCARGOS"/>
    <s v="FGTS - vcto 05/02"/>
    <d v="2021-02-22T00:00:00"/>
    <n v="1340.68"/>
    <x v="0"/>
    <x v="15"/>
  </r>
  <r>
    <m/>
    <m/>
    <s v="ACORDO"/>
    <s v="DEOCLECIANO - 03/03 - vcto 17/01"/>
    <d v="2021-02-22T00:00:00"/>
    <n v="1884"/>
    <x v="1"/>
    <x v="15"/>
  </r>
  <r>
    <m/>
    <m/>
    <s v="ASSESSORIA"/>
    <s v="VISAO - 02/02"/>
    <d v="2021-02-22T00:00:00"/>
    <n v="150"/>
    <x v="1"/>
    <x v="15"/>
  </r>
  <r>
    <m/>
    <m/>
    <s v="EPI"/>
    <s v="JUSTINA "/>
    <d v="2021-02-22T00:00:00"/>
    <n v="1125"/>
    <x v="1"/>
    <x v="15"/>
  </r>
  <r>
    <m/>
    <m/>
    <s v="EPI"/>
    <s v="JUSTINA - CHEQUE NF 4516 (não veio buscar)"/>
    <d v="2021-02-22T00:00:00"/>
    <n v="450"/>
    <x v="1"/>
    <x v="15"/>
  </r>
  <r>
    <m/>
    <m/>
    <s v="SEGURO"/>
    <s v="PAVILHAO - 02/04 - DEBITO AUTOMATICO BANRISUL"/>
    <d v="2021-02-23T00:00:00"/>
    <n v="319.91000000000003"/>
    <x v="0"/>
    <x v="16"/>
  </r>
  <r>
    <m/>
    <m/>
    <s v="COMUNICACAO"/>
    <s v="VIVO - VCTO 28/01/21"/>
    <d v="2021-02-23T00:00:00"/>
    <n v="378.23"/>
    <x v="3"/>
    <x v="16"/>
  </r>
  <r>
    <m/>
    <m/>
    <s v="CONSUMO"/>
    <s v="FARMACIA"/>
    <d v="2021-02-23T00:00:00"/>
    <n v="41.45"/>
    <x v="1"/>
    <x v="16"/>
  </r>
  <r>
    <m/>
    <m/>
    <s v="CONSUMO"/>
    <s v="REMBOLSO FLAVIO (LANCHES e FARMACIA)"/>
    <d v="2021-02-23T00:00:00"/>
    <n v="120"/>
    <x v="1"/>
    <x v="16"/>
  </r>
  <r>
    <m/>
    <m/>
    <s v="VIAGEM"/>
    <s v="FLAVIO / GABRIEL (LIBRELATO)"/>
    <d v="2021-02-23T00:00:00"/>
    <n v="377"/>
    <x v="1"/>
    <x v="16"/>
  </r>
  <r>
    <m/>
    <m/>
    <s v="MATERIAL"/>
    <s v="SILBER - BOLETOS PROTESTADOS"/>
    <d v="2021-02-23T00:00:00"/>
    <n v="1011.34"/>
    <x v="0"/>
    <x v="16"/>
  </r>
  <r>
    <m/>
    <m/>
    <s v="TRANSPORTE"/>
    <s v="VISATE - 20 CARTOES"/>
    <d v="2021-02-23T00:00:00"/>
    <n v="372"/>
    <x v="1"/>
    <x v="16"/>
  </r>
  <r>
    <m/>
    <m/>
    <s v="EPI"/>
    <s v="MAJUSEG"/>
    <d v="2021-02-23T00:00:00"/>
    <n v="373.66"/>
    <x v="1"/>
    <x v="16"/>
  </r>
  <r>
    <m/>
    <m/>
    <s v="FÉRIAS"/>
    <s v="SALETE PAIM MACIEL - vcto 19/02 - metade"/>
    <d v="2021-02-24T00:00:00"/>
    <n v="1180.5"/>
    <x v="1"/>
    <x v="17"/>
  </r>
  <r>
    <m/>
    <m/>
    <s v="MATERIAL"/>
    <s v="FORT EQUIPAMENTOS"/>
    <d v="2021-02-24T00:00:00"/>
    <n v="829.84"/>
    <x v="0"/>
    <x v="17"/>
  </r>
  <r>
    <m/>
    <m/>
    <s v="EPI"/>
    <s v="CORSUL "/>
    <d v="2021-02-24T00:00:00"/>
    <n v="169.92"/>
    <x v="1"/>
    <x v="17"/>
  </r>
  <r>
    <m/>
    <m/>
    <s v="MANUTENCAO "/>
    <s v="IBR - MANUT.FLANGE (BUZZATTI)"/>
    <d v="2021-02-24T00:00:00"/>
    <n v="42"/>
    <x v="0"/>
    <x v="17"/>
  </r>
  <r>
    <m/>
    <m/>
    <s v="SALARIOS"/>
    <s v="EXTRAS VOLARE/CIFERAL"/>
    <d v="2021-02-24T00:00:00"/>
    <n v="9305"/>
    <x v="1"/>
    <x v="17"/>
  </r>
  <r>
    <m/>
    <m/>
    <s v="RESCISAO"/>
    <s v="ROSA MARIA PENA DE ALMEIDA"/>
    <d v="2021-02-24T00:00:00"/>
    <n v="366.88"/>
    <x v="1"/>
    <x v="17"/>
  </r>
  <r>
    <m/>
    <m/>
    <s v="ENERGIA"/>
    <s v="RGE - VCTO 04/01/21"/>
    <d v="2021-02-24T00:00:00"/>
    <n v="1331.95"/>
    <x v="0"/>
    <x v="17"/>
  </r>
  <r>
    <m/>
    <m/>
    <s v="SALARIOS"/>
    <s v="EXTRAS LIMPEZA"/>
    <d v="2021-02-25T00:00:00"/>
    <n v="11502"/>
    <x v="1"/>
    <x v="18"/>
  </r>
  <r>
    <m/>
    <m/>
    <s v="SALARIOS"/>
    <s v="EXTRAS MECANICA"/>
    <d v="2021-02-25T00:00:00"/>
    <n v="5354"/>
    <x v="1"/>
    <x v="18"/>
  </r>
  <r>
    <m/>
    <m/>
    <s v="ASSESSORIA"/>
    <s v="VISAO - sem falta"/>
    <d v="2021-02-25T00:00:00"/>
    <n v="3250"/>
    <x v="1"/>
    <x v="18"/>
  </r>
  <r>
    <m/>
    <m/>
    <s v="EXPEDIENTE"/>
    <s v="LICEIS"/>
    <d v="2021-02-25T00:00:00"/>
    <n v="69.599999999999994"/>
    <x v="1"/>
    <x v="18"/>
  </r>
  <r>
    <m/>
    <m/>
    <s v="VIAGEM"/>
    <s v="VOB HOTEL "/>
    <d v="2021-02-25T00:00:00"/>
    <n v="168"/>
    <x v="1"/>
    <x v="18"/>
  </r>
  <r>
    <m/>
    <m/>
    <s v="SOCIOS"/>
    <s v="RETIRADA PAULO SILVA - cartao "/>
    <d v="2021-02-25T00:00:00"/>
    <n v="2500"/>
    <x v="2"/>
    <x v="18"/>
  </r>
  <r>
    <m/>
    <m/>
    <s v="MANUTENCAO "/>
    <s v="BT5 MAQUINAS - Flavio"/>
    <d v="2021-02-25T00:00:00"/>
    <n v="1125"/>
    <x v="1"/>
    <x v="18"/>
  </r>
  <r>
    <m/>
    <m/>
    <s v="EXPEDIENTE"/>
    <s v="LICEIS"/>
    <d v="2021-02-25T00:00:00"/>
    <n v="84"/>
    <x v="1"/>
    <x v="18"/>
  </r>
  <r>
    <m/>
    <m/>
    <s v="RESCISAO"/>
    <s v="MAICON GUTERRES LIMA"/>
    <d v="2021-02-26T00:00:00"/>
    <n v="370.27"/>
    <x v="1"/>
    <x v="19"/>
  </r>
  <r>
    <m/>
    <m/>
    <s v="COMBUSTIVEL"/>
    <s v="ROGERIO - REEMBOLSAR"/>
    <d v="2021-02-26T00:00:00"/>
    <n v="100"/>
    <x v="1"/>
    <x v="19"/>
  </r>
  <r>
    <m/>
    <m/>
    <s v="VIAGEM"/>
    <s v="FLAVIO - LIBRELATO"/>
    <d v="2021-02-26T00:00:00"/>
    <n v="365.97"/>
    <x v="1"/>
    <x v="19"/>
  </r>
  <r>
    <m/>
    <m/>
    <s v="EPI"/>
    <s v="MASCARAS CGC"/>
    <d v="2021-02-26T00:00:00"/>
    <n v="60"/>
    <x v="1"/>
    <x v="19"/>
  </r>
  <r>
    <m/>
    <m/>
    <s v="EPI"/>
    <s v="MAJUSEG "/>
    <d v="2021-02-26T00:00:00"/>
    <n v="1097.01"/>
    <x v="1"/>
    <x v="19"/>
  </r>
  <r>
    <m/>
    <m/>
    <s v="VIAGEM"/>
    <s v="JOEL - 03/03"/>
    <d v="2021-02-26T00:00:00"/>
    <n v="2618"/>
    <x v="1"/>
    <x v="19"/>
  </r>
  <r>
    <m/>
    <m/>
    <s v="TRANSPORTE"/>
    <s v="VAN - saldo"/>
    <d v="2021-02-26T00:00:00"/>
    <n v="4825"/>
    <x v="1"/>
    <x v="19"/>
  </r>
  <r>
    <m/>
    <m/>
    <s v="SOCIOS"/>
    <s v="RETIRADA LUIS BERTONCELLO"/>
    <d v="2021-02-26T00:00:00"/>
    <n v="2500"/>
    <x v="2"/>
    <x v="19"/>
  </r>
  <r>
    <m/>
    <m/>
    <s v="SOCIOS"/>
    <s v="RETIRADA ROGERIO"/>
    <d v="2021-02-26T00:00:00"/>
    <n v="2000"/>
    <x v="2"/>
    <x v="19"/>
  </r>
  <r>
    <m/>
    <m/>
    <s v="ALIMENTACAO"/>
    <s v="RODRIGO GONCALVES"/>
    <d v="2021-02-26T00:00:00"/>
    <n v="1125"/>
    <x v="0"/>
    <x v="19"/>
  </r>
  <r>
    <m/>
    <m/>
    <s v="MATERIAL"/>
    <s v="LF SILVEIRA"/>
    <d v="2021-02-26T00:00:00"/>
    <n v="240"/>
    <x v="1"/>
    <x v="19"/>
  </r>
  <r>
    <m/>
    <m/>
    <s v="ASSESSORIA"/>
    <s v="GT3 - VCTO 20/02"/>
    <d v="2021-02-26T00:00:00"/>
    <n v="703.3"/>
    <x v="1"/>
    <x v="19"/>
  </r>
  <r>
    <m/>
    <m/>
    <s v="SOCIOS"/>
    <s v="CASAS PAGLIARIN - VCTO 18/02 - acertado com Patricia"/>
    <d v="2021-02-26T00:00:00"/>
    <n v="1751.25"/>
    <x v="2"/>
    <x v="19"/>
  </r>
  <r>
    <m/>
    <m/>
    <s v="ALIMENTACAO"/>
    <s v="ZAPAROLLI - 01/02"/>
    <d v="2021-02-26T00:00:00"/>
    <n v="3505"/>
    <x v="0"/>
    <x v="19"/>
  </r>
  <r>
    <m/>
    <m/>
    <s v="FÉRIAS"/>
    <s v="GABRIEL - 04/04"/>
    <d v="2021-02-26T00:00:00"/>
    <n v="1613.5"/>
    <x v="1"/>
    <x v="19"/>
  </r>
  <r>
    <m/>
    <m/>
    <s v="COMBUSTIVEL"/>
    <s v="GABRIEL - REEMBOLSO NF COMBUSTIVEL"/>
    <d v="2021-02-26T00:00:00"/>
    <n v="100"/>
    <x v="1"/>
    <x v="19"/>
  </r>
  <r>
    <m/>
    <m/>
    <s v="COMBUSTIVEL"/>
    <s v="REEMBOLSO RUBENS PINTO"/>
    <d v="2021-02-26T00:00:00"/>
    <n v="174"/>
    <x v="2"/>
    <x v="19"/>
  </r>
  <r>
    <m/>
    <m/>
    <s v="PARCELAMENTO"/>
    <s v="INSS - PARC 14/60"/>
    <d v="2021-02-26T00:00:00"/>
    <n v="1260.77"/>
    <x v="1"/>
    <x v="19"/>
  </r>
  <r>
    <m/>
    <m/>
    <s v="PARCELAMENTO"/>
    <s v="IRPJ - 02/03"/>
    <d v="2021-02-26T00:00:00"/>
    <n v="590.11"/>
    <x v="1"/>
    <x v="19"/>
  </r>
  <r>
    <m/>
    <m/>
    <s v="PARCELAMENTO"/>
    <s v="CSLL - DEBITO BB "/>
    <d v="2021-02-26T00:00:00"/>
    <n v="522.08000000000004"/>
    <x v="1"/>
    <x v="19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146">
  <r>
    <m/>
    <m/>
    <s v="SOCIOS"/>
    <s v="SEGURO DE VIDA RUBENS PINTO"/>
    <d v="2021-01-01T00:00:00"/>
    <n v="725"/>
    <x v="0"/>
    <x v="0"/>
  </r>
  <r>
    <m/>
    <m/>
    <s v="BANCOS"/>
    <s v="JUROS E DESPESAS BANCARIAS "/>
    <d v="2021-01-02T00:00:00"/>
    <n v="3617.5"/>
    <x v="1"/>
    <x v="1"/>
  </r>
  <r>
    <m/>
    <m/>
    <s v="SOCIOS"/>
    <s v="SEGURO TR4 LUIS - 05/06"/>
    <d v="2021-01-03T00:00:00"/>
    <n v="293.85000000000002"/>
    <x v="0"/>
    <x v="1"/>
  </r>
  <r>
    <m/>
    <m/>
    <s v="SOCIOS"/>
    <s v="CASAS PAGLIARIN - vcto 30/12"/>
    <d v="2021-01-04T00:00:00"/>
    <n v="1742.88"/>
    <x v="0"/>
    <x v="1"/>
  </r>
  <r>
    <m/>
    <m/>
    <s v="MATERIAL"/>
    <s v="PERINI EQUIPAMENTOS - vcto 28/12"/>
    <d v="2021-01-04T00:00:00"/>
    <n v="153"/>
    <x v="1"/>
    <x v="1"/>
  </r>
  <r>
    <m/>
    <m/>
    <s v="SOCIOS"/>
    <s v="RETIRADA PAULO SILVA - DEPOSITO FELIPE"/>
    <d v="2021-01-04T00:00:00"/>
    <n v="500"/>
    <x v="0"/>
    <x v="1"/>
  </r>
  <r>
    <m/>
    <m/>
    <s v="VIAGEM"/>
    <s v="TEONAS - CIFERAL"/>
    <d v="2021-01-04T00:00:00"/>
    <n v="500"/>
    <x v="2"/>
    <x v="1"/>
  </r>
  <r>
    <m/>
    <m/>
    <s v="VEICULOS"/>
    <s v="MECANICA ADEMIR - UNO CLEBER - 02/03"/>
    <d v="2021-01-04T00:00:00"/>
    <n v="361.67"/>
    <x v="1"/>
    <x v="1"/>
  </r>
  <r>
    <m/>
    <m/>
    <s v="SALARIOS"/>
    <s v="2.PARCELA DECIMO - PAULO EDUARDO"/>
    <d v="2021-01-04T00:00:00"/>
    <n v="1400"/>
    <x v="2"/>
    <x v="1"/>
  </r>
  <r>
    <m/>
    <m/>
    <s v="MANUTENCAO "/>
    <s v="STEDILE - aviso de cartorio"/>
    <d v="2021-01-04T00:00:00"/>
    <n v="455.24"/>
    <x v="1"/>
    <x v="1"/>
  </r>
  <r>
    <m/>
    <m/>
    <s v="PARCELAMENTO"/>
    <s v="EMPRESTIMO FOLHA BB - 01/30"/>
    <d v="2021-01-04T00:00:00"/>
    <n v="2328.9899999999998"/>
    <x v="2"/>
    <x v="1"/>
  </r>
  <r>
    <m/>
    <m/>
    <s v="COMBUSTIVEL"/>
    <s v="ROGERIO "/>
    <d v="2021-01-04T00:00:00"/>
    <n v="100"/>
    <x v="2"/>
    <x v="1"/>
  </r>
  <r>
    <m/>
    <m/>
    <s v="COMBUSTIVEL"/>
    <s v="FLAVIO/RAMON"/>
    <d v="2021-01-04T00:00:00"/>
    <n v="100"/>
    <x v="2"/>
    <x v="1"/>
  </r>
  <r>
    <m/>
    <m/>
    <s v="EXPEDIENTE"/>
    <s v="LICEIS - vcto 28/12"/>
    <d v="2021-01-05T00:00:00"/>
    <n v="175.16"/>
    <x v="2"/>
    <x v="2"/>
  </r>
  <r>
    <m/>
    <m/>
    <s v="VEICULOS"/>
    <s v="ESTACIONAMENTO UNO FLAVIO"/>
    <d v="2021-01-05T00:00:00"/>
    <n v="60"/>
    <x v="2"/>
    <x v="2"/>
  </r>
  <r>
    <m/>
    <m/>
    <s v="PARCELAMENTO"/>
    <s v="EMPRESTIMO FOLHA BB - 02/30"/>
    <d v="2021-01-05T00:00:00"/>
    <n v="2224.6799999999998"/>
    <x v="2"/>
    <x v="2"/>
  </r>
  <r>
    <m/>
    <m/>
    <s v="FÉRIAS"/>
    <s v="ESTER MACHADO - VCTO 27/11/20"/>
    <d v="2021-01-05T00:00:00"/>
    <n v="1730"/>
    <x v="1"/>
    <x v="2"/>
  </r>
  <r>
    <m/>
    <m/>
    <s v="FÉRIAS"/>
    <s v="JOEL - SALDO"/>
    <d v="2021-01-05T00:00:00"/>
    <n v="3925.51"/>
    <x v="2"/>
    <x v="2"/>
  </r>
  <r>
    <m/>
    <m/>
    <s v="MATERIAL"/>
    <s v="IBR REDUTORES"/>
    <d v="2021-01-05T00:00:00"/>
    <n v="830"/>
    <x v="1"/>
    <x v="2"/>
  </r>
  <r>
    <m/>
    <m/>
    <s v="COMBUSTIVEL"/>
    <s v="LUIS BERTONCELLO"/>
    <d v="2021-01-05T00:00:00"/>
    <n v="100"/>
    <x v="0"/>
    <x v="2"/>
  </r>
  <r>
    <m/>
    <m/>
    <s v="SALARIOS"/>
    <s v="SALARIOS - ARQUIVO"/>
    <d v="2021-01-06T00:00:00"/>
    <n v="38605"/>
    <x v="2"/>
    <x v="3"/>
  </r>
  <r>
    <m/>
    <m/>
    <s v="ALIMENTACAO"/>
    <s v="CRISTINE LANCHES - Outubro"/>
    <d v="2021-01-06T00:00:00"/>
    <n v="1884.96"/>
    <x v="2"/>
    <x v="3"/>
  </r>
  <r>
    <m/>
    <m/>
    <s v="TERCEIROS"/>
    <s v="PRO MED - EXAME DEMISSIONAL"/>
    <d v="2021-01-06T00:00:00"/>
    <n v="79.2"/>
    <x v="2"/>
    <x v="3"/>
  </r>
  <r>
    <m/>
    <m/>
    <s v="SALARIOS"/>
    <s v="FABIANA RODRIGUES"/>
    <d v="2021-01-07T00:00:00"/>
    <n v="576"/>
    <x v="2"/>
    <x v="4"/>
  </r>
  <r>
    <m/>
    <m/>
    <s v="SALARIOS"/>
    <s v="PAGOS EM DINHEIRO"/>
    <d v="2021-01-07T00:00:00"/>
    <n v="8167"/>
    <x v="2"/>
    <x v="4"/>
  </r>
  <r>
    <m/>
    <m/>
    <s v="SALARIOS"/>
    <s v="SALARIOS - CIFERAL / VOLARE"/>
    <d v="2021-01-07T00:00:00"/>
    <n v="24992"/>
    <x v="2"/>
    <x v="4"/>
  </r>
  <r>
    <m/>
    <m/>
    <s v="MATERIAL"/>
    <s v="LF - CLEBER"/>
    <d v="2021-01-07T00:00:00"/>
    <n v="90"/>
    <x v="2"/>
    <x v="4"/>
  </r>
  <r>
    <m/>
    <m/>
    <s v="TERCEIROS"/>
    <s v="PRO MED - EXAME DEMISSIONAL"/>
    <d v="2021-01-07T00:00:00"/>
    <n v="78.2"/>
    <x v="2"/>
    <x v="4"/>
  </r>
  <r>
    <m/>
    <m/>
    <s v="TERCEIROS"/>
    <s v="TRABALHOS LUAN - LT MANUTENCAO - vcto 11/12 - saldo"/>
    <d v="2021-01-07T00:00:00"/>
    <n v="5181.25"/>
    <x v="1"/>
    <x v="4"/>
  </r>
  <r>
    <m/>
    <m/>
    <s v="EPI"/>
    <s v="JUSTINA - COLETIVAS"/>
    <d v="2021-01-07T00:00:00"/>
    <n v="2250"/>
    <x v="2"/>
    <x v="4"/>
  </r>
  <r>
    <m/>
    <m/>
    <s v="COMBUSTIVEL"/>
    <s v="FLAVIO"/>
    <d v="2021-01-08T00:00:00"/>
    <n v="50"/>
    <x v="2"/>
    <x v="5"/>
  </r>
  <r>
    <m/>
    <m/>
    <s v="COMBUSTIVEL"/>
    <s v="CLEBER"/>
    <d v="2021-01-08T00:00:00"/>
    <n v="100"/>
    <x v="2"/>
    <x v="5"/>
  </r>
  <r>
    <m/>
    <m/>
    <s v="TRANSPORTE"/>
    <s v="VISATE - 20 CARTOES"/>
    <d v="2021-01-08T00:00:00"/>
    <n v="372"/>
    <x v="2"/>
    <x v="5"/>
  </r>
  <r>
    <m/>
    <m/>
    <s v="EPI"/>
    <s v="MAJUSEG - CHEQUE PRE"/>
    <d v="2021-01-09T00:00:00"/>
    <n v="590.59"/>
    <x v="2"/>
    <x v="6"/>
  </r>
  <r>
    <m/>
    <m/>
    <s v="SOCIOS"/>
    <s v="SEGURO TR4 LUIS - COMPLEMENTO"/>
    <d v="2021-01-10T00:00:00"/>
    <n v="210.51"/>
    <x v="0"/>
    <x v="6"/>
  </r>
  <r>
    <m/>
    <m/>
    <s v="CONSUMO"/>
    <s v="LUCHETTI COM DE AGUA"/>
    <d v="2021-01-11T00:00:00"/>
    <n v="96"/>
    <x v="1"/>
    <x v="6"/>
  </r>
  <r>
    <m/>
    <m/>
    <s v="COMBUSTIVEL"/>
    <s v="ROGERIO"/>
    <d v="2021-01-11T00:00:00"/>
    <n v="100"/>
    <x v="0"/>
    <x v="6"/>
  </r>
  <r>
    <m/>
    <m/>
    <s v="COMBUSTIVEL"/>
    <s v="LUIS BERTONCELLO"/>
    <d v="2021-01-11T00:00:00"/>
    <n v="100"/>
    <x v="0"/>
    <x v="6"/>
  </r>
  <r>
    <m/>
    <m/>
    <s v="PARCELAMENTO"/>
    <s v="ISS - PARC.13/32"/>
    <d v="2021-01-11T00:00:00"/>
    <n v="695.57"/>
    <x v="2"/>
    <x v="6"/>
  </r>
  <r>
    <m/>
    <m/>
    <s v="PARCELAMENTO"/>
    <s v="ISS - PARC.14/60"/>
    <d v="2021-01-11T00:00:00"/>
    <n v="401.05"/>
    <x v="2"/>
    <x v="6"/>
  </r>
  <r>
    <m/>
    <m/>
    <s v="SALARIOS"/>
    <s v="EXTRAS ROBERTO"/>
    <d v="2021-01-12T00:00:00"/>
    <n v="2434"/>
    <x v="1"/>
    <x v="7"/>
  </r>
  <r>
    <m/>
    <m/>
    <s v="MATERIAL"/>
    <s v="MARCARINI TINTAS - vcto 30/12 - AVISO DE CARTORIO"/>
    <d v="2021-01-12T00:00:00"/>
    <n v="320.72000000000003"/>
    <x v="1"/>
    <x v="7"/>
  </r>
  <r>
    <m/>
    <m/>
    <s v="SALARIOS"/>
    <s v="SALARIOS - SALDO FOLHA"/>
    <d v="2021-01-12T00:00:00"/>
    <n v="32212"/>
    <x v="2"/>
    <x v="7"/>
  </r>
  <r>
    <m/>
    <m/>
    <s v="FÉRIAS"/>
    <s v="TEONAS - 01/02"/>
    <d v="2021-01-12T00:00:00"/>
    <n v="2468"/>
    <x v="2"/>
    <x v="7"/>
  </r>
  <r>
    <m/>
    <m/>
    <s v="FÉRIAS"/>
    <s v="ARIEL - METADE"/>
    <d v="2021-01-12T00:00:00"/>
    <n v="1163"/>
    <x v="2"/>
    <x v="7"/>
  </r>
  <r>
    <m/>
    <m/>
    <s v="SALARIOS"/>
    <s v="PENSAO ALIMENTICIA"/>
    <d v="2021-01-12T00:00:00"/>
    <n v="2414.69"/>
    <x v="2"/>
    <x v="7"/>
  </r>
  <r>
    <m/>
    <m/>
    <s v="SALARIOS"/>
    <s v="SALARIOS VENTURE"/>
    <d v="2021-01-12T00:00:00"/>
    <n v="5583"/>
    <x v="1"/>
    <x v="7"/>
  </r>
  <r>
    <m/>
    <m/>
    <s v="SALARIOS"/>
    <s v="PAULO EDUARDO"/>
    <d v="2021-01-12T00:00:00"/>
    <n v="2800"/>
    <x v="2"/>
    <x v="7"/>
  </r>
  <r>
    <m/>
    <m/>
    <s v="IMPOSTOS"/>
    <s v="GUIAS INSS - parcelamento agosto a dezembro"/>
    <d v="2021-01-13T00:00:00"/>
    <n v="6294.7"/>
    <x v="2"/>
    <x v="8"/>
  </r>
  <r>
    <m/>
    <m/>
    <s v="VIAGEM"/>
    <s v="JOEL - 01/03"/>
    <d v="2021-01-13T00:00:00"/>
    <n v="2720"/>
    <x v="2"/>
    <x v="8"/>
  </r>
  <r>
    <m/>
    <m/>
    <s v="VIAGEM"/>
    <s v="TEONAS - POUSADA E ALIMENTACAO SEMANA"/>
    <d v="2021-01-13T00:00:00"/>
    <n v="500"/>
    <x v="2"/>
    <x v="8"/>
  </r>
  <r>
    <m/>
    <m/>
    <s v="MATERIAL"/>
    <s v="MOTOR PNEUMATICO - DEPOSITAR"/>
    <d v="2021-01-13T00:00:00"/>
    <n v="1630"/>
    <x v="1"/>
    <x v="8"/>
  </r>
  <r>
    <m/>
    <m/>
    <s v="RESCISAO"/>
    <s v="ANTONIO IBANEZ "/>
    <d v="2021-01-14T00:00:00"/>
    <n v="109.4"/>
    <x v="2"/>
    <x v="9"/>
  </r>
  <r>
    <m/>
    <m/>
    <s v="ALIMENTACAO"/>
    <s v="RESTAURANTE ZAPAROLLI - 02/02"/>
    <d v="2021-01-14T00:00:00"/>
    <n v="3039"/>
    <x v="1"/>
    <x v="9"/>
  </r>
  <r>
    <m/>
    <m/>
    <s v="IMPOSTOS"/>
    <s v="INSS - PARCELAMENTO"/>
    <d v="2021-01-14T00:00:00"/>
    <n v="1258.94"/>
    <x v="2"/>
    <x v="9"/>
  </r>
  <r>
    <m/>
    <m/>
    <s v="IMPOSTOS"/>
    <s v="IRPJ - PARCELAMENTO - 02/03"/>
    <d v="2021-01-14T00:00:00"/>
    <n v="589.24"/>
    <x v="2"/>
    <x v="9"/>
  </r>
  <r>
    <m/>
    <m/>
    <s v="COMBUSTIVEL"/>
    <s v="COMBUSTIVEL RAMON "/>
    <d v="2021-01-14T00:00:00"/>
    <n v="100"/>
    <x v="2"/>
    <x v="9"/>
  </r>
  <r>
    <m/>
    <m/>
    <s v="COMBUSTIVEL"/>
    <s v="COMBUSTIVEL LUIS BERTONCELLO"/>
    <d v="2021-01-14T00:00:00"/>
    <n v="200"/>
    <x v="2"/>
    <x v="9"/>
  </r>
  <r>
    <m/>
    <m/>
    <s v="COMBUSTIVEL"/>
    <s v="COMBUSTIVEL ROGERIO"/>
    <d v="2021-01-14T00:00:00"/>
    <n v="100"/>
    <x v="2"/>
    <x v="9"/>
  </r>
  <r>
    <m/>
    <m/>
    <s v="VIAGEM"/>
    <s v="CLEBER - LIBRELATO"/>
    <d v="2021-01-14T00:00:00"/>
    <n v="307.44"/>
    <x v="2"/>
    <x v="9"/>
  </r>
  <r>
    <m/>
    <m/>
    <s v="VIAGEM"/>
    <s v="FLAVIO - CHAPECO - EM DINHEIRO"/>
    <d v="2021-01-14T00:00:00"/>
    <n v="507.5"/>
    <x v="2"/>
    <x v="9"/>
  </r>
  <r>
    <m/>
    <m/>
    <s v="VIAGEM"/>
    <s v="FLAVIO - CHAPECO - DEPOSITO"/>
    <d v="2021-01-15T00:00:00"/>
    <n v="700"/>
    <x v="2"/>
    <x v="10"/>
  </r>
  <r>
    <m/>
    <m/>
    <s v="SAUDE"/>
    <s v="PROMED"/>
    <d v="2021-01-15T00:00:00"/>
    <n v="80.25"/>
    <x v="1"/>
    <x v="10"/>
  </r>
  <r>
    <m/>
    <m/>
    <s v="PARCELAMENTO"/>
    <s v="MONEO - 01/18"/>
    <d v="2021-01-15T00:00:00"/>
    <n v="14028.3"/>
    <x v="1"/>
    <x v="10"/>
  </r>
  <r>
    <m/>
    <m/>
    <s v="AGUA"/>
    <s v="SAMAE"/>
    <d v="2021-01-15T00:00:00"/>
    <n v="45.76"/>
    <x v="1"/>
    <x v="10"/>
  </r>
  <r>
    <m/>
    <m/>
    <s v="ACORDO"/>
    <s v="MICROEMPA - 02/05"/>
    <d v="2021-01-15T00:00:00"/>
    <n v="280"/>
    <x v="2"/>
    <x v="10"/>
  </r>
  <r>
    <m/>
    <m/>
    <s v="CONVENIO"/>
    <s v="MICROEMPA"/>
    <d v="2021-01-15T00:00:00"/>
    <n v="138"/>
    <x v="2"/>
    <x v="10"/>
  </r>
  <r>
    <m/>
    <m/>
    <s v="TRANSPORTE"/>
    <s v="VAN - UNITRANS - parte"/>
    <d v="2021-01-15T00:00:00"/>
    <n v="1500"/>
    <x v="2"/>
    <x v="10"/>
  </r>
  <r>
    <m/>
    <m/>
    <s v="SAUDE"/>
    <s v="UNIMED"/>
    <d v="2021-01-15T00:00:00"/>
    <n v="3594.05"/>
    <x v="3"/>
    <x v="10"/>
  </r>
  <r>
    <m/>
    <m/>
    <s v="SOCIOS"/>
    <s v="LUIS BERTONCELLO"/>
    <d v="2021-01-15T00:00:00"/>
    <n v="2000"/>
    <x v="0"/>
    <x v="10"/>
  </r>
  <r>
    <m/>
    <m/>
    <s v="COMUNICACAO"/>
    <s v="CLARO -  20/12/20"/>
    <d v="2021-01-15T00:00:00"/>
    <n v="1624.94"/>
    <x v="1"/>
    <x v="10"/>
  </r>
  <r>
    <m/>
    <m/>
    <s v="COMUNICACAO"/>
    <s v="VIVO - VCTO 28/12"/>
    <d v="2021-01-15T00:00:00"/>
    <n v="365.34"/>
    <x v="3"/>
    <x v="10"/>
  </r>
  <r>
    <m/>
    <m/>
    <s v="TRANSPORTE"/>
    <s v="VISATE - 10 CARTOES"/>
    <d v="2021-01-15T00:00:00"/>
    <n v="186"/>
    <x v="2"/>
    <x v="10"/>
  </r>
  <r>
    <m/>
    <m/>
    <s v="SAUDE"/>
    <s v="PRO MED - PLANO FUNCIONARIOS (já descontado)"/>
    <d v="2021-01-16T00:00:00"/>
    <n v="880.59"/>
    <x v="2"/>
    <x v="11"/>
  </r>
  <r>
    <m/>
    <m/>
    <s v="VIAGEM"/>
    <s v="TEONAS - ENCERRAMENTO POUSADA - mandar pela manha"/>
    <d v="2021-01-17T00:00:00"/>
    <n v="700"/>
    <x v="2"/>
    <x v="11"/>
  </r>
  <r>
    <m/>
    <m/>
    <s v="SOCIOS"/>
    <s v="PAULO SILVA - cartao de credito (incluido 254,00 passagem Teonas)"/>
    <d v="2021-01-18T00:00:00"/>
    <n v="3000"/>
    <x v="0"/>
    <x v="11"/>
  </r>
  <r>
    <m/>
    <m/>
    <s v="RESCISAO"/>
    <s v="JAIRTON PEREIRA"/>
    <d v="2021-01-18T00:00:00"/>
    <n v="408.54"/>
    <x v="2"/>
    <x v="11"/>
  </r>
  <r>
    <m/>
    <m/>
    <s v="TRANSPORTE"/>
    <s v="VISATE - 15 CARTOES"/>
    <d v="2021-01-19T00:00:00"/>
    <n v="279"/>
    <x v="2"/>
    <x v="12"/>
  </r>
  <r>
    <m/>
    <m/>
    <s v="TERCEIROS"/>
    <s v="PRO MED - exames"/>
    <d v="2021-01-19T00:00:00"/>
    <n v="501.4"/>
    <x v="2"/>
    <x v="12"/>
  </r>
  <r>
    <m/>
    <m/>
    <s v="TRANSPORTE"/>
    <s v="VAN LIBRELATO"/>
    <d v="2021-01-19T00:00:00"/>
    <n v="2725"/>
    <x v="2"/>
    <x v="12"/>
  </r>
  <r>
    <m/>
    <m/>
    <s v="SOCIOS"/>
    <s v="LUIS BERTONCELLO"/>
    <d v="2021-01-19T00:00:00"/>
    <n v="2000"/>
    <x v="0"/>
    <x v="12"/>
  </r>
  <r>
    <m/>
    <m/>
    <s v="SOCIOS"/>
    <s v="RETIRADA ROGERIO"/>
    <d v="2021-01-19T00:00:00"/>
    <n v="3000"/>
    <x v="0"/>
    <x v="12"/>
  </r>
  <r>
    <m/>
    <m/>
    <s v="TERCEIROS"/>
    <s v="PRO MED - exames"/>
    <d v="2021-01-20T00:00:00"/>
    <n v="231.6"/>
    <x v="2"/>
    <x v="13"/>
  </r>
  <r>
    <m/>
    <m/>
    <s v="TRANSPORTE"/>
    <s v="JONATHAN - LIBRELATO - UBER EXAMES CRIMET"/>
    <d v="2021-01-20T00:00:00"/>
    <n v="140"/>
    <x v="2"/>
    <x v="13"/>
  </r>
  <r>
    <m/>
    <m/>
    <s v="VIAGEM"/>
    <s v="LUIS/CLEBER"/>
    <d v="2021-01-20T00:00:00"/>
    <n v="293"/>
    <x v="2"/>
    <x v="13"/>
  </r>
  <r>
    <m/>
    <m/>
    <s v="ENCARGOS"/>
    <s v="INSS"/>
    <d v="2021-01-20T00:00:00"/>
    <n v="12102.98"/>
    <x v="2"/>
    <x v="13"/>
  </r>
  <r>
    <m/>
    <m/>
    <s v="EPI"/>
    <s v="CORSUL - PREVISAO"/>
    <d v="2021-01-20T00:00:00"/>
    <n v="996.28"/>
    <x v="2"/>
    <x v="13"/>
  </r>
  <r>
    <m/>
    <m/>
    <s v="COMBUSTIVEL"/>
    <s v="CARRO SEGURANCA"/>
    <d v="2021-01-21T00:00:00"/>
    <n v="100"/>
    <x v="2"/>
    <x v="14"/>
  </r>
  <r>
    <m/>
    <m/>
    <s v="TERCEIROS"/>
    <s v="PRO MED - exames"/>
    <d v="2021-01-21T00:00:00"/>
    <n v="78.2"/>
    <x v="2"/>
    <x v="14"/>
  </r>
  <r>
    <m/>
    <m/>
    <s v="VIAGEM"/>
    <s v="JOEL - 02/03"/>
    <d v="2021-01-21T00:00:00"/>
    <n v="2720"/>
    <x v="2"/>
    <x v="14"/>
  </r>
  <r>
    <m/>
    <m/>
    <s v="SOCIOS"/>
    <s v="SEGURO STRADA LUIS - 04/07"/>
    <d v="2021-01-21T00:00:00"/>
    <n v="229.45"/>
    <x v="0"/>
    <x v="14"/>
  </r>
  <r>
    <m/>
    <m/>
    <s v="TERCEIROS"/>
    <s v="CRIMET - exames criciuma"/>
    <d v="2021-01-21T00:00:00"/>
    <n v="195"/>
    <x v="2"/>
    <x v="14"/>
  </r>
  <r>
    <m/>
    <m/>
    <s v="MATERIAL"/>
    <s v="LF - FLAVIO"/>
    <d v="2021-01-22T00:00:00"/>
    <n v="169.6"/>
    <x v="2"/>
    <x v="15"/>
  </r>
  <r>
    <m/>
    <m/>
    <s v="COMBUSTIVEL"/>
    <s v="FLAVIO"/>
    <d v="2021-01-22T00:00:00"/>
    <n v="100"/>
    <x v="2"/>
    <x v="15"/>
  </r>
  <r>
    <m/>
    <m/>
    <s v="SALARIOS"/>
    <s v="RAMON - saldo"/>
    <d v="2021-01-22T00:00:00"/>
    <n v="1163"/>
    <x v="2"/>
    <x v="15"/>
  </r>
  <r>
    <m/>
    <m/>
    <s v="ENCARGOS"/>
    <s v="FGTS - vcto 07/01"/>
    <d v="2021-01-22T00:00:00"/>
    <n v="15315.42"/>
    <x v="2"/>
    <x v="15"/>
  </r>
  <r>
    <m/>
    <m/>
    <s v="TRANSPORTE"/>
    <s v="VAN - UNITRANS - parte"/>
    <d v="2021-01-22T00:00:00"/>
    <n v="3153"/>
    <x v="2"/>
    <x v="15"/>
  </r>
  <r>
    <m/>
    <m/>
    <s v="FÉRIAS"/>
    <s v="MARCIO CONCEICAO - vcto 24/12"/>
    <d v="2021-01-22T00:00:00"/>
    <n v="739"/>
    <x v="2"/>
    <x v="15"/>
  </r>
  <r>
    <m/>
    <m/>
    <s v="COMBUSTIVEL"/>
    <s v="GABRIEL"/>
    <d v="2021-01-22T00:00:00"/>
    <n v="100"/>
    <x v="2"/>
    <x v="15"/>
  </r>
  <r>
    <m/>
    <m/>
    <s v="COMBUSTIVEL"/>
    <s v="CLEBER"/>
    <d v="2021-01-22T00:00:00"/>
    <n v="309.2"/>
    <x v="2"/>
    <x v="15"/>
  </r>
  <r>
    <m/>
    <m/>
    <s v="COMBUSTIVEL"/>
    <s v="ROGERIO"/>
    <d v="2021-01-22T00:00:00"/>
    <n v="150"/>
    <x v="2"/>
    <x v="15"/>
  </r>
  <r>
    <m/>
    <m/>
    <s v="COMBUSTIVEL"/>
    <s v="JONATHAN - LIBRELATO"/>
    <d v="2021-01-22T00:00:00"/>
    <n v="130"/>
    <x v="2"/>
    <x v="15"/>
  </r>
  <r>
    <m/>
    <m/>
    <s v="RESCISAO"/>
    <s v="MARCELO UARTHE - METADE"/>
    <d v="2021-01-22T00:00:00"/>
    <n v="2165.6"/>
    <x v="2"/>
    <x v="15"/>
  </r>
  <r>
    <m/>
    <m/>
    <s v="ACORDO"/>
    <s v="ATANAIR - 02/10"/>
    <d v="2021-01-22T00:00:00"/>
    <n v="2000"/>
    <x v="2"/>
    <x v="15"/>
  </r>
  <r>
    <m/>
    <m/>
    <s v="SEGURO"/>
    <s v="PAVILHAO - 01/04"/>
    <d v="2021-01-23T00:00:00"/>
    <n v="319.91000000000003"/>
    <x v="1"/>
    <x v="16"/>
  </r>
  <r>
    <m/>
    <m/>
    <s v="ENERGIA"/>
    <s v="RGE - VCTO 02/12"/>
    <d v="2021-01-24T00:00:00"/>
    <n v="1496.95"/>
    <x v="1"/>
    <x v="16"/>
  </r>
  <r>
    <m/>
    <m/>
    <s v="TERCEIROS"/>
    <s v="MARCIA - 02 SEMANAS"/>
    <d v="2021-01-25T00:00:00"/>
    <n v="140"/>
    <x v="2"/>
    <x v="16"/>
  </r>
  <r>
    <m/>
    <m/>
    <s v="MANUTENCAO "/>
    <s v="TECNOFAST   Lançar p 05.01.21 - VCTO 28/12/20"/>
    <d v="2021-01-25T00:00:00"/>
    <n v="915.31"/>
    <x v="1"/>
    <x v="16"/>
  </r>
  <r>
    <m/>
    <m/>
    <s v="SOCIOS"/>
    <s v="MANO MOTORS - troca da pastilhas Sr.Luis"/>
    <d v="2021-01-25T00:00:00"/>
    <n v="210"/>
    <x v="0"/>
    <x v="16"/>
  </r>
  <r>
    <m/>
    <m/>
    <s v="EPI"/>
    <s v="ASLCO - vcto 20/01"/>
    <d v="2021-01-25T00:00:00"/>
    <n v="232.81"/>
    <x v="2"/>
    <x v="16"/>
  </r>
  <r>
    <m/>
    <m/>
    <s v="EPI"/>
    <s v="ASLCO - vcto 20/01"/>
    <d v="2021-01-25T00:00:00"/>
    <n v="119.09"/>
    <x v="2"/>
    <x v="16"/>
  </r>
  <r>
    <m/>
    <m/>
    <s v="ALIMENTACAO"/>
    <s v="CRISTINE LANCHES - DEZEMBRO - vcto 15/01"/>
    <d v="2021-01-25T00:00:00"/>
    <n v="1961.82"/>
    <x v="2"/>
    <x v="16"/>
  </r>
  <r>
    <m/>
    <m/>
    <s v="SOCIOS"/>
    <s v="FELIPE BALICO"/>
    <d v="2021-01-25T00:00:00"/>
    <n v="500"/>
    <x v="0"/>
    <x v="16"/>
  </r>
  <r>
    <m/>
    <m/>
    <s v="ASSESSORIA"/>
    <s v="METADADOS - vcto 25/12"/>
    <d v="2021-01-25T00:00:00"/>
    <n v="243.06"/>
    <x v="1"/>
    <x v="16"/>
  </r>
  <r>
    <m/>
    <m/>
    <s v="ASSESSORIA"/>
    <s v="GT3 - vcto 20/01"/>
    <d v="2021-01-25T00:00:00"/>
    <n v="703.58"/>
    <x v="2"/>
    <x v="16"/>
  </r>
  <r>
    <m/>
    <m/>
    <s v="ASSESSORIA"/>
    <s v="HOLUS"/>
    <d v="2021-01-25T00:00:00"/>
    <n v="231"/>
    <x v="1"/>
    <x v="16"/>
  </r>
  <r>
    <m/>
    <m/>
    <s v="EXPEDIENTE"/>
    <s v="LICEIS"/>
    <d v="2021-01-25T00:00:00"/>
    <n v="65.7"/>
    <x v="2"/>
    <x v="16"/>
  </r>
  <r>
    <m/>
    <m/>
    <s v="CONSUMO"/>
    <s v="SIMOQUIMICA"/>
    <d v="2021-01-25T00:00:00"/>
    <n v="77.5"/>
    <x v="2"/>
    <x v="16"/>
  </r>
  <r>
    <m/>
    <m/>
    <s v="VEICULOS"/>
    <s v="HOLAS BATERIAS - UNO BORDO"/>
    <d v="2021-01-25T00:00:00"/>
    <n v="80"/>
    <x v="1"/>
    <x v="16"/>
  </r>
  <r>
    <m/>
    <m/>
    <s v="TERCEIROS"/>
    <s v="PRO MED - exames"/>
    <d v="2021-01-25T00:00:00"/>
    <n v="233.39999999999998"/>
    <x v="2"/>
    <x v="16"/>
  </r>
  <r>
    <m/>
    <m/>
    <s v="RESCISAO"/>
    <s v="CHRISTIHIAN P.PAGANIN"/>
    <d v="2021-01-25T00:00:00"/>
    <n v="166.24"/>
    <x v="2"/>
    <x v="16"/>
  </r>
  <r>
    <m/>
    <m/>
    <s v="MATERIAL"/>
    <s v="AIRTEC - Buzzatti - sem falta"/>
    <d v="2021-01-26T00:00:00"/>
    <n v="2523.96"/>
    <x v="1"/>
    <x v="17"/>
  </r>
  <r>
    <m/>
    <m/>
    <s v="MATERIAL"/>
    <s v="VALENTINI TINTAS - BONDIOLI"/>
    <d v="2021-01-26T00:00:00"/>
    <n v="337.6"/>
    <x v="1"/>
    <x v="17"/>
  </r>
  <r>
    <m/>
    <m/>
    <s v="SALARIOS"/>
    <s v="EXTRAS VOLARE / CIFERAL"/>
    <d v="2021-01-26T00:00:00"/>
    <n v="7894"/>
    <x v="2"/>
    <x v="17"/>
  </r>
  <r>
    <m/>
    <m/>
    <s v="SALARIOS"/>
    <s v="EXTRAS ANA RECH"/>
    <d v="2021-01-26T00:00:00"/>
    <n v="1847"/>
    <x v="2"/>
    <x v="17"/>
  </r>
  <r>
    <m/>
    <m/>
    <s v="SALARIOS"/>
    <s v="EXTRAS MECANICA"/>
    <d v="2021-01-26T00:00:00"/>
    <n v="2538"/>
    <x v="2"/>
    <x v="17"/>
  </r>
  <r>
    <m/>
    <m/>
    <s v="SOCIOS"/>
    <s v="PAULO SILVA - cartao de credito"/>
    <d v="2021-01-26T00:00:00"/>
    <n v="1000"/>
    <x v="0"/>
    <x v="17"/>
  </r>
  <r>
    <m/>
    <m/>
    <s v="COMBUSTIVEL"/>
    <s v="RAMON - ABAST.UNO CLEBER"/>
    <d v="2021-01-26T00:00:00"/>
    <n v="100"/>
    <x v="2"/>
    <x v="17"/>
  </r>
  <r>
    <m/>
    <m/>
    <s v="TRANSPORTE"/>
    <s v="VISATE - CARTAO FUNC.FLORENCE"/>
    <d v="2021-01-26T00:00:00"/>
    <n v="93"/>
    <x v="2"/>
    <x v="17"/>
  </r>
  <r>
    <m/>
    <m/>
    <s v="CURSO"/>
    <s v="RAFAEL - parte"/>
    <d v="2021-01-27T00:00:00"/>
    <n v="500"/>
    <x v="1"/>
    <x v="18"/>
  </r>
  <r>
    <m/>
    <m/>
    <s v="COMBUSTIVEL"/>
    <s v="REEMBOLSAR RUBENS PINTO - combustivel dezembro"/>
    <d v="2021-01-27T00:00:00"/>
    <n v="158"/>
    <x v="0"/>
    <x v="18"/>
  </r>
  <r>
    <m/>
    <m/>
    <s v="COMBUSTIVEL"/>
    <s v="REEMBOLSAR RUBENS PINTO - combustivel janeiro"/>
    <d v="2021-01-27T00:00:00"/>
    <n v="235.03"/>
    <x v="0"/>
    <x v="18"/>
  </r>
  <r>
    <m/>
    <m/>
    <s v="MANUTENCAO "/>
    <s v="REPAROS P/BICO TURBO - Flavio conseguiu com outro fornecedor (01 unid)"/>
    <d v="2021-01-27T00:00:00"/>
    <n v="140"/>
    <x v="2"/>
    <x v="18"/>
  </r>
  <r>
    <m/>
    <m/>
    <s v="ACORDO"/>
    <s v="DEOCLECIANO - 02/03 - vcto 17/12"/>
    <d v="2021-01-27T00:00:00"/>
    <n v="1884"/>
    <x v="2"/>
    <x v="18"/>
  </r>
  <r>
    <m/>
    <m/>
    <s v="EPI"/>
    <s v="MAJUSEG"/>
    <d v="2021-01-27T00:00:00"/>
    <n v="1389.5"/>
    <x v="2"/>
    <x v="18"/>
  </r>
  <r>
    <m/>
    <m/>
    <s v="TERCEIROS"/>
    <s v="PRO MED - ACORDO VCTOS 15/11 E 15/12"/>
    <d v="2021-01-28T00:00:00"/>
    <n v="5537.25"/>
    <x v="2"/>
    <x v="19"/>
  </r>
  <r>
    <m/>
    <m/>
    <s v="VIAGEM"/>
    <s v="JOEL - 03/03 - metade"/>
    <d v="2021-01-28T00:00:00"/>
    <n v="1360"/>
    <x v="2"/>
    <x v="19"/>
  </r>
  <r>
    <m/>
    <m/>
    <s v="ACORDO "/>
    <s v="SERGIO JOSE MARTINS - 03/05 - vcto 27/12"/>
    <d v="2021-01-28T00:00:00"/>
    <n v="1971.74"/>
    <x v="2"/>
    <x v="19"/>
  </r>
  <r>
    <m/>
    <m/>
    <s v="SAUDE"/>
    <s v="EXAME FUNCIONARIO JOEL"/>
    <d v="2021-01-28T00:00:00"/>
    <n v="91.5"/>
    <x v="2"/>
    <x v="19"/>
  </r>
  <r>
    <m/>
    <m/>
    <s v="ENCARGOS"/>
    <s v="FGTS - vcto 07/01"/>
    <d v="2021-01-28T00:00:00"/>
    <n v="1970.32"/>
    <x v="1"/>
    <x v="19"/>
  </r>
  <r>
    <m/>
    <m/>
    <s v="RESCISAO"/>
    <s v="FGTS RESCISORIO ALISON RAMIMES"/>
    <d v="2021-01-28T00:00:00"/>
    <n v="117.02"/>
    <x v="2"/>
    <x v="19"/>
  </r>
  <r>
    <m/>
    <m/>
    <s v="COMBUSTIVEL"/>
    <s v="CLEBER R$ 100,00 - FLAVIO R$ 50,00 - RAMON - R$ 50,00"/>
    <d v="2021-01-29T00:00:00"/>
    <n v="200"/>
    <x v="2"/>
    <x v="20"/>
  </r>
  <r>
    <m/>
    <m/>
    <s v="TRANSPORTE"/>
    <s v="VAN - UNITRANS - saldo"/>
    <d v="2021-01-29T00:00:00"/>
    <n v="3153"/>
    <x v="1"/>
    <x v="20"/>
  </r>
  <r>
    <m/>
    <m/>
    <s v="ALIMENTACAO"/>
    <s v="RODRIGO GONCALVES - vcto 18/01"/>
    <d v="2021-01-29T00:00:00"/>
    <n v="510"/>
    <x v="1"/>
    <x v="20"/>
  </r>
  <r>
    <m/>
    <m/>
    <s v="ALIMENTACAO"/>
    <s v="CANTINA DELA COLINA"/>
    <d v="2021-01-29T00:00:00"/>
    <n v="1000"/>
    <x v="2"/>
    <x v="20"/>
  </r>
  <r>
    <m/>
    <m/>
    <s v="PARCELAMENTO"/>
    <s v="CSLL - DEBITO BB "/>
    <d v="2021-01-29T00:00:00"/>
    <n v="522.08000000000004"/>
    <x v="2"/>
    <x v="2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65">
  <r>
    <m/>
    <m/>
    <s v="SOCIOS"/>
    <s v="SEGURO DE VIDA RUBENS PINTO"/>
    <d v="2021-12-01T00:00:00"/>
    <n v="1020"/>
    <x v="0"/>
    <x v="0"/>
  </r>
  <r>
    <m/>
    <m/>
    <s v="ENERGIA"/>
    <s v="RGE"/>
    <d v="2021-12-02T00:00:00"/>
    <n v="1000"/>
    <x v="1"/>
    <x v="1"/>
  </r>
  <r>
    <m/>
    <m/>
    <s v="SALARIOS"/>
    <s v="SALARIOS"/>
    <d v="2021-12-02T00:00:00"/>
    <n v="6000"/>
    <x v="1"/>
    <x v="1"/>
  </r>
  <r>
    <m/>
    <m/>
    <s v="SALARIOS"/>
    <s v="SALARIOS"/>
    <d v="2021-12-02T00:00:00"/>
    <n v="90000"/>
    <x v="2"/>
    <x v="1"/>
  </r>
  <r>
    <m/>
    <m/>
    <s v="SOCIOS"/>
    <s v="RETIRADA LUIS BERTONCELLO"/>
    <d v="2021-12-02T00:00:00"/>
    <n v="2500"/>
    <x v="0"/>
    <x v="1"/>
  </r>
  <r>
    <m/>
    <m/>
    <s v="SOCIOS"/>
    <s v="RETIRADA PAULO SILVA"/>
    <d v="2021-12-02T00:00:00"/>
    <n v="2000"/>
    <x v="0"/>
    <x v="1"/>
  </r>
  <r>
    <m/>
    <m/>
    <s v="ACORDO"/>
    <s v="LEONARDO - CIFERAL - 11/14"/>
    <d v="2021-12-03T00:00:00"/>
    <n v="1500"/>
    <x v="2"/>
    <x v="2"/>
  </r>
  <r>
    <m/>
    <m/>
    <s v="PARCELAMENTO"/>
    <s v="EMPRESTIMO FOLHA BB - 12/30"/>
    <d v="2021-12-03T00:00:00"/>
    <n v="2090.64"/>
    <x v="2"/>
    <x v="2"/>
  </r>
  <r>
    <m/>
    <m/>
    <s v="PARCELAMENTO"/>
    <s v="EMPRESTIMO FOLHA BB - 13/30"/>
    <d v="2021-12-04T00:00:00"/>
    <n v="2008.11"/>
    <x v="2"/>
    <x v="3"/>
  </r>
  <r>
    <m/>
    <m/>
    <s v="FÉRIAS"/>
    <s v="CLEBER MELLO - vcto 01/11 - não tem salario"/>
    <d v="2021-12-05T00:00:00"/>
    <n v="5953"/>
    <x v="2"/>
    <x v="3"/>
  </r>
  <r>
    <m/>
    <m/>
    <s v="FÉRIAS"/>
    <s v="GABRIEL - saldo (01/10/21)"/>
    <d v="2021-12-06T00:00:00"/>
    <n v="2729"/>
    <x v="2"/>
    <x v="3"/>
  </r>
  <r>
    <m/>
    <m/>
    <s v="ENCARGOS"/>
    <s v="FGTS"/>
    <d v="2021-12-07T00:00:00"/>
    <n v="1000"/>
    <x v="1"/>
    <x v="4"/>
  </r>
  <r>
    <m/>
    <m/>
    <s v="ENCARGOS"/>
    <s v="FGTS"/>
    <d v="2021-12-07T00:00:00"/>
    <n v="6000"/>
    <x v="2"/>
    <x v="4"/>
  </r>
  <r>
    <m/>
    <m/>
    <s v="ACORDO"/>
    <s v="BRUNO DE SOUZA - 03/04"/>
    <d v="2021-12-08T00:00:00"/>
    <n v="1504.26"/>
    <x v="2"/>
    <x v="5"/>
  </r>
  <r>
    <m/>
    <m/>
    <s v="SOCIOS"/>
    <s v="RETIRADA LUIS BERTONCELLO"/>
    <d v="2021-12-09T00:00:00"/>
    <n v="2500"/>
    <x v="0"/>
    <x v="6"/>
  </r>
  <r>
    <m/>
    <m/>
    <s v="SOCIOS"/>
    <s v="RETIRADA PAULO SILVA"/>
    <d v="2021-12-09T00:00:00"/>
    <n v="2000"/>
    <x v="0"/>
    <x v="6"/>
  </r>
  <r>
    <m/>
    <m/>
    <s v="SOCIOS"/>
    <s v="RETIRADA ROGERIO"/>
    <d v="2021-12-10T00:00:00"/>
    <n v="3000"/>
    <x v="0"/>
    <x v="7"/>
  </r>
  <r>
    <m/>
    <m/>
    <s v="CURSO"/>
    <s v="RAFAEL SCOPEL"/>
    <d v="2021-12-11T00:00:00"/>
    <n v="1500"/>
    <x v="2"/>
    <x v="8"/>
  </r>
  <r>
    <m/>
    <m/>
    <s v="FÉRIAS"/>
    <s v="JOEL - saldo"/>
    <d v="2021-12-11T00:00:00"/>
    <n v="4053.5"/>
    <x v="2"/>
    <x v="8"/>
  </r>
  <r>
    <m/>
    <m/>
    <s v="VIAGEM"/>
    <s v="JOEL - CAIXINHA"/>
    <d v="2021-12-12T00:00:00"/>
    <n v="2100"/>
    <x v="2"/>
    <x v="8"/>
  </r>
  <r>
    <m/>
    <m/>
    <s v="PARCELAMENTO"/>
    <s v="MONEO - 12/18"/>
    <d v="2021-12-13T00:00:00"/>
    <n v="14028.3"/>
    <x v="1"/>
    <x v="8"/>
  </r>
  <r>
    <m/>
    <m/>
    <s v="ACORDO"/>
    <s v="JURIDICO MARCOPOLO 01/02"/>
    <d v="2021-12-14T00:00:00"/>
    <n v="3390"/>
    <x v="1"/>
    <x v="9"/>
  </r>
  <r>
    <m/>
    <m/>
    <s v="SOCIOS"/>
    <s v="GUIA INSS LUIS BERTONCELLO - vcto 15/09"/>
    <d v="2021-12-15T00:00:00"/>
    <n v="1286.71"/>
    <x v="0"/>
    <x v="10"/>
  </r>
  <r>
    <m/>
    <m/>
    <s v="SOCIOS"/>
    <s v="GUIA INSS LUIS BERTONCELLO - vcto 15/10"/>
    <d v="2021-12-15T00:00:00"/>
    <n v="1286.71"/>
    <x v="0"/>
    <x v="10"/>
  </r>
  <r>
    <m/>
    <m/>
    <s v="FÉRIAS"/>
    <s v="ROBERTO CABRAL - 02/02"/>
    <d v="2021-12-15T00:00:00"/>
    <n v="2164"/>
    <x v="2"/>
    <x v="10"/>
  </r>
  <r>
    <m/>
    <m/>
    <s v="SAUDE"/>
    <s v="UNIMED"/>
    <d v="2021-12-15T00:00:00"/>
    <n v="3594.05"/>
    <x v="3"/>
    <x v="10"/>
  </r>
  <r>
    <m/>
    <m/>
    <s v="CONVENIO"/>
    <s v="MICROEMPA"/>
    <d v="2021-12-15T00:00:00"/>
    <n v="141"/>
    <x v="2"/>
    <x v="10"/>
  </r>
  <r>
    <m/>
    <m/>
    <s v="CONVENIO"/>
    <s v="MICROEMPA"/>
    <d v="2021-12-15T00:00:00"/>
    <n v="1843"/>
    <x v="4"/>
    <x v="10"/>
  </r>
  <r>
    <m/>
    <m/>
    <s v="EMPRESTIMO"/>
    <s v="VERA KARLING - 14/17"/>
    <d v="2021-12-16T00:00:00"/>
    <n v="1750"/>
    <x v="1"/>
    <x v="11"/>
  </r>
  <r>
    <m/>
    <m/>
    <s v="SOCIOS"/>
    <s v="RETIRADA LUIS BERTONCELLO"/>
    <d v="2021-12-16T00:00:00"/>
    <n v="2500"/>
    <x v="0"/>
    <x v="11"/>
  </r>
  <r>
    <m/>
    <m/>
    <s v="SOCIOS"/>
    <s v="RETIRADA PAULO SILVA"/>
    <d v="2021-12-16T00:00:00"/>
    <n v="2000"/>
    <x v="0"/>
    <x v="11"/>
  </r>
  <r>
    <m/>
    <m/>
    <s v="SALARIOS"/>
    <s v="1.PARCELA 13º SALARIO"/>
    <d v="2021-12-17T00:00:00"/>
    <n v="4000"/>
    <x v="1"/>
    <x v="12"/>
  </r>
  <r>
    <m/>
    <m/>
    <s v="SALARIOS"/>
    <s v="1.PARCELA 13º SALARIO"/>
    <d v="2021-12-17T00:00:00"/>
    <n v="50000"/>
    <x v="2"/>
    <x v="12"/>
  </r>
  <r>
    <m/>
    <m/>
    <s v="SEGURO"/>
    <s v="STRADA - LUIS BERTONCELLO - 03/07 - ultimo prazo"/>
    <d v="2021-12-17T00:00:00"/>
    <n v="246.8"/>
    <x v="0"/>
    <x v="12"/>
  </r>
  <r>
    <m/>
    <m/>
    <s v="PARCELAMENTO"/>
    <s v="ISS - PARC.21/32 - vcto 16/09"/>
    <d v="2021-12-17T00:00:00"/>
    <n v="695.57"/>
    <x v="2"/>
    <x v="12"/>
  </r>
  <r>
    <m/>
    <m/>
    <s v="PARCELAMENTO"/>
    <s v="ISS - PARC.22/60 - vcto 16/09"/>
    <d v="2021-12-17T00:00:00"/>
    <n v="401.05"/>
    <x v="2"/>
    <x v="12"/>
  </r>
  <r>
    <m/>
    <m/>
    <s v="PARCELAMENTO"/>
    <s v="ISS - PARC.24/32 - mês"/>
    <d v="2021-12-18T00:00:00"/>
    <n v="695.57"/>
    <x v="2"/>
    <x v="13"/>
  </r>
  <r>
    <m/>
    <m/>
    <s v="PARCELAMENTO"/>
    <s v="ISS - PARC.25/60 - mes"/>
    <d v="2021-12-18T00:00:00"/>
    <n v="401.05"/>
    <x v="2"/>
    <x v="13"/>
  </r>
  <r>
    <m/>
    <m/>
    <s v="RECLAMATORIA"/>
    <s v="ANDRE MARQUES - 06/20"/>
    <d v="2021-12-18T00:00:00"/>
    <n v="3200"/>
    <x v="2"/>
    <x v="13"/>
  </r>
  <r>
    <m/>
    <m/>
    <s v="ACORDO"/>
    <s v="ALIMENTAR - PARCELA 02/02"/>
    <d v="2021-12-18T00:00:00"/>
    <n v="2578"/>
    <x v="2"/>
    <x v="13"/>
  </r>
  <r>
    <m/>
    <m/>
    <s v="ENCARGOS"/>
    <s v="INSS"/>
    <d v="2021-12-18T00:00:00"/>
    <n v="2000"/>
    <x v="1"/>
    <x v="13"/>
  </r>
  <r>
    <m/>
    <m/>
    <s v="ENCARGOS"/>
    <s v="INSS"/>
    <d v="2021-12-19T00:00:00"/>
    <n v="7000"/>
    <x v="2"/>
    <x v="13"/>
  </r>
  <r>
    <m/>
    <m/>
    <s v="ACORDO "/>
    <s v="TEONAS - 03/10"/>
    <d v="2021-12-19T00:00:00"/>
    <n v="1111.29"/>
    <x v="2"/>
    <x v="13"/>
  </r>
  <r>
    <m/>
    <m/>
    <s v="SALARIOS"/>
    <s v="DIFERENCA MARCIO"/>
    <d v="2021-12-20T00:00:00"/>
    <n v="1000"/>
    <x v="2"/>
    <x v="13"/>
  </r>
  <r>
    <m/>
    <m/>
    <s v="ENCARGOS"/>
    <s v="IRRF"/>
    <d v="2021-12-20T00:00:00"/>
    <n v="800"/>
    <x v="1"/>
    <x v="13"/>
  </r>
  <r>
    <m/>
    <m/>
    <s v="ENCARGOS"/>
    <s v="IRRF"/>
    <d v="2021-12-20T00:00:00"/>
    <n v="3000"/>
    <x v="2"/>
    <x v="13"/>
  </r>
  <r>
    <m/>
    <m/>
    <s v="ACORDO"/>
    <s v="ANTONIO FRANCISCO - 03/05"/>
    <d v="2021-12-21T00:00:00"/>
    <n v="1500"/>
    <x v="2"/>
    <x v="14"/>
  </r>
  <r>
    <m/>
    <m/>
    <s v="ACORDO"/>
    <s v="BOX RAPIDO - parcela 10 (ultima)"/>
    <d v="2021-12-21T00:00:00"/>
    <n v="444.18"/>
    <x v="1"/>
    <x v="14"/>
  </r>
  <r>
    <m/>
    <m/>
    <s v="ACORDO"/>
    <s v="GENILSON - 03/17"/>
    <d v="2021-12-22T00:00:00"/>
    <n v="3000"/>
    <x v="2"/>
    <x v="15"/>
  </r>
  <r>
    <m/>
    <m/>
    <s v="EMPRESTIMO"/>
    <s v="SALARIOS - Operacional Caxias - devolver Andreia (Cabeça) - 04/08"/>
    <d v="2021-12-22T00:00:00"/>
    <n v="3500"/>
    <x v="2"/>
    <x v="15"/>
  </r>
  <r>
    <m/>
    <m/>
    <s v="SOCIOS"/>
    <s v="RETIRADA LUIS BERTONCELLO"/>
    <d v="2021-12-23T00:00:00"/>
    <n v="2500"/>
    <x v="0"/>
    <x v="16"/>
  </r>
  <r>
    <m/>
    <m/>
    <s v="SOCIOS"/>
    <s v="RETIRADA PAULO SILVA"/>
    <d v="2021-12-23T00:00:00"/>
    <n v="2000"/>
    <x v="0"/>
    <x v="16"/>
  </r>
  <r>
    <m/>
    <m/>
    <s v="ACORDO"/>
    <s v="MICROEMPA - 10/13"/>
    <d v="2021-12-24T00:00:00"/>
    <n v="500"/>
    <x v="4"/>
    <x v="17"/>
  </r>
  <r>
    <m/>
    <m/>
    <s v="SOCIOS"/>
    <s v="RETIRADA ROGERIO"/>
    <d v="2021-12-25T00:00:00"/>
    <n v="3500"/>
    <x v="0"/>
    <x v="18"/>
  </r>
  <r>
    <m/>
    <m/>
    <s v="ACORDO"/>
    <s v="MARCELO QUIRINO - 04/06"/>
    <d v="2021-12-26T00:00:00"/>
    <n v="1758.2"/>
    <x v="2"/>
    <x v="18"/>
  </r>
  <r>
    <m/>
    <m/>
    <s v="SOCIOS"/>
    <s v="IRF VERA KARLING - 08/08"/>
    <d v="2021-12-27T00:00:00"/>
    <n v="236.8"/>
    <x v="2"/>
    <x v="18"/>
  </r>
  <r>
    <m/>
    <m/>
    <s v="TRANSPORTE"/>
    <s v="UNIAO - 02/04 (vcto 15/07 - já renegociado diversas vezes)"/>
    <d v="2021-12-28T00:00:00"/>
    <n v="937.5"/>
    <x v="2"/>
    <x v="19"/>
  </r>
  <r>
    <m/>
    <m/>
    <s v="ACORDO"/>
    <s v="RAFAEL SCOPEL"/>
    <d v="2021-12-29T00:00:00"/>
    <n v="500"/>
    <x v="2"/>
    <x v="20"/>
  </r>
  <r>
    <m/>
    <m/>
    <s v="INFORMATICA"/>
    <s v="CORPORATIVA TI - mensalidades de julho e dezembro"/>
    <d v="2021-12-28T00:00:00"/>
    <n v="500"/>
    <x v="2"/>
    <x v="19"/>
  </r>
  <r>
    <m/>
    <m/>
    <s v="PARCELAMENTO"/>
    <s v="SIMPLES - 04/60 - previsao"/>
    <d v="2021-12-28T00:00:00"/>
    <n v="10295.89"/>
    <x v="2"/>
    <x v="19"/>
  </r>
  <r>
    <m/>
    <m/>
    <s v="MATERIAL"/>
    <s v="CHAPAS WSUL - Guilherme - 05/05 "/>
    <d v="2021-12-29T00:00:00"/>
    <n v="2500"/>
    <x v="1"/>
    <x v="20"/>
  </r>
  <r>
    <m/>
    <m/>
    <s v="SEGURO"/>
    <s v="OUTLANDER - LUIS - 06/07"/>
    <d v="2021-12-29T00:00:00"/>
    <n v="404.34"/>
    <x v="0"/>
    <x v="20"/>
  </r>
  <r>
    <m/>
    <m/>
    <s v="PARCELAMENTO"/>
    <s v="INSS"/>
    <d v="2021-12-30T00:00:00"/>
    <n v="1270.6300000000001"/>
    <x v="2"/>
    <x v="21"/>
  </r>
  <r>
    <m/>
    <m/>
    <s v="PARCELAMENTO"/>
    <s v="IRPJ"/>
    <d v="2021-12-30T00:00:00"/>
    <n v="615.77"/>
    <x v="2"/>
    <x v="21"/>
  </r>
  <r>
    <m/>
    <m/>
    <s v="PARCELAMENTO"/>
    <s v="CSLL - DEBITO BB "/>
    <d v="2021-12-30T00:00:00"/>
    <n v="526.26"/>
    <x v="2"/>
    <x v="2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count="117">
  <r>
    <m/>
    <m/>
    <s v="BANCOS"/>
    <s v="JUROS E DESPESAS BANCARIAS"/>
    <d v="2021-10-01T00:00:00"/>
    <n v="3995.1400000000003"/>
    <x v="0"/>
    <x v="0"/>
  </r>
  <r>
    <m/>
    <m/>
    <s v="ASSESSORIA"/>
    <s v="OLIVEIRA E PERES - parte"/>
    <d v="2021-10-01T00:00:00"/>
    <n v="3135"/>
    <x v="0"/>
    <x v="0"/>
  </r>
  <r>
    <m/>
    <m/>
    <s v="MANUTENCAO"/>
    <s v="TECNOFAST"/>
    <d v="2021-10-01T00:00:00"/>
    <n v="145.55000000000001"/>
    <x v="0"/>
    <x v="0"/>
  </r>
  <r>
    <m/>
    <m/>
    <s v="SOCIOS"/>
    <s v="LUIS BERTONCELLO"/>
    <d v="2021-10-01T00:00:00"/>
    <n v="1000"/>
    <x v="1"/>
    <x v="0"/>
  </r>
  <r>
    <m/>
    <m/>
    <s v="EPI"/>
    <s v="M JU "/>
    <d v="2021-10-01T00:00:00"/>
    <n v="184.6"/>
    <x v="2"/>
    <x v="0"/>
  </r>
  <r>
    <m/>
    <m/>
    <s v="ENCARGOS"/>
    <s v="JUNTA COML - livro diario - Visao"/>
    <d v="2021-10-01T00:00:00"/>
    <n v="26.33"/>
    <x v="2"/>
    <x v="0"/>
  </r>
  <r>
    <m/>
    <m/>
    <s v="ALIMENTACAO"/>
    <s v="RODRIGO CARDOSO - IRMAOS DA FRONTEIRA - vcto 11/09"/>
    <d v="2021-10-02T00:00:00"/>
    <n v="170.9"/>
    <x v="2"/>
    <x v="1"/>
  </r>
  <r>
    <m/>
    <m/>
    <s v="SOCIOS"/>
    <s v="CASAS PAGLIARIN - VCTO 18/07 - sem falta cartorio"/>
    <d v="2021-10-03T00:00:00"/>
    <n v="2046.92"/>
    <x v="1"/>
    <x v="1"/>
  </r>
  <r>
    <m/>
    <m/>
    <s v="PARCELAMENTO"/>
    <s v="EMPRESTIMO FOLHA BB - 10/30"/>
    <d v="2021-10-04T00:00:00"/>
    <n v="2256.0500000000002"/>
    <x v="2"/>
    <x v="1"/>
  </r>
  <r>
    <m/>
    <m/>
    <s v="TRANSPORTE"/>
    <s v="VISATE- 20 cartoes"/>
    <d v="2021-10-04T00:00:00"/>
    <n v="380"/>
    <x v="2"/>
    <x v="1"/>
  </r>
  <r>
    <m/>
    <m/>
    <s v="EPI"/>
    <s v="MAJUSEG"/>
    <d v="2021-10-05T00:00:00"/>
    <n v="173.76"/>
    <x v="2"/>
    <x v="2"/>
  </r>
  <r>
    <m/>
    <m/>
    <s v="SOCIOS"/>
    <s v="LUIS BERTONCELLO"/>
    <d v="2021-10-05T00:00:00"/>
    <n v="500"/>
    <x v="2"/>
    <x v="2"/>
  </r>
  <r>
    <m/>
    <m/>
    <s v="COMUNICACAO"/>
    <s v="NET - vcto 20/09 (corte em 13/10)"/>
    <d v="2021-10-06T00:00:00"/>
    <n v="206.95"/>
    <x v="2"/>
    <x v="3"/>
  </r>
  <r>
    <m/>
    <m/>
    <s v="PARCELAMENTO"/>
    <s v="EMPRESTIMO FOLHA BB - 11/30"/>
    <d v="2021-10-06T00:00:00"/>
    <n v="2169.4699999999998"/>
    <x v="2"/>
    <x v="3"/>
  </r>
  <r>
    <m/>
    <m/>
    <s v="COMBUSTIVEL"/>
    <s v="SOLICITACAO MARCIO"/>
    <d v="2021-10-06T00:00:00"/>
    <n v="150"/>
    <x v="2"/>
    <x v="3"/>
  </r>
  <r>
    <m/>
    <m/>
    <s v="EPI"/>
    <s v="M JU - vcto 05/10"/>
    <d v="2021-10-06T00:00:00"/>
    <n v="592.03"/>
    <x v="2"/>
    <x v="3"/>
  </r>
  <r>
    <m/>
    <m/>
    <s v="SALARIOS"/>
    <s v="SALARIOS - arquivo "/>
    <d v="2021-10-06T00:00:00"/>
    <n v="53975"/>
    <x v="2"/>
    <x v="3"/>
  </r>
  <r>
    <m/>
    <m/>
    <s v="SOCIOS"/>
    <s v="CASAS PAGLIARIN - VCTO 18/08 - sem falta cartorio"/>
    <d v="2021-10-06T00:00:00"/>
    <n v="2032.81"/>
    <x v="1"/>
    <x v="3"/>
  </r>
  <r>
    <m/>
    <m/>
    <s v="ENCARGOS"/>
    <s v="FGTS "/>
    <d v="2021-10-07T00:00:00"/>
    <n v="783.61"/>
    <x v="0"/>
    <x v="4"/>
  </r>
  <r>
    <m/>
    <m/>
    <s v="FÉRIAS"/>
    <s v="PAOLA GOMES CAMINHA - vcto 09/09/21 - saldo"/>
    <d v="2021-10-07T00:00:00"/>
    <n v="424"/>
    <x v="2"/>
    <x v="4"/>
  </r>
  <r>
    <m/>
    <m/>
    <s v="RESCISAO"/>
    <s v="LUCINARA BENITES - SINDICATO"/>
    <d v="2021-10-07T00:00:00"/>
    <n v="525.02"/>
    <x v="2"/>
    <x v="4"/>
  </r>
  <r>
    <m/>
    <m/>
    <s v="COMBUSTIVEL"/>
    <s v="FLAVIO"/>
    <d v="2021-10-07T00:00:00"/>
    <n v="100"/>
    <x v="2"/>
    <x v="4"/>
  </r>
  <r>
    <m/>
    <m/>
    <s v="VIAGEM"/>
    <s v="JOEL - CAIXINHA - 01/03"/>
    <d v="2021-10-07T00:00:00"/>
    <n v="1811"/>
    <x v="2"/>
    <x v="4"/>
  </r>
  <r>
    <m/>
    <m/>
    <s v="RESCISAO"/>
    <s v="DANIEL TEIXEIRA - LIBRELATO"/>
    <d v="2021-10-07T00:00:00"/>
    <n v="520.65"/>
    <x v="2"/>
    <x v="4"/>
  </r>
  <r>
    <m/>
    <m/>
    <s v="VIAGEM"/>
    <s v="VOB HOTEL - vcto 04/10 - já prorrogado (ultimo prazo antes do cartorio)"/>
    <d v="2021-10-08T00:00:00"/>
    <n v="452"/>
    <x v="2"/>
    <x v="5"/>
  </r>
  <r>
    <m/>
    <m/>
    <s v="SALARIOS"/>
    <s v="SALARIOS - LIRANE e GUSTAVO (seguranca)"/>
    <d v="2021-10-08T00:00:00"/>
    <n v="6784"/>
    <x v="2"/>
    <x v="5"/>
  </r>
  <r>
    <m/>
    <m/>
    <s v="SALARIOS"/>
    <s v="SALARIOS - Antonio/ Volare - parte"/>
    <d v="2021-10-08T00:00:00"/>
    <n v="1000"/>
    <x v="2"/>
    <x v="5"/>
  </r>
  <r>
    <m/>
    <m/>
    <s v="ACORDO"/>
    <s v="BRUNO DE SOUZA - 01/04"/>
    <d v="2021-10-08T00:00:00"/>
    <n v="1504.26"/>
    <x v="2"/>
    <x v="5"/>
  </r>
  <r>
    <m/>
    <m/>
    <s v="EPI"/>
    <s v="JUSTINA - vcto 19/09 - já prorrogado"/>
    <d v="2021-10-08T00:00:00"/>
    <n v="787.5"/>
    <x v="2"/>
    <x v="5"/>
  </r>
  <r>
    <m/>
    <m/>
    <s v="SOCIOS"/>
    <s v="SEGURO LUIS BERTONCELLO - STRADA"/>
    <d v="2021-10-08T00:00:00"/>
    <n v="246.8"/>
    <x v="1"/>
    <x v="5"/>
  </r>
  <r>
    <m/>
    <m/>
    <s v="ALIMENTACAO"/>
    <s v="ZAPAROLLI - PARTE (vcto 30/09) - não atende se não pagar"/>
    <d v="2021-10-08T00:00:00"/>
    <n v="3000"/>
    <x v="2"/>
    <x v="5"/>
  </r>
  <r>
    <m/>
    <m/>
    <s v="ALUGUEL"/>
    <s v="MARCIO"/>
    <d v="2021-10-08T00:00:00"/>
    <n v="950"/>
    <x v="2"/>
    <x v="5"/>
  </r>
  <r>
    <m/>
    <m/>
    <s v="VIAGEM"/>
    <s v="VOB HOTEL - vcto 13/09"/>
    <d v="2021-10-08T00:00:00"/>
    <n v="684"/>
    <x v="2"/>
    <x v="5"/>
  </r>
  <r>
    <m/>
    <m/>
    <s v="EPI"/>
    <s v="MARCIO - 20 MASCARAS"/>
    <d v="2021-10-08T00:00:00"/>
    <n v="90"/>
    <x v="2"/>
    <x v="5"/>
  </r>
  <r>
    <m/>
    <m/>
    <s v="SALARIOS"/>
    <s v="CHEQUES SALARIOS"/>
    <d v="2021-10-09T00:00:00"/>
    <n v="1378"/>
    <x v="2"/>
    <x v="6"/>
  </r>
  <r>
    <m/>
    <m/>
    <s v="ENCARGOS"/>
    <s v="GUIA SINDICATO - agendado"/>
    <d v="2021-10-11T00:00:00"/>
    <n v="30"/>
    <x v="2"/>
    <x v="6"/>
  </r>
  <r>
    <m/>
    <m/>
    <m/>
    <m/>
    <d v="2021-10-12T00:00:00"/>
    <n v="0"/>
    <x v="2"/>
    <x v="7"/>
  </r>
  <r>
    <m/>
    <m/>
    <s v="SALARIOS"/>
    <s v="CHEQUES SALARIOS"/>
    <d v="2021-10-13T00:00:00"/>
    <n v="1712"/>
    <x v="2"/>
    <x v="8"/>
  </r>
  <r>
    <m/>
    <m/>
    <s v="SALARIOS"/>
    <s v="SALARIOS - Antonio (saldo)/Cristine/Romildo/Jose Luis/Joel (parte) - Volare"/>
    <d v="2021-10-13T00:00:00"/>
    <n v="8798"/>
    <x v="2"/>
    <x v="8"/>
  </r>
  <r>
    <m/>
    <m/>
    <s v="SALARIOS"/>
    <s v="SALARIOS - Flavio/Nelci/Fabiana"/>
    <d v="2021-10-13T00:00:00"/>
    <n v="10864"/>
    <x v="2"/>
    <x v="8"/>
  </r>
  <r>
    <m/>
    <m/>
    <s v="COMUNICACAO"/>
    <s v="CLARO - vcto 20/09 (corte em 14/10)"/>
    <d v="2021-10-13T00:00:00"/>
    <n v="1516.8899999999999"/>
    <x v="0"/>
    <x v="8"/>
  </r>
  <r>
    <m/>
    <m/>
    <s v="EPI"/>
    <s v="MAJUSEG - vcto 04/10"/>
    <d v="2021-10-13T00:00:00"/>
    <n v="1037.97"/>
    <x v="2"/>
    <x v="8"/>
  </r>
  <r>
    <m/>
    <m/>
    <s v="TERCEIROS"/>
    <s v="GT3 - vcto 20/09 - já prorrogado"/>
    <d v="2021-10-13T00:00:00"/>
    <n v="903.27"/>
    <x v="2"/>
    <x v="8"/>
  </r>
  <r>
    <m/>
    <m/>
    <s v="ACORDO"/>
    <s v="JURIDICO MARCOPOLO 01/03"/>
    <d v="2021-10-13T00:00:00"/>
    <n v="3390"/>
    <x v="0"/>
    <x v="8"/>
  </r>
  <r>
    <m/>
    <m/>
    <s v="SALARIOS"/>
    <s v="CLEBER"/>
    <d v="2021-10-14T00:00:00"/>
    <n v="4143.8999999999996"/>
    <x v="2"/>
    <x v="9"/>
  </r>
  <r>
    <m/>
    <m/>
    <s v="SALARIOS"/>
    <s v="ESTER"/>
    <d v="2021-10-14T00:00:00"/>
    <n v="1562"/>
    <x v="2"/>
    <x v="9"/>
  </r>
  <r>
    <m/>
    <m/>
    <s v="SEGURO"/>
    <s v="OUTLANDER - LUIS - 03/07 - ultimo prazo"/>
    <d v="2021-10-15T00:00:00"/>
    <n v="415.09"/>
    <x v="1"/>
    <x v="10"/>
  </r>
  <r>
    <m/>
    <m/>
    <s v="TRANSPORTE"/>
    <s v="VISATE - CARTAO ROBERTO CABRAL"/>
    <d v="2021-10-15T00:00:00"/>
    <n v="92.95"/>
    <x v="2"/>
    <x v="10"/>
  </r>
  <r>
    <m/>
    <m/>
    <s v="TRANSPORTE"/>
    <s v="VISATE - 05 CARTOES"/>
    <d v="2021-10-15T00:00:00"/>
    <n v="95"/>
    <x v="2"/>
    <x v="10"/>
  </r>
  <r>
    <m/>
    <m/>
    <s v="RESCISAO"/>
    <s v="ADAILSON DAMASCENO - FGTS RESCISORIO"/>
    <d v="2021-10-15T00:00:00"/>
    <n v="16.72"/>
    <x v="2"/>
    <x v="10"/>
  </r>
  <r>
    <m/>
    <m/>
    <s v="VIAGEM"/>
    <s v="CITY HOTEL - MARCIO"/>
    <d v="2021-10-15T00:00:00"/>
    <n v="158.16"/>
    <x v="2"/>
    <x v="10"/>
  </r>
  <r>
    <m/>
    <m/>
    <s v="MATERIAL"/>
    <s v="LF SILVEIRA"/>
    <d v="2021-10-15T00:00:00"/>
    <n v="248"/>
    <x v="2"/>
    <x v="10"/>
  </r>
  <r>
    <m/>
    <m/>
    <s v="SALARIOS"/>
    <s v="CHEQUES SALARIOS"/>
    <d v="2021-10-15T00:00:00"/>
    <n v="454"/>
    <x v="2"/>
    <x v="10"/>
  </r>
  <r>
    <m/>
    <m/>
    <s v="COMBUSTIVEL"/>
    <s v="MARCIO"/>
    <d v="2021-10-15T00:00:00"/>
    <n v="200"/>
    <x v="2"/>
    <x v="10"/>
  </r>
  <r>
    <m/>
    <m/>
    <s v="SALARIOS"/>
    <s v="DIFERENCA MARCIO - vcto 20/09/21 - parte"/>
    <d v="2021-10-15T00:00:00"/>
    <n v="400"/>
    <x v="2"/>
    <x v="10"/>
  </r>
  <r>
    <m/>
    <m/>
    <s v="SOCIOS"/>
    <s v="RETIRADA PAULO SILVA - CARTAO"/>
    <d v="2021-10-16T00:00:00"/>
    <n v="2505"/>
    <x v="1"/>
    <x v="11"/>
  </r>
  <r>
    <m/>
    <m/>
    <s v="ALIMENTACAO"/>
    <s v="CANTINA DELA COLINA - vcto agosto"/>
    <d v="2021-10-17T00:00:00"/>
    <n v="1000"/>
    <x v="2"/>
    <x v="11"/>
  </r>
  <r>
    <m/>
    <m/>
    <s v="RESCISAO"/>
    <s v="FGTS RESCISORIO"/>
    <d v="2021-10-18T00:00:00"/>
    <n v="57.95"/>
    <x v="2"/>
    <x v="11"/>
  </r>
  <r>
    <m/>
    <m/>
    <s v="SALARIOS"/>
    <s v="PENSAO ALIMENTICIA"/>
    <d v="2021-10-19T00:00:00"/>
    <n v="1422.75"/>
    <x v="2"/>
    <x v="12"/>
  </r>
  <r>
    <m/>
    <m/>
    <s v="IMPOSTOS"/>
    <s v="IRF NF PROSALUTE"/>
    <d v="2021-10-20T00:00:00"/>
    <n v="168.85"/>
    <x v="2"/>
    <x v="13"/>
  </r>
  <r>
    <m/>
    <m/>
    <s v="SALARIOS"/>
    <s v="SALARIOS - Joel-saldo"/>
    <d v="2021-10-20T00:00:00"/>
    <n v="4078"/>
    <x v="2"/>
    <x v="13"/>
  </r>
  <r>
    <m/>
    <m/>
    <s v="ACORDO "/>
    <s v="TEONAS - 01/10"/>
    <d v="2021-10-20T00:00:00"/>
    <n v="1111.29"/>
    <x v="2"/>
    <x v="13"/>
  </r>
  <r>
    <m/>
    <m/>
    <s v="VIAGEM"/>
    <s v="REEMBOLSO MARCIO - em 30/09"/>
    <d v="2021-10-20T00:00:00"/>
    <n v="815"/>
    <x v="2"/>
    <x v="13"/>
  </r>
  <r>
    <m/>
    <m/>
    <s v="INFORMATICA"/>
    <s v="METADADOS - vcto 25/07 + 25/08"/>
    <d v="2021-10-20T00:00:00"/>
    <n v="637.36"/>
    <x v="0"/>
    <x v="13"/>
  </r>
  <r>
    <m/>
    <m/>
    <s v="SOCIOS"/>
    <s v="VIVO - LUIS BERTONCELLO"/>
    <d v="2021-10-20T00:00:00"/>
    <n v="84.73"/>
    <x v="1"/>
    <x v="13"/>
  </r>
  <r>
    <m/>
    <m/>
    <s v="SALARIOS"/>
    <s v="PAULO EDUARDO"/>
    <d v="2021-10-20T00:00:00"/>
    <n v="1960"/>
    <x v="0"/>
    <x v="13"/>
  </r>
  <r>
    <m/>
    <m/>
    <s v="ENCARGOS"/>
    <s v="MENSAL SINDIASSEIO (desc funcionario)"/>
    <d v="2021-10-21T00:00:00"/>
    <n v="33.409999999999997"/>
    <x v="2"/>
    <x v="14"/>
  </r>
  <r>
    <m/>
    <m/>
    <s v="VIAGEM"/>
    <s v="LUIS BERTONCELLO - Criciuma"/>
    <d v="2021-10-21T00:00:00"/>
    <n v="500"/>
    <x v="2"/>
    <x v="14"/>
  </r>
  <r>
    <m/>
    <m/>
    <s v="EPI"/>
    <s v="MAJUSEG "/>
    <d v="2021-10-21T00:00:00"/>
    <n v="210"/>
    <x v="2"/>
    <x v="14"/>
  </r>
  <r>
    <m/>
    <m/>
    <s v="COMBUSTIVEL"/>
    <s v="FLAVIO/CLEBER"/>
    <d v="2021-10-21T00:00:00"/>
    <n v="200"/>
    <x v="2"/>
    <x v="14"/>
  </r>
  <r>
    <m/>
    <m/>
    <s v="ALIMENTACAO"/>
    <s v="BISTRO LUCAS RAMOS"/>
    <d v="2021-10-21T00:00:00"/>
    <n v="2010"/>
    <x v="0"/>
    <x v="14"/>
  </r>
  <r>
    <m/>
    <m/>
    <s v="SALARIOS"/>
    <s v="CHEQUES SALARIOS"/>
    <d v="2021-10-22T00:00:00"/>
    <n v="112"/>
    <x v="2"/>
    <x v="15"/>
  </r>
  <r>
    <m/>
    <m/>
    <s v="RESCISAO"/>
    <s v="BENOIT VINCET - vcto 08/10"/>
    <d v="2021-10-22T00:00:00"/>
    <n v="394.16"/>
    <x v="2"/>
    <x v="15"/>
  </r>
  <r>
    <m/>
    <m/>
    <s v="ALIMENTACAO"/>
    <s v="ZAPAROLLI - parte"/>
    <d v="2021-10-22T00:00:00"/>
    <n v="3000"/>
    <x v="2"/>
    <x v="15"/>
  </r>
  <r>
    <m/>
    <m/>
    <s v="VIAGEM"/>
    <s v="JOEL - CAIXINHA - 02/03"/>
    <d v="2021-10-22T00:00:00"/>
    <n v="1811"/>
    <x v="2"/>
    <x v="15"/>
  </r>
  <r>
    <m/>
    <m/>
    <s v="RECLAMATORIA"/>
    <s v="ANDRE MARQUES - 04/20"/>
    <d v="2021-10-22T00:00:00"/>
    <n v="3200"/>
    <x v="2"/>
    <x v="15"/>
  </r>
  <r>
    <m/>
    <m/>
    <s v="SALARIOS"/>
    <s v="EXTRAS EDMILSON - metade"/>
    <d v="2021-10-22T00:00:00"/>
    <n v="1209"/>
    <x v="2"/>
    <x v="15"/>
  </r>
  <r>
    <m/>
    <m/>
    <s v="RESCISAO"/>
    <s v="FGTS - KARINE BARBIERI"/>
    <d v="2021-10-22T00:00:00"/>
    <n v="520.04999999999995"/>
    <x v="2"/>
    <x v="15"/>
  </r>
  <r>
    <m/>
    <m/>
    <s v="EPI"/>
    <s v="ALSCO"/>
    <d v="2021-10-22T00:00:00"/>
    <n v="75.5"/>
    <x v="2"/>
    <x v="15"/>
  </r>
  <r>
    <m/>
    <m/>
    <s v="ACORDO"/>
    <s v="ANTONIO FRANCISCO - 01/05"/>
    <d v="2021-10-22T00:00:00"/>
    <n v="1500"/>
    <x v="2"/>
    <x v="15"/>
  </r>
  <r>
    <m/>
    <m/>
    <s v="ACORDO"/>
    <s v="GENILSON - 01/17"/>
    <d v="2021-10-22T00:00:00"/>
    <n v="3000"/>
    <x v="2"/>
    <x v="15"/>
  </r>
  <r>
    <m/>
    <m/>
    <s v="CONVENIO"/>
    <s v="PROMED"/>
    <d v="2021-10-22T00:00:00"/>
    <n v="94.39"/>
    <x v="0"/>
    <x v="15"/>
  </r>
  <r>
    <m/>
    <m/>
    <s v="AGUA"/>
    <s v="SAMAE"/>
    <d v="2021-10-22T00:00:00"/>
    <n v="78.56"/>
    <x v="0"/>
    <x v="15"/>
  </r>
  <r>
    <m/>
    <m/>
    <s v="CONVENIO"/>
    <s v="LUCHETTI COM DE GAS - vcto 11/10"/>
    <d v="2021-10-22T00:00:00"/>
    <n v="92.62"/>
    <x v="0"/>
    <x v="15"/>
  </r>
  <r>
    <m/>
    <m/>
    <s v="TRANSPORTE"/>
    <s v="VAN - parte"/>
    <d v="2021-10-22T00:00:00"/>
    <n v="2500"/>
    <x v="2"/>
    <x v="15"/>
  </r>
  <r>
    <m/>
    <m/>
    <s v="FÉRIAS"/>
    <s v="TAIS DOS SANTOS DA SILVA - 08/10/21"/>
    <d v="2021-10-22T00:00:00"/>
    <n v="584"/>
    <x v="2"/>
    <x v="15"/>
  </r>
  <r>
    <m/>
    <m/>
    <s v="SAUDE"/>
    <s v="DIFERENCA UNIMED - vcto 22/10"/>
    <d v="2021-10-22T00:00:00"/>
    <n v="91.05"/>
    <x v="3"/>
    <x v="15"/>
  </r>
  <r>
    <m/>
    <m/>
    <s v="SALARIOS"/>
    <s v="SALARIOS - Gabriel (metade)"/>
    <d v="2021-10-23T00:00:00"/>
    <n v="2541"/>
    <x v="2"/>
    <x v="16"/>
  </r>
  <r>
    <m/>
    <m/>
    <s v="COMBUSTIVEL"/>
    <s v="ROGERIO"/>
    <d v="2021-10-24T00:00:00"/>
    <n v="200"/>
    <x v="1"/>
    <x v="16"/>
  </r>
  <r>
    <m/>
    <m/>
    <s v="SALARIOS"/>
    <s v="CHEQUES SALARIOS"/>
    <d v="2021-10-25T00:00:00"/>
    <n v="694"/>
    <x v="2"/>
    <x v="16"/>
  </r>
  <r>
    <m/>
    <m/>
    <s v="SOCIOS"/>
    <s v="LUIS BERTONCELLO"/>
    <d v="2021-10-25T00:00:00"/>
    <n v="100"/>
    <x v="1"/>
    <x v="16"/>
  </r>
  <r>
    <m/>
    <m/>
    <s v="RESCISAO"/>
    <s v="ADAILSON DAMASCENO - vcto 15/10"/>
    <d v="2021-10-25T00:00:00"/>
    <n v="365.74"/>
    <x v="2"/>
    <x v="16"/>
  </r>
  <r>
    <m/>
    <m/>
    <s v="ENCARGOS"/>
    <s v="INSS - vcto 20/10"/>
    <d v="2021-10-25T00:00:00"/>
    <n v="12358.85"/>
    <x v="2"/>
    <x v="16"/>
  </r>
  <r>
    <m/>
    <m/>
    <s v="SALARIOS"/>
    <s v="SALARIOS - Gabriel (saldo)"/>
    <d v="2021-10-25T00:00:00"/>
    <n v="2541"/>
    <x v="2"/>
    <x v="16"/>
  </r>
  <r>
    <m/>
    <m/>
    <s v="PARCELAMENTO"/>
    <s v="MONEO - vcto 15/08 - saldo"/>
    <d v="2021-10-25T00:00:00"/>
    <n v="7587"/>
    <x v="0"/>
    <x v="16"/>
  </r>
  <r>
    <m/>
    <m/>
    <s v="PARCELAMENTO"/>
    <s v="MONEO - 15/09"/>
    <d v="2021-10-25T00:00:00"/>
    <n v="15014.05"/>
    <x v="0"/>
    <x v="16"/>
  </r>
  <r>
    <m/>
    <m/>
    <s v="PARCELAMENTO"/>
    <s v="MONEO - 15/10"/>
    <d v="2021-10-25T00:00:00"/>
    <n v="14028.3"/>
    <x v="0"/>
    <x v="16"/>
  </r>
  <r>
    <m/>
    <m/>
    <s v="EPI"/>
    <s v="ACORDO PONTO DAS SOLDAS - PARCELA FINAL (PIX 30.383.069/0001-02)"/>
    <d v="2021-10-26T00:00:00"/>
    <n v="642.4"/>
    <x v="2"/>
    <x v="17"/>
  </r>
  <r>
    <m/>
    <m/>
    <s v="CURSO"/>
    <s v="RAFAEL SCOPEL"/>
    <d v="2021-10-26T00:00:00"/>
    <n v="1000"/>
    <x v="2"/>
    <x v="17"/>
  </r>
  <r>
    <m/>
    <m/>
    <m/>
    <m/>
    <d v="2021-10-27T00:00:00"/>
    <n v="0"/>
    <x v="2"/>
    <x v="18"/>
  </r>
  <r>
    <m/>
    <m/>
    <s v="EMPRESTIMO"/>
    <s v="DEVOLUCAO ANDREIA/OLIMPIA"/>
    <d v="2021-10-28T00:00:00"/>
    <n v="20000"/>
    <x v="2"/>
    <x v="19"/>
  </r>
  <r>
    <m/>
    <m/>
    <s v="TERCEIROS"/>
    <s v="MARCIA PAIM - LIMPEZA DE 03 SEMANAS - cheque"/>
    <d v="2021-10-29T00:00:00"/>
    <n v="210"/>
    <x v="0"/>
    <x v="20"/>
  </r>
  <r>
    <m/>
    <m/>
    <s v="SALARIOS"/>
    <s v="EMANUEL PF"/>
    <d v="2021-10-29T00:00:00"/>
    <n v="120"/>
    <x v="2"/>
    <x v="20"/>
  </r>
  <r>
    <m/>
    <m/>
    <s v="RESCISAO"/>
    <s v="JEAN CHARLES"/>
    <d v="2021-10-29T00:00:00"/>
    <n v="144.88999999999999"/>
    <x v="2"/>
    <x v="20"/>
  </r>
  <r>
    <m/>
    <m/>
    <s v="SOCIOS"/>
    <s v="IRF VERA KARLING - 06/08"/>
    <d v="2021-10-29T00:00:00"/>
    <n v="242.81"/>
    <x v="2"/>
    <x v="20"/>
  </r>
  <r>
    <m/>
    <m/>
    <s v="SAUDE"/>
    <s v="PLANO FUNCIONARIOS - já descontado (vencido em 18/10)"/>
    <d v="2021-10-29T00:00:00"/>
    <n v="1088.78"/>
    <x v="2"/>
    <x v="20"/>
  </r>
  <r>
    <m/>
    <m/>
    <s v="SALARIOS"/>
    <s v="DIFERENCA MARCIO - vcto 20/09/21 - saldo"/>
    <d v="2021-10-29T00:00:00"/>
    <n v="600"/>
    <x v="2"/>
    <x v="20"/>
  </r>
  <r>
    <m/>
    <m/>
    <s v="ALIMENTACAO"/>
    <s v="ZAPAROLLI - saldo"/>
    <d v="2021-10-29T00:00:00"/>
    <n v="2276"/>
    <x v="2"/>
    <x v="20"/>
  </r>
  <r>
    <m/>
    <m/>
    <s v="SOCIOS"/>
    <s v="SEGURO DE VIDA RUBENS PINTO - vcto 04/10"/>
    <d v="2021-10-29T00:00:00"/>
    <n v="1020.5"/>
    <x v="1"/>
    <x v="20"/>
  </r>
  <r>
    <m/>
    <m/>
    <s v="ENERGIA"/>
    <s v="RGE - vcto 04/10/21"/>
    <d v="2021-10-29T00:00:00"/>
    <n v="1081.5899999999999"/>
    <x v="0"/>
    <x v="20"/>
  </r>
  <r>
    <m/>
    <m/>
    <s v="SALARIOS"/>
    <s v="BONUS (Caxias)"/>
    <d v="2021-10-29T00:00:00"/>
    <n v="1560"/>
    <x v="2"/>
    <x v="20"/>
  </r>
  <r>
    <m/>
    <m/>
    <s v="TRANSPORTE"/>
    <s v="VAN - parte"/>
    <d v="2021-10-29T00:00:00"/>
    <n v="2000"/>
    <x v="2"/>
    <x v="20"/>
  </r>
  <r>
    <m/>
    <m/>
    <s v="VIAGEM"/>
    <s v="MARCIO - EPI/COMBUSTIVEL"/>
    <d v="2021-10-29T00:00:00"/>
    <n v="500"/>
    <x v="2"/>
    <x v="20"/>
  </r>
  <r>
    <m/>
    <m/>
    <s v="VIAGEM"/>
    <s v="JOEL - CAIXINHA - 03/03 PARTE"/>
    <d v="2021-10-29T00:00:00"/>
    <n v="1500"/>
    <x v="2"/>
    <x v="20"/>
  </r>
  <r>
    <m/>
    <m/>
    <s v="COMBUSTIVEL"/>
    <s v="CLEBER"/>
    <d v="2021-10-29T00:00:00"/>
    <n v="150"/>
    <x v="2"/>
    <x v="20"/>
  </r>
  <r>
    <m/>
    <m/>
    <s v="RESCISAO"/>
    <s v="JEAN CHARLES - FGTS RESCISORIO"/>
    <d v="2021-10-29T00:00:00"/>
    <n v="13.12"/>
    <x v="2"/>
    <x v="20"/>
  </r>
  <r>
    <m/>
    <m/>
    <s v="PARCELAMENTO"/>
    <s v="CSLL - DEBITO BB "/>
    <d v="2021-10-29T00:00:00"/>
    <n v="534.79"/>
    <x v="2"/>
    <x v="20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count="155">
  <r>
    <m/>
    <m/>
    <s v="BANCOS"/>
    <s v="JUROS E DESPESAS BANCARIAS"/>
    <d v="2021-11-01T00:00:00"/>
    <n v="2193.19"/>
    <x v="0"/>
    <x v="0"/>
  </r>
  <r>
    <m/>
    <m/>
    <s v="ENCARGOS"/>
    <s v="FGTS - vcto 07/10"/>
    <d v="2021-11-02T00:00:00"/>
    <n v="10279.790000000001"/>
    <x v="1"/>
    <x v="1"/>
  </r>
  <r>
    <m/>
    <m/>
    <s v="COMBUSTIVEL"/>
    <s v="CLEBER"/>
    <d v="2021-11-03T00:00:00"/>
    <n v="200"/>
    <x v="1"/>
    <x v="1"/>
  </r>
  <r>
    <m/>
    <m/>
    <s v="RESCISAO"/>
    <s v="ANGELICA ALVANOZ - vcto 21/10"/>
    <d v="2021-11-04T00:00:00"/>
    <n v="569.29999999999995"/>
    <x v="1"/>
    <x v="2"/>
  </r>
  <r>
    <m/>
    <m/>
    <s v="PARCELAMENTO"/>
    <s v="EMPRESTIMO FOLHA BB - 11/30"/>
    <d v="2021-11-04T00:00:00"/>
    <n v="2262.9899999999998"/>
    <x v="1"/>
    <x v="2"/>
  </r>
  <r>
    <m/>
    <m/>
    <s v="SEGURO"/>
    <s v="ROGERIO - 01/07 - ultimo prazo"/>
    <d v="2021-11-04T00:00:00"/>
    <n v="404.41"/>
    <x v="2"/>
    <x v="2"/>
  </r>
  <r>
    <m/>
    <m/>
    <s v="TRANSPORTE"/>
    <s v="VAN"/>
    <d v="2021-11-05T00:00:00"/>
    <n v="3000"/>
    <x v="1"/>
    <x v="3"/>
  </r>
  <r>
    <m/>
    <m/>
    <s v="VIAGEM"/>
    <s v="CAIXINHA MARCIO"/>
    <d v="2021-11-05T00:00:00"/>
    <n v="300"/>
    <x v="1"/>
    <x v="3"/>
  </r>
  <r>
    <m/>
    <m/>
    <s v="VIAGEM"/>
    <s v="CAIXINHA JOEL"/>
    <d v="2021-11-05T00:00:00"/>
    <n v="3000"/>
    <x v="1"/>
    <x v="3"/>
  </r>
  <r>
    <m/>
    <m/>
    <s v="SALARIOS"/>
    <s v="LIBRELATO"/>
    <d v="2021-11-05T00:00:00"/>
    <n v="8594"/>
    <x v="1"/>
    <x v="3"/>
  </r>
  <r>
    <m/>
    <m/>
    <s v="SALARIOS"/>
    <s v="VOLARE"/>
    <d v="2021-11-05T00:00:00"/>
    <n v="14345"/>
    <x v="1"/>
    <x v="3"/>
  </r>
  <r>
    <m/>
    <m/>
    <s v="RESCISAO"/>
    <s v="ROSANGELA PEDRO - Librelato - vcto 19/10 "/>
    <d v="2021-11-05T00:00:00"/>
    <n v="356.93"/>
    <x v="1"/>
    <x v="3"/>
  </r>
  <r>
    <m/>
    <m/>
    <s v="MATERIAL"/>
    <s v="CELETRO - ZANOL - vcto 19/07 - já prorrogado duas vezes"/>
    <d v="2021-11-05T00:00:00"/>
    <n v="940.68"/>
    <x v="0"/>
    <x v="3"/>
  </r>
  <r>
    <m/>
    <m/>
    <s v="TRANSPORTE"/>
    <s v="VISATE - 15 CARTOES"/>
    <d v="2021-11-05T00:00:00"/>
    <n v="285"/>
    <x v="1"/>
    <x v="3"/>
  </r>
  <r>
    <m/>
    <m/>
    <s v="SALARIOS"/>
    <s v="CHEQUES SALARIOS"/>
    <d v="2021-11-06T00:00:00"/>
    <n v="4688"/>
    <x v="1"/>
    <x v="4"/>
  </r>
  <r>
    <m/>
    <m/>
    <s v="PARCELAMENTO"/>
    <s v="SIMPLES - 02/60 - vcto 29/10"/>
    <d v="2021-11-06T00:00:00"/>
    <n v="12591.74"/>
    <x v="1"/>
    <x v="4"/>
  </r>
  <r>
    <m/>
    <m/>
    <s v="SAUDE"/>
    <s v="UNIMED - vcto 15/10 - REEMBOLSAR SR.RUBENS"/>
    <d v="2021-11-06T00:00:00"/>
    <n v="3812.48"/>
    <x v="3"/>
    <x v="4"/>
  </r>
  <r>
    <m/>
    <m/>
    <s v="PARCELAMENTO"/>
    <s v="EMPRESTIMO FOLHA BB - 12/30"/>
    <d v="2021-11-06T00:00:00"/>
    <n v="2175.1"/>
    <x v="1"/>
    <x v="4"/>
  </r>
  <r>
    <m/>
    <m/>
    <s v="FÉRIAS"/>
    <s v="ALUISIO COSTA SALES - vcto 15/10 - metade"/>
    <d v="2021-11-06T00:00:00"/>
    <n v="701"/>
    <x v="1"/>
    <x v="4"/>
  </r>
  <r>
    <m/>
    <m/>
    <s v="SALARIOS"/>
    <s v="SALARIOS"/>
    <d v="2021-11-06T00:00:00"/>
    <n v="6251"/>
    <x v="0"/>
    <x v="4"/>
  </r>
  <r>
    <m/>
    <m/>
    <s v="SALARIOS"/>
    <s v="SALARIOS"/>
    <d v="2021-11-06T00:00:00"/>
    <n v="55914"/>
    <x v="1"/>
    <x v="4"/>
  </r>
  <r>
    <m/>
    <m/>
    <s v="SALARIOS"/>
    <s v="PAULO EDUARDO"/>
    <d v="2021-11-06T00:00:00"/>
    <n v="2800"/>
    <x v="1"/>
    <x v="4"/>
  </r>
  <r>
    <m/>
    <m/>
    <s v="SALARIOS"/>
    <s v="PENSAO ALIMENTICIA"/>
    <d v="2021-11-06T00:00:00"/>
    <n v="1431.6599999999999"/>
    <x v="1"/>
    <x v="4"/>
  </r>
  <r>
    <m/>
    <m/>
    <s v="FÉRIAS"/>
    <s v="FABIANA SANTOS RODRIGUES"/>
    <d v="2021-11-06T00:00:00"/>
    <n v="690"/>
    <x v="1"/>
    <x v="4"/>
  </r>
  <r>
    <m/>
    <m/>
    <s v="SALARIOS"/>
    <s v="GEAN / IGOR - VOLARE (aguardar autorizacao Joel)"/>
    <d v="2021-11-06T00:00:00"/>
    <n v="5052"/>
    <x v="1"/>
    <x v="4"/>
  </r>
  <r>
    <m/>
    <m/>
    <s v="ASSESSORIA"/>
    <s v="OLIVEIRA E PERES - parte"/>
    <d v="2021-11-06T00:00:00"/>
    <n v="3135"/>
    <x v="0"/>
    <x v="4"/>
  </r>
  <r>
    <m/>
    <m/>
    <s v="EPI"/>
    <s v="JUSTINA "/>
    <d v="2021-11-06T00:00:00"/>
    <n v="675"/>
    <x v="1"/>
    <x v="4"/>
  </r>
  <r>
    <m/>
    <m/>
    <s v="COMUNICACAO"/>
    <s v="NET - vcto 20/10/21"/>
    <d v="2021-11-06T00:00:00"/>
    <n v="235.89"/>
    <x v="1"/>
    <x v="4"/>
  </r>
  <r>
    <m/>
    <m/>
    <s v="SOCIOS"/>
    <s v="PAGLIARIN - vcto 18/10"/>
    <d v="2021-11-06T00:00:00"/>
    <n v="1943.25"/>
    <x v="2"/>
    <x v="4"/>
  </r>
  <r>
    <m/>
    <m/>
    <s v="FÉRIAS"/>
    <s v="GABRIEL - PARTE (vcto 01/10/21)"/>
    <d v="2021-11-06T00:00:00"/>
    <n v="4000"/>
    <x v="1"/>
    <x v="4"/>
  </r>
  <r>
    <m/>
    <m/>
    <s v="ACORDO"/>
    <s v="SINDIASSEIO - 02/03 - vcto 28/08 - pedir para Joana novo boleto"/>
    <d v="2021-11-07T00:00:00"/>
    <n v="304.95999999999998"/>
    <x v="1"/>
    <x v="4"/>
  </r>
  <r>
    <m/>
    <m/>
    <s v="ACORDO"/>
    <s v="BRUNO DE SOUZA - 02/04"/>
    <d v="2021-11-07T00:00:00"/>
    <n v="1504.26"/>
    <x v="1"/>
    <x v="4"/>
  </r>
  <r>
    <m/>
    <m/>
    <s v="TERCEIROS"/>
    <s v="DIGISERVE - 03/03"/>
    <d v="2021-11-08T00:00:00"/>
    <n v="473.91"/>
    <x v="0"/>
    <x v="4"/>
  </r>
  <r>
    <m/>
    <m/>
    <s v="TERCEIROS"/>
    <s v="CHAVEIRO CASA DE PEDRA - pagar em dinheiro"/>
    <d v="2021-11-08T00:00:00"/>
    <n v="40"/>
    <x v="0"/>
    <x v="4"/>
  </r>
  <r>
    <m/>
    <m/>
    <s v="ALIMENTACAO"/>
    <s v="ZAPAROLLI - vcto 01/11"/>
    <d v="2021-11-08T00:00:00"/>
    <n v="5962"/>
    <x v="1"/>
    <x v="4"/>
  </r>
  <r>
    <m/>
    <m/>
    <s v="EPI"/>
    <s v="JUSTINA "/>
    <d v="2021-11-08T00:00:00"/>
    <n v="900"/>
    <x v="1"/>
    <x v="4"/>
  </r>
  <r>
    <m/>
    <m/>
    <s v="EPI "/>
    <s v="M JU - vcto 13/10 (prorrogado duas vezes)"/>
    <d v="2021-11-09T00:00:00"/>
    <n v="966.9"/>
    <x v="1"/>
    <x v="5"/>
  </r>
  <r>
    <m/>
    <m/>
    <s v="ALUGUEL"/>
    <s v="MARCIO (ultimo)"/>
    <d v="2021-11-09T00:00:00"/>
    <n v="950"/>
    <x v="1"/>
    <x v="5"/>
  </r>
  <r>
    <m/>
    <m/>
    <s v="FÉRIAS"/>
    <s v="MARCIA PAIM - (vcto 24/09)"/>
    <d v="2021-11-09T00:00:00"/>
    <n v="1450"/>
    <x v="1"/>
    <x v="5"/>
  </r>
  <r>
    <m/>
    <m/>
    <s v="ASSESSORIA"/>
    <s v="GT3 - vcto 20/10"/>
    <d v="2021-11-10T00:00:00"/>
    <n v="737.84"/>
    <x v="1"/>
    <x v="6"/>
  </r>
  <r>
    <m/>
    <m/>
    <s v="TERCEIROS"/>
    <s v="HOLUS - 20/10/21"/>
    <d v="2021-11-10T00:00:00"/>
    <n v="220"/>
    <x v="0"/>
    <x v="6"/>
  </r>
  <r>
    <m/>
    <m/>
    <s v="SAUDE"/>
    <s v="PROMED - VCTO 15/09 (enviar cheque)"/>
    <d v="2021-11-10T00:00:00"/>
    <n v="2576.79"/>
    <x v="1"/>
    <x v="6"/>
  </r>
  <r>
    <m/>
    <m/>
    <s v="SOCIOS"/>
    <s v="RETIRADA ROGERIO"/>
    <d v="2021-11-10T00:00:00"/>
    <n v="3000"/>
    <x v="2"/>
    <x v="6"/>
  </r>
  <r>
    <m/>
    <m/>
    <s v="COMUNICACAO"/>
    <s v="CLARO - vcto 20/10/21 (corte em 13/11)"/>
    <d v="2021-11-11T00:00:00"/>
    <n v="1511.12"/>
    <x v="0"/>
    <x v="7"/>
  </r>
  <r>
    <m/>
    <m/>
    <s v="EPI"/>
    <s v="M JU - vcto 18/10"/>
    <d v="2021-11-11T00:00:00"/>
    <n v="214.8"/>
    <x v="1"/>
    <x v="7"/>
  </r>
  <r>
    <m/>
    <m/>
    <s v="TERCEIROS"/>
    <s v="DIGISERVE - 02/03 - vcto 18/08"/>
    <d v="2021-11-11T00:00:00"/>
    <n v="473.91"/>
    <x v="0"/>
    <x v="7"/>
  </r>
  <r>
    <m/>
    <m/>
    <s v="FÉRIAS"/>
    <s v="JOEL - parte"/>
    <d v="2021-11-11T00:00:00"/>
    <n v="4053.5"/>
    <x v="1"/>
    <x v="7"/>
  </r>
  <r>
    <m/>
    <m/>
    <s v="SOCIOS"/>
    <s v="RETIRADA LUIS BERTONCELLO"/>
    <d v="2021-11-11T00:00:00"/>
    <n v="2500"/>
    <x v="2"/>
    <x v="7"/>
  </r>
  <r>
    <m/>
    <m/>
    <s v="SOCIOS"/>
    <s v="RETIRADA PAULO SILVA"/>
    <d v="2021-11-11T00:00:00"/>
    <n v="2000"/>
    <x v="2"/>
    <x v="7"/>
  </r>
  <r>
    <m/>
    <m/>
    <s v="RESCISAO"/>
    <s v="KARINE BARBIERI - LIBRELATO (vcto 22/10)"/>
    <d v="2021-11-12T00:00:00"/>
    <n v="1877.25"/>
    <x v="1"/>
    <x v="8"/>
  </r>
  <r>
    <m/>
    <m/>
    <s v="SOCIOS"/>
    <s v="GUIA INSS LUIS BERTONCELLO - MÊS 04/2021 - reembolsar Dalnir"/>
    <d v="2021-11-12T00:00:00"/>
    <n v="1299.44"/>
    <x v="2"/>
    <x v="8"/>
  </r>
  <r>
    <m/>
    <m/>
    <s v="AGUA"/>
    <s v="LUCHETTI GAS"/>
    <d v="2021-11-12T00:00:00"/>
    <n v="120"/>
    <x v="0"/>
    <x v="8"/>
  </r>
  <r>
    <m/>
    <m/>
    <s v="SEGURO"/>
    <s v="WEG - previsao"/>
    <d v="2021-11-12T00:00:00"/>
    <n v="2600"/>
    <x v="1"/>
    <x v="8"/>
  </r>
  <r>
    <m/>
    <m/>
    <s v="EPI"/>
    <s v="COM DE EQUIP ZAPA"/>
    <d v="2021-11-12T00:00:00"/>
    <n v="589.79999999999995"/>
    <x v="1"/>
    <x v="8"/>
  </r>
  <r>
    <m/>
    <m/>
    <s v="INFORMATICA"/>
    <s v="DIGISAM"/>
    <d v="2021-11-12T00:00:00"/>
    <n v="742"/>
    <x v="0"/>
    <x v="8"/>
  </r>
  <r>
    <m/>
    <m/>
    <s v="VIAGEM"/>
    <s v="JOEL - CAIXINHA"/>
    <d v="2021-11-12T00:00:00"/>
    <n v="2100"/>
    <x v="1"/>
    <x v="8"/>
  </r>
  <r>
    <m/>
    <m/>
    <s v="SEGURO"/>
    <s v="OUTLANDER - LUIS - 04/07 - ultima data"/>
    <d v="2021-11-13T00:00:00"/>
    <n v="404.34"/>
    <x v="2"/>
    <x v="9"/>
  </r>
  <r>
    <m/>
    <m/>
    <s v="PARCELAMENTO"/>
    <s v="MONEO - 11/18"/>
    <d v="2021-11-13T00:00:00"/>
    <n v="14028.3"/>
    <x v="0"/>
    <x v="9"/>
  </r>
  <r>
    <m/>
    <m/>
    <s v="ACORDO"/>
    <s v="JURIDICO MARCOPOLO 01/02"/>
    <d v="2021-11-14T00:00:00"/>
    <n v="3390"/>
    <x v="0"/>
    <x v="9"/>
  </r>
  <r>
    <m/>
    <m/>
    <s v="ASSESSORIA"/>
    <s v="VISAO - PARCELAMENTO"/>
    <d v="2021-11-15T00:00:00"/>
    <n v="1100"/>
    <x v="1"/>
    <x v="9"/>
  </r>
  <r>
    <m/>
    <m/>
    <s v="FÉRIAS"/>
    <s v="ROBERTO CABRAL - 01/02"/>
    <d v="2021-11-15T00:00:00"/>
    <n v="2164"/>
    <x v="1"/>
    <x v="9"/>
  </r>
  <r>
    <m/>
    <m/>
    <s v="SAUDE"/>
    <s v="PROMED"/>
    <d v="2021-11-15T00:00:00"/>
    <n v="92.25"/>
    <x v="0"/>
    <x v="9"/>
  </r>
  <r>
    <m/>
    <m/>
    <s v="SAUDE"/>
    <s v="PROMED"/>
    <d v="2021-11-15T00:00:00"/>
    <n v="2711.76"/>
    <x v="1"/>
    <x v="9"/>
  </r>
  <r>
    <m/>
    <m/>
    <s v="SOCIOS"/>
    <s v="GUIA INSS LUIS BERTONCELLO - vcto 15/08"/>
    <d v="2021-11-15T00:00:00"/>
    <n v="1286.71"/>
    <x v="2"/>
    <x v="9"/>
  </r>
  <r>
    <m/>
    <m/>
    <s v="EPI"/>
    <s v="JUSTINA "/>
    <d v="2021-11-15T00:00:00"/>
    <n v="562.5"/>
    <x v="1"/>
    <x v="9"/>
  </r>
  <r>
    <m/>
    <m/>
    <s v="CONVENIO"/>
    <s v="MICROEMPA"/>
    <d v="2021-11-15T00:00:00"/>
    <n v="84"/>
    <x v="1"/>
    <x v="9"/>
  </r>
  <r>
    <m/>
    <m/>
    <s v="CONVENIO"/>
    <s v="MICROEMPA"/>
    <d v="2021-11-15T00:00:00"/>
    <n v="1476.38"/>
    <x v="4"/>
    <x v="9"/>
  </r>
  <r>
    <m/>
    <m/>
    <s v="ALIMENTACAO"/>
    <s v="BISTRO LUCAS RAMOS - vcto 29/10"/>
    <d v="2021-11-16T00:00:00"/>
    <n v="2610"/>
    <x v="0"/>
    <x v="9"/>
  </r>
  <r>
    <m/>
    <m/>
    <s v="EPI"/>
    <s v="ZAPA"/>
    <d v="2021-11-16T00:00:00"/>
    <n v="684.86"/>
    <x v="1"/>
    <x v="9"/>
  </r>
  <r>
    <m/>
    <m/>
    <s v="EPI"/>
    <s v="JUSTINA - vcto 27/10"/>
    <d v="2021-11-16T00:00:00"/>
    <n v="1125"/>
    <x v="1"/>
    <x v="9"/>
  </r>
  <r>
    <m/>
    <m/>
    <s v="ACORDO"/>
    <s v="SINDIASSEIO - 03/03 - 30/09 (pedir para Joana novo boleto)"/>
    <d v="2021-11-16T00:00:00"/>
    <n v="304.95999999999998"/>
    <x v="1"/>
    <x v="9"/>
  </r>
  <r>
    <m/>
    <m/>
    <s v="EPI"/>
    <s v="MAJUSEG - vcto 18/10"/>
    <d v="2021-11-16T00:00:00"/>
    <n v="606.27"/>
    <x v="1"/>
    <x v="9"/>
  </r>
  <r>
    <m/>
    <m/>
    <s v="EMPRESTIMO"/>
    <s v="VERA KARLING - 13/17"/>
    <d v="2021-11-16T00:00:00"/>
    <n v="1750"/>
    <x v="0"/>
    <x v="9"/>
  </r>
  <r>
    <m/>
    <m/>
    <s v="EXPEDIENTE"/>
    <s v="DE TONI"/>
    <d v="2021-11-16T00:00:00"/>
    <n v="235"/>
    <x v="1"/>
    <x v="9"/>
  </r>
  <r>
    <m/>
    <m/>
    <s v="CURSO"/>
    <s v="RAFAEL SCOPEL (combinado com Sr.Luis)"/>
    <d v="2021-11-16T00:00:00"/>
    <n v="1250"/>
    <x v="1"/>
    <x v="9"/>
  </r>
  <r>
    <m/>
    <m/>
    <s v="AGUA"/>
    <s v="SAMAE"/>
    <d v="2021-11-16T00:00:00"/>
    <n v="80.239999999999995"/>
    <x v="0"/>
    <x v="9"/>
  </r>
  <r>
    <m/>
    <m/>
    <s v="ALIMENTACAO"/>
    <s v="Bar Rest Tio Joao"/>
    <d v="2021-11-17T00:00:00"/>
    <n v="2704"/>
    <x v="1"/>
    <x v="10"/>
  </r>
  <r>
    <m/>
    <m/>
    <s v="VIAGEM"/>
    <s v="VOB HOTEL - vcto 30/09 - já prorrogado duas vezes"/>
    <d v="2021-11-17T00:00:00"/>
    <n v="2679"/>
    <x v="1"/>
    <x v="10"/>
  </r>
  <r>
    <m/>
    <m/>
    <s v="TERCEIROS"/>
    <s v="CARTORIO MARCOS - vcto 23/07 - (enviar cheque)"/>
    <d v="2021-11-17T00:00:00"/>
    <n v="757.35"/>
    <x v="0"/>
    <x v="10"/>
  </r>
  <r>
    <m/>
    <m/>
    <s v="ASSESSORIA"/>
    <s v="DEPOSITAR ROSELI BUZZATI - saldo 03 ultimas notas - 01/02"/>
    <d v="2021-11-17T00:00:00"/>
    <n v="1612.5"/>
    <x v="0"/>
    <x v="10"/>
  </r>
  <r>
    <m/>
    <m/>
    <s v="ACORDO"/>
    <s v="LEONARDO - CIFERAL - 12/14"/>
    <d v="2021-11-17T00:00:00"/>
    <n v="1500"/>
    <x v="1"/>
    <x v="10"/>
  </r>
  <r>
    <m/>
    <m/>
    <s v="PARCELAMENTO"/>
    <s v="ISS - PARC.20/32 - vcto 16/08"/>
    <d v="2021-11-17T00:00:00"/>
    <n v="695.57"/>
    <x v="1"/>
    <x v="10"/>
  </r>
  <r>
    <m/>
    <m/>
    <s v="PARCELAMENTO"/>
    <s v="ISS - PARC.21/60 - vcto 16/08"/>
    <d v="2021-11-17T00:00:00"/>
    <n v="401.05"/>
    <x v="1"/>
    <x v="10"/>
  </r>
  <r>
    <m/>
    <m/>
    <s v="PARCELAMENTO"/>
    <s v="ISS - PARC.23/32 - mês"/>
    <d v="2021-11-17T00:00:00"/>
    <n v="695.57"/>
    <x v="1"/>
    <x v="10"/>
  </r>
  <r>
    <m/>
    <m/>
    <s v="PARCELAMENTO"/>
    <s v="ISS - PARC.24/60 - mês"/>
    <d v="2021-11-18T00:00:00"/>
    <n v="401.05"/>
    <x v="1"/>
    <x v="11"/>
  </r>
  <r>
    <m/>
    <m/>
    <s v="SAUDE"/>
    <s v="UNIMED"/>
    <d v="2021-11-18T00:00:00"/>
    <n v="3696.06"/>
    <x v="3"/>
    <x v="11"/>
  </r>
  <r>
    <m/>
    <m/>
    <s v="ACORDO"/>
    <s v="LEONARDO - CIFERAL - 10/14 - vcto 05/11"/>
    <d v="2021-11-18T00:00:00"/>
    <n v="1500"/>
    <x v="1"/>
    <x v="11"/>
  </r>
  <r>
    <m/>
    <m/>
    <s v="EMPRESTIMO"/>
    <s v="CHEQUE ESPECIAL RENOVAR"/>
    <d v="2021-11-18T00:00:00"/>
    <n v="1820"/>
    <x v="1"/>
    <x v="11"/>
  </r>
  <r>
    <m/>
    <m/>
    <s v="SAUDE"/>
    <s v="DIFERENCA UNIMED"/>
    <d v="2021-11-18T00:00:00"/>
    <n v="88.65"/>
    <x v="3"/>
    <x v="11"/>
  </r>
  <r>
    <m/>
    <m/>
    <s v="SOCIOS"/>
    <s v="RETIRADA LUIS BERTONCELLO"/>
    <d v="2021-11-18T00:00:00"/>
    <n v="2500"/>
    <x v="2"/>
    <x v="11"/>
  </r>
  <r>
    <m/>
    <m/>
    <s v="SOCIOS"/>
    <s v="RETIRADA PAULO SILVA"/>
    <d v="2021-11-18T00:00:00"/>
    <n v="2000"/>
    <x v="2"/>
    <x v="11"/>
  </r>
  <r>
    <m/>
    <m/>
    <s v="MATERIAL"/>
    <s v="PERINI EQUIPAMENTOS"/>
    <d v="2021-11-19T00:00:00"/>
    <n v="105.8"/>
    <x v="0"/>
    <x v="12"/>
  </r>
  <r>
    <m/>
    <m/>
    <s v="EPI"/>
    <s v="MAJUSEG - vcto 18/10"/>
    <d v="2021-11-19T00:00:00"/>
    <n v="720.47"/>
    <x v="1"/>
    <x v="12"/>
  </r>
  <r>
    <m/>
    <m/>
    <s v="ENCARGOS"/>
    <s v="INSS"/>
    <d v="2021-11-19T00:00:00"/>
    <n v="2000"/>
    <x v="0"/>
    <x v="12"/>
  </r>
  <r>
    <m/>
    <m/>
    <s v="ENCARGOS"/>
    <s v="INSS"/>
    <d v="2021-11-19T00:00:00"/>
    <n v="7000"/>
    <x v="1"/>
    <x v="12"/>
  </r>
  <r>
    <m/>
    <m/>
    <s v="SEGURO"/>
    <s v="STRADA - LUIS BERTONCELLO - 02/07 - ultimo prazo"/>
    <d v="2021-11-19T00:00:00"/>
    <n v="246.8"/>
    <x v="2"/>
    <x v="12"/>
  </r>
  <r>
    <m/>
    <m/>
    <s v="ACORDO "/>
    <s v="TEONAS - 02/10"/>
    <d v="2021-11-19T00:00:00"/>
    <n v="1111.29"/>
    <x v="1"/>
    <x v="12"/>
  </r>
  <r>
    <m/>
    <m/>
    <s v="TRANSPORTE"/>
    <s v="ROTEIROS DO SUL - LIBRELATO"/>
    <d v="2021-11-20T00:00:00"/>
    <n v="2700"/>
    <x v="1"/>
    <x v="13"/>
  </r>
  <r>
    <m/>
    <m/>
    <s v="ASSESSORIA"/>
    <s v="HOLUS"/>
    <d v="2021-11-20T00:00:00"/>
    <n v="220"/>
    <x v="0"/>
    <x v="13"/>
  </r>
  <r>
    <m/>
    <m/>
    <s v="ALIMENTACAO"/>
    <s v="BOM TEMPERO - VOLARE - vcto 20/10/21"/>
    <d v="2021-11-20T00:00:00"/>
    <n v="900.62"/>
    <x v="1"/>
    <x v="13"/>
  </r>
  <r>
    <m/>
    <m/>
    <s v="SALARIOS"/>
    <s v="DIFERENCA MARCIO"/>
    <d v="2021-11-20T00:00:00"/>
    <n v="1000"/>
    <x v="1"/>
    <x v="13"/>
  </r>
  <r>
    <m/>
    <m/>
    <s v="TERCEIROS"/>
    <s v="HOLUS - vcto 20/09"/>
    <d v="2021-11-20T00:00:00"/>
    <n v="220"/>
    <x v="0"/>
    <x v="13"/>
  </r>
  <r>
    <m/>
    <m/>
    <s v="TERCEIROS"/>
    <s v="HOLUS - mês"/>
    <d v="2021-11-20T00:00:00"/>
    <n v="220"/>
    <x v="0"/>
    <x v="13"/>
  </r>
  <r>
    <m/>
    <m/>
    <s v="RECLAMATORIA"/>
    <s v="ANDRE MARQUES - 05/20"/>
    <d v="2021-11-20T00:00:00"/>
    <n v="3200"/>
    <x v="1"/>
    <x v="13"/>
  </r>
  <r>
    <m/>
    <m/>
    <s v="ACORDO"/>
    <s v="ARISTIDES FAGUNDES - 07/07 (vcto 26/04/21)  - sem falta já prorrogado setembro"/>
    <d v="2021-11-20T00:00:00"/>
    <n v="823.81"/>
    <x v="1"/>
    <x v="13"/>
  </r>
  <r>
    <m/>
    <m/>
    <s v="ACORDO"/>
    <s v="ANTONIO FRANCISCO - 02/05"/>
    <d v="2021-11-21T00:00:00"/>
    <n v="1500"/>
    <x v="1"/>
    <x v="13"/>
  </r>
  <r>
    <m/>
    <m/>
    <s v="ENERGIA"/>
    <s v="RGE - vcto 04/11"/>
    <d v="2021-11-21T00:00:00"/>
    <n v="1124.6199999999999"/>
    <x v="0"/>
    <x v="13"/>
  </r>
  <r>
    <m/>
    <m/>
    <s v="EMPRESTIMO"/>
    <s v="SALARIOS - Operacional Caxias - devolver Andreia (Cabeça) - 03/08"/>
    <d v="2021-11-21T00:00:00"/>
    <n v="2500"/>
    <x v="1"/>
    <x v="13"/>
  </r>
  <r>
    <m/>
    <m/>
    <s v="ENCARGOS"/>
    <s v="FGTS - previsao"/>
    <d v="2021-11-21T00:00:00"/>
    <n v="800"/>
    <x v="0"/>
    <x v="13"/>
  </r>
  <r>
    <m/>
    <m/>
    <s v="ENCARGOS"/>
    <s v="FGTS - vcto 07/11"/>
    <d v="2021-11-21T00:00:00"/>
    <n v="9497.41"/>
    <x v="1"/>
    <x v="13"/>
  </r>
  <r>
    <m/>
    <m/>
    <s v="ASSESSORIA"/>
    <s v="GT3"/>
    <d v="2021-11-22T00:00:00"/>
    <n v="705.99"/>
    <x v="1"/>
    <x v="13"/>
  </r>
  <r>
    <m/>
    <m/>
    <s v="ACORDO"/>
    <s v="GENILSON - 02/17"/>
    <d v="2021-11-22T00:00:00"/>
    <n v="3000"/>
    <x v="1"/>
    <x v="13"/>
  </r>
  <r>
    <m/>
    <m/>
    <s v="MATERIAL"/>
    <s v="CHAPAS WSUL - Guilherme - 04/05 "/>
    <d v="2021-11-22T00:00:00"/>
    <n v="2500"/>
    <x v="0"/>
    <x v="13"/>
  </r>
  <r>
    <m/>
    <m/>
    <s v="SOCIOS"/>
    <s v="GUIA INSS LUIS BERTONCELLO - MÊS 05/2021 - reembolsar Dalnir"/>
    <d v="2021-11-22T00:00:00"/>
    <n v="1286.71"/>
    <x v="2"/>
    <x v="13"/>
  </r>
  <r>
    <m/>
    <m/>
    <s v="RESCISAO"/>
    <s v="LUANA DOS REIS - vcto 29/10 - cheque ainda não entregue"/>
    <d v="2021-11-22T00:00:00"/>
    <n v="1395.53"/>
    <x v="1"/>
    <x v="13"/>
  </r>
  <r>
    <m/>
    <m/>
    <s v="SOCIOS"/>
    <s v="SEGURO DE VIDA RUBENS PINTO - vcto 03/11/21 - pagar com o mesmo boleto"/>
    <d v="2021-11-23T00:00:00"/>
    <n v="1020.5"/>
    <x v="2"/>
    <x v="14"/>
  </r>
  <r>
    <m/>
    <m/>
    <s v="ACORDO"/>
    <s v="MICROEMPA - 09/13"/>
    <d v="2021-11-23T00:00:00"/>
    <n v="500"/>
    <x v="4"/>
    <x v="14"/>
  </r>
  <r>
    <m/>
    <m/>
    <s v="ACORDO"/>
    <s v="IZAAC - EMAIL JOEL - 06/06 - vcto 10/01/21 - não aceita mais renegociar"/>
    <d v="2021-11-24T00:00:00"/>
    <n v="1643"/>
    <x v="1"/>
    <x v="15"/>
  </r>
  <r>
    <m/>
    <m/>
    <s v="ACORDO"/>
    <s v="BOX RAPIDO - parcelas 08 e 09"/>
    <d v="2021-11-24T00:00:00"/>
    <n v="888.36"/>
    <x v="0"/>
    <x v="15"/>
  </r>
  <r>
    <m/>
    <m/>
    <s v="INFORMATICA"/>
    <s v="METADADOS "/>
    <d v="2021-11-25T00:00:00"/>
    <n v="318.68"/>
    <x v="0"/>
    <x v="16"/>
  </r>
  <r>
    <m/>
    <m/>
    <s v="INFORMATICA"/>
    <s v="METADADOS - vcto 25/09 + mensalidade"/>
    <d v="2021-11-25T00:00:00"/>
    <n v="637.36"/>
    <x v="0"/>
    <x v="16"/>
  </r>
  <r>
    <m/>
    <m/>
    <s v="INFORMATICA"/>
    <s v="INFOCALL"/>
    <d v="2021-11-25T00:00:00"/>
    <n v="120"/>
    <x v="0"/>
    <x v="16"/>
  </r>
  <r>
    <m/>
    <m/>
    <s v="ASSESSORIA"/>
    <s v="VISAO"/>
    <d v="2021-11-25T00:00:00"/>
    <n v="3250"/>
    <x v="1"/>
    <x v="16"/>
  </r>
  <r>
    <m/>
    <m/>
    <s v="ENCARGOS"/>
    <s v="REEMBOLSAR AIRMAX - GUIA OLIVEIRA E PERES"/>
    <d v="2021-11-25T00:00:00"/>
    <n v="1500"/>
    <x v="0"/>
    <x v="16"/>
  </r>
  <r>
    <m/>
    <m/>
    <s v="SOCIOS"/>
    <s v="RETIRADA LUIS BERTONCELLO"/>
    <d v="2021-11-25T00:00:00"/>
    <n v="2500"/>
    <x v="2"/>
    <x v="16"/>
  </r>
  <r>
    <m/>
    <m/>
    <s v="SOCIOS"/>
    <s v="RETIRADA PAULO SILVA"/>
    <d v="2021-11-25T00:00:00"/>
    <n v="2000"/>
    <x v="2"/>
    <x v="16"/>
  </r>
  <r>
    <m/>
    <m/>
    <s v="SAUDE"/>
    <s v="UNIMED - REEMBOLSAR RUBENS PINTO - unimed paga em dezembro/2020"/>
    <d v="2021-11-25T00:00:00"/>
    <n v="3337.71"/>
    <x v="3"/>
    <x v="16"/>
  </r>
  <r>
    <m/>
    <m/>
    <s v="SOCIOS"/>
    <s v="RETIRADA ROGERIO"/>
    <d v="2021-11-25T00:00:00"/>
    <n v="3500"/>
    <x v="2"/>
    <x v="16"/>
  </r>
  <r>
    <m/>
    <m/>
    <s v="EPI"/>
    <s v="ZAPA"/>
    <d v="2021-11-25T00:00:00"/>
    <n v="696.98"/>
    <x v="1"/>
    <x v="16"/>
  </r>
  <r>
    <m/>
    <m/>
    <s v="ALUGUEL "/>
    <s v="ALUGAMAQ - 30/09 - já prorrogado tres vezes"/>
    <d v="2021-11-26T00:00:00"/>
    <n v="240"/>
    <x v="1"/>
    <x v="17"/>
  </r>
  <r>
    <m/>
    <m/>
    <s v="CONVENIO"/>
    <s v="PROMED - vcto 15/11 (enviar cheque)"/>
    <d v="2021-11-26T00:00:00"/>
    <n v="2810.99"/>
    <x v="1"/>
    <x v="17"/>
  </r>
  <r>
    <m/>
    <m/>
    <s v="ACORDO"/>
    <s v="MARCELO QUIRINO - 03/06"/>
    <d v="2021-11-26T00:00:00"/>
    <n v="1758.2"/>
    <x v="1"/>
    <x v="17"/>
  </r>
  <r>
    <m/>
    <m/>
    <s v="RESCISAO"/>
    <s v="JANETE DA SILVA - vcto 01/11 - cheque ainda não entregue"/>
    <d v="2021-11-27T00:00:00"/>
    <n v="616.76"/>
    <x v="1"/>
    <x v="18"/>
  </r>
  <r>
    <m/>
    <m/>
    <s v="ASSESSORIA"/>
    <s v="DEPOSITAR ROSELI BUZZATI - saldo 03 ultimas notas - 02/02"/>
    <d v="2021-11-27T00:00:00"/>
    <n v="1612.5"/>
    <x v="0"/>
    <x v="18"/>
  </r>
  <r>
    <m/>
    <m/>
    <s v="SALARIOS"/>
    <s v="1.PARCELA 13º SALARIO"/>
    <d v="2021-11-27T00:00:00"/>
    <n v="4000"/>
    <x v="0"/>
    <x v="18"/>
  </r>
  <r>
    <m/>
    <m/>
    <s v="SALARIOS"/>
    <s v="1.PARCELA 13º SALARIO"/>
    <d v="2021-11-28T00:00:00"/>
    <n v="50000"/>
    <x v="1"/>
    <x v="18"/>
  </r>
  <r>
    <m/>
    <m/>
    <s v="TRANSPORTE"/>
    <s v="UNIAO - 01/04 (vcto 15/07 - já renegociado diversas vezes)"/>
    <d v="2021-11-28T00:00:00"/>
    <n v="937.5"/>
    <x v="1"/>
    <x v="18"/>
  </r>
  <r>
    <m/>
    <m/>
    <s v="EPI"/>
    <s v="JUSTINA - falta boleto"/>
    <d v="2021-11-28T00:00:00"/>
    <n v="675"/>
    <x v="1"/>
    <x v="18"/>
  </r>
  <r>
    <m/>
    <m/>
    <s v="BONUS"/>
    <s v="BONUS - ver relacao com Nelci"/>
    <d v="2021-11-28T00:00:00"/>
    <n v="3410"/>
    <x v="1"/>
    <x v="18"/>
  </r>
  <r>
    <m/>
    <m/>
    <s v="EPI"/>
    <s v="JUSTINA"/>
    <d v="2021-11-29T00:00:00"/>
    <n v="675"/>
    <x v="1"/>
    <x v="18"/>
  </r>
  <r>
    <m/>
    <m/>
    <s v="VIAGEM"/>
    <s v="VOB HOTEL - vcto 22/10"/>
    <d v="2021-11-29T00:00:00"/>
    <n v="2379.5"/>
    <x v="1"/>
    <x v="18"/>
  </r>
  <r>
    <m/>
    <m/>
    <s v="ACORDO"/>
    <s v="EDMILSON - CIFERAL - 02/02 "/>
    <d v="2021-11-29T00:00:00"/>
    <n v="1100"/>
    <x v="1"/>
    <x v="18"/>
  </r>
  <r>
    <m/>
    <m/>
    <s v="INFORMATICA"/>
    <s v="CORPORATIVA TI - mensalidades de junho e novembro"/>
    <d v="2021-11-29T00:00:00"/>
    <n v="500"/>
    <x v="1"/>
    <x v="18"/>
  </r>
  <r>
    <m/>
    <m/>
    <s v="ACORDO"/>
    <s v="RAFAEL SCOPEL"/>
    <d v="2021-11-29T00:00:00"/>
    <n v="500"/>
    <x v="1"/>
    <x v="18"/>
  </r>
  <r>
    <m/>
    <m/>
    <s v="ACORDO"/>
    <s v="ALIMENTAR - PARCELA 01/02"/>
    <d v="2021-11-29T00:00:00"/>
    <n v="2578"/>
    <x v="1"/>
    <x v="18"/>
  </r>
  <r>
    <m/>
    <m/>
    <s v="FÉRIAS"/>
    <s v="ALUISIO COSTA SALES - vcto 15/10 - saldo"/>
    <d v="2021-11-29T00:00:00"/>
    <n v="701"/>
    <x v="1"/>
    <x v="18"/>
  </r>
  <r>
    <m/>
    <m/>
    <s v="CURSO"/>
    <s v="RAFAEL SCOPEL (combinado com Sr.Luis)"/>
    <d v="2021-11-30T00:00:00"/>
    <n v="1250"/>
    <x v="1"/>
    <x v="19"/>
  </r>
  <r>
    <m/>
    <m/>
    <s v="SEGURO"/>
    <s v="OUTLANDER - LUIS - 05/07"/>
    <d v="2021-11-30T00:00:00"/>
    <n v="404.34"/>
    <x v="2"/>
    <x v="19"/>
  </r>
  <r>
    <m/>
    <m/>
    <s v="SOCIOS"/>
    <s v="IRF VERA KARLING - 07/08"/>
    <d v="2021-11-30T00:00:00"/>
    <n v="236.8"/>
    <x v="1"/>
    <x v="19"/>
  </r>
  <r>
    <m/>
    <m/>
    <s v="IMPOSTOS"/>
    <s v="TAXA DE LICENCA PREFEITURA"/>
    <d v="2021-11-30T00:00:00"/>
    <n v="180.85"/>
    <x v="1"/>
    <x v="19"/>
  </r>
  <r>
    <m/>
    <m/>
    <s v="SOCIOS"/>
    <s v="PAGLIARIN"/>
    <d v="2021-11-30T00:00:00"/>
    <n v="1958.72"/>
    <x v="1"/>
    <x v="19"/>
  </r>
  <r>
    <m/>
    <m/>
    <s v="PARCELAMENTO"/>
    <s v="SIMPLES - 03/60 - previsao"/>
    <d v="2021-11-30T00:00:00"/>
    <n v="10295.89"/>
    <x v="1"/>
    <x v="19"/>
  </r>
  <r>
    <m/>
    <m/>
    <s v="PARCELAMENTO"/>
    <s v="INSS"/>
    <d v="2021-11-30T00:00:00"/>
    <n v="1270.6300000000001"/>
    <x v="1"/>
    <x v="19"/>
  </r>
  <r>
    <m/>
    <m/>
    <s v="PARCELAMENTO"/>
    <s v="IRPJ"/>
    <d v="2021-11-30T00:00:00"/>
    <n v="615.77"/>
    <x v="1"/>
    <x v="19"/>
  </r>
  <r>
    <m/>
    <m/>
    <s v="PARCELAMENTO"/>
    <s v="CSLL - DEBITO BB "/>
    <d v="2021-11-30T00:00:00"/>
    <n v="526.26"/>
    <x v="1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9" dataOnRows="1" applyNumberFormats="0" applyBorderFormats="0" applyFontFormats="0" applyPatternFormats="0" applyAlignmentFormats="0" applyWidthHeightFormats="1" dataCaption="Dados" updatedVersion="6" showMemberPropertyTips="0" useAutoFormatting="1" itemPrintTitles="1" createdVersion="1" indent="0" compact="0" compactData="0" gridDropZones="1">
  <location ref="A28:X35" firstHeaderRow="1" firstDataRow="2" firstDataCol="1"/>
  <pivotFields count="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6">
        <item x="0"/>
        <item x="1"/>
        <item x="4"/>
        <item x="3"/>
        <item x="2"/>
        <item t="default"/>
      </items>
    </pivotField>
    <pivotField axis="axisCol" compact="0" outline="0" subtotalTop="0" showAll="0" includeNewItemsInFilter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colItems>
  <dataFields count="1">
    <dataField name="Soma de Valor" fld="5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ela dinâmica1" cacheId="11" dataOnRows="1" applyNumberFormats="0" applyBorderFormats="0" applyFontFormats="0" applyPatternFormats="0" applyAlignmentFormats="0" applyWidthHeightFormats="1" dataCaption="Dados" updatedVersion="4" showMemberPropertyTips="0" useAutoFormatting="1" itemPrintTitles="1" createdVersion="1" indent="0" compact="0" compactData="0" gridDropZones="1">
  <location ref="A28:V35" firstHeaderRow="1" firstDataRow="2" firstDataCol="1"/>
  <pivotFields count="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6">
        <item x="2"/>
        <item x="0"/>
        <item x="4"/>
        <item x="3"/>
        <item x="1"/>
        <item t="default"/>
      </items>
    </pivotField>
    <pivotField axis="axisCol" compact="0" outline="0" subtotalTop="0" showAll="0" includeNewItemsInFilter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Soma de Valor" fld="5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ela dinâmica1" cacheId="10" dataOnRows="1" applyNumberFormats="0" applyBorderFormats="0" applyFontFormats="0" applyPatternFormats="0" applyAlignmentFormats="0" applyWidthHeightFormats="1" dataCaption="Dados" updatedVersion="6" showMemberPropertyTips="0" useAutoFormatting="1" itemPrintTitles="1" createdVersion="1" indent="0" compact="0" compactData="0" gridDropZones="1">
  <location ref="A28:W34" firstHeaderRow="1" firstDataRow="2" firstDataCol="1"/>
  <pivotFields count="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5">
        <item x="1"/>
        <item x="0"/>
        <item x="3"/>
        <item x="2"/>
        <item t="default"/>
      </items>
    </pivotField>
    <pivotField axis="axisCol" compact="0" outline="0" subtotalTop="0" showAll="0" includeNewItemsInFilter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Soma de Valor" fld="5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Tabela dinâmica1" cacheId="5" dataOnRows="1" applyNumberFormats="0" applyBorderFormats="0" applyFontFormats="0" applyPatternFormats="0" applyAlignmentFormats="0" applyWidthHeightFormats="1" dataCaption="Dados" updatedVersion="6" showMemberPropertyTips="0" useAutoFormatting="1" itemPrintTitles="1" createdVersion="1" indent="0" compact="0" compactData="0" gridDropZones="1">
  <location ref="A28:X35" firstHeaderRow="1" firstDataRow="2" firstDataCol="1"/>
  <pivotFields count="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6">
        <item x="2"/>
        <item x="0"/>
        <item x="4"/>
        <item x="3"/>
        <item x="1"/>
        <item t="default"/>
      </items>
    </pivotField>
    <pivotField axis="axisCol" compact="0" outline="0" subtotalTop="0" showAll="0" includeNewItemsInFilter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colItems>
  <dataFields count="1">
    <dataField name="Soma de Valor" fld="5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Tabela dinâmica1" cacheId="4" dataOnRows="1" applyNumberFormats="0" applyBorderFormats="0" applyFontFormats="0" applyPatternFormats="0" applyAlignmentFormats="0" applyWidthHeightFormats="1" dataCaption="Dados" updatedVersion="6" showMemberPropertyTips="0" useAutoFormatting="1" itemPrintTitles="1" createdVersion="1" indent="0" compact="0" compactData="0" gridDropZones="1">
  <location ref="A28:X35" firstHeaderRow="1" firstDataRow="2" firstDataCol="1"/>
  <pivotFields count="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6">
        <item x="2"/>
        <item x="0"/>
        <item x="4"/>
        <item x="3"/>
        <item x="1"/>
        <item t="default"/>
      </items>
    </pivotField>
    <pivotField axis="axisCol" compact="0" outline="0" subtotalTop="0" showAll="0" includeNewItemsInFilter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colItems>
  <dataFields count="1">
    <dataField name="Soma de Valor" fld="5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Tabela dinâmica1" cacheId="3" dataOnRows="1" applyNumberFormats="0" applyBorderFormats="0" applyFontFormats="0" applyPatternFormats="0" applyAlignmentFormats="0" applyWidthHeightFormats="1" dataCaption="Dados" updatedVersion="6" showMemberPropertyTips="0" useAutoFormatting="1" itemPrintTitles="1" createdVersion="1" indent="0" compact="0" compactData="0" gridDropZones="1">
  <location ref="A28:X35" firstHeaderRow="1" firstDataRow="2" firstDataCol="1"/>
  <pivotFields count="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7">
        <item h="1" m="1" x="5"/>
        <item x="2"/>
        <item x="0"/>
        <item x="4"/>
        <item x="3"/>
        <item x="1"/>
        <item t="default"/>
      </items>
    </pivotField>
    <pivotField axis="axisCol" compact="0" outline="0" subtotalTop="0" showAll="0" includeNewItemsInFilter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6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7"/>
  </colFields>
  <col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colItems>
  <dataFields count="1">
    <dataField name="Soma de Valor" fld="5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Tabela dinâmica1" cacheId="2" dataOnRows="1" applyNumberFormats="0" applyBorderFormats="0" applyFontFormats="0" applyPatternFormats="0" applyAlignmentFormats="0" applyWidthHeightFormats="1" dataCaption="Dados" updatedVersion="6" showMemberPropertyTips="0" useAutoFormatting="1" itemPrintTitles="1" createdVersion="1" indent="0" compact="0" compactData="0" gridDropZones="1">
  <location ref="A28:X36" firstHeaderRow="1" firstDataRow="2" firstDataCol="1"/>
  <pivotFields count="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8">
        <item h="1" m="1" x="6"/>
        <item x="0"/>
        <item x="2"/>
        <item x="4"/>
        <item x="3"/>
        <item x="1"/>
        <item x="5"/>
        <item t="default"/>
      </items>
    </pivotField>
    <pivotField axis="axisCol" compact="0" outline="0" subtotalTop="0" showAll="0" includeNewItemsInFilter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colItems>
  <dataFields count="1">
    <dataField name="Soma de Valor" fld="5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0000000}" name="Tabela dinâmica1" cacheId="1" dataOnRows="1" applyNumberFormats="0" applyBorderFormats="0" applyFontFormats="0" applyPatternFormats="0" applyAlignmentFormats="0" applyWidthHeightFormats="1" dataCaption="Dados" updatedVersion="6" showMemberPropertyTips="0" useAutoFormatting="1" itemPrintTitles="1" createdVersion="1" indent="0" compact="0" compactData="0" gridDropZones="1">
  <location ref="A28:W36" firstHeaderRow="1" firstDataRow="2" firstDataCol="1"/>
  <pivotFields count="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8">
        <item h="1" m="1" x="6"/>
        <item x="2"/>
        <item x="0"/>
        <item x="3"/>
        <item x="4"/>
        <item x="1"/>
        <item x="5"/>
        <item t="default"/>
      </items>
    </pivotField>
    <pivotField axis="axisCol" compact="0" outline="0" subtotalTop="0" showAll="0" includeNewItemsInFilter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Soma de Valor" fld="5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0000000}" name="Tabela dinâmica1" cacheId="0" dataOnRows="1" applyNumberFormats="0" applyBorderFormats="0" applyFontFormats="0" applyPatternFormats="0" applyAlignmentFormats="0" applyWidthHeightFormats="1" dataCaption="Dados" updatedVersion="6" showMemberPropertyTips="0" useAutoFormatting="1" itemPrintTitles="1" createdVersion="1" indent="0" compact="0" compactData="0" gridDropZones="1">
  <location ref="A28:W35" firstHeaderRow="1" firstDataRow="2" firstDataCol="1"/>
  <pivotFields count="6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8">
        <item x="1"/>
        <item n="VENT" x="2"/>
        <item n="SOL" x="4"/>
        <item n="P" x="3"/>
        <item m="1" x="5"/>
        <item n="SEM" x="0"/>
        <item m="1" x="6"/>
        <item t="default"/>
      </items>
    </pivotField>
    <pivotField axis="axisCol" compact="0" outline="0" subtotalTop="0" showAll="0" includeNewItemsInFilter="1">
      <items count="87">
        <item m="1" x="80"/>
        <item m="1" x="39"/>
        <item m="1" x="67"/>
        <item m="1" x="28"/>
        <item m="1" x="58"/>
        <item m="1" x="77"/>
        <item m="1" x="36"/>
        <item m="1" x="64"/>
        <item m="1" x="26"/>
        <item m="1" x="56"/>
        <item m="1" x="74"/>
        <item m="1" x="33"/>
        <item m="1" x="62"/>
        <item m="1" x="24"/>
        <item m="1" x="53"/>
        <item m="1" x="71"/>
        <item m="1" x="30"/>
        <item m="1" x="59"/>
        <item m="1" x="21"/>
        <item m="1" x="49"/>
        <item m="1" x="66"/>
        <item m="1" x="51"/>
        <item m="1" x="81"/>
        <item m="1" x="41"/>
        <item m="1" x="69"/>
        <item m="1" x="29"/>
        <item m="1" x="48"/>
        <item m="1" x="78"/>
        <item m="1" x="37"/>
        <item m="1" x="65"/>
        <item m="1" x="27"/>
        <item m="1" x="46"/>
        <item m="1" x="75"/>
        <item m="1" x="34"/>
        <item m="1" x="63"/>
        <item m="1" x="25"/>
        <item m="1" x="44"/>
        <item m="1" x="72"/>
        <item m="1" x="31"/>
        <item m="1" x="61"/>
        <item m="1" x="23"/>
        <item m="1" x="40"/>
        <item m="1" x="68"/>
        <item m="1" x="54"/>
        <item m="1" x="83"/>
        <item m="1" x="43"/>
        <item m="1" x="60"/>
        <item m="1" x="22"/>
        <item m="1" x="50"/>
        <item m="1" x="79"/>
        <item m="1" x="38"/>
        <item m="1" x="57"/>
        <item m="1" x="85"/>
        <item m="1" x="47"/>
        <item m="1" x="76"/>
        <item m="1" x="35"/>
        <item m="1" x="55"/>
        <item m="1" x="84"/>
        <item m="1" x="45"/>
        <item m="1" x="73"/>
        <item m="1" x="32"/>
        <item m="1" x="52"/>
        <item m="1" x="82"/>
        <item m="1" x="42"/>
        <item m="1" x="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5"/>
    </i>
    <i t="grand">
      <x/>
    </i>
  </rowItems>
  <colFields count="1">
    <field x="5"/>
  </colFields>
  <colItems count="22"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 t="grand">
      <x/>
    </i>
  </colItems>
  <dataFields count="1">
    <dataField name="Soma de Valor" fld="3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300-000000000000}" name="Tabela dinâmica1" cacheId="6" dataOnRows="1" applyNumberFormats="0" applyBorderFormats="0" applyFontFormats="0" applyPatternFormats="0" applyAlignmentFormats="0" applyWidthHeightFormats="1" dataCaption="Dados" updatedVersion="6" showMemberPropertyTips="0" useAutoFormatting="1" itemPrintTitles="1" createdVersion="1" indent="0" compact="0" compactData="0" gridDropZones="1">
  <location ref="A28:Y35" firstHeaderRow="1" firstDataRow="2" firstDataCol="1"/>
  <pivotFields count="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8">
        <item x="2"/>
        <item n="VENT" x="0"/>
        <item n="SOL" x="4"/>
        <item n="P" x="3"/>
        <item n="SEM" x="1"/>
        <item m="1" x="6"/>
        <item m="1" x="5"/>
        <item t="default"/>
      </items>
    </pivotField>
    <pivotField axis="axisCol" compact="0" outline="0" subtotalTop="0" showAll="0" includeNewItemsInFilter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colItems>
  <dataFields count="1">
    <dataField name="Soma de Valor" fld="5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00000000}" name="Tabela dinâmica1" cacheId="7" dataOnRows="1" applyNumberFormats="0" applyBorderFormats="0" applyFontFormats="0" applyPatternFormats="0" applyAlignmentFormats="0" applyWidthHeightFormats="1" dataCaption="Dados" updatedVersion="6" showMemberPropertyTips="0" useAutoFormatting="1" itemPrintTitles="1" createdVersion="1" indent="0" compact="0" compactData="0" gridDropZones="1">
  <location ref="A24:V31" firstHeaderRow="1" firstDataRow="2" firstDataCol="1"/>
  <pivotFields count="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10">
        <item x="2"/>
        <item n="VENT" x="0"/>
        <item n="SOL" x="4"/>
        <item m="1" x="6"/>
        <item n="P" x="3"/>
        <item m="1" x="7"/>
        <item m="1" x="5"/>
        <item m="1" x="8"/>
        <item n="SEM" x="1"/>
        <item t="default"/>
      </items>
    </pivotField>
    <pivotField axis="axisCol" compact="0" outline="0" subtotalTop="0" showAll="0" includeNewItemsInFilter="1">
      <items count="182">
        <item m="1" x="95"/>
        <item m="1" x="135"/>
        <item m="1" x="89"/>
        <item m="1" x="48"/>
        <item m="1" x="169"/>
        <item m="1" x="129"/>
        <item m="1" x="164"/>
        <item m="1" x="123"/>
        <item m="1" x="77"/>
        <item m="1" x="37"/>
        <item m="1" x="158"/>
        <item m="1" x="32"/>
        <item m="1" x="152"/>
        <item m="1" x="111"/>
        <item m="1" x="66"/>
        <item m="1" x="26"/>
        <item m="1" x="61"/>
        <item m="1" x="20"/>
        <item m="1" x="141"/>
        <item m="1" x="101"/>
        <item m="1" x="176"/>
        <item m="1" x="136"/>
        <item m="1" x="90"/>
        <item m="1" x="50"/>
        <item m="1" x="171"/>
        <item m="1" x="44"/>
        <item m="1" x="165"/>
        <item m="1" x="124"/>
        <item m="1" x="79"/>
        <item m="1" x="39"/>
        <item m="1" x="73"/>
        <item m="1" x="33"/>
        <item m="1" x="153"/>
        <item m="1" x="113"/>
        <item m="1" x="68"/>
        <item m="1" x="107"/>
        <item m="1" x="62"/>
        <item m="1" x="21"/>
        <item m="1" x="142"/>
        <item m="1" x="102"/>
        <item m="1" x="56"/>
        <item m="1" x="177"/>
        <item m="1" x="137"/>
        <item m="1" x="91"/>
        <item m="1" x="51"/>
        <item m="1" x="85"/>
        <item m="1" x="45"/>
        <item m="1" x="166"/>
        <item m="1" x="125"/>
        <item m="1" x="80"/>
        <item m="1" x="119"/>
        <item m="1" x="74"/>
        <item m="1" x="34"/>
        <item m="1" x="154"/>
        <item m="1" x="114"/>
        <item m="1" x="148"/>
        <item m="1" x="108"/>
        <item m="1" x="63"/>
        <item m="1" x="22"/>
        <item m="1" x="143"/>
        <item m="1" x="97"/>
        <item m="1" x="57"/>
        <item m="1" x="178"/>
        <item m="1" x="138"/>
        <item m="1" x="92"/>
        <item m="1" x="131"/>
        <item m="1" x="86"/>
        <item m="1" x="46"/>
        <item m="1" x="167"/>
        <item m="1" x="126"/>
        <item m="1" x="160"/>
        <item m="1" x="120"/>
        <item m="1" x="75"/>
        <item m="1" x="35"/>
        <item m="1" x="155"/>
        <item m="1" x="28"/>
        <item m="1" x="149"/>
        <item m="1" x="109"/>
        <item m="1" x="64"/>
        <item m="1" x="23"/>
        <item m="1" x="60"/>
        <item m="1" x="98"/>
        <item m="1" x="58"/>
        <item m="1" x="179"/>
        <item m="1" x="52"/>
        <item m="1" x="172"/>
        <item m="1" x="132"/>
        <item m="1" x="87"/>
        <item m="1" x="47"/>
        <item m="1" x="81"/>
        <item m="1" x="40"/>
        <item m="1" x="161"/>
        <item m="1" x="121"/>
        <item m="1" x="76"/>
        <item m="1" x="115"/>
        <item m="1" x="69"/>
        <item m="1" x="29"/>
        <item m="1" x="150"/>
        <item m="1" x="110"/>
        <item m="1" x="144"/>
        <item m="1" x="103"/>
        <item m="1" x="99"/>
        <item m="1" x="59"/>
        <item m="1" x="93"/>
        <item m="1" x="53"/>
        <item m="1" x="173"/>
        <item m="1" x="133"/>
        <item m="1" x="88"/>
        <item m="1" x="127"/>
        <item m="1" x="82"/>
        <item m="1" x="41"/>
        <item m="1" x="162"/>
        <item m="1" x="122"/>
        <item m="1" x="156"/>
        <item m="1" x="116"/>
        <item m="1" x="70"/>
        <item m="1" x="30"/>
        <item m="1" x="151"/>
        <item m="1" x="24"/>
        <item m="1" x="145"/>
        <item m="1" x="104"/>
        <item m="1" x="100"/>
        <item m="1" x="139"/>
        <item m="1" x="94"/>
        <item m="1" x="54"/>
        <item m="1" x="174"/>
        <item m="1" x="134"/>
        <item m="1" x="168"/>
        <item m="1" x="128"/>
        <item m="1" x="83"/>
        <item m="1" x="42"/>
        <item m="1" x="163"/>
        <item m="1" x="36"/>
        <item m="1" x="157"/>
        <item m="1" x="117"/>
        <item m="1" x="71"/>
        <item m="1" x="31"/>
        <item m="1" x="65"/>
        <item m="1" x="25"/>
        <item m="1" x="146"/>
        <item m="1" x="105"/>
        <item m="1" x="180"/>
        <item m="1" x="140"/>
        <item m="1" x="96"/>
        <item m="1" x="55"/>
        <item m="1" x="175"/>
        <item m="1" x="49"/>
        <item m="1" x="170"/>
        <item m="1" x="130"/>
        <item m="1" x="84"/>
        <item m="1" x="43"/>
        <item m="1" x="78"/>
        <item m="1" x="38"/>
        <item m="1" x="159"/>
        <item m="1" x="118"/>
        <item m="1" x="72"/>
        <item m="1" x="112"/>
        <item m="1" x="67"/>
        <item m="1" x="27"/>
        <item m="1" x="147"/>
        <item m="1" x="10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6"/>
  </rowFields>
  <rowItems count="6">
    <i>
      <x/>
    </i>
    <i>
      <x v="1"/>
    </i>
    <i>
      <x v="2"/>
    </i>
    <i>
      <x v="4"/>
    </i>
    <i>
      <x v="8"/>
    </i>
    <i t="grand">
      <x/>
    </i>
  </rowItems>
  <colFields count="1">
    <field x="7"/>
  </colFields>
  <colItems count="21"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 t="grand">
      <x/>
    </i>
  </colItems>
  <dataFields count="1">
    <dataField name="Soma de Valor" fld="5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700-000000000000}" name="Tabela dinâmica1" cacheId="8" dataOnRows="1" applyNumberFormats="0" applyBorderFormats="0" applyFontFormats="0" applyPatternFormats="0" applyAlignmentFormats="0" applyWidthHeightFormats="1" dataCaption="Dados" updatedVersion="6" showMemberPropertyTips="0" useAutoFormatting="1" itemPrintTitles="1" createdVersion="1" indent="0" compact="0" compactData="0" gridDropZones="1">
  <location ref="A25:W31" firstHeaderRow="1" firstDataRow="2" firstDataCol="1"/>
  <pivotFields count="8"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>
      <items count="7">
        <item x="0"/>
        <item n="VENT" x="1"/>
        <item m="1" x="5"/>
        <item n="P" x="3"/>
        <item m="1" x="4"/>
        <item n="SEM" x="2"/>
        <item t="default"/>
      </items>
    </pivotField>
    <pivotField axis="axisCol" compact="0" outline="0" subtotalTop="0" showAll="0" includeNewItemsInFilter="1">
      <items count="44">
        <item m="1" x="26"/>
        <item m="1" x="35"/>
        <item m="1" x="42"/>
        <item m="1" x="29"/>
        <item m="1" x="38"/>
        <item m="1" x="24"/>
        <item m="1" x="33"/>
        <item m="1" x="41"/>
        <item m="1" x="28"/>
        <item m="1" x="37"/>
        <item m="1" x="23"/>
        <item m="1" x="32"/>
        <item m="1" x="40"/>
        <item m="1" x="27"/>
        <item m="1" x="36"/>
        <item m="1" x="22"/>
        <item m="1" x="31"/>
        <item m="1" x="39"/>
        <item m="1" x="25"/>
        <item m="1" x="34"/>
        <item m="1" x="21"/>
        <item m="1"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6"/>
  </rowFields>
  <rowItems count="5">
    <i>
      <x/>
    </i>
    <i>
      <x v="1"/>
    </i>
    <i>
      <x v="3"/>
    </i>
    <i>
      <x v="5"/>
    </i>
    <i t="grand">
      <x/>
    </i>
  </rowItems>
  <colFields count="1">
    <field x="7"/>
  </colFields>
  <colItems count="22"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colItems>
  <dataFields count="1">
    <dataField name="Soma de Valor" fld="5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4.xml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5.xml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6.xml"/><Relationship Id="rId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7.xml"/><Relationship Id="rId4" Type="http://schemas.openxmlformats.org/officeDocument/2006/relationships/comments" Target="../comments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8.xml"/><Relationship Id="rId4" Type="http://schemas.openxmlformats.org/officeDocument/2006/relationships/comments" Target="../comments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9.xml"/><Relationship Id="rId4" Type="http://schemas.openxmlformats.org/officeDocument/2006/relationships/comments" Target="../comments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10.xml"/><Relationship Id="rId4" Type="http://schemas.openxmlformats.org/officeDocument/2006/relationships/comments" Target="../comments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printerSettings" Target="../printerSettings/printerSettings22.bin"/><Relationship Id="rId1" Type="http://schemas.openxmlformats.org/officeDocument/2006/relationships/pivotTable" Target="../pivotTables/pivotTable11.xml"/><Relationship Id="rId4" Type="http://schemas.openxmlformats.org/officeDocument/2006/relationships/comments" Target="../comments1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12.xml"/><Relationship Id="rId4" Type="http://schemas.openxmlformats.org/officeDocument/2006/relationships/comments" Target="../comments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K2860"/>
  <sheetViews>
    <sheetView zoomScale="90" workbookViewId="0">
      <pane ySplit="1" topLeftCell="A2" activePane="bottomLeft" state="frozen"/>
      <selection activeCell="H2829" sqref="H2829"/>
      <selection pane="bottomLeft" activeCell="D25" sqref="D25"/>
    </sheetView>
  </sheetViews>
  <sheetFormatPr defaultRowHeight="12.75" x14ac:dyDescent="0.2"/>
  <cols>
    <col min="1" max="1" width="7.140625" customWidth="1"/>
    <col min="2" max="2" width="5.7109375" customWidth="1"/>
    <col min="3" max="3" width="15.7109375" bestFit="1" customWidth="1"/>
    <col min="4" max="4" width="61.7109375" bestFit="1" customWidth="1"/>
    <col min="5" max="5" width="12.5703125" style="49" customWidth="1"/>
    <col min="6" max="6" width="17.42578125" style="40" customWidth="1"/>
    <col min="7" max="7" width="24.85546875" customWidth="1"/>
    <col min="8" max="8" width="15.28515625" style="44" customWidth="1"/>
    <col min="9" max="9" width="21.7109375" bestFit="1" customWidth="1"/>
    <col min="10" max="10" width="19" customWidth="1"/>
    <col min="11" max="11" width="18.28515625" style="1" customWidth="1"/>
    <col min="12" max="12" width="17.28515625" customWidth="1"/>
    <col min="13" max="13" width="14.140625" customWidth="1"/>
    <col min="14" max="14" width="19.140625" customWidth="1"/>
  </cols>
  <sheetData>
    <row r="1" spans="1:11" s="36" customFormat="1" x14ac:dyDescent="0.2">
      <c r="A1" s="36">
        <v>0</v>
      </c>
      <c r="B1" s="36" t="s">
        <v>5</v>
      </c>
      <c r="C1" s="36" t="s">
        <v>46</v>
      </c>
      <c r="D1" s="36" t="s">
        <v>47</v>
      </c>
      <c r="E1" s="36" t="s">
        <v>48</v>
      </c>
      <c r="F1" s="67" t="s">
        <v>49</v>
      </c>
      <c r="G1" s="36" t="s">
        <v>50</v>
      </c>
      <c r="H1" s="33" t="s">
        <v>42</v>
      </c>
      <c r="K1" s="37"/>
    </row>
    <row r="2" spans="1:11" ht="13.5" customHeight="1" x14ac:dyDescent="0.2">
      <c r="C2" t="s">
        <v>72</v>
      </c>
      <c r="D2" s="56" t="s">
        <v>1739</v>
      </c>
      <c r="E2" s="52">
        <v>44531</v>
      </c>
      <c r="F2" s="55">
        <v>1020</v>
      </c>
      <c r="G2" t="s">
        <v>1688</v>
      </c>
      <c r="H2" s="39">
        <f t="shared" ref="H2:H40" si="0">VLOOKUP(E2,$E$2783:$H$2814,4,FALSE)</f>
        <v>44531</v>
      </c>
    </row>
    <row r="3" spans="1:11" ht="13.5" customHeight="1" x14ac:dyDescent="0.2">
      <c r="C3" t="s">
        <v>159</v>
      </c>
      <c r="D3" s="56" t="s">
        <v>357</v>
      </c>
      <c r="E3" s="52">
        <v>44531</v>
      </c>
      <c r="F3" s="55">
        <v>1043.68</v>
      </c>
      <c r="G3" t="s">
        <v>1689</v>
      </c>
      <c r="H3" s="39">
        <f t="shared" si="0"/>
        <v>44531</v>
      </c>
    </row>
    <row r="4" spans="1:11" ht="13.5" customHeight="1" x14ac:dyDescent="0.2">
      <c r="C4" t="s">
        <v>82</v>
      </c>
      <c r="D4" t="s">
        <v>81</v>
      </c>
      <c r="E4" s="52">
        <v>44532</v>
      </c>
      <c r="F4" s="55">
        <v>1000</v>
      </c>
      <c r="G4" t="s">
        <v>1676</v>
      </c>
      <c r="H4" s="39">
        <f t="shared" si="0"/>
        <v>44532</v>
      </c>
    </row>
    <row r="5" spans="1:11" ht="13.5" customHeight="1" x14ac:dyDescent="0.2">
      <c r="C5" t="s">
        <v>56</v>
      </c>
      <c r="D5" s="56" t="s">
        <v>56</v>
      </c>
      <c r="E5" s="52">
        <v>44532</v>
      </c>
      <c r="F5" s="55">
        <v>6000</v>
      </c>
      <c r="G5" t="s">
        <v>1676</v>
      </c>
      <c r="H5" s="39">
        <f t="shared" si="0"/>
        <v>44532</v>
      </c>
    </row>
    <row r="6" spans="1:11" ht="13.5" customHeight="1" x14ac:dyDescent="0.2">
      <c r="C6" t="s">
        <v>56</v>
      </c>
      <c r="D6" s="56" t="s">
        <v>56</v>
      </c>
      <c r="E6" s="52">
        <v>44532</v>
      </c>
      <c r="F6" s="55">
        <v>90000</v>
      </c>
      <c r="G6" t="s">
        <v>1689</v>
      </c>
      <c r="H6" s="39">
        <f t="shared" si="0"/>
        <v>44532</v>
      </c>
    </row>
    <row r="7" spans="1:11" ht="13.5" customHeight="1" x14ac:dyDescent="0.2">
      <c r="C7" t="s">
        <v>72</v>
      </c>
      <c r="D7" t="s">
        <v>1707</v>
      </c>
      <c r="E7" s="52">
        <v>44532</v>
      </c>
      <c r="F7" s="55">
        <v>2500</v>
      </c>
      <c r="G7" t="s">
        <v>1688</v>
      </c>
      <c r="H7" s="39">
        <f t="shared" si="0"/>
        <v>44532</v>
      </c>
    </row>
    <row r="8" spans="1:11" ht="13.5" customHeight="1" x14ac:dyDescent="0.2">
      <c r="C8" t="s">
        <v>72</v>
      </c>
      <c r="D8" t="s">
        <v>1763</v>
      </c>
      <c r="E8" s="52">
        <v>44532</v>
      </c>
      <c r="F8" s="55">
        <v>2000</v>
      </c>
      <c r="G8" t="s">
        <v>1688</v>
      </c>
      <c r="H8" s="39">
        <f t="shared" si="0"/>
        <v>44532</v>
      </c>
    </row>
    <row r="9" spans="1:11" ht="13.5" customHeight="1" x14ac:dyDescent="0.2">
      <c r="C9" t="s">
        <v>96</v>
      </c>
      <c r="D9" s="56" t="s">
        <v>146</v>
      </c>
      <c r="E9" s="52">
        <v>44533</v>
      </c>
      <c r="F9" s="55">
        <v>1500</v>
      </c>
      <c r="G9" t="s">
        <v>1689</v>
      </c>
      <c r="H9" s="39">
        <f t="shared" si="0"/>
        <v>44533</v>
      </c>
    </row>
    <row r="10" spans="1:11" ht="13.5" customHeight="1" x14ac:dyDescent="0.2">
      <c r="C10" t="s">
        <v>159</v>
      </c>
      <c r="D10" s="56" t="s">
        <v>586</v>
      </c>
      <c r="E10" s="52">
        <v>44533</v>
      </c>
      <c r="F10" s="55">
        <v>900</v>
      </c>
      <c r="G10" t="s">
        <v>1689</v>
      </c>
      <c r="H10" s="39">
        <f t="shared" si="0"/>
        <v>44533</v>
      </c>
    </row>
    <row r="11" spans="1:11" ht="13.5" customHeight="1" x14ac:dyDescent="0.2">
      <c r="A11" s="66"/>
      <c r="C11" t="s">
        <v>97</v>
      </c>
      <c r="D11" s="56" t="s">
        <v>275</v>
      </c>
      <c r="E11" s="52">
        <v>44533</v>
      </c>
      <c r="F11" s="55">
        <v>2090.64</v>
      </c>
      <c r="G11" t="s">
        <v>1689</v>
      </c>
      <c r="H11" s="39">
        <f t="shared" si="0"/>
        <v>44533</v>
      </c>
    </row>
    <row r="12" spans="1:11" ht="13.5" customHeight="1" x14ac:dyDescent="0.2">
      <c r="A12" s="66"/>
      <c r="C12" t="s">
        <v>97</v>
      </c>
      <c r="D12" s="56" t="s">
        <v>279</v>
      </c>
      <c r="E12" s="52">
        <v>44534</v>
      </c>
      <c r="F12" s="55">
        <v>2008.11</v>
      </c>
      <c r="G12" t="s">
        <v>1689</v>
      </c>
      <c r="H12" s="39">
        <f t="shared" si="0"/>
        <v>44536</v>
      </c>
    </row>
    <row r="13" spans="1:11" ht="13.5" customHeight="1" x14ac:dyDescent="0.2">
      <c r="A13" s="66"/>
      <c r="C13" t="s">
        <v>88</v>
      </c>
      <c r="D13" s="56" t="s">
        <v>1534</v>
      </c>
      <c r="E13" s="52">
        <v>44535</v>
      </c>
      <c r="F13" s="55">
        <v>5953</v>
      </c>
      <c r="G13" t="s">
        <v>1689</v>
      </c>
      <c r="H13" s="39">
        <f t="shared" si="0"/>
        <v>44536</v>
      </c>
    </row>
    <row r="14" spans="1:11" ht="13.5" customHeight="1" x14ac:dyDescent="0.2">
      <c r="A14" s="66"/>
      <c r="C14" t="s">
        <v>88</v>
      </c>
      <c r="D14" s="56" t="s">
        <v>1419</v>
      </c>
      <c r="E14" s="52">
        <v>44536</v>
      </c>
      <c r="F14" s="55">
        <v>2729</v>
      </c>
      <c r="G14" t="s">
        <v>1689</v>
      </c>
      <c r="H14" s="39">
        <f t="shared" si="0"/>
        <v>44536</v>
      </c>
    </row>
    <row r="15" spans="1:11" ht="13.5" customHeight="1" x14ac:dyDescent="0.2">
      <c r="C15" t="s">
        <v>74</v>
      </c>
      <c r="D15" s="56" t="s">
        <v>66</v>
      </c>
      <c r="E15" s="52">
        <v>44537</v>
      </c>
      <c r="F15" s="55">
        <v>1000</v>
      </c>
      <c r="G15" t="s">
        <v>1676</v>
      </c>
      <c r="H15" s="39">
        <f t="shared" si="0"/>
        <v>44537</v>
      </c>
    </row>
    <row r="16" spans="1:11" ht="13.5" customHeight="1" x14ac:dyDescent="0.2">
      <c r="C16" t="s">
        <v>74</v>
      </c>
      <c r="D16" s="56" t="s">
        <v>66</v>
      </c>
      <c r="E16" s="52">
        <v>44537</v>
      </c>
      <c r="F16" s="55">
        <v>6000</v>
      </c>
      <c r="G16" t="s">
        <v>1689</v>
      </c>
      <c r="H16" s="39">
        <f t="shared" si="0"/>
        <v>44537</v>
      </c>
    </row>
    <row r="17" spans="3:8" ht="13.5" customHeight="1" x14ac:dyDescent="0.2">
      <c r="C17" t="s">
        <v>96</v>
      </c>
      <c r="D17" s="56" t="s">
        <v>1548</v>
      </c>
      <c r="E17" s="52">
        <v>44538</v>
      </c>
      <c r="F17" s="55">
        <v>1504.26</v>
      </c>
      <c r="G17" t="s">
        <v>1689</v>
      </c>
      <c r="H17" s="39">
        <f t="shared" si="0"/>
        <v>44538</v>
      </c>
    </row>
    <row r="18" spans="3:8" ht="13.5" customHeight="1" x14ac:dyDescent="0.2">
      <c r="C18" t="s">
        <v>72</v>
      </c>
      <c r="D18" t="s">
        <v>1707</v>
      </c>
      <c r="E18" s="52">
        <v>44539</v>
      </c>
      <c r="F18" s="55">
        <v>2500</v>
      </c>
      <c r="G18" t="s">
        <v>1688</v>
      </c>
      <c r="H18" s="39">
        <f t="shared" si="0"/>
        <v>44539</v>
      </c>
    </row>
    <row r="19" spans="3:8" ht="13.5" customHeight="1" x14ac:dyDescent="0.2">
      <c r="C19" t="s">
        <v>72</v>
      </c>
      <c r="D19" t="s">
        <v>1763</v>
      </c>
      <c r="E19" s="52">
        <v>44539</v>
      </c>
      <c r="F19" s="55">
        <v>2000</v>
      </c>
      <c r="G19" t="s">
        <v>1688</v>
      </c>
      <c r="H19" s="39">
        <f t="shared" si="0"/>
        <v>44539</v>
      </c>
    </row>
    <row r="20" spans="3:8" ht="13.5" customHeight="1" x14ac:dyDescent="0.2">
      <c r="C20" t="s">
        <v>72</v>
      </c>
      <c r="D20" s="56" t="s">
        <v>65</v>
      </c>
      <c r="E20" s="52">
        <v>44540</v>
      </c>
      <c r="F20" s="55">
        <v>3000</v>
      </c>
      <c r="G20" t="s">
        <v>1688</v>
      </c>
      <c r="H20" s="39">
        <f t="shared" si="0"/>
        <v>44540</v>
      </c>
    </row>
    <row r="21" spans="3:8" ht="13.5" customHeight="1" x14ac:dyDescent="0.2">
      <c r="C21" t="s">
        <v>243</v>
      </c>
      <c r="D21" s="56" t="s">
        <v>254</v>
      </c>
      <c r="E21" s="52">
        <v>44541</v>
      </c>
      <c r="F21" s="55">
        <v>1500</v>
      </c>
      <c r="G21" t="s">
        <v>1689</v>
      </c>
      <c r="H21" s="39">
        <f t="shared" si="0"/>
        <v>44543</v>
      </c>
    </row>
    <row r="22" spans="3:8" ht="13.5" customHeight="1" x14ac:dyDescent="0.2">
      <c r="C22" t="s">
        <v>88</v>
      </c>
      <c r="D22" s="56" t="s">
        <v>1533</v>
      </c>
      <c r="E22" s="52">
        <v>44541</v>
      </c>
      <c r="F22" s="55">
        <v>4053.5</v>
      </c>
      <c r="G22" t="s">
        <v>1689</v>
      </c>
      <c r="H22" s="39">
        <f t="shared" si="0"/>
        <v>44543</v>
      </c>
    </row>
    <row r="23" spans="3:8" ht="13.5" customHeight="1" x14ac:dyDescent="0.2">
      <c r="C23" t="s">
        <v>83</v>
      </c>
      <c r="D23" s="56" t="s">
        <v>87</v>
      </c>
      <c r="E23" s="52">
        <v>44542</v>
      </c>
      <c r="F23" s="55">
        <v>2100</v>
      </c>
      <c r="G23" t="s">
        <v>1689</v>
      </c>
      <c r="H23" s="39">
        <f t="shared" si="0"/>
        <v>44543</v>
      </c>
    </row>
    <row r="24" spans="3:8" ht="13.5" customHeight="1" x14ac:dyDescent="0.2">
      <c r="C24" t="s">
        <v>97</v>
      </c>
      <c r="D24" s="56" t="s">
        <v>280</v>
      </c>
      <c r="E24" s="52">
        <v>44543</v>
      </c>
      <c r="F24" s="55">
        <v>14028.3</v>
      </c>
      <c r="G24" t="s">
        <v>1676</v>
      </c>
      <c r="H24" s="39">
        <f t="shared" si="0"/>
        <v>44543</v>
      </c>
    </row>
    <row r="25" spans="3:8" ht="13.5" customHeight="1" x14ac:dyDescent="0.2">
      <c r="C25" s="149" t="s">
        <v>96</v>
      </c>
      <c r="D25" s="127" t="s">
        <v>1799</v>
      </c>
      <c r="E25" s="150">
        <v>44544</v>
      </c>
      <c r="F25" s="151">
        <v>3390</v>
      </c>
      <c r="G25" s="149" t="s">
        <v>1676</v>
      </c>
      <c r="H25" s="39">
        <f t="shared" si="0"/>
        <v>44544</v>
      </c>
    </row>
    <row r="26" spans="3:8" ht="13.5" customHeight="1" x14ac:dyDescent="0.2">
      <c r="C26" t="s">
        <v>72</v>
      </c>
      <c r="D26" s="56" t="s">
        <v>1708</v>
      </c>
      <c r="E26" s="52">
        <v>44545</v>
      </c>
      <c r="F26" s="55">
        <v>1286.71</v>
      </c>
      <c r="G26" t="s">
        <v>1688</v>
      </c>
      <c r="H26" s="39">
        <f t="shared" si="0"/>
        <v>44545</v>
      </c>
    </row>
    <row r="27" spans="3:8" ht="13.5" customHeight="1" x14ac:dyDescent="0.2">
      <c r="C27" t="s">
        <v>72</v>
      </c>
      <c r="D27" s="56" t="s">
        <v>1709</v>
      </c>
      <c r="E27" s="52">
        <v>44545</v>
      </c>
      <c r="F27" s="55">
        <v>1286.71</v>
      </c>
      <c r="G27" t="s">
        <v>1688</v>
      </c>
      <c r="H27" s="39">
        <f t="shared" si="0"/>
        <v>44545</v>
      </c>
    </row>
    <row r="28" spans="3:8" ht="13.5" customHeight="1" x14ac:dyDescent="0.2">
      <c r="C28" t="s">
        <v>88</v>
      </c>
      <c r="D28" s="56" t="s">
        <v>1575</v>
      </c>
      <c r="E28" s="52">
        <v>44545</v>
      </c>
      <c r="F28" s="55">
        <v>2164</v>
      </c>
      <c r="G28" t="s">
        <v>1689</v>
      </c>
      <c r="H28" s="39">
        <f t="shared" si="0"/>
        <v>44545</v>
      </c>
    </row>
    <row r="29" spans="3:8" ht="13.5" customHeight="1" x14ac:dyDescent="0.2">
      <c r="C29" t="s">
        <v>89</v>
      </c>
      <c r="D29" s="56" t="s">
        <v>90</v>
      </c>
      <c r="E29" s="52">
        <v>44545</v>
      </c>
      <c r="F29" s="55">
        <v>3594.05</v>
      </c>
      <c r="G29" t="s">
        <v>64</v>
      </c>
      <c r="H29" s="39">
        <f t="shared" si="0"/>
        <v>44545</v>
      </c>
    </row>
    <row r="30" spans="3:8" ht="13.5" customHeight="1" x14ac:dyDescent="0.2">
      <c r="C30" t="s">
        <v>86</v>
      </c>
      <c r="D30" s="56" t="s">
        <v>85</v>
      </c>
      <c r="E30" s="52">
        <v>44545</v>
      </c>
      <c r="F30" s="41">
        <v>141</v>
      </c>
      <c r="G30" t="s">
        <v>1689</v>
      </c>
      <c r="H30" s="39">
        <f t="shared" si="0"/>
        <v>44545</v>
      </c>
    </row>
    <row r="31" spans="3:8" ht="13.5" customHeight="1" x14ac:dyDescent="0.2">
      <c r="C31" t="s">
        <v>86</v>
      </c>
      <c r="D31" s="56" t="s">
        <v>85</v>
      </c>
      <c r="E31" s="52">
        <v>44545</v>
      </c>
      <c r="F31" s="55">
        <v>1843</v>
      </c>
      <c r="G31" t="s">
        <v>68</v>
      </c>
      <c r="H31" s="39">
        <f t="shared" si="0"/>
        <v>44545</v>
      </c>
    </row>
    <row r="32" spans="3:8" ht="13.5" customHeight="1" x14ac:dyDescent="0.2">
      <c r="C32" t="s">
        <v>75</v>
      </c>
      <c r="D32" s="56" t="s">
        <v>107</v>
      </c>
      <c r="E32" s="52">
        <v>44546</v>
      </c>
      <c r="F32" s="55">
        <v>1750</v>
      </c>
      <c r="G32" t="s">
        <v>1676</v>
      </c>
      <c r="H32" s="39">
        <f t="shared" si="0"/>
        <v>44546</v>
      </c>
    </row>
    <row r="33" spans="3:8" ht="13.5" customHeight="1" x14ac:dyDescent="0.2">
      <c r="C33" t="s">
        <v>72</v>
      </c>
      <c r="D33" t="s">
        <v>1707</v>
      </c>
      <c r="E33" s="52">
        <v>44546</v>
      </c>
      <c r="F33" s="55">
        <v>2500</v>
      </c>
      <c r="G33" t="s">
        <v>1688</v>
      </c>
      <c r="H33" s="39">
        <f t="shared" si="0"/>
        <v>44546</v>
      </c>
    </row>
    <row r="34" spans="3:8" ht="13.5" customHeight="1" x14ac:dyDescent="0.2">
      <c r="C34" t="s">
        <v>72</v>
      </c>
      <c r="D34" t="s">
        <v>1763</v>
      </c>
      <c r="E34" s="52">
        <v>44546</v>
      </c>
      <c r="F34" s="55">
        <v>2000</v>
      </c>
      <c r="G34" t="s">
        <v>1688</v>
      </c>
      <c r="H34" s="39">
        <f t="shared" si="0"/>
        <v>44546</v>
      </c>
    </row>
    <row r="35" spans="3:8" ht="13.5" customHeight="1" x14ac:dyDescent="0.2">
      <c r="C35" t="s">
        <v>56</v>
      </c>
      <c r="D35" s="56" t="s">
        <v>278</v>
      </c>
      <c r="E35" s="52">
        <v>44547</v>
      </c>
      <c r="F35" s="55">
        <v>4000</v>
      </c>
      <c r="G35" t="s">
        <v>1676</v>
      </c>
      <c r="H35" s="39">
        <f t="shared" si="0"/>
        <v>44547</v>
      </c>
    </row>
    <row r="36" spans="3:8" ht="13.5" customHeight="1" x14ac:dyDescent="0.2">
      <c r="C36" t="s">
        <v>56</v>
      </c>
      <c r="D36" s="56" t="s">
        <v>278</v>
      </c>
      <c r="E36" s="52">
        <v>44547</v>
      </c>
      <c r="F36" s="55">
        <v>50000</v>
      </c>
      <c r="G36" t="s">
        <v>1689</v>
      </c>
      <c r="H36" s="39">
        <f t="shared" si="0"/>
        <v>44547</v>
      </c>
    </row>
    <row r="37" spans="3:8" ht="13.5" customHeight="1" x14ac:dyDescent="0.2">
      <c r="C37" t="s">
        <v>131</v>
      </c>
      <c r="D37" s="56" t="s">
        <v>1710</v>
      </c>
      <c r="E37" s="52">
        <v>44547</v>
      </c>
      <c r="F37" s="55">
        <v>246.8</v>
      </c>
      <c r="G37" t="s">
        <v>1688</v>
      </c>
      <c r="H37" s="39">
        <f t="shared" si="0"/>
        <v>44547</v>
      </c>
    </row>
    <row r="38" spans="3:8" ht="13.5" customHeight="1" x14ac:dyDescent="0.2">
      <c r="C38" t="s">
        <v>97</v>
      </c>
      <c r="D38" s="56" t="s">
        <v>1454</v>
      </c>
      <c r="E38" s="52">
        <v>44547</v>
      </c>
      <c r="F38" s="55">
        <v>695.57</v>
      </c>
      <c r="G38" t="s">
        <v>1689</v>
      </c>
      <c r="H38" s="39">
        <f t="shared" si="0"/>
        <v>44547</v>
      </c>
    </row>
    <row r="39" spans="3:8" ht="13.5" customHeight="1" x14ac:dyDescent="0.2">
      <c r="C39" t="s">
        <v>97</v>
      </c>
      <c r="D39" s="56" t="s">
        <v>1455</v>
      </c>
      <c r="E39" s="52">
        <v>44547</v>
      </c>
      <c r="F39" s="55">
        <v>401.05</v>
      </c>
      <c r="G39" t="s">
        <v>1689</v>
      </c>
      <c r="H39" s="39">
        <f t="shared" si="0"/>
        <v>44547</v>
      </c>
    </row>
    <row r="40" spans="3:8" ht="13.5" customHeight="1" x14ac:dyDescent="0.2">
      <c r="C40" t="s">
        <v>97</v>
      </c>
      <c r="D40" s="56" t="s">
        <v>1456</v>
      </c>
      <c r="E40" s="52">
        <v>44548</v>
      </c>
      <c r="F40" s="55">
        <v>695.57</v>
      </c>
      <c r="G40" t="s">
        <v>1689</v>
      </c>
      <c r="H40" s="39">
        <f t="shared" si="0"/>
        <v>44550</v>
      </c>
    </row>
    <row r="41" spans="3:8" ht="13.5" customHeight="1" x14ac:dyDescent="0.2">
      <c r="C41" t="s">
        <v>97</v>
      </c>
      <c r="D41" s="56" t="s">
        <v>1457</v>
      </c>
      <c r="E41" s="52">
        <v>44548</v>
      </c>
      <c r="F41" s="55">
        <v>401.05</v>
      </c>
      <c r="G41" t="s">
        <v>1689</v>
      </c>
      <c r="H41" s="39">
        <f t="shared" ref="H41:H69" si="1">VLOOKUP(E41,$E$2783:$H$2814,4,FALSE)</f>
        <v>44550</v>
      </c>
    </row>
    <row r="42" spans="3:8" ht="13.5" customHeight="1" x14ac:dyDescent="0.2">
      <c r="C42" t="s">
        <v>584</v>
      </c>
      <c r="D42" s="56" t="s">
        <v>1139</v>
      </c>
      <c r="E42" s="52">
        <v>44548</v>
      </c>
      <c r="F42" s="55">
        <v>3200</v>
      </c>
      <c r="G42" t="s">
        <v>1689</v>
      </c>
      <c r="H42" s="39">
        <f t="shared" si="1"/>
        <v>44550</v>
      </c>
    </row>
    <row r="43" spans="3:8" ht="13.5" customHeight="1" x14ac:dyDescent="0.2">
      <c r="C43" t="s">
        <v>96</v>
      </c>
      <c r="D43" s="56" t="s">
        <v>1375</v>
      </c>
      <c r="E43" s="52">
        <v>44548</v>
      </c>
      <c r="F43" s="55">
        <v>2578</v>
      </c>
      <c r="G43" t="s">
        <v>1689</v>
      </c>
      <c r="H43" s="39">
        <f t="shared" si="1"/>
        <v>44550</v>
      </c>
    </row>
    <row r="44" spans="3:8" ht="13.5" customHeight="1" x14ac:dyDescent="0.2">
      <c r="C44" t="s">
        <v>89</v>
      </c>
      <c r="D44" s="56" t="s">
        <v>1667</v>
      </c>
      <c r="E44" s="52">
        <v>44548</v>
      </c>
      <c r="F44" s="55">
        <v>91.17</v>
      </c>
      <c r="G44" t="s">
        <v>64</v>
      </c>
      <c r="H44" s="39">
        <f t="shared" si="1"/>
        <v>44550</v>
      </c>
    </row>
    <row r="45" spans="3:8" ht="13.5" customHeight="1" x14ac:dyDescent="0.2">
      <c r="C45" t="s">
        <v>74</v>
      </c>
      <c r="D45" s="56" t="s">
        <v>69</v>
      </c>
      <c r="E45" s="52">
        <v>44548</v>
      </c>
      <c r="F45" s="55">
        <v>2000</v>
      </c>
      <c r="G45" t="s">
        <v>1676</v>
      </c>
      <c r="H45" s="39">
        <f t="shared" si="1"/>
        <v>44550</v>
      </c>
    </row>
    <row r="46" spans="3:8" ht="13.5" customHeight="1" x14ac:dyDescent="0.2">
      <c r="C46" t="s">
        <v>74</v>
      </c>
      <c r="D46" s="56" t="s">
        <v>69</v>
      </c>
      <c r="E46" s="52">
        <v>44549</v>
      </c>
      <c r="F46" s="55">
        <v>7000</v>
      </c>
      <c r="G46" t="s">
        <v>1689</v>
      </c>
      <c r="H46" s="39">
        <f t="shared" si="1"/>
        <v>44550</v>
      </c>
    </row>
    <row r="47" spans="3:8" ht="13.5" customHeight="1" x14ac:dyDescent="0.2">
      <c r="C47" t="s">
        <v>153</v>
      </c>
      <c r="D47" s="56" t="s">
        <v>1563</v>
      </c>
      <c r="E47" s="52">
        <v>44549</v>
      </c>
      <c r="F47" s="55">
        <v>1111.29</v>
      </c>
      <c r="G47" t="s">
        <v>1689</v>
      </c>
      <c r="H47" s="39">
        <f t="shared" si="1"/>
        <v>44550</v>
      </c>
    </row>
    <row r="48" spans="3:8" ht="13.5" customHeight="1" x14ac:dyDescent="0.2">
      <c r="C48" t="s">
        <v>56</v>
      </c>
      <c r="D48" s="56" t="s">
        <v>1515</v>
      </c>
      <c r="E48" s="52">
        <v>44550</v>
      </c>
      <c r="F48" s="55">
        <v>1000</v>
      </c>
      <c r="G48" t="s">
        <v>1689</v>
      </c>
      <c r="H48" s="39">
        <f t="shared" si="1"/>
        <v>44550</v>
      </c>
    </row>
    <row r="49" spans="3:8" ht="13.5" customHeight="1" x14ac:dyDescent="0.2">
      <c r="C49" t="s">
        <v>74</v>
      </c>
      <c r="D49" s="56" t="s">
        <v>70</v>
      </c>
      <c r="E49" s="52">
        <v>44550</v>
      </c>
      <c r="F49" s="55">
        <v>800</v>
      </c>
      <c r="G49" t="s">
        <v>1676</v>
      </c>
      <c r="H49" s="39">
        <f t="shared" si="1"/>
        <v>44550</v>
      </c>
    </row>
    <row r="50" spans="3:8" ht="13.5" customHeight="1" x14ac:dyDescent="0.2">
      <c r="C50" t="s">
        <v>74</v>
      </c>
      <c r="D50" s="56" t="s">
        <v>70</v>
      </c>
      <c r="E50" s="52">
        <v>44550</v>
      </c>
      <c r="F50" s="55">
        <v>3000</v>
      </c>
      <c r="G50" t="s">
        <v>1689</v>
      </c>
      <c r="H50" s="39">
        <f t="shared" si="1"/>
        <v>44550</v>
      </c>
    </row>
    <row r="51" spans="3:8" ht="13.5" customHeight="1" x14ac:dyDescent="0.2">
      <c r="C51" t="s">
        <v>96</v>
      </c>
      <c r="D51" s="56" t="s">
        <v>1560</v>
      </c>
      <c r="E51" s="52">
        <v>44551</v>
      </c>
      <c r="F51" s="55">
        <v>1500</v>
      </c>
      <c r="G51" t="s">
        <v>1689</v>
      </c>
      <c r="H51" s="39">
        <f t="shared" si="1"/>
        <v>44551</v>
      </c>
    </row>
    <row r="52" spans="3:8" ht="13.5" customHeight="1" x14ac:dyDescent="0.2">
      <c r="C52" t="s">
        <v>96</v>
      </c>
      <c r="D52" s="56" t="s">
        <v>1258</v>
      </c>
      <c r="E52" s="52">
        <v>44551</v>
      </c>
      <c r="F52" s="55">
        <v>444.18</v>
      </c>
      <c r="G52" t="s">
        <v>1676</v>
      </c>
      <c r="H52" s="39">
        <f t="shared" si="1"/>
        <v>44551</v>
      </c>
    </row>
    <row r="53" spans="3:8" ht="13.5" customHeight="1" x14ac:dyDescent="0.2">
      <c r="C53" t="s">
        <v>96</v>
      </c>
      <c r="D53" s="56" t="s">
        <v>1544</v>
      </c>
      <c r="E53" s="52">
        <v>44552</v>
      </c>
      <c r="F53" s="55">
        <v>3000</v>
      </c>
      <c r="G53" t="s">
        <v>1689</v>
      </c>
      <c r="H53" s="39">
        <f t="shared" si="1"/>
        <v>44552</v>
      </c>
    </row>
    <row r="54" spans="3:8" ht="13.5" customHeight="1" x14ac:dyDescent="0.2">
      <c r="C54" t="s">
        <v>75</v>
      </c>
      <c r="D54" s="56" t="s">
        <v>1031</v>
      </c>
      <c r="E54" s="52">
        <v>44552</v>
      </c>
      <c r="F54" s="55">
        <v>3500</v>
      </c>
      <c r="G54" t="s">
        <v>1689</v>
      </c>
      <c r="H54" s="39">
        <f t="shared" si="1"/>
        <v>44552</v>
      </c>
    </row>
    <row r="55" spans="3:8" ht="13.5" customHeight="1" x14ac:dyDescent="0.2">
      <c r="C55" t="s">
        <v>72</v>
      </c>
      <c r="D55" t="s">
        <v>1707</v>
      </c>
      <c r="E55" s="52">
        <v>44553</v>
      </c>
      <c r="F55" s="55">
        <v>2500</v>
      </c>
      <c r="G55" t="s">
        <v>1688</v>
      </c>
      <c r="H55" s="39">
        <f t="shared" si="1"/>
        <v>44553</v>
      </c>
    </row>
    <row r="56" spans="3:8" ht="13.5" customHeight="1" x14ac:dyDescent="0.2">
      <c r="C56" t="s">
        <v>72</v>
      </c>
      <c r="D56" t="s">
        <v>1763</v>
      </c>
      <c r="E56" s="52">
        <v>44553</v>
      </c>
      <c r="F56" s="55">
        <v>2000</v>
      </c>
      <c r="G56" t="s">
        <v>1688</v>
      </c>
      <c r="H56" s="39">
        <f t="shared" si="1"/>
        <v>44553</v>
      </c>
    </row>
    <row r="57" spans="3:8" ht="13.5" customHeight="1" x14ac:dyDescent="0.2">
      <c r="C57" t="s">
        <v>96</v>
      </c>
      <c r="D57" s="56" t="s">
        <v>545</v>
      </c>
      <c r="E57" s="52">
        <v>44554</v>
      </c>
      <c r="F57" s="55">
        <v>500</v>
      </c>
      <c r="G57" t="s">
        <v>68</v>
      </c>
      <c r="H57" s="39">
        <f t="shared" si="1"/>
        <v>44554</v>
      </c>
    </row>
    <row r="58" spans="3:8" ht="13.5" customHeight="1" x14ac:dyDescent="0.2">
      <c r="C58" t="s">
        <v>72</v>
      </c>
      <c r="D58" s="56" t="s">
        <v>65</v>
      </c>
      <c r="E58" s="52">
        <v>44555</v>
      </c>
      <c r="F58" s="55">
        <v>3500</v>
      </c>
      <c r="G58" t="s">
        <v>1688</v>
      </c>
      <c r="H58" s="39">
        <f t="shared" si="1"/>
        <v>44557</v>
      </c>
    </row>
    <row r="59" spans="3:8" ht="13.5" customHeight="1" x14ac:dyDescent="0.2">
      <c r="C59" t="s">
        <v>96</v>
      </c>
      <c r="D59" s="56" t="s">
        <v>1243</v>
      </c>
      <c r="E59" s="52">
        <v>44556</v>
      </c>
      <c r="F59" s="55">
        <v>1758.2</v>
      </c>
      <c r="G59" t="s">
        <v>1689</v>
      </c>
      <c r="H59" s="39">
        <f t="shared" si="1"/>
        <v>44557</v>
      </c>
    </row>
    <row r="60" spans="3:8" ht="13.5" customHeight="1" x14ac:dyDescent="0.2">
      <c r="C60" t="s">
        <v>72</v>
      </c>
      <c r="D60" s="56" t="s">
        <v>783</v>
      </c>
      <c r="E60" s="52">
        <v>44557</v>
      </c>
      <c r="F60" s="55">
        <v>236.8</v>
      </c>
      <c r="G60" t="s">
        <v>1689</v>
      </c>
      <c r="H60" s="39">
        <f t="shared" si="1"/>
        <v>44557</v>
      </c>
    </row>
    <row r="61" spans="3:8" ht="13.5" customHeight="1" x14ac:dyDescent="0.2">
      <c r="C61" t="s">
        <v>84</v>
      </c>
      <c r="D61" s="56" t="s">
        <v>1660</v>
      </c>
      <c r="E61" s="52">
        <v>44558</v>
      </c>
      <c r="F61" s="55">
        <v>937.5</v>
      </c>
      <c r="G61" t="s">
        <v>1689</v>
      </c>
      <c r="H61" s="39">
        <f t="shared" si="1"/>
        <v>44558</v>
      </c>
    </row>
    <row r="62" spans="3:8" ht="13.5" customHeight="1" x14ac:dyDescent="0.2">
      <c r="C62" t="s">
        <v>96</v>
      </c>
      <c r="D62" s="56" t="s">
        <v>254</v>
      </c>
      <c r="E62" s="52">
        <v>44559</v>
      </c>
      <c r="F62" s="55">
        <v>500</v>
      </c>
      <c r="G62" t="s">
        <v>1689</v>
      </c>
      <c r="H62" s="39">
        <f t="shared" si="1"/>
        <v>44559</v>
      </c>
    </row>
    <row r="63" spans="3:8" ht="13.5" customHeight="1" x14ac:dyDescent="0.2">
      <c r="C63" t="s">
        <v>149</v>
      </c>
      <c r="D63" s="56" t="s">
        <v>1289</v>
      </c>
      <c r="E63" s="52">
        <v>44558</v>
      </c>
      <c r="F63" s="55">
        <v>500</v>
      </c>
      <c r="G63" t="s">
        <v>1689</v>
      </c>
      <c r="H63" s="39">
        <f t="shared" si="1"/>
        <v>44558</v>
      </c>
    </row>
    <row r="64" spans="3:8" ht="13.5" customHeight="1" x14ac:dyDescent="0.2">
      <c r="C64" t="s">
        <v>97</v>
      </c>
      <c r="D64" s="56" t="s">
        <v>1270</v>
      </c>
      <c r="E64" s="52">
        <v>44558</v>
      </c>
      <c r="F64" s="55">
        <v>10295.89</v>
      </c>
      <c r="G64" t="s">
        <v>1689</v>
      </c>
      <c r="H64" s="39">
        <f t="shared" si="1"/>
        <v>44558</v>
      </c>
    </row>
    <row r="65" spans="3:8" ht="13.5" customHeight="1" x14ac:dyDescent="0.2">
      <c r="C65" t="s">
        <v>170</v>
      </c>
      <c r="D65" s="56" t="s">
        <v>1027</v>
      </c>
      <c r="E65" s="52">
        <v>44559</v>
      </c>
      <c r="F65" s="55">
        <v>2500</v>
      </c>
      <c r="G65" t="s">
        <v>1676</v>
      </c>
      <c r="H65" s="39">
        <f t="shared" si="1"/>
        <v>44559</v>
      </c>
    </row>
    <row r="66" spans="3:8" ht="13.5" customHeight="1" x14ac:dyDescent="0.2">
      <c r="C66" t="s">
        <v>131</v>
      </c>
      <c r="D66" s="56" t="s">
        <v>1292</v>
      </c>
      <c r="E66" s="52">
        <v>44559</v>
      </c>
      <c r="F66" s="55">
        <v>404.34</v>
      </c>
      <c r="G66" t="s">
        <v>1688</v>
      </c>
      <c r="H66" s="39">
        <f t="shared" si="1"/>
        <v>44559</v>
      </c>
    </row>
    <row r="67" spans="3:8" ht="13.5" customHeight="1" x14ac:dyDescent="0.2">
      <c r="C67" t="s">
        <v>97</v>
      </c>
      <c r="D67" s="56" t="s">
        <v>69</v>
      </c>
      <c r="E67" s="52">
        <v>44560</v>
      </c>
      <c r="F67" s="55">
        <v>1270.6300000000001</v>
      </c>
      <c r="G67" t="s">
        <v>1689</v>
      </c>
      <c r="H67" s="39">
        <f t="shared" si="1"/>
        <v>44560</v>
      </c>
    </row>
    <row r="68" spans="3:8" ht="13.5" customHeight="1" x14ac:dyDescent="0.2">
      <c r="C68" t="s">
        <v>97</v>
      </c>
      <c r="D68" s="56" t="s">
        <v>1075</v>
      </c>
      <c r="E68" s="52">
        <v>44560</v>
      </c>
      <c r="F68" s="55">
        <v>615.77</v>
      </c>
      <c r="G68" t="s">
        <v>1689</v>
      </c>
      <c r="H68" s="39">
        <f t="shared" si="1"/>
        <v>44560</v>
      </c>
    </row>
    <row r="69" spans="3:8" ht="13.5" customHeight="1" x14ac:dyDescent="0.2">
      <c r="C69" t="s">
        <v>97</v>
      </c>
      <c r="D69" s="56" t="s">
        <v>348</v>
      </c>
      <c r="E69" s="52">
        <v>44560</v>
      </c>
      <c r="F69" s="55">
        <v>526.26</v>
      </c>
      <c r="G69" t="s">
        <v>1689</v>
      </c>
      <c r="H69" s="39">
        <f t="shared" si="1"/>
        <v>44560</v>
      </c>
    </row>
    <row r="70" spans="3:8" ht="13.5" customHeight="1" x14ac:dyDescent="0.2">
      <c r="E70" s="50"/>
      <c r="F70" s="15"/>
      <c r="H70" s="39"/>
    </row>
    <row r="71" spans="3:8" ht="13.5" customHeight="1" x14ac:dyDescent="0.2">
      <c r="E71" s="50"/>
      <c r="F71" s="15"/>
      <c r="H71" s="39"/>
    </row>
    <row r="72" spans="3:8" ht="13.5" customHeight="1" x14ac:dyDescent="0.2">
      <c r="D72" s="56"/>
      <c r="E72" s="52"/>
      <c r="F72" s="55"/>
      <c r="H72" s="39"/>
    </row>
    <row r="73" spans="3:8" ht="13.5" customHeight="1" x14ac:dyDescent="0.2">
      <c r="D73" s="57"/>
      <c r="E73" s="3"/>
      <c r="F73" s="58"/>
      <c r="G73" s="12"/>
      <c r="H73" s="39"/>
    </row>
    <row r="74" spans="3:8" ht="13.5" customHeight="1" x14ac:dyDescent="0.2">
      <c r="D74" s="57"/>
      <c r="E74" s="3"/>
      <c r="F74" s="58"/>
      <c r="G74" s="62"/>
      <c r="H74" s="39"/>
    </row>
    <row r="75" spans="3:8" ht="13.5" customHeight="1" x14ac:dyDescent="0.2">
      <c r="D75" s="57"/>
      <c r="E75" s="3"/>
      <c r="F75" s="58"/>
      <c r="G75" s="12"/>
      <c r="H75" s="39"/>
    </row>
    <row r="76" spans="3:8" ht="13.5" customHeight="1" x14ac:dyDescent="0.2">
      <c r="D76" s="57"/>
      <c r="E76" s="3"/>
      <c r="F76" s="58"/>
      <c r="G76" s="12"/>
      <c r="H76" s="39"/>
    </row>
    <row r="77" spans="3:8" ht="13.5" customHeight="1" x14ac:dyDescent="0.2">
      <c r="D77" s="56"/>
      <c r="E77" s="3"/>
      <c r="F77" s="15"/>
      <c r="H77" s="39"/>
    </row>
    <row r="78" spans="3:8" ht="13.5" customHeight="1" x14ac:dyDescent="0.2">
      <c r="D78" s="57"/>
      <c r="E78" s="52"/>
      <c r="F78" s="41"/>
      <c r="H78" s="39"/>
    </row>
    <row r="79" spans="3:8" ht="13.5" customHeight="1" x14ac:dyDescent="0.2">
      <c r="E79" s="52"/>
      <c r="F79" s="41"/>
      <c r="H79" s="39"/>
    </row>
    <row r="80" spans="3:8" ht="13.5" customHeight="1" x14ac:dyDescent="0.2">
      <c r="E80" s="52"/>
      <c r="F80" s="41"/>
      <c r="H80" s="39"/>
    </row>
    <row r="81" spans="5:8" ht="13.5" customHeight="1" x14ac:dyDescent="0.2">
      <c r="E81" s="52"/>
      <c r="F81" s="41"/>
      <c r="H81" s="39"/>
    </row>
    <row r="82" spans="5:8" ht="13.5" customHeight="1" x14ac:dyDescent="0.2">
      <c r="E82" s="52"/>
      <c r="F82" s="41"/>
      <c r="H82" s="39"/>
    </row>
    <row r="83" spans="5:8" ht="13.5" customHeight="1" x14ac:dyDescent="0.2">
      <c r="E83" s="52"/>
      <c r="F83" s="41"/>
      <c r="H83" s="39"/>
    </row>
    <row r="84" spans="5:8" ht="13.5" customHeight="1" x14ac:dyDescent="0.2">
      <c r="E84" s="52"/>
      <c r="F84" s="41"/>
      <c r="H84" s="39"/>
    </row>
    <row r="85" spans="5:8" ht="13.5" customHeight="1" x14ac:dyDescent="0.2">
      <c r="E85" s="52"/>
      <c r="F85" s="41"/>
      <c r="H85" s="39"/>
    </row>
    <row r="86" spans="5:8" ht="13.5" customHeight="1" x14ac:dyDescent="0.2">
      <c r="E86" s="52"/>
      <c r="F86" s="41"/>
      <c r="H86" s="39"/>
    </row>
    <row r="87" spans="5:8" ht="13.5" customHeight="1" x14ac:dyDescent="0.2">
      <c r="E87" s="52"/>
      <c r="F87" s="41"/>
      <c r="H87" s="39"/>
    </row>
    <row r="88" spans="5:8" ht="13.5" customHeight="1" x14ac:dyDescent="0.2">
      <c r="E88" s="52"/>
      <c r="F88" s="41"/>
      <c r="H88" s="39"/>
    </row>
    <row r="89" spans="5:8" ht="13.5" customHeight="1" x14ac:dyDescent="0.2">
      <c r="E89" s="52"/>
      <c r="F89" s="41"/>
      <c r="H89" s="39"/>
    </row>
    <row r="90" spans="5:8" ht="13.5" customHeight="1" x14ac:dyDescent="0.2">
      <c r="E90" s="52"/>
      <c r="F90" s="41"/>
      <c r="H90" s="39"/>
    </row>
    <row r="91" spans="5:8" ht="13.5" customHeight="1" x14ac:dyDescent="0.2">
      <c r="E91" s="52"/>
      <c r="F91" s="41"/>
      <c r="H91" s="39"/>
    </row>
    <row r="92" spans="5:8" ht="13.5" customHeight="1" x14ac:dyDescent="0.2">
      <c r="E92" s="52"/>
      <c r="F92" s="41"/>
      <c r="H92" s="39"/>
    </row>
    <row r="93" spans="5:8" ht="13.5" customHeight="1" x14ac:dyDescent="0.2">
      <c r="E93" s="52"/>
      <c r="F93" s="41"/>
      <c r="H93" s="39"/>
    </row>
    <row r="94" spans="5:8" ht="13.5" customHeight="1" x14ac:dyDescent="0.2">
      <c r="E94" s="52"/>
      <c r="F94" s="41"/>
      <c r="H94" s="39"/>
    </row>
    <row r="95" spans="5:8" ht="13.5" customHeight="1" x14ac:dyDescent="0.2">
      <c r="E95" s="52"/>
      <c r="F95" s="41"/>
      <c r="H95" s="39"/>
    </row>
    <row r="96" spans="5:8" ht="13.5" customHeight="1" x14ac:dyDescent="0.2">
      <c r="E96" s="52"/>
      <c r="F96" s="41"/>
      <c r="H96" s="39"/>
    </row>
    <row r="97" spans="5:8" ht="13.5" customHeight="1" x14ac:dyDescent="0.2">
      <c r="E97" s="52"/>
      <c r="F97" s="41"/>
      <c r="H97" s="39"/>
    </row>
    <row r="98" spans="5:8" ht="13.5" customHeight="1" x14ac:dyDescent="0.2">
      <c r="E98" s="52"/>
      <c r="F98" s="41"/>
      <c r="H98" s="39"/>
    </row>
    <row r="99" spans="5:8" ht="13.5" customHeight="1" x14ac:dyDescent="0.2">
      <c r="E99" s="52"/>
      <c r="F99" s="41"/>
      <c r="H99" s="39"/>
    </row>
    <row r="100" spans="5:8" ht="13.5" customHeight="1" x14ac:dyDescent="0.2">
      <c r="E100" s="52"/>
      <c r="F100" s="41"/>
      <c r="H100" s="39"/>
    </row>
    <row r="101" spans="5:8" ht="13.5" customHeight="1" x14ac:dyDescent="0.2">
      <c r="E101" s="52"/>
      <c r="F101" s="41"/>
      <c r="H101" s="39"/>
    </row>
    <row r="102" spans="5:8" ht="13.5" customHeight="1" x14ac:dyDescent="0.2">
      <c r="E102" s="52"/>
      <c r="F102" s="41"/>
      <c r="H102" s="39"/>
    </row>
    <row r="103" spans="5:8" ht="13.5" customHeight="1" x14ac:dyDescent="0.2">
      <c r="E103" s="52"/>
      <c r="F103" s="41"/>
      <c r="H103" s="39"/>
    </row>
    <row r="104" spans="5:8" ht="13.5" customHeight="1" x14ac:dyDescent="0.2">
      <c r="E104" s="52"/>
      <c r="F104" s="41"/>
      <c r="H104" s="39"/>
    </row>
    <row r="105" spans="5:8" ht="13.5" customHeight="1" x14ac:dyDescent="0.2">
      <c r="E105" s="52"/>
      <c r="F105" s="41"/>
      <c r="H105" s="39"/>
    </row>
    <row r="106" spans="5:8" ht="13.5" customHeight="1" x14ac:dyDescent="0.2">
      <c r="E106" s="52"/>
      <c r="F106" s="41"/>
      <c r="H106" s="39"/>
    </row>
    <row r="107" spans="5:8" ht="13.5" customHeight="1" x14ac:dyDescent="0.2">
      <c r="E107" s="52"/>
      <c r="F107" s="41"/>
      <c r="H107" s="39"/>
    </row>
    <row r="108" spans="5:8" ht="13.5" customHeight="1" x14ac:dyDescent="0.2">
      <c r="E108" s="52"/>
      <c r="F108" s="41"/>
      <c r="H108" s="39"/>
    </row>
    <row r="109" spans="5:8" ht="13.5" customHeight="1" x14ac:dyDescent="0.2">
      <c r="E109" s="52"/>
      <c r="F109" s="41"/>
      <c r="H109" s="39"/>
    </row>
    <row r="110" spans="5:8" ht="13.5" customHeight="1" x14ac:dyDescent="0.2">
      <c r="E110" s="52"/>
      <c r="F110" s="41"/>
      <c r="H110" s="39"/>
    </row>
    <row r="111" spans="5:8" ht="13.5" customHeight="1" x14ac:dyDescent="0.2">
      <c r="E111" s="52"/>
      <c r="F111" s="41"/>
      <c r="H111" s="39"/>
    </row>
    <row r="112" spans="5:8" ht="13.5" customHeight="1" x14ac:dyDescent="0.2">
      <c r="E112" s="52"/>
      <c r="F112" s="41"/>
      <c r="H112" s="39"/>
    </row>
    <row r="113" spans="5:8" ht="13.5" customHeight="1" x14ac:dyDescent="0.2">
      <c r="E113" s="52"/>
      <c r="F113" s="41"/>
      <c r="H113" s="39"/>
    </row>
    <row r="114" spans="5:8" ht="13.5" customHeight="1" x14ac:dyDescent="0.2">
      <c r="E114" s="52"/>
      <c r="F114" s="41"/>
      <c r="H114" s="39"/>
    </row>
    <row r="115" spans="5:8" ht="13.5" customHeight="1" x14ac:dyDescent="0.2">
      <c r="E115" s="52"/>
      <c r="F115" s="41"/>
      <c r="H115" s="39"/>
    </row>
    <row r="116" spans="5:8" ht="13.5" customHeight="1" x14ac:dyDescent="0.2">
      <c r="E116" s="52"/>
      <c r="F116" s="41"/>
      <c r="H116" s="39"/>
    </row>
    <row r="117" spans="5:8" ht="13.5" customHeight="1" x14ac:dyDescent="0.2">
      <c r="E117" s="52"/>
      <c r="H117" s="39"/>
    </row>
    <row r="118" spans="5:8" ht="13.5" customHeight="1" x14ac:dyDescent="0.2">
      <c r="E118" s="52"/>
      <c r="H118" s="39"/>
    </row>
    <row r="119" spans="5:8" ht="13.5" customHeight="1" x14ac:dyDescent="0.2">
      <c r="E119" s="52"/>
      <c r="H119" s="39"/>
    </row>
    <row r="120" spans="5:8" ht="13.5" customHeight="1" x14ac:dyDescent="0.2">
      <c r="E120" s="52"/>
      <c r="H120" s="39"/>
    </row>
    <row r="121" spans="5:8" ht="13.5" customHeight="1" x14ac:dyDescent="0.2">
      <c r="E121" s="52"/>
      <c r="H121" s="39"/>
    </row>
    <row r="122" spans="5:8" ht="13.5" customHeight="1" x14ac:dyDescent="0.2">
      <c r="E122" s="52"/>
      <c r="H122" s="39"/>
    </row>
    <row r="123" spans="5:8" ht="13.5" customHeight="1" x14ac:dyDescent="0.2">
      <c r="E123" s="52"/>
      <c r="H123" s="39"/>
    </row>
    <row r="124" spans="5:8" ht="13.5" customHeight="1" x14ac:dyDescent="0.2">
      <c r="E124" s="52"/>
      <c r="H124" s="39"/>
    </row>
    <row r="125" spans="5:8" ht="13.5" customHeight="1" x14ac:dyDescent="0.2">
      <c r="E125" s="52"/>
      <c r="H125" s="39"/>
    </row>
    <row r="126" spans="5:8" ht="13.5" customHeight="1" x14ac:dyDescent="0.2">
      <c r="E126" s="52"/>
      <c r="H126" s="39"/>
    </row>
    <row r="127" spans="5:8" ht="13.5" customHeight="1" x14ac:dyDescent="0.2">
      <c r="E127" s="52"/>
      <c r="H127" s="39"/>
    </row>
    <row r="128" spans="5:8" ht="13.5" customHeight="1" x14ac:dyDescent="0.2">
      <c r="E128" s="52"/>
      <c r="H128" s="39"/>
    </row>
    <row r="129" spans="5:8" ht="13.5" customHeight="1" x14ac:dyDescent="0.2">
      <c r="E129" s="52"/>
      <c r="H129" s="39"/>
    </row>
    <row r="130" spans="5:8" ht="13.5" customHeight="1" x14ac:dyDescent="0.2">
      <c r="E130" s="52"/>
      <c r="H130" s="39"/>
    </row>
    <row r="131" spans="5:8" ht="13.5" customHeight="1" x14ac:dyDescent="0.2">
      <c r="E131" s="52"/>
      <c r="H131" s="39"/>
    </row>
    <row r="132" spans="5:8" ht="13.5" customHeight="1" x14ac:dyDescent="0.2">
      <c r="E132" s="52"/>
      <c r="H132" s="39"/>
    </row>
    <row r="133" spans="5:8" ht="13.5" customHeight="1" x14ac:dyDescent="0.2">
      <c r="E133" s="52"/>
      <c r="H133" s="39"/>
    </row>
    <row r="134" spans="5:8" ht="13.5" customHeight="1" x14ac:dyDescent="0.2">
      <c r="E134" s="52"/>
      <c r="H134" s="39"/>
    </row>
    <row r="135" spans="5:8" ht="13.5" customHeight="1" x14ac:dyDescent="0.2">
      <c r="E135" s="52"/>
      <c r="H135" s="39"/>
    </row>
    <row r="136" spans="5:8" ht="13.5" customHeight="1" x14ac:dyDescent="0.2">
      <c r="E136" s="52"/>
      <c r="H136" s="39"/>
    </row>
    <row r="137" spans="5:8" ht="13.5" customHeight="1" x14ac:dyDescent="0.2">
      <c r="E137" s="52"/>
      <c r="H137" s="39"/>
    </row>
    <row r="138" spans="5:8" ht="13.5" customHeight="1" x14ac:dyDescent="0.2">
      <c r="E138" s="52"/>
      <c r="H138" s="39"/>
    </row>
    <row r="139" spans="5:8" ht="13.5" customHeight="1" x14ac:dyDescent="0.2">
      <c r="E139" s="52"/>
      <c r="H139" s="39"/>
    </row>
    <row r="140" spans="5:8" ht="13.5" customHeight="1" x14ac:dyDescent="0.2">
      <c r="E140" s="52"/>
      <c r="H140" s="39"/>
    </row>
    <row r="141" spans="5:8" ht="13.5" customHeight="1" x14ac:dyDescent="0.2">
      <c r="E141" s="52"/>
      <c r="H141" s="39"/>
    </row>
    <row r="142" spans="5:8" ht="13.5" customHeight="1" x14ac:dyDescent="0.2">
      <c r="E142" s="52"/>
      <c r="H142" s="39"/>
    </row>
    <row r="143" spans="5:8" ht="13.5" customHeight="1" x14ac:dyDescent="0.2">
      <c r="E143" s="52"/>
      <c r="H143" s="39"/>
    </row>
    <row r="144" spans="5:8" ht="13.5" customHeight="1" x14ac:dyDescent="0.2">
      <c r="E144" s="52"/>
      <c r="H144" s="39"/>
    </row>
    <row r="145" spans="5:8" ht="13.5" customHeight="1" x14ac:dyDescent="0.2">
      <c r="E145" s="52"/>
      <c r="H145" s="39"/>
    </row>
    <row r="146" spans="5:8" ht="13.5" customHeight="1" x14ac:dyDescent="0.2">
      <c r="E146" s="52"/>
      <c r="H146" s="39"/>
    </row>
    <row r="147" spans="5:8" ht="13.5" customHeight="1" x14ac:dyDescent="0.2">
      <c r="E147" s="52"/>
      <c r="H147" s="39"/>
    </row>
    <row r="148" spans="5:8" ht="13.5" customHeight="1" x14ac:dyDescent="0.2">
      <c r="E148" s="52"/>
      <c r="H148" s="39"/>
    </row>
    <row r="149" spans="5:8" ht="13.5" customHeight="1" x14ac:dyDescent="0.2">
      <c r="E149" s="52"/>
      <c r="H149" s="39"/>
    </row>
    <row r="150" spans="5:8" ht="13.5" customHeight="1" x14ac:dyDescent="0.2">
      <c r="E150" s="52"/>
      <c r="H150" s="39"/>
    </row>
    <row r="151" spans="5:8" ht="13.5" customHeight="1" x14ac:dyDescent="0.2">
      <c r="E151" s="52"/>
      <c r="H151" s="39"/>
    </row>
    <row r="152" spans="5:8" ht="13.5" customHeight="1" x14ac:dyDescent="0.2">
      <c r="E152" s="52"/>
      <c r="H152" s="39"/>
    </row>
    <row r="153" spans="5:8" ht="13.5" customHeight="1" x14ac:dyDescent="0.2">
      <c r="E153" s="52"/>
      <c r="H153" s="39"/>
    </row>
    <row r="154" spans="5:8" ht="13.5" customHeight="1" x14ac:dyDescent="0.2">
      <c r="E154" s="52"/>
      <c r="H154" s="39"/>
    </row>
    <row r="155" spans="5:8" ht="13.5" customHeight="1" x14ac:dyDescent="0.2">
      <c r="E155" s="52"/>
      <c r="H155" s="39"/>
    </row>
    <row r="156" spans="5:8" ht="13.5" customHeight="1" x14ac:dyDescent="0.2">
      <c r="E156" s="52"/>
      <c r="H156" s="39"/>
    </row>
    <row r="157" spans="5:8" ht="13.5" customHeight="1" x14ac:dyDescent="0.2">
      <c r="E157" s="52"/>
      <c r="H157" s="39"/>
    </row>
    <row r="158" spans="5:8" ht="13.5" customHeight="1" x14ac:dyDescent="0.2">
      <c r="E158" s="52"/>
      <c r="H158" s="39"/>
    </row>
    <row r="159" spans="5:8" ht="13.5" customHeight="1" x14ac:dyDescent="0.2">
      <c r="E159" s="52"/>
      <c r="H159" s="39"/>
    </row>
    <row r="160" spans="5:8" ht="13.5" customHeight="1" x14ac:dyDescent="0.2">
      <c r="E160" s="52"/>
      <c r="H160" s="39"/>
    </row>
    <row r="161" spans="5:8" ht="13.5" customHeight="1" x14ac:dyDescent="0.2">
      <c r="E161" s="52"/>
      <c r="H161" s="39"/>
    </row>
    <row r="162" spans="5:8" ht="13.5" customHeight="1" x14ac:dyDescent="0.2">
      <c r="E162" s="52"/>
      <c r="H162" s="39"/>
    </row>
    <row r="163" spans="5:8" ht="13.5" customHeight="1" x14ac:dyDescent="0.2">
      <c r="E163" s="52"/>
      <c r="H163" s="39"/>
    </row>
    <row r="164" spans="5:8" ht="13.5" customHeight="1" x14ac:dyDescent="0.2">
      <c r="E164" s="52"/>
      <c r="H164" s="39"/>
    </row>
    <row r="165" spans="5:8" ht="13.5" customHeight="1" x14ac:dyDescent="0.2">
      <c r="E165" s="52"/>
      <c r="H165" s="39"/>
    </row>
    <row r="166" spans="5:8" ht="13.5" customHeight="1" x14ac:dyDescent="0.2">
      <c r="E166" s="52"/>
      <c r="H166" s="39"/>
    </row>
    <row r="167" spans="5:8" ht="13.5" customHeight="1" x14ac:dyDescent="0.2">
      <c r="E167" s="52"/>
      <c r="H167" s="39"/>
    </row>
    <row r="168" spans="5:8" ht="13.5" customHeight="1" x14ac:dyDescent="0.2">
      <c r="E168" s="52"/>
      <c r="H168" s="39"/>
    </row>
    <row r="169" spans="5:8" ht="13.5" customHeight="1" x14ac:dyDescent="0.2">
      <c r="E169" s="52"/>
      <c r="H169" s="39"/>
    </row>
    <row r="170" spans="5:8" ht="13.5" customHeight="1" x14ac:dyDescent="0.2">
      <c r="E170" s="52"/>
      <c r="H170" s="39"/>
    </row>
    <row r="171" spans="5:8" ht="13.5" customHeight="1" x14ac:dyDescent="0.2">
      <c r="E171" s="52"/>
      <c r="H171" s="39"/>
    </row>
    <row r="172" spans="5:8" ht="13.5" customHeight="1" x14ac:dyDescent="0.2">
      <c r="E172" s="52"/>
      <c r="H172" s="39"/>
    </row>
    <row r="173" spans="5:8" ht="13.5" customHeight="1" x14ac:dyDescent="0.2">
      <c r="E173" s="52"/>
      <c r="H173" s="39"/>
    </row>
    <row r="174" spans="5:8" ht="13.5" customHeight="1" x14ac:dyDescent="0.2">
      <c r="E174" s="52"/>
      <c r="H174" s="39"/>
    </row>
    <row r="175" spans="5:8" ht="13.5" customHeight="1" x14ac:dyDescent="0.2">
      <c r="E175" s="52"/>
      <c r="H175" s="39"/>
    </row>
    <row r="176" spans="5:8" ht="13.5" customHeight="1" x14ac:dyDescent="0.2">
      <c r="E176" s="52"/>
      <c r="H176" s="39"/>
    </row>
    <row r="177" spans="5:8" ht="13.5" customHeight="1" x14ac:dyDescent="0.2">
      <c r="E177" s="52"/>
      <c r="H177" s="39"/>
    </row>
    <row r="178" spans="5:8" ht="13.5" customHeight="1" x14ac:dyDescent="0.2">
      <c r="E178" s="52"/>
      <c r="H178" s="39"/>
    </row>
    <row r="179" spans="5:8" ht="13.5" customHeight="1" x14ac:dyDescent="0.2">
      <c r="E179" s="52"/>
      <c r="H179" s="39"/>
    </row>
    <row r="180" spans="5:8" ht="13.5" customHeight="1" x14ac:dyDescent="0.2">
      <c r="E180" s="52"/>
      <c r="H180" s="39"/>
    </row>
    <row r="181" spans="5:8" ht="13.5" customHeight="1" x14ac:dyDescent="0.2">
      <c r="E181" s="52"/>
      <c r="H181" s="39"/>
    </row>
    <row r="182" spans="5:8" ht="13.5" customHeight="1" x14ac:dyDescent="0.2">
      <c r="E182" s="52"/>
      <c r="H182" s="39"/>
    </row>
    <row r="183" spans="5:8" ht="13.5" customHeight="1" x14ac:dyDescent="0.2">
      <c r="E183" s="52"/>
      <c r="H183" s="39"/>
    </row>
    <row r="184" spans="5:8" ht="13.5" customHeight="1" x14ac:dyDescent="0.2">
      <c r="E184" s="52"/>
      <c r="H184" s="39"/>
    </row>
    <row r="185" spans="5:8" ht="13.5" customHeight="1" x14ac:dyDescent="0.2">
      <c r="E185" s="52"/>
      <c r="H185" s="39"/>
    </row>
    <row r="186" spans="5:8" ht="13.5" customHeight="1" x14ac:dyDescent="0.2">
      <c r="E186" s="52"/>
      <c r="H186" s="39"/>
    </row>
    <row r="187" spans="5:8" ht="13.5" customHeight="1" x14ac:dyDescent="0.2">
      <c r="E187" s="52"/>
      <c r="H187" s="39"/>
    </row>
    <row r="188" spans="5:8" ht="13.5" customHeight="1" x14ac:dyDescent="0.2">
      <c r="E188" s="52"/>
      <c r="H188" s="39"/>
    </row>
    <row r="189" spans="5:8" ht="13.5" customHeight="1" x14ac:dyDescent="0.2">
      <c r="E189" s="52"/>
      <c r="H189" s="39"/>
    </row>
    <row r="190" spans="5:8" ht="13.5" customHeight="1" x14ac:dyDescent="0.2">
      <c r="E190" s="52"/>
      <c r="H190" s="39"/>
    </row>
    <row r="191" spans="5:8" ht="13.5" customHeight="1" x14ac:dyDescent="0.2">
      <c r="E191" s="52"/>
      <c r="H191" s="39"/>
    </row>
    <row r="192" spans="5:8" ht="13.5" customHeight="1" x14ac:dyDescent="0.2">
      <c r="E192" s="52"/>
      <c r="H192" s="39"/>
    </row>
    <row r="193" spans="5:8" ht="13.5" customHeight="1" x14ac:dyDescent="0.2">
      <c r="E193" s="52"/>
      <c r="H193" s="39"/>
    </row>
    <row r="194" spans="5:8" ht="13.5" customHeight="1" x14ac:dyDescent="0.2">
      <c r="E194" s="52"/>
      <c r="H194" s="39"/>
    </row>
    <row r="195" spans="5:8" ht="13.5" customHeight="1" x14ac:dyDescent="0.2">
      <c r="E195" s="52"/>
      <c r="H195" s="39"/>
    </row>
    <row r="196" spans="5:8" ht="13.5" customHeight="1" x14ac:dyDescent="0.2">
      <c r="E196" s="52"/>
      <c r="H196" s="39"/>
    </row>
    <row r="197" spans="5:8" ht="13.5" customHeight="1" x14ac:dyDescent="0.2">
      <c r="E197" s="52"/>
      <c r="H197" s="39"/>
    </row>
    <row r="198" spans="5:8" ht="13.5" customHeight="1" x14ac:dyDescent="0.2">
      <c r="E198" s="52"/>
      <c r="H198" s="39"/>
    </row>
    <row r="199" spans="5:8" ht="13.5" customHeight="1" x14ac:dyDescent="0.2">
      <c r="E199" s="52"/>
      <c r="H199" s="39"/>
    </row>
    <row r="200" spans="5:8" ht="13.5" customHeight="1" x14ac:dyDescent="0.2">
      <c r="E200" s="52"/>
      <c r="H200" s="39"/>
    </row>
    <row r="201" spans="5:8" ht="13.5" customHeight="1" x14ac:dyDescent="0.2">
      <c r="E201" s="52"/>
      <c r="H201" s="39"/>
    </row>
    <row r="202" spans="5:8" ht="13.5" customHeight="1" x14ac:dyDescent="0.2">
      <c r="E202" s="52"/>
      <c r="H202" s="39"/>
    </row>
    <row r="203" spans="5:8" ht="13.5" customHeight="1" x14ac:dyDescent="0.2">
      <c r="E203" s="52"/>
      <c r="H203" s="39"/>
    </row>
    <row r="204" spans="5:8" ht="13.5" customHeight="1" x14ac:dyDescent="0.2">
      <c r="E204" s="52"/>
      <c r="H204" s="39"/>
    </row>
    <row r="205" spans="5:8" ht="13.5" customHeight="1" x14ac:dyDescent="0.2">
      <c r="E205" s="52"/>
      <c r="H205" s="39"/>
    </row>
    <row r="206" spans="5:8" ht="13.5" customHeight="1" x14ac:dyDescent="0.2">
      <c r="E206" s="52"/>
      <c r="H206" s="39"/>
    </row>
    <row r="207" spans="5:8" ht="13.5" customHeight="1" x14ac:dyDescent="0.2">
      <c r="E207" s="52"/>
      <c r="H207" s="39"/>
    </row>
    <row r="208" spans="5:8" ht="13.5" customHeight="1" x14ac:dyDescent="0.2">
      <c r="E208" s="52"/>
      <c r="H208" s="39"/>
    </row>
    <row r="209" spans="5:8" ht="13.5" customHeight="1" x14ac:dyDescent="0.2">
      <c r="E209" s="52"/>
      <c r="H209" s="39"/>
    </row>
    <row r="210" spans="5:8" ht="13.5" customHeight="1" x14ac:dyDescent="0.2">
      <c r="E210" s="52"/>
      <c r="H210" s="39"/>
    </row>
    <row r="211" spans="5:8" ht="13.5" customHeight="1" x14ac:dyDescent="0.2">
      <c r="E211" s="52"/>
      <c r="H211" s="39"/>
    </row>
    <row r="212" spans="5:8" ht="13.5" customHeight="1" x14ac:dyDescent="0.2">
      <c r="E212" s="52"/>
      <c r="H212" s="39"/>
    </row>
    <row r="213" spans="5:8" ht="13.5" customHeight="1" x14ac:dyDescent="0.2">
      <c r="E213" s="52"/>
      <c r="H213" s="39"/>
    </row>
    <row r="214" spans="5:8" ht="13.5" customHeight="1" x14ac:dyDescent="0.2">
      <c r="E214" s="52"/>
      <c r="H214" s="39"/>
    </row>
    <row r="215" spans="5:8" ht="13.5" customHeight="1" x14ac:dyDescent="0.2">
      <c r="E215" s="52"/>
      <c r="H215" s="39"/>
    </row>
    <row r="216" spans="5:8" ht="13.5" customHeight="1" x14ac:dyDescent="0.2">
      <c r="E216" s="52"/>
      <c r="H216" s="39"/>
    </row>
    <row r="217" spans="5:8" ht="13.5" customHeight="1" x14ac:dyDescent="0.2">
      <c r="E217" s="52"/>
      <c r="H217" s="39"/>
    </row>
    <row r="218" spans="5:8" ht="13.5" customHeight="1" x14ac:dyDescent="0.2">
      <c r="E218" s="52"/>
      <c r="H218" s="39"/>
    </row>
    <row r="219" spans="5:8" ht="13.5" customHeight="1" x14ac:dyDescent="0.2">
      <c r="E219" s="52"/>
      <c r="H219" s="39"/>
    </row>
    <row r="220" spans="5:8" ht="13.5" customHeight="1" x14ac:dyDescent="0.2">
      <c r="E220" s="52"/>
      <c r="H220" s="39"/>
    </row>
    <row r="221" spans="5:8" ht="13.5" customHeight="1" x14ac:dyDescent="0.2">
      <c r="E221" s="52"/>
      <c r="H221" s="39"/>
    </row>
    <row r="222" spans="5:8" ht="13.5" customHeight="1" x14ac:dyDescent="0.2">
      <c r="E222" s="52"/>
      <c r="H222" s="39"/>
    </row>
    <row r="223" spans="5:8" ht="13.5" customHeight="1" x14ac:dyDescent="0.2">
      <c r="E223" s="52"/>
      <c r="H223" s="39"/>
    </row>
    <row r="224" spans="5:8" ht="13.5" customHeight="1" x14ac:dyDescent="0.2">
      <c r="E224" s="52"/>
      <c r="H224" s="39"/>
    </row>
    <row r="225" spans="5:8" ht="13.5" customHeight="1" x14ac:dyDescent="0.2">
      <c r="E225" s="52"/>
      <c r="H225" s="39"/>
    </row>
    <row r="226" spans="5:8" ht="13.5" customHeight="1" x14ac:dyDescent="0.2">
      <c r="E226" s="52"/>
      <c r="H226" s="39"/>
    </row>
    <row r="227" spans="5:8" ht="13.5" customHeight="1" x14ac:dyDescent="0.2">
      <c r="E227" s="52"/>
      <c r="H227" s="39"/>
    </row>
    <row r="228" spans="5:8" ht="13.5" customHeight="1" x14ac:dyDescent="0.2">
      <c r="E228" s="52"/>
      <c r="H228" s="39"/>
    </row>
    <row r="229" spans="5:8" ht="13.5" customHeight="1" x14ac:dyDescent="0.2">
      <c r="E229" s="52"/>
      <c r="H229" s="39"/>
    </row>
    <row r="230" spans="5:8" ht="13.5" customHeight="1" x14ac:dyDescent="0.2">
      <c r="E230" s="52"/>
      <c r="H230" s="39"/>
    </row>
    <row r="231" spans="5:8" ht="13.5" customHeight="1" x14ac:dyDescent="0.2">
      <c r="E231" s="52"/>
      <c r="H231" s="39"/>
    </row>
    <row r="232" spans="5:8" ht="13.5" customHeight="1" x14ac:dyDescent="0.2">
      <c r="E232" s="52"/>
      <c r="H232" s="39"/>
    </row>
    <row r="233" spans="5:8" ht="13.5" customHeight="1" x14ac:dyDescent="0.2">
      <c r="E233" s="52"/>
      <c r="H233" s="39"/>
    </row>
    <row r="234" spans="5:8" ht="13.5" customHeight="1" x14ac:dyDescent="0.2">
      <c r="E234" s="52"/>
      <c r="H234" s="39"/>
    </row>
    <row r="235" spans="5:8" ht="13.5" customHeight="1" x14ac:dyDescent="0.2">
      <c r="E235" s="52"/>
      <c r="H235" s="39"/>
    </row>
    <row r="236" spans="5:8" ht="13.5" customHeight="1" x14ac:dyDescent="0.2">
      <c r="E236" s="52"/>
      <c r="H236" s="39"/>
    </row>
    <row r="237" spans="5:8" ht="13.5" customHeight="1" x14ac:dyDescent="0.2">
      <c r="E237" s="52"/>
      <c r="H237" s="39"/>
    </row>
    <row r="238" spans="5:8" ht="13.5" customHeight="1" x14ac:dyDescent="0.2">
      <c r="E238" s="52"/>
      <c r="H238" s="39"/>
    </row>
    <row r="239" spans="5:8" ht="13.5" customHeight="1" x14ac:dyDescent="0.2">
      <c r="E239" s="52"/>
      <c r="H239" s="39"/>
    </row>
    <row r="240" spans="5:8" ht="13.5" customHeight="1" x14ac:dyDescent="0.2">
      <c r="E240" s="52"/>
      <c r="H240" s="39"/>
    </row>
    <row r="241" spans="5:8" ht="13.5" customHeight="1" x14ac:dyDescent="0.2">
      <c r="E241" s="52"/>
      <c r="H241" s="39"/>
    </row>
    <row r="242" spans="5:8" ht="13.5" customHeight="1" x14ac:dyDescent="0.2">
      <c r="E242" s="52"/>
      <c r="H242" s="39"/>
    </row>
    <row r="243" spans="5:8" ht="13.5" customHeight="1" x14ac:dyDescent="0.2">
      <c r="E243" s="52"/>
      <c r="H243" s="39"/>
    </row>
    <row r="244" spans="5:8" ht="13.5" customHeight="1" x14ac:dyDescent="0.2">
      <c r="E244" s="52"/>
      <c r="H244" s="39"/>
    </row>
    <row r="245" spans="5:8" ht="13.5" customHeight="1" x14ac:dyDescent="0.2">
      <c r="E245" s="52"/>
      <c r="H245" s="39"/>
    </row>
    <row r="246" spans="5:8" ht="13.5" customHeight="1" x14ac:dyDescent="0.2">
      <c r="E246" s="52"/>
      <c r="H246" s="39"/>
    </row>
    <row r="247" spans="5:8" ht="13.5" customHeight="1" x14ac:dyDescent="0.2">
      <c r="E247" s="52"/>
      <c r="H247" s="39"/>
    </row>
    <row r="248" spans="5:8" ht="13.5" customHeight="1" x14ac:dyDescent="0.2">
      <c r="E248" s="52"/>
      <c r="H248" s="39"/>
    </row>
    <row r="249" spans="5:8" ht="13.5" customHeight="1" x14ac:dyDescent="0.2">
      <c r="E249" s="52"/>
      <c r="H249" s="39"/>
    </row>
    <row r="250" spans="5:8" ht="13.5" customHeight="1" x14ac:dyDescent="0.2">
      <c r="E250" s="52"/>
      <c r="H250" s="39"/>
    </row>
    <row r="251" spans="5:8" ht="13.5" customHeight="1" x14ac:dyDescent="0.2">
      <c r="E251" s="52"/>
      <c r="H251" s="39"/>
    </row>
    <row r="252" spans="5:8" ht="13.5" customHeight="1" x14ac:dyDescent="0.2">
      <c r="E252" s="52"/>
      <c r="H252" s="39"/>
    </row>
    <row r="253" spans="5:8" ht="13.5" customHeight="1" x14ac:dyDescent="0.2">
      <c r="E253" s="52"/>
      <c r="H253" s="39"/>
    </row>
    <row r="254" spans="5:8" ht="13.5" customHeight="1" x14ac:dyDescent="0.2">
      <c r="E254" s="52"/>
      <c r="H254" s="39"/>
    </row>
    <row r="255" spans="5:8" ht="13.5" customHeight="1" x14ac:dyDescent="0.2">
      <c r="E255" s="52"/>
      <c r="H255" s="39"/>
    </row>
    <row r="256" spans="5:8" ht="13.5" customHeight="1" x14ac:dyDescent="0.2">
      <c r="E256" s="52"/>
      <c r="H256" s="39"/>
    </row>
    <row r="257" spans="5:8" ht="13.5" customHeight="1" x14ac:dyDescent="0.2">
      <c r="E257" s="52"/>
      <c r="H257" s="39"/>
    </row>
    <row r="258" spans="5:8" ht="13.5" customHeight="1" x14ac:dyDescent="0.2">
      <c r="E258" s="52"/>
      <c r="H258" s="39"/>
    </row>
    <row r="259" spans="5:8" ht="13.5" customHeight="1" x14ac:dyDescent="0.2">
      <c r="E259" s="52"/>
      <c r="H259" s="39"/>
    </row>
    <row r="260" spans="5:8" ht="13.5" customHeight="1" x14ac:dyDescent="0.2">
      <c r="E260" s="52"/>
      <c r="H260" s="39"/>
    </row>
    <row r="261" spans="5:8" ht="13.5" customHeight="1" x14ac:dyDescent="0.2">
      <c r="E261" s="52"/>
      <c r="H261" s="39"/>
    </row>
    <row r="262" spans="5:8" ht="13.5" customHeight="1" x14ac:dyDescent="0.2">
      <c r="E262" s="52"/>
      <c r="H262" s="39"/>
    </row>
    <row r="263" spans="5:8" ht="13.5" customHeight="1" x14ac:dyDescent="0.2">
      <c r="E263" s="52"/>
      <c r="H263" s="39"/>
    </row>
    <row r="264" spans="5:8" ht="13.5" customHeight="1" x14ac:dyDescent="0.2">
      <c r="E264" s="52"/>
      <c r="H264" s="39"/>
    </row>
    <row r="265" spans="5:8" ht="13.5" customHeight="1" x14ac:dyDescent="0.2">
      <c r="E265" s="52"/>
      <c r="H265" s="39"/>
    </row>
    <row r="266" spans="5:8" ht="14.25" customHeight="1" x14ac:dyDescent="0.2">
      <c r="E266" s="52"/>
      <c r="H266" s="39"/>
    </row>
    <row r="267" spans="5:8" ht="14.25" customHeight="1" x14ac:dyDescent="0.2">
      <c r="E267" s="52"/>
      <c r="H267" s="39"/>
    </row>
    <row r="268" spans="5:8" ht="14.25" customHeight="1" x14ac:dyDescent="0.2">
      <c r="E268" s="52"/>
      <c r="H268" s="39"/>
    </row>
    <row r="269" spans="5:8" ht="14.25" customHeight="1" x14ac:dyDescent="0.2">
      <c r="E269" s="52"/>
      <c r="H269" s="39"/>
    </row>
    <row r="270" spans="5:8" ht="14.25" customHeight="1" x14ac:dyDescent="0.2">
      <c r="E270" s="52"/>
      <c r="H270" s="39"/>
    </row>
    <row r="271" spans="5:8" ht="14.25" customHeight="1" x14ac:dyDescent="0.2">
      <c r="E271" s="52"/>
      <c r="H271" s="39"/>
    </row>
    <row r="272" spans="5:8" ht="14.25" customHeight="1" x14ac:dyDescent="0.2">
      <c r="E272" s="52"/>
      <c r="H272" s="39"/>
    </row>
    <row r="273" spans="5:8" ht="14.25" customHeight="1" x14ac:dyDescent="0.2">
      <c r="E273" s="52"/>
      <c r="H273" s="39"/>
    </row>
    <row r="274" spans="5:8" ht="14.25" customHeight="1" x14ac:dyDescent="0.2">
      <c r="E274" s="52"/>
      <c r="H274" s="39"/>
    </row>
    <row r="275" spans="5:8" ht="14.25" customHeight="1" x14ac:dyDescent="0.2">
      <c r="E275" s="52"/>
      <c r="H275" s="39"/>
    </row>
    <row r="276" spans="5:8" ht="14.25" customHeight="1" x14ac:dyDescent="0.2">
      <c r="E276" s="52"/>
      <c r="H276" s="39"/>
    </row>
    <row r="277" spans="5:8" ht="14.25" customHeight="1" x14ac:dyDescent="0.2">
      <c r="E277" s="52"/>
      <c r="H277" s="39"/>
    </row>
    <row r="278" spans="5:8" ht="14.25" customHeight="1" x14ac:dyDescent="0.2">
      <c r="E278" s="52"/>
      <c r="H278" s="39"/>
    </row>
    <row r="279" spans="5:8" ht="14.25" customHeight="1" x14ac:dyDescent="0.2">
      <c r="E279" s="52"/>
      <c r="H279" s="39"/>
    </row>
    <row r="280" spans="5:8" ht="14.25" customHeight="1" x14ac:dyDescent="0.2">
      <c r="E280" s="52"/>
      <c r="H280" s="39"/>
    </row>
    <row r="281" spans="5:8" ht="14.25" customHeight="1" x14ac:dyDescent="0.2">
      <c r="E281" s="52"/>
      <c r="H281" s="39"/>
    </row>
    <row r="282" spans="5:8" ht="14.25" customHeight="1" x14ac:dyDescent="0.2">
      <c r="E282" s="52"/>
      <c r="H282" s="39"/>
    </row>
    <row r="283" spans="5:8" ht="14.25" customHeight="1" x14ac:dyDescent="0.2">
      <c r="E283" s="52"/>
      <c r="H283" s="39"/>
    </row>
    <row r="284" spans="5:8" ht="14.25" customHeight="1" x14ac:dyDescent="0.2">
      <c r="E284" s="52"/>
      <c r="H284" s="39"/>
    </row>
    <row r="285" spans="5:8" ht="14.25" customHeight="1" x14ac:dyDescent="0.2">
      <c r="E285" s="52"/>
      <c r="H285" s="39"/>
    </row>
    <row r="286" spans="5:8" ht="14.25" customHeight="1" x14ac:dyDescent="0.2">
      <c r="E286" s="52"/>
      <c r="H286" s="39"/>
    </row>
    <row r="287" spans="5:8" ht="14.25" customHeight="1" x14ac:dyDescent="0.2">
      <c r="E287" s="52"/>
      <c r="H287" s="39"/>
    </row>
    <row r="288" spans="5:8" ht="14.25" customHeight="1" x14ac:dyDescent="0.2">
      <c r="E288" s="52"/>
      <c r="H288" s="39"/>
    </row>
    <row r="289" spans="5:8" ht="14.25" customHeight="1" x14ac:dyDescent="0.2">
      <c r="E289" s="52"/>
      <c r="H289" s="39"/>
    </row>
    <row r="290" spans="5:8" ht="14.25" customHeight="1" x14ac:dyDescent="0.2">
      <c r="E290" s="52"/>
      <c r="H290" s="39"/>
    </row>
    <row r="291" spans="5:8" ht="14.25" customHeight="1" x14ac:dyDescent="0.2">
      <c r="E291" s="52"/>
      <c r="H291" s="39"/>
    </row>
    <row r="292" spans="5:8" ht="14.25" customHeight="1" x14ac:dyDescent="0.2">
      <c r="E292" s="52"/>
      <c r="H292" s="39"/>
    </row>
    <row r="293" spans="5:8" ht="14.25" customHeight="1" x14ac:dyDescent="0.2">
      <c r="E293" s="52"/>
      <c r="H293" s="39"/>
    </row>
    <row r="294" spans="5:8" ht="14.25" customHeight="1" x14ac:dyDescent="0.2">
      <c r="E294" s="52"/>
      <c r="H294" s="39"/>
    </row>
    <row r="295" spans="5:8" ht="14.25" customHeight="1" x14ac:dyDescent="0.2">
      <c r="E295" s="52"/>
      <c r="H295" s="39"/>
    </row>
    <row r="296" spans="5:8" ht="14.25" customHeight="1" x14ac:dyDescent="0.2">
      <c r="E296" s="52"/>
      <c r="H296" s="39"/>
    </row>
    <row r="297" spans="5:8" ht="14.25" customHeight="1" x14ac:dyDescent="0.2">
      <c r="E297" s="52"/>
      <c r="H297" s="39"/>
    </row>
    <row r="298" spans="5:8" ht="14.25" customHeight="1" x14ac:dyDescent="0.2">
      <c r="E298" s="52"/>
      <c r="H298" s="39"/>
    </row>
    <row r="299" spans="5:8" ht="14.25" customHeight="1" x14ac:dyDescent="0.2">
      <c r="E299" s="52"/>
      <c r="H299" s="39"/>
    </row>
    <row r="300" spans="5:8" ht="14.25" customHeight="1" x14ac:dyDescent="0.2">
      <c r="E300" s="52"/>
      <c r="H300" s="39"/>
    </row>
    <row r="301" spans="5:8" ht="14.25" customHeight="1" x14ac:dyDescent="0.2">
      <c r="E301" s="52"/>
      <c r="H301" s="39"/>
    </row>
    <row r="302" spans="5:8" ht="14.25" customHeight="1" x14ac:dyDescent="0.2">
      <c r="E302" s="52"/>
      <c r="H302" s="39"/>
    </row>
    <row r="303" spans="5:8" ht="14.25" customHeight="1" x14ac:dyDescent="0.2">
      <c r="E303" s="52"/>
      <c r="H303" s="39"/>
    </row>
    <row r="304" spans="5:8" ht="14.25" customHeight="1" x14ac:dyDescent="0.2">
      <c r="E304" s="52"/>
      <c r="H304" s="39"/>
    </row>
    <row r="305" spans="5:8" ht="14.25" customHeight="1" x14ac:dyDescent="0.2">
      <c r="E305" s="52"/>
      <c r="H305" s="39"/>
    </row>
    <row r="306" spans="5:8" ht="14.25" customHeight="1" x14ac:dyDescent="0.2">
      <c r="E306" s="52"/>
      <c r="H306" s="39"/>
    </row>
    <row r="307" spans="5:8" ht="14.25" customHeight="1" x14ac:dyDescent="0.2">
      <c r="E307" s="52"/>
      <c r="H307" s="39"/>
    </row>
    <row r="308" spans="5:8" ht="14.25" customHeight="1" x14ac:dyDescent="0.2">
      <c r="E308" s="52"/>
      <c r="H308" s="39"/>
    </row>
    <row r="309" spans="5:8" ht="14.25" customHeight="1" x14ac:dyDescent="0.2">
      <c r="E309" s="52"/>
      <c r="H309" s="39"/>
    </row>
    <row r="310" spans="5:8" ht="14.25" customHeight="1" x14ac:dyDescent="0.2">
      <c r="E310" s="52"/>
      <c r="H310" s="39"/>
    </row>
    <row r="311" spans="5:8" ht="14.25" customHeight="1" x14ac:dyDescent="0.2">
      <c r="E311" s="52"/>
      <c r="H311" s="39"/>
    </row>
    <row r="312" spans="5:8" ht="14.25" customHeight="1" x14ac:dyDescent="0.2">
      <c r="E312" s="52"/>
      <c r="H312" s="39"/>
    </row>
    <row r="313" spans="5:8" ht="14.25" customHeight="1" x14ac:dyDescent="0.2">
      <c r="E313" s="52"/>
      <c r="H313" s="39"/>
    </row>
    <row r="314" spans="5:8" ht="14.25" customHeight="1" x14ac:dyDescent="0.2">
      <c r="E314" s="52"/>
      <c r="H314" s="39"/>
    </row>
    <row r="315" spans="5:8" ht="14.25" customHeight="1" x14ac:dyDescent="0.2">
      <c r="E315" s="52"/>
      <c r="H315" s="39"/>
    </row>
    <row r="316" spans="5:8" ht="14.25" customHeight="1" x14ac:dyDescent="0.2">
      <c r="E316" s="52"/>
      <c r="H316" s="39"/>
    </row>
    <row r="317" spans="5:8" ht="14.25" customHeight="1" x14ac:dyDescent="0.2">
      <c r="E317" s="52"/>
      <c r="H317" s="39"/>
    </row>
    <row r="318" spans="5:8" ht="14.25" customHeight="1" x14ac:dyDescent="0.2">
      <c r="E318" s="52"/>
      <c r="H318" s="39"/>
    </row>
    <row r="319" spans="5:8" ht="14.25" customHeight="1" x14ac:dyDescent="0.2">
      <c r="E319" s="52"/>
      <c r="H319" s="39"/>
    </row>
    <row r="320" spans="5:8" ht="14.25" customHeight="1" x14ac:dyDescent="0.2">
      <c r="E320" s="52"/>
      <c r="H320" s="39"/>
    </row>
    <row r="321" spans="5:8" ht="14.25" customHeight="1" x14ac:dyDescent="0.2">
      <c r="E321" s="52"/>
      <c r="H321" s="39"/>
    </row>
    <row r="322" spans="5:8" ht="14.25" customHeight="1" x14ac:dyDescent="0.2">
      <c r="E322" s="52"/>
      <c r="H322" s="39"/>
    </row>
    <row r="323" spans="5:8" ht="14.25" customHeight="1" x14ac:dyDescent="0.2">
      <c r="E323" s="52"/>
      <c r="H323" s="39"/>
    </row>
    <row r="324" spans="5:8" ht="14.25" customHeight="1" x14ac:dyDescent="0.2">
      <c r="E324" s="52"/>
      <c r="H324" s="39"/>
    </row>
    <row r="325" spans="5:8" ht="14.25" customHeight="1" x14ac:dyDescent="0.2">
      <c r="E325" s="52"/>
      <c r="H325" s="39"/>
    </row>
    <row r="326" spans="5:8" ht="14.25" customHeight="1" x14ac:dyDescent="0.2">
      <c r="E326" s="52"/>
      <c r="H326" s="39"/>
    </row>
    <row r="327" spans="5:8" ht="14.25" customHeight="1" x14ac:dyDescent="0.2">
      <c r="E327" s="52"/>
      <c r="H327" s="39"/>
    </row>
    <row r="328" spans="5:8" ht="14.25" customHeight="1" x14ac:dyDescent="0.2">
      <c r="E328" s="52"/>
      <c r="H328" s="39"/>
    </row>
    <row r="329" spans="5:8" ht="14.25" customHeight="1" x14ac:dyDescent="0.2">
      <c r="E329" s="52"/>
      <c r="H329" s="39"/>
    </row>
    <row r="330" spans="5:8" ht="14.25" customHeight="1" x14ac:dyDescent="0.2">
      <c r="E330" s="52"/>
      <c r="H330" s="39"/>
    </row>
    <row r="331" spans="5:8" ht="14.25" customHeight="1" x14ac:dyDescent="0.2">
      <c r="E331" s="52"/>
      <c r="H331" s="39"/>
    </row>
    <row r="332" spans="5:8" ht="14.25" customHeight="1" x14ac:dyDescent="0.2">
      <c r="E332" s="52"/>
      <c r="H332" s="39"/>
    </row>
    <row r="333" spans="5:8" ht="14.25" customHeight="1" x14ac:dyDescent="0.2">
      <c r="E333" s="52"/>
      <c r="H333" s="39"/>
    </row>
    <row r="334" spans="5:8" ht="14.25" customHeight="1" x14ac:dyDescent="0.2">
      <c r="E334" s="52"/>
      <c r="H334" s="39"/>
    </row>
    <row r="335" spans="5:8" ht="14.25" customHeight="1" x14ac:dyDescent="0.2">
      <c r="E335" s="52"/>
      <c r="H335" s="39"/>
    </row>
    <row r="336" spans="5:8" ht="14.25" customHeight="1" x14ac:dyDescent="0.2">
      <c r="E336" s="52"/>
      <c r="H336" s="39"/>
    </row>
    <row r="337" spans="5:8" ht="14.25" customHeight="1" x14ac:dyDescent="0.2">
      <c r="E337" s="52"/>
      <c r="H337" s="39"/>
    </row>
    <row r="338" spans="5:8" ht="14.25" customHeight="1" x14ac:dyDescent="0.2">
      <c r="E338" s="52"/>
      <c r="H338" s="39"/>
    </row>
    <row r="339" spans="5:8" ht="14.25" customHeight="1" x14ac:dyDescent="0.2">
      <c r="E339" s="52"/>
      <c r="H339" s="39"/>
    </row>
    <row r="340" spans="5:8" ht="14.25" customHeight="1" x14ac:dyDescent="0.2">
      <c r="E340" s="52"/>
      <c r="H340" s="39"/>
    </row>
    <row r="341" spans="5:8" ht="14.25" customHeight="1" x14ac:dyDescent="0.2">
      <c r="E341" s="52"/>
      <c r="H341" s="39"/>
    </row>
    <row r="342" spans="5:8" ht="14.25" customHeight="1" x14ac:dyDescent="0.2">
      <c r="E342" s="52"/>
      <c r="H342" s="39"/>
    </row>
    <row r="343" spans="5:8" ht="14.25" customHeight="1" x14ac:dyDescent="0.2">
      <c r="E343" s="52"/>
      <c r="H343" s="39"/>
    </row>
    <row r="344" spans="5:8" ht="14.25" customHeight="1" x14ac:dyDescent="0.2">
      <c r="E344" s="52"/>
      <c r="H344" s="39"/>
    </row>
    <row r="345" spans="5:8" ht="14.25" customHeight="1" x14ac:dyDescent="0.2">
      <c r="E345" s="52"/>
      <c r="H345" s="39"/>
    </row>
    <row r="346" spans="5:8" ht="14.25" customHeight="1" x14ac:dyDescent="0.2">
      <c r="E346" s="52"/>
      <c r="H346" s="39"/>
    </row>
    <row r="347" spans="5:8" ht="14.25" customHeight="1" x14ac:dyDescent="0.2">
      <c r="E347" s="52"/>
      <c r="H347" s="39"/>
    </row>
    <row r="348" spans="5:8" ht="14.25" customHeight="1" x14ac:dyDescent="0.2">
      <c r="E348" s="52"/>
      <c r="H348" s="39"/>
    </row>
    <row r="349" spans="5:8" ht="14.25" customHeight="1" x14ac:dyDescent="0.2">
      <c r="E349" s="52"/>
      <c r="H349" s="39"/>
    </row>
    <row r="350" spans="5:8" ht="14.25" customHeight="1" x14ac:dyDescent="0.2">
      <c r="E350" s="52"/>
      <c r="H350" s="39"/>
    </row>
    <row r="351" spans="5:8" ht="14.25" customHeight="1" x14ac:dyDescent="0.2">
      <c r="E351" s="52"/>
      <c r="H351" s="39"/>
    </row>
    <row r="352" spans="5:8" ht="14.25" customHeight="1" x14ac:dyDescent="0.2">
      <c r="E352" s="52"/>
      <c r="H352" s="39"/>
    </row>
    <row r="353" spans="5:8" ht="14.25" customHeight="1" x14ac:dyDescent="0.2">
      <c r="E353" s="52"/>
      <c r="H353" s="39"/>
    </row>
    <row r="354" spans="5:8" ht="14.25" customHeight="1" x14ac:dyDescent="0.2">
      <c r="E354" s="52"/>
      <c r="H354" s="39"/>
    </row>
    <row r="355" spans="5:8" ht="14.25" customHeight="1" x14ac:dyDescent="0.2">
      <c r="E355" s="52"/>
      <c r="H355" s="39"/>
    </row>
    <row r="356" spans="5:8" ht="14.25" customHeight="1" x14ac:dyDescent="0.2">
      <c r="E356" s="52"/>
      <c r="H356" s="39"/>
    </row>
    <row r="357" spans="5:8" ht="14.25" customHeight="1" x14ac:dyDescent="0.2">
      <c r="E357" s="52"/>
      <c r="H357" s="39"/>
    </row>
    <row r="358" spans="5:8" ht="14.25" customHeight="1" x14ac:dyDescent="0.2">
      <c r="E358" s="52"/>
      <c r="H358" s="39"/>
    </row>
    <row r="359" spans="5:8" ht="14.25" customHeight="1" x14ac:dyDescent="0.2">
      <c r="E359" s="52"/>
      <c r="H359" s="39"/>
    </row>
    <row r="360" spans="5:8" ht="14.25" customHeight="1" x14ac:dyDescent="0.2">
      <c r="E360" s="52"/>
      <c r="H360" s="39"/>
    </row>
    <row r="361" spans="5:8" ht="14.25" customHeight="1" x14ac:dyDescent="0.2">
      <c r="E361" s="52"/>
      <c r="H361" s="39"/>
    </row>
    <row r="362" spans="5:8" ht="14.25" customHeight="1" x14ac:dyDescent="0.2">
      <c r="E362" s="52"/>
      <c r="H362" s="39"/>
    </row>
    <row r="363" spans="5:8" ht="14.25" customHeight="1" x14ac:dyDescent="0.2">
      <c r="E363" s="52"/>
      <c r="H363" s="39"/>
    </row>
    <row r="364" spans="5:8" ht="14.25" customHeight="1" x14ac:dyDescent="0.2">
      <c r="E364" s="52"/>
      <c r="H364" s="39"/>
    </row>
    <row r="365" spans="5:8" ht="14.25" customHeight="1" x14ac:dyDescent="0.2">
      <c r="E365" s="52"/>
      <c r="H365" s="39"/>
    </row>
    <row r="366" spans="5:8" ht="14.25" customHeight="1" x14ac:dyDescent="0.2">
      <c r="E366" s="52"/>
      <c r="H366" s="39"/>
    </row>
    <row r="367" spans="5:8" ht="14.25" customHeight="1" x14ac:dyDescent="0.2">
      <c r="E367" s="52"/>
      <c r="H367" s="39"/>
    </row>
    <row r="368" spans="5:8" ht="14.25" customHeight="1" x14ac:dyDescent="0.2">
      <c r="E368" s="52"/>
      <c r="H368" s="39"/>
    </row>
    <row r="369" spans="5:8" ht="14.25" customHeight="1" x14ac:dyDescent="0.2">
      <c r="E369" s="52"/>
      <c r="H369" s="39"/>
    </row>
    <row r="370" spans="5:8" ht="14.25" customHeight="1" x14ac:dyDescent="0.2">
      <c r="E370" s="52"/>
      <c r="H370" s="39"/>
    </row>
    <row r="371" spans="5:8" ht="14.25" customHeight="1" x14ac:dyDescent="0.2">
      <c r="E371" s="52"/>
      <c r="H371" s="39"/>
    </row>
    <row r="372" spans="5:8" ht="14.25" customHeight="1" x14ac:dyDescent="0.2">
      <c r="E372" s="52"/>
      <c r="H372" s="39"/>
    </row>
    <row r="373" spans="5:8" ht="14.25" customHeight="1" x14ac:dyDescent="0.2">
      <c r="E373" s="52"/>
      <c r="H373" s="39"/>
    </row>
    <row r="374" spans="5:8" ht="14.25" customHeight="1" x14ac:dyDescent="0.2">
      <c r="E374" s="52"/>
      <c r="H374" s="39"/>
    </row>
    <row r="375" spans="5:8" ht="14.25" customHeight="1" x14ac:dyDescent="0.2">
      <c r="E375" s="52"/>
      <c r="H375" s="39"/>
    </row>
    <row r="376" spans="5:8" ht="14.25" customHeight="1" x14ac:dyDescent="0.2">
      <c r="E376" s="52"/>
      <c r="H376" s="39"/>
    </row>
    <row r="377" spans="5:8" ht="14.25" customHeight="1" x14ac:dyDescent="0.2">
      <c r="E377" s="52"/>
      <c r="H377" s="39"/>
    </row>
    <row r="378" spans="5:8" ht="14.25" customHeight="1" x14ac:dyDescent="0.2">
      <c r="E378" s="52"/>
      <c r="H378" s="39"/>
    </row>
    <row r="379" spans="5:8" ht="14.25" customHeight="1" x14ac:dyDescent="0.2">
      <c r="E379" s="52"/>
      <c r="H379" s="39"/>
    </row>
    <row r="380" spans="5:8" ht="14.25" customHeight="1" x14ac:dyDescent="0.2">
      <c r="E380" s="52"/>
      <c r="H380" s="39"/>
    </row>
    <row r="381" spans="5:8" ht="14.25" customHeight="1" x14ac:dyDescent="0.2">
      <c r="E381" s="52"/>
      <c r="H381" s="39"/>
    </row>
    <row r="382" spans="5:8" ht="14.25" customHeight="1" x14ac:dyDescent="0.2">
      <c r="E382" s="52"/>
      <c r="H382" s="39"/>
    </row>
    <row r="383" spans="5:8" ht="14.25" customHeight="1" x14ac:dyDescent="0.2">
      <c r="E383" s="52"/>
      <c r="H383" s="39"/>
    </row>
    <row r="384" spans="5:8" ht="14.25" customHeight="1" x14ac:dyDescent="0.2">
      <c r="E384" s="52"/>
      <c r="H384" s="39"/>
    </row>
    <row r="385" spans="5:8" ht="14.25" customHeight="1" x14ac:dyDescent="0.2">
      <c r="E385" s="52"/>
      <c r="H385" s="39"/>
    </row>
    <row r="386" spans="5:8" ht="14.25" customHeight="1" x14ac:dyDescent="0.2">
      <c r="E386" s="52"/>
      <c r="H386" s="39"/>
    </row>
    <row r="387" spans="5:8" ht="14.25" customHeight="1" x14ac:dyDescent="0.2">
      <c r="E387" s="52"/>
      <c r="H387" s="39"/>
    </row>
    <row r="388" spans="5:8" ht="14.25" customHeight="1" x14ac:dyDescent="0.2">
      <c r="E388" s="52"/>
      <c r="H388" s="39"/>
    </row>
    <row r="389" spans="5:8" ht="14.25" customHeight="1" x14ac:dyDescent="0.2">
      <c r="E389" s="52"/>
      <c r="H389" s="39"/>
    </row>
    <row r="390" spans="5:8" ht="14.25" customHeight="1" x14ac:dyDescent="0.2">
      <c r="E390" s="52"/>
      <c r="H390" s="39"/>
    </row>
    <row r="391" spans="5:8" ht="14.25" customHeight="1" x14ac:dyDescent="0.2">
      <c r="E391" s="52"/>
      <c r="H391" s="39"/>
    </row>
    <row r="392" spans="5:8" ht="14.25" customHeight="1" x14ac:dyDescent="0.2">
      <c r="E392" s="52"/>
      <c r="H392" s="39"/>
    </row>
    <row r="393" spans="5:8" ht="14.25" customHeight="1" x14ac:dyDescent="0.2">
      <c r="E393" s="52"/>
      <c r="H393" s="39"/>
    </row>
    <row r="394" spans="5:8" ht="14.25" customHeight="1" x14ac:dyDescent="0.2">
      <c r="E394" s="52"/>
      <c r="H394" s="39"/>
    </row>
    <row r="395" spans="5:8" ht="14.25" customHeight="1" x14ac:dyDescent="0.2">
      <c r="E395" s="52"/>
      <c r="H395" s="39"/>
    </row>
    <row r="396" spans="5:8" ht="14.25" customHeight="1" x14ac:dyDescent="0.2">
      <c r="E396" s="52"/>
      <c r="H396" s="39"/>
    </row>
    <row r="397" spans="5:8" ht="14.25" customHeight="1" x14ac:dyDescent="0.2">
      <c r="E397" s="52"/>
      <c r="H397" s="39"/>
    </row>
    <row r="398" spans="5:8" ht="14.25" customHeight="1" x14ac:dyDescent="0.2">
      <c r="E398" s="52"/>
      <c r="F398" s="41"/>
      <c r="H398" s="39"/>
    </row>
    <row r="399" spans="5:8" ht="14.25" customHeight="1" x14ac:dyDescent="0.2">
      <c r="E399" s="52"/>
      <c r="F399" s="41"/>
      <c r="H399" s="39"/>
    </row>
    <row r="400" spans="5:8" ht="14.25" customHeight="1" x14ac:dyDescent="0.2">
      <c r="E400" s="52"/>
      <c r="F400" s="41"/>
      <c r="H400" s="39"/>
    </row>
    <row r="401" spans="5:8" ht="14.25" customHeight="1" x14ac:dyDescent="0.2">
      <c r="E401" s="52"/>
      <c r="F401" s="41"/>
      <c r="H401" s="39"/>
    </row>
    <row r="402" spans="5:8" ht="14.25" customHeight="1" x14ac:dyDescent="0.2">
      <c r="E402" s="52"/>
      <c r="F402" s="41"/>
      <c r="H402" s="39"/>
    </row>
    <row r="403" spans="5:8" ht="14.25" customHeight="1" x14ac:dyDescent="0.2">
      <c r="E403" s="52"/>
      <c r="F403" s="41"/>
      <c r="H403" s="39"/>
    </row>
    <row r="404" spans="5:8" ht="14.25" customHeight="1" x14ac:dyDescent="0.2">
      <c r="E404" s="52"/>
      <c r="F404" s="41"/>
      <c r="H404" s="39"/>
    </row>
    <row r="405" spans="5:8" ht="14.25" customHeight="1" x14ac:dyDescent="0.2">
      <c r="E405" s="52"/>
      <c r="F405" s="41"/>
      <c r="H405" s="39"/>
    </row>
    <row r="406" spans="5:8" ht="14.25" customHeight="1" x14ac:dyDescent="0.2">
      <c r="E406" s="52"/>
      <c r="F406" s="41"/>
      <c r="H406" s="39"/>
    </row>
    <row r="407" spans="5:8" ht="14.25" customHeight="1" x14ac:dyDescent="0.2">
      <c r="E407" s="52"/>
      <c r="F407" s="41"/>
      <c r="H407" s="39"/>
    </row>
    <row r="408" spans="5:8" ht="14.25" customHeight="1" x14ac:dyDescent="0.2">
      <c r="E408" s="52"/>
      <c r="F408" s="41"/>
      <c r="H408" s="39"/>
    </row>
    <row r="409" spans="5:8" ht="14.25" customHeight="1" x14ac:dyDescent="0.2">
      <c r="E409" s="52"/>
      <c r="F409" s="41"/>
      <c r="H409" s="39"/>
    </row>
    <row r="410" spans="5:8" ht="13.5" customHeight="1" x14ac:dyDescent="0.2">
      <c r="E410" s="52"/>
      <c r="F410" s="41"/>
      <c r="H410" s="39"/>
    </row>
    <row r="411" spans="5:8" ht="13.5" customHeight="1" x14ac:dyDescent="0.2">
      <c r="E411" s="52"/>
      <c r="F411" s="41"/>
      <c r="H411" s="39"/>
    </row>
    <row r="412" spans="5:8" ht="13.5" customHeight="1" x14ac:dyDescent="0.2">
      <c r="E412" s="52"/>
      <c r="F412" s="41"/>
      <c r="H412" s="39"/>
    </row>
    <row r="413" spans="5:8" ht="13.5" customHeight="1" x14ac:dyDescent="0.2">
      <c r="E413" s="52"/>
      <c r="F413" s="41"/>
      <c r="H413" s="39"/>
    </row>
    <row r="414" spans="5:8" ht="13.5" customHeight="1" x14ac:dyDescent="0.2">
      <c r="E414" s="52"/>
      <c r="F414" s="41"/>
      <c r="H414" s="39"/>
    </row>
    <row r="415" spans="5:8" ht="13.5" customHeight="1" x14ac:dyDescent="0.2">
      <c r="E415" s="52"/>
      <c r="F415" s="41"/>
      <c r="H415" s="39"/>
    </row>
    <row r="416" spans="5:8" ht="13.5" customHeight="1" x14ac:dyDescent="0.2">
      <c r="E416" s="52"/>
      <c r="F416" s="41"/>
      <c r="H416" s="39"/>
    </row>
    <row r="417" spans="5:8" ht="13.5" customHeight="1" x14ac:dyDescent="0.2">
      <c r="E417" s="52"/>
      <c r="F417" s="41"/>
      <c r="H417" s="39"/>
    </row>
    <row r="418" spans="5:8" ht="13.5" customHeight="1" x14ac:dyDescent="0.2">
      <c r="E418" s="52"/>
      <c r="F418" s="41"/>
      <c r="H418" s="39"/>
    </row>
    <row r="419" spans="5:8" ht="13.5" customHeight="1" x14ac:dyDescent="0.2">
      <c r="E419" s="52"/>
      <c r="F419" s="41"/>
      <c r="H419" s="39"/>
    </row>
    <row r="420" spans="5:8" ht="13.5" customHeight="1" x14ac:dyDescent="0.2">
      <c r="E420" s="52"/>
      <c r="F420" s="41"/>
      <c r="H420" s="39"/>
    </row>
    <row r="421" spans="5:8" ht="13.5" customHeight="1" x14ac:dyDescent="0.2">
      <c r="E421" s="52"/>
      <c r="F421" s="41"/>
      <c r="H421" s="39"/>
    </row>
    <row r="422" spans="5:8" ht="13.5" customHeight="1" x14ac:dyDescent="0.2">
      <c r="E422" s="52"/>
      <c r="F422" s="41"/>
      <c r="H422" s="39"/>
    </row>
    <row r="423" spans="5:8" ht="13.5" customHeight="1" x14ac:dyDescent="0.2">
      <c r="E423" s="52"/>
      <c r="F423" s="41"/>
      <c r="H423" s="39"/>
    </row>
    <row r="424" spans="5:8" ht="13.5" customHeight="1" x14ac:dyDescent="0.2">
      <c r="E424" s="52"/>
      <c r="F424" s="41"/>
      <c r="H424" s="39"/>
    </row>
    <row r="425" spans="5:8" ht="13.5" customHeight="1" x14ac:dyDescent="0.2">
      <c r="E425" s="52"/>
      <c r="F425" s="41"/>
      <c r="H425" s="39"/>
    </row>
    <row r="426" spans="5:8" ht="13.5" customHeight="1" x14ac:dyDescent="0.2">
      <c r="E426" s="52"/>
      <c r="F426" s="41"/>
      <c r="H426" s="39"/>
    </row>
    <row r="427" spans="5:8" ht="13.5" customHeight="1" x14ac:dyDescent="0.2">
      <c r="E427" s="52"/>
      <c r="F427" s="41"/>
      <c r="H427" s="39"/>
    </row>
    <row r="428" spans="5:8" ht="13.5" customHeight="1" x14ac:dyDescent="0.2">
      <c r="E428" s="52"/>
      <c r="F428" s="41"/>
      <c r="H428" s="39"/>
    </row>
    <row r="429" spans="5:8" ht="13.5" customHeight="1" x14ac:dyDescent="0.2">
      <c r="E429" s="52"/>
      <c r="F429" s="41"/>
      <c r="H429" s="39"/>
    </row>
    <row r="430" spans="5:8" ht="13.5" customHeight="1" x14ac:dyDescent="0.2">
      <c r="E430" s="52"/>
      <c r="F430" s="41"/>
      <c r="H430" s="39"/>
    </row>
    <row r="431" spans="5:8" ht="13.5" customHeight="1" x14ac:dyDescent="0.2">
      <c r="E431" s="52"/>
      <c r="F431" s="41"/>
      <c r="H431" s="39"/>
    </row>
    <row r="432" spans="5:8" ht="13.5" customHeight="1" x14ac:dyDescent="0.2">
      <c r="E432" s="52"/>
      <c r="F432" s="41"/>
      <c r="H432" s="39"/>
    </row>
    <row r="433" spans="5:8" ht="13.5" customHeight="1" x14ac:dyDescent="0.2">
      <c r="E433" s="52"/>
      <c r="F433" s="41"/>
      <c r="H433" s="39"/>
    </row>
    <row r="434" spans="5:8" ht="13.5" customHeight="1" x14ac:dyDescent="0.2">
      <c r="E434" s="52"/>
      <c r="H434" s="39"/>
    </row>
    <row r="435" spans="5:8" ht="13.5" customHeight="1" x14ac:dyDescent="0.2">
      <c r="E435" s="52"/>
      <c r="H435" s="39"/>
    </row>
    <row r="436" spans="5:8" ht="13.5" customHeight="1" x14ac:dyDescent="0.2">
      <c r="E436" s="52"/>
      <c r="H436" s="39"/>
    </row>
    <row r="437" spans="5:8" ht="13.5" customHeight="1" x14ac:dyDescent="0.2">
      <c r="E437" s="52"/>
      <c r="H437" s="39"/>
    </row>
    <row r="438" spans="5:8" ht="13.5" customHeight="1" x14ac:dyDescent="0.2">
      <c r="E438" s="52"/>
      <c r="H438" s="39"/>
    </row>
    <row r="439" spans="5:8" ht="13.5" customHeight="1" x14ac:dyDescent="0.2">
      <c r="E439" s="52"/>
      <c r="H439" s="39"/>
    </row>
    <row r="440" spans="5:8" ht="13.5" customHeight="1" x14ac:dyDescent="0.2">
      <c r="E440" s="52"/>
      <c r="H440" s="39"/>
    </row>
    <row r="441" spans="5:8" ht="13.5" customHeight="1" x14ac:dyDescent="0.2">
      <c r="E441" s="52"/>
      <c r="H441" s="39"/>
    </row>
    <row r="442" spans="5:8" ht="13.5" customHeight="1" x14ac:dyDescent="0.2">
      <c r="E442" s="52"/>
      <c r="H442" s="39"/>
    </row>
    <row r="443" spans="5:8" ht="13.5" customHeight="1" x14ac:dyDescent="0.2">
      <c r="E443" s="52"/>
      <c r="H443" s="39"/>
    </row>
    <row r="444" spans="5:8" ht="13.5" customHeight="1" x14ac:dyDescent="0.2">
      <c r="E444" s="52"/>
      <c r="H444" s="39"/>
    </row>
    <row r="445" spans="5:8" ht="13.5" customHeight="1" x14ac:dyDescent="0.2">
      <c r="E445" s="52"/>
      <c r="H445" s="39"/>
    </row>
    <row r="446" spans="5:8" ht="13.5" customHeight="1" x14ac:dyDescent="0.2">
      <c r="E446" s="52"/>
      <c r="H446" s="39"/>
    </row>
    <row r="447" spans="5:8" ht="13.5" customHeight="1" x14ac:dyDescent="0.2">
      <c r="E447" s="52"/>
      <c r="H447" s="39"/>
    </row>
    <row r="448" spans="5:8" ht="13.5" customHeight="1" x14ac:dyDescent="0.2">
      <c r="E448" s="52"/>
      <c r="H448" s="39"/>
    </row>
    <row r="449" spans="5:8" ht="13.5" customHeight="1" x14ac:dyDescent="0.2">
      <c r="E449" s="52"/>
      <c r="H449" s="39"/>
    </row>
    <row r="450" spans="5:8" ht="13.5" customHeight="1" x14ac:dyDescent="0.2">
      <c r="E450" s="52"/>
      <c r="H450" s="39"/>
    </row>
    <row r="451" spans="5:8" ht="13.5" customHeight="1" x14ac:dyDescent="0.2">
      <c r="E451" s="52"/>
      <c r="H451" s="39"/>
    </row>
    <row r="452" spans="5:8" ht="13.5" customHeight="1" x14ac:dyDescent="0.2">
      <c r="E452" s="52"/>
      <c r="H452" s="39"/>
    </row>
    <row r="453" spans="5:8" ht="13.5" customHeight="1" x14ac:dyDescent="0.2">
      <c r="E453" s="52"/>
      <c r="H453" s="39"/>
    </row>
    <row r="454" spans="5:8" ht="13.5" customHeight="1" x14ac:dyDescent="0.2">
      <c r="E454" s="52"/>
      <c r="H454" s="39"/>
    </row>
    <row r="455" spans="5:8" ht="13.5" customHeight="1" x14ac:dyDescent="0.2">
      <c r="E455" s="52"/>
      <c r="H455" s="39"/>
    </row>
    <row r="456" spans="5:8" ht="13.5" customHeight="1" x14ac:dyDescent="0.2">
      <c r="E456" s="52"/>
      <c r="H456" s="39"/>
    </row>
    <row r="457" spans="5:8" ht="13.5" customHeight="1" x14ac:dyDescent="0.2">
      <c r="E457" s="52"/>
      <c r="H457" s="39"/>
    </row>
    <row r="458" spans="5:8" ht="13.5" customHeight="1" x14ac:dyDescent="0.2">
      <c r="E458" s="52"/>
      <c r="H458" s="39"/>
    </row>
    <row r="459" spans="5:8" ht="13.5" customHeight="1" x14ac:dyDescent="0.2">
      <c r="E459" s="52"/>
      <c r="H459" s="39"/>
    </row>
    <row r="460" spans="5:8" ht="13.5" customHeight="1" x14ac:dyDescent="0.2">
      <c r="E460" s="52"/>
      <c r="H460" s="39"/>
    </row>
    <row r="461" spans="5:8" ht="13.5" customHeight="1" x14ac:dyDescent="0.2">
      <c r="E461" s="52"/>
      <c r="H461" s="39"/>
    </row>
    <row r="462" spans="5:8" ht="13.5" customHeight="1" x14ac:dyDescent="0.2">
      <c r="E462" s="52"/>
      <c r="H462" s="39"/>
    </row>
    <row r="463" spans="5:8" ht="13.5" customHeight="1" x14ac:dyDescent="0.2">
      <c r="E463" s="52"/>
      <c r="H463" s="39"/>
    </row>
    <row r="464" spans="5:8" ht="13.5" customHeight="1" x14ac:dyDescent="0.2">
      <c r="E464" s="52"/>
      <c r="H464" s="39"/>
    </row>
    <row r="465" spans="5:8" ht="13.5" customHeight="1" x14ac:dyDescent="0.2">
      <c r="E465" s="52"/>
      <c r="H465" s="39"/>
    </row>
    <row r="466" spans="5:8" ht="13.5" customHeight="1" x14ac:dyDescent="0.2">
      <c r="E466" s="52"/>
      <c r="H466" s="39"/>
    </row>
    <row r="467" spans="5:8" ht="13.5" customHeight="1" x14ac:dyDescent="0.2">
      <c r="E467" s="52"/>
      <c r="H467" s="39"/>
    </row>
    <row r="468" spans="5:8" ht="13.5" customHeight="1" x14ac:dyDescent="0.2">
      <c r="E468" s="52"/>
      <c r="H468" s="39"/>
    </row>
    <row r="469" spans="5:8" ht="13.5" customHeight="1" x14ac:dyDescent="0.2">
      <c r="E469" s="52"/>
      <c r="H469" s="39"/>
    </row>
    <row r="470" spans="5:8" ht="13.5" customHeight="1" x14ac:dyDescent="0.2">
      <c r="E470" s="52"/>
      <c r="H470" s="39"/>
    </row>
    <row r="471" spans="5:8" ht="13.5" customHeight="1" x14ac:dyDescent="0.2">
      <c r="E471" s="52"/>
      <c r="H471" s="39"/>
    </row>
    <row r="472" spans="5:8" ht="13.5" customHeight="1" x14ac:dyDescent="0.2">
      <c r="E472" s="52"/>
      <c r="H472" s="39"/>
    </row>
    <row r="473" spans="5:8" ht="13.5" customHeight="1" x14ac:dyDescent="0.2">
      <c r="E473" s="52"/>
      <c r="H473" s="39"/>
    </row>
    <row r="474" spans="5:8" ht="13.5" customHeight="1" x14ac:dyDescent="0.2">
      <c r="E474" s="52"/>
      <c r="H474" s="39"/>
    </row>
    <row r="475" spans="5:8" ht="13.5" customHeight="1" x14ac:dyDescent="0.2">
      <c r="E475" s="52"/>
      <c r="H475" s="39"/>
    </row>
    <row r="476" spans="5:8" ht="13.5" customHeight="1" x14ac:dyDescent="0.2">
      <c r="E476" s="52"/>
      <c r="H476" s="39"/>
    </row>
    <row r="477" spans="5:8" ht="13.5" customHeight="1" x14ac:dyDescent="0.2">
      <c r="E477" s="52"/>
      <c r="H477" s="39"/>
    </row>
    <row r="478" spans="5:8" ht="13.5" customHeight="1" x14ac:dyDescent="0.2">
      <c r="E478" s="52"/>
      <c r="H478" s="39"/>
    </row>
    <row r="479" spans="5:8" ht="13.5" customHeight="1" x14ac:dyDescent="0.2">
      <c r="E479" s="52"/>
      <c r="H479" s="39"/>
    </row>
    <row r="480" spans="5:8" ht="13.5" customHeight="1" x14ac:dyDescent="0.2">
      <c r="E480" s="52"/>
      <c r="H480" s="39"/>
    </row>
    <row r="481" spans="5:8" ht="13.5" customHeight="1" x14ac:dyDescent="0.2">
      <c r="E481" s="52"/>
      <c r="H481" s="39"/>
    </row>
    <row r="482" spans="5:8" ht="13.5" customHeight="1" x14ac:dyDescent="0.2">
      <c r="E482" s="52"/>
      <c r="H482" s="39"/>
    </row>
    <row r="483" spans="5:8" ht="13.5" customHeight="1" x14ac:dyDescent="0.2">
      <c r="E483" s="52"/>
      <c r="H483" s="39"/>
    </row>
    <row r="484" spans="5:8" ht="13.5" customHeight="1" x14ac:dyDescent="0.2">
      <c r="E484" s="52"/>
      <c r="H484" s="39"/>
    </row>
    <row r="485" spans="5:8" ht="13.5" customHeight="1" x14ac:dyDescent="0.2">
      <c r="E485" s="52"/>
      <c r="H485" s="39"/>
    </row>
    <row r="486" spans="5:8" ht="13.5" customHeight="1" x14ac:dyDescent="0.2">
      <c r="E486" s="52"/>
      <c r="H486" s="39"/>
    </row>
    <row r="487" spans="5:8" ht="13.5" customHeight="1" x14ac:dyDescent="0.2">
      <c r="E487" s="52"/>
      <c r="H487" s="39"/>
    </row>
    <row r="488" spans="5:8" ht="13.5" customHeight="1" x14ac:dyDescent="0.2">
      <c r="E488" s="52"/>
      <c r="H488" s="39"/>
    </row>
    <row r="489" spans="5:8" ht="13.5" customHeight="1" x14ac:dyDescent="0.2">
      <c r="E489" s="52"/>
      <c r="H489" s="39"/>
    </row>
    <row r="490" spans="5:8" ht="13.5" customHeight="1" x14ac:dyDescent="0.2">
      <c r="E490" s="52"/>
      <c r="H490" s="39"/>
    </row>
    <row r="491" spans="5:8" ht="13.5" customHeight="1" x14ac:dyDescent="0.2">
      <c r="E491" s="52"/>
      <c r="H491" s="39"/>
    </row>
    <row r="492" spans="5:8" ht="13.5" customHeight="1" x14ac:dyDescent="0.2">
      <c r="E492" s="52"/>
      <c r="H492" s="39"/>
    </row>
    <row r="493" spans="5:8" ht="13.5" customHeight="1" x14ac:dyDescent="0.2">
      <c r="E493" s="52"/>
      <c r="H493" s="39"/>
    </row>
    <row r="494" spans="5:8" ht="13.5" customHeight="1" x14ac:dyDescent="0.2">
      <c r="E494" s="52"/>
      <c r="H494" s="39"/>
    </row>
    <row r="495" spans="5:8" ht="13.5" customHeight="1" x14ac:dyDescent="0.2">
      <c r="E495" s="52"/>
      <c r="H495" s="39"/>
    </row>
    <row r="496" spans="5:8" ht="13.5" customHeight="1" x14ac:dyDescent="0.2">
      <c r="E496" s="52"/>
      <c r="H496" s="39"/>
    </row>
    <row r="497" spans="5:8" ht="13.5" customHeight="1" x14ac:dyDescent="0.2">
      <c r="E497" s="52"/>
      <c r="H497" s="39"/>
    </row>
    <row r="498" spans="5:8" ht="13.5" customHeight="1" x14ac:dyDescent="0.2">
      <c r="E498" s="52"/>
      <c r="H498" s="39"/>
    </row>
    <row r="499" spans="5:8" ht="13.5" customHeight="1" x14ac:dyDescent="0.2">
      <c r="E499" s="52"/>
      <c r="H499" s="39"/>
    </row>
    <row r="500" spans="5:8" ht="13.5" customHeight="1" x14ac:dyDescent="0.2">
      <c r="E500" s="52"/>
      <c r="H500" s="39"/>
    </row>
    <row r="501" spans="5:8" ht="13.5" customHeight="1" x14ac:dyDescent="0.2">
      <c r="E501" s="52"/>
      <c r="H501" s="39"/>
    </row>
    <row r="502" spans="5:8" ht="13.5" customHeight="1" x14ac:dyDescent="0.2">
      <c r="E502" s="52"/>
      <c r="H502" s="39"/>
    </row>
    <row r="503" spans="5:8" ht="13.5" customHeight="1" x14ac:dyDescent="0.2">
      <c r="E503" s="52"/>
      <c r="H503" s="39"/>
    </row>
    <row r="504" spans="5:8" ht="13.5" customHeight="1" x14ac:dyDescent="0.2">
      <c r="E504" s="52"/>
      <c r="H504" s="39"/>
    </row>
    <row r="505" spans="5:8" ht="13.5" customHeight="1" x14ac:dyDescent="0.2">
      <c r="E505" s="52"/>
      <c r="H505" s="39"/>
    </row>
    <row r="506" spans="5:8" ht="13.5" customHeight="1" x14ac:dyDescent="0.2">
      <c r="E506" s="52"/>
      <c r="H506" s="39"/>
    </row>
    <row r="507" spans="5:8" ht="13.5" customHeight="1" x14ac:dyDescent="0.2">
      <c r="E507" s="52"/>
      <c r="H507" s="39"/>
    </row>
    <row r="508" spans="5:8" ht="13.5" customHeight="1" x14ac:dyDescent="0.2">
      <c r="E508" s="52"/>
      <c r="H508" s="39"/>
    </row>
    <row r="509" spans="5:8" ht="13.5" customHeight="1" x14ac:dyDescent="0.2">
      <c r="E509" s="52"/>
      <c r="H509" s="39"/>
    </row>
    <row r="510" spans="5:8" ht="13.5" customHeight="1" x14ac:dyDescent="0.2">
      <c r="E510" s="52"/>
      <c r="H510" s="39"/>
    </row>
    <row r="511" spans="5:8" ht="13.5" customHeight="1" x14ac:dyDescent="0.2">
      <c r="E511" s="52"/>
      <c r="H511" s="39"/>
    </row>
    <row r="512" spans="5:8" ht="13.5" customHeight="1" x14ac:dyDescent="0.2">
      <c r="E512" s="52"/>
      <c r="H512" s="39"/>
    </row>
    <row r="513" spans="5:8" ht="13.5" customHeight="1" x14ac:dyDescent="0.2">
      <c r="E513" s="52"/>
      <c r="H513" s="39"/>
    </row>
    <row r="514" spans="5:8" ht="13.5" customHeight="1" x14ac:dyDescent="0.2">
      <c r="E514" s="52"/>
      <c r="H514" s="39"/>
    </row>
    <row r="515" spans="5:8" ht="13.5" customHeight="1" x14ac:dyDescent="0.2">
      <c r="E515" s="52"/>
      <c r="H515" s="39"/>
    </row>
    <row r="516" spans="5:8" ht="13.5" customHeight="1" x14ac:dyDescent="0.2">
      <c r="E516" s="52"/>
      <c r="H516" s="39"/>
    </row>
    <row r="517" spans="5:8" ht="13.5" customHeight="1" x14ac:dyDescent="0.2">
      <c r="E517" s="52"/>
      <c r="H517" s="39"/>
    </row>
    <row r="518" spans="5:8" ht="13.5" customHeight="1" x14ac:dyDescent="0.2">
      <c r="E518" s="52"/>
      <c r="H518" s="39"/>
    </row>
    <row r="519" spans="5:8" ht="13.5" customHeight="1" x14ac:dyDescent="0.2">
      <c r="E519" s="52"/>
      <c r="H519" s="39"/>
    </row>
    <row r="520" spans="5:8" ht="13.5" customHeight="1" x14ac:dyDescent="0.2">
      <c r="E520" s="52"/>
      <c r="H520" s="39"/>
    </row>
    <row r="521" spans="5:8" ht="13.5" customHeight="1" x14ac:dyDescent="0.2">
      <c r="E521" s="52"/>
      <c r="H521" s="39"/>
    </row>
    <row r="522" spans="5:8" ht="13.5" customHeight="1" x14ac:dyDescent="0.2">
      <c r="E522" s="52"/>
      <c r="H522" s="39"/>
    </row>
    <row r="523" spans="5:8" ht="13.5" customHeight="1" x14ac:dyDescent="0.2">
      <c r="E523" s="52"/>
      <c r="H523" s="39"/>
    </row>
    <row r="524" spans="5:8" ht="13.5" customHeight="1" x14ac:dyDescent="0.2">
      <c r="E524" s="52"/>
      <c r="H524" s="39"/>
    </row>
    <row r="525" spans="5:8" ht="13.5" customHeight="1" x14ac:dyDescent="0.2">
      <c r="E525" s="52"/>
      <c r="H525" s="39"/>
    </row>
    <row r="526" spans="5:8" ht="13.5" customHeight="1" x14ac:dyDescent="0.2">
      <c r="E526" s="52"/>
      <c r="H526" s="39"/>
    </row>
    <row r="527" spans="5:8" ht="13.5" customHeight="1" x14ac:dyDescent="0.2">
      <c r="E527" s="52"/>
      <c r="H527" s="39"/>
    </row>
    <row r="528" spans="5:8" ht="13.5" customHeight="1" x14ac:dyDescent="0.2">
      <c r="E528" s="52"/>
      <c r="H528" s="39"/>
    </row>
    <row r="529" spans="5:8" ht="13.5" customHeight="1" x14ac:dyDescent="0.2">
      <c r="E529" s="52"/>
      <c r="H529" s="39"/>
    </row>
    <row r="530" spans="5:8" ht="13.5" customHeight="1" x14ac:dyDescent="0.2">
      <c r="E530" s="52"/>
      <c r="H530" s="39"/>
    </row>
    <row r="531" spans="5:8" ht="13.5" customHeight="1" x14ac:dyDescent="0.2">
      <c r="E531" s="52"/>
      <c r="H531" s="39"/>
    </row>
    <row r="532" spans="5:8" ht="13.5" customHeight="1" x14ac:dyDescent="0.2">
      <c r="E532" s="52"/>
      <c r="H532" s="39"/>
    </row>
    <row r="533" spans="5:8" ht="13.5" customHeight="1" x14ac:dyDescent="0.2">
      <c r="E533" s="52"/>
      <c r="H533" s="39"/>
    </row>
    <row r="534" spans="5:8" ht="13.5" customHeight="1" x14ac:dyDescent="0.2">
      <c r="E534" s="52"/>
      <c r="H534" s="39"/>
    </row>
    <row r="535" spans="5:8" ht="13.5" customHeight="1" x14ac:dyDescent="0.2">
      <c r="E535" s="52"/>
      <c r="H535" s="39"/>
    </row>
    <row r="536" spans="5:8" ht="13.5" customHeight="1" x14ac:dyDescent="0.2">
      <c r="E536" s="52"/>
      <c r="H536" s="39"/>
    </row>
    <row r="537" spans="5:8" ht="13.5" customHeight="1" x14ac:dyDescent="0.2">
      <c r="E537" s="52"/>
      <c r="H537" s="39"/>
    </row>
    <row r="538" spans="5:8" ht="13.5" customHeight="1" x14ac:dyDescent="0.2">
      <c r="E538" s="52"/>
      <c r="H538" s="39"/>
    </row>
    <row r="539" spans="5:8" ht="13.5" customHeight="1" x14ac:dyDescent="0.2">
      <c r="E539" s="52"/>
      <c r="H539" s="39"/>
    </row>
    <row r="540" spans="5:8" ht="13.5" customHeight="1" x14ac:dyDescent="0.2">
      <c r="E540" s="52"/>
      <c r="H540" s="39"/>
    </row>
    <row r="541" spans="5:8" ht="13.5" customHeight="1" x14ac:dyDescent="0.2">
      <c r="E541" s="52"/>
      <c r="H541" s="39"/>
    </row>
    <row r="542" spans="5:8" ht="13.5" customHeight="1" x14ac:dyDescent="0.2">
      <c r="E542" s="52"/>
      <c r="H542" s="39"/>
    </row>
    <row r="543" spans="5:8" ht="13.5" customHeight="1" x14ac:dyDescent="0.2">
      <c r="E543" s="52"/>
      <c r="H543" s="39"/>
    </row>
    <row r="544" spans="5:8" ht="13.5" customHeight="1" x14ac:dyDescent="0.2">
      <c r="E544" s="52"/>
      <c r="H544" s="39"/>
    </row>
    <row r="545" spans="5:8" ht="13.5" customHeight="1" x14ac:dyDescent="0.2">
      <c r="E545" s="52"/>
      <c r="H545" s="39"/>
    </row>
    <row r="546" spans="5:8" ht="13.5" customHeight="1" x14ac:dyDescent="0.2">
      <c r="E546" s="52"/>
      <c r="H546" s="39"/>
    </row>
    <row r="547" spans="5:8" ht="13.5" customHeight="1" x14ac:dyDescent="0.2">
      <c r="E547" s="52"/>
      <c r="H547" s="39"/>
    </row>
    <row r="548" spans="5:8" ht="13.5" customHeight="1" x14ac:dyDescent="0.2">
      <c r="E548" s="52"/>
      <c r="H548" s="39"/>
    </row>
    <row r="549" spans="5:8" ht="13.5" customHeight="1" x14ac:dyDescent="0.2">
      <c r="E549" s="52"/>
      <c r="H549" s="39"/>
    </row>
    <row r="550" spans="5:8" ht="13.5" customHeight="1" x14ac:dyDescent="0.2">
      <c r="E550" s="52"/>
      <c r="H550" s="39"/>
    </row>
    <row r="551" spans="5:8" ht="13.5" customHeight="1" x14ac:dyDescent="0.2">
      <c r="E551" s="52"/>
      <c r="H551" s="39"/>
    </row>
    <row r="552" spans="5:8" ht="13.5" customHeight="1" x14ac:dyDescent="0.2">
      <c r="E552" s="52"/>
      <c r="H552" s="39"/>
    </row>
    <row r="553" spans="5:8" ht="13.5" customHeight="1" x14ac:dyDescent="0.2">
      <c r="E553" s="52"/>
      <c r="H553" s="39"/>
    </row>
    <row r="554" spans="5:8" ht="13.5" customHeight="1" x14ac:dyDescent="0.2">
      <c r="E554" s="52"/>
      <c r="H554" s="39"/>
    </row>
    <row r="555" spans="5:8" ht="13.5" customHeight="1" x14ac:dyDescent="0.2">
      <c r="E555" s="52"/>
      <c r="H555" s="39"/>
    </row>
    <row r="556" spans="5:8" ht="13.5" customHeight="1" x14ac:dyDescent="0.2">
      <c r="E556" s="52"/>
      <c r="H556" s="39"/>
    </row>
    <row r="557" spans="5:8" ht="13.5" customHeight="1" x14ac:dyDescent="0.2">
      <c r="E557" s="52"/>
      <c r="H557" s="39"/>
    </row>
    <row r="558" spans="5:8" ht="13.5" customHeight="1" x14ac:dyDescent="0.2">
      <c r="E558" s="52"/>
      <c r="H558" s="39"/>
    </row>
    <row r="559" spans="5:8" ht="13.5" customHeight="1" x14ac:dyDescent="0.2">
      <c r="E559" s="52"/>
      <c r="H559" s="39"/>
    </row>
    <row r="560" spans="5:8" ht="13.5" customHeight="1" x14ac:dyDescent="0.2">
      <c r="E560" s="52"/>
      <c r="H560" s="39"/>
    </row>
    <row r="561" spans="5:8" ht="13.5" customHeight="1" x14ac:dyDescent="0.2">
      <c r="E561" s="52"/>
      <c r="H561" s="39"/>
    </row>
    <row r="562" spans="5:8" ht="13.5" customHeight="1" x14ac:dyDescent="0.2">
      <c r="E562" s="52"/>
      <c r="H562" s="39"/>
    </row>
    <row r="563" spans="5:8" ht="13.5" customHeight="1" x14ac:dyDescent="0.2">
      <c r="E563" s="52"/>
      <c r="H563" s="39"/>
    </row>
    <row r="564" spans="5:8" ht="13.5" customHeight="1" x14ac:dyDescent="0.2">
      <c r="E564" s="52"/>
      <c r="H564" s="39"/>
    </row>
    <row r="565" spans="5:8" ht="13.5" customHeight="1" x14ac:dyDescent="0.2">
      <c r="E565" s="52"/>
      <c r="H565" s="39"/>
    </row>
    <row r="566" spans="5:8" ht="13.5" customHeight="1" x14ac:dyDescent="0.2">
      <c r="E566" s="52"/>
      <c r="H566" s="39"/>
    </row>
    <row r="567" spans="5:8" ht="13.5" customHeight="1" x14ac:dyDescent="0.2">
      <c r="E567" s="52"/>
      <c r="H567" s="39"/>
    </row>
    <row r="568" spans="5:8" ht="13.5" customHeight="1" x14ac:dyDescent="0.2">
      <c r="E568" s="52"/>
      <c r="H568" s="39"/>
    </row>
    <row r="569" spans="5:8" ht="13.5" customHeight="1" x14ac:dyDescent="0.2">
      <c r="E569" s="52"/>
      <c r="H569" s="39"/>
    </row>
    <row r="570" spans="5:8" ht="13.5" customHeight="1" x14ac:dyDescent="0.2">
      <c r="E570" s="52"/>
      <c r="H570" s="39"/>
    </row>
    <row r="571" spans="5:8" ht="13.5" customHeight="1" x14ac:dyDescent="0.2">
      <c r="E571" s="52"/>
      <c r="H571" s="39"/>
    </row>
    <row r="572" spans="5:8" ht="13.5" customHeight="1" x14ac:dyDescent="0.2">
      <c r="E572" s="52"/>
      <c r="H572" s="39"/>
    </row>
    <row r="573" spans="5:8" ht="13.5" customHeight="1" x14ac:dyDescent="0.2">
      <c r="E573" s="52"/>
      <c r="H573" s="39"/>
    </row>
    <row r="574" spans="5:8" ht="13.5" customHeight="1" x14ac:dyDescent="0.2">
      <c r="E574" s="52"/>
      <c r="H574" s="39"/>
    </row>
    <row r="575" spans="5:8" ht="13.5" customHeight="1" x14ac:dyDescent="0.2">
      <c r="E575" s="52"/>
      <c r="H575" s="39"/>
    </row>
    <row r="576" spans="5:8" ht="13.5" customHeight="1" x14ac:dyDescent="0.2">
      <c r="E576" s="52"/>
      <c r="H576" s="39"/>
    </row>
    <row r="577" spans="5:8" ht="13.5" customHeight="1" x14ac:dyDescent="0.2">
      <c r="E577" s="52"/>
      <c r="H577" s="39"/>
    </row>
    <row r="578" spans="5:8" ht="13.5" customHeight="1" x14ac:dyDescent="0.2">
      <c r="E578" s="52"/>
      <c r="H578" s="39"/>
    </row>
    <row r="579" spans="5:8" ht="13.5" customHeight="1" x14ac:dyDescent="0.2">
      <c r="E579" s="52"/>
      <c r="H579" s="39"/>
    </row>
    <row r="580" spans="5:8" ht="13.5" customHeight="1" x14ac:dyDescent="0.2">
      <c r="E580" s="52"/>
      <c r="H580" s="39"/>
    </row>
    <row r="581" spans="5:8" ht="13.5" customHeight="1" x14ac:dyDescent="0.2">
      <c r="E581" s="52"/>
      <c r="H581" s="39"/>
    </row>
    <row r="582" spans="5:8" ht="13.5" customHeight="1" x14ac:dyDescent="0.2">
      <c r="E582" s="52"/>
      <c r="H582" s="39"/>
    </row>
    <row r="583" spans="5:8" ht="13.5" customHeight="1" x14ac:dyDescent="0.2">
      <c r="E583" s="52"/>
      <c r="H583" s="39"/>
    </row>
    <row r="584" spans="5:8" ht="13.5" customHeight="1" x14ac:dyDescent="0.2">
      <c r="E584" s="52"/>
      <c r="H584" s="39"/>
    </row>
    <row r="585" spans="5:8" ht="13.5" customHeight="1" x14ac:dyDescent="0.2">
      <c r="E585" s="52"/>
      <c r="H585" s="39"/>
    </row>
    <row r="586" spans="5:8" ht="13.5" customHeight="1" x14ac:dyDescent="0.2">
      <c r="E586" s="52"/>
      <c r="H586" s="39"/>
    </row>
    <row r="587" spans="5:8" ht="13.5" customHeight="1" x14ac:dyDescent="0.2">
      <c r="E587" s="52"/>
      <c r="H587" s="39"/>
    </row>
    <row r="588" spans="5:8" ht="13.5" customHeight="1" x14ac:dyDescent="0.2">
      <c r="E588" s="52"/>
      <c r="H588" s="39"/>
    </row>
    <row r="589" spans="5:8" ht="13.5" customHeight="1" x14ac:dyDescent="0.2">
      <c r="E589" s="52"/>
      <c r="H589" s="39"/>
    </row>
    <row r="590" spans="5:8" ht="13.5" customHeight="1" x14ac:dyDescent="0.2">
      <c r="E590" s="52"/>
      <c r="H590" s="39"/>
    </row>
    <row r="591" spans="5:8" ht="13.5" customHeight="1" x14ac:dyDescent="0.2">
      <c r="E591" s="52"/>
      <c r="H591" s="39"/>
    </row>
    <row r="592" spans="5:8" ht="13.5" customHeight="1" x14ac:dyDescent="0.2">
      <c r="E592" s="52"/>
      <c r="H592" s="39"/>
    </row>
    <row r="593" spans="5:8" ht="13.5" customHeight="1" x14ac:dyDescent="0.2">
      <c r="E593" s="52"/>
      <c r="H593" s="39"/>
    </row>
    <row r="594" spans="5:8" ht="13.5" customHeight="1" x14ac:dyDescent="0.2">
      <c r="E594" s="52"/>
      <c r="H594" s="39"/>
    </row>
    <row r="595" spans="5:8" ht="13.5" customHeight="1" x14ac:dyDescent="0.2">
      <c r="E595" s="52"/>
      <c r="H595" s="39"/>
    </row>
    <row r="596" spans="5:8" ht="13.5" customHeight="1" x14ac:dyDescent="0.2">
      <c r="E596" s="52"/>
      <c r="H596" s="39"/>
    </row>
    <row r="597" spans="5:8" ht="13.5" customHeight="1" x14ac:dyDescent="0.2">
      <c r="E597" s="52"/>
      <c r="H597" s="39"/>
    </row>
    <row r="598" spans="5:8" ht="13.5" customHeight="1" x14ac:dyDescent="0.2">
      <c r="E598" s="52"/>
      <c r="H598" s="39"/>
    </row>
    <row r="599" spans="5:8" ht="13.5" customHeight="1" x14ac:dyDescent="0.2">
      <c r="E599" s="52"/>
      <c r="H599" s="39"/>
    </row>
    <row r="600" spans="5:8" ht="13.5" customHeight="1" x14ac:dyDescent="0.2">
      <c r="E600" s="52"/>
      <c r="H600" s="39"/>
    </row>
    <row r="601" spans="5:8" ht="13.5" customHeight="1" x14ac:dyDescent="0.2">
      <c r="E601" s="52"/>
      <c r="H601" s="39"/>
    </row>
    <row r="602" spans="5:8" ht="13.5" customHeight="1" x14ac:dyDescent="0.2">
      <c r="E602" s="52"/>
      <c r="H602" s="39"/>
    </row>
    <row r="603" spans="5:8" ht="13.5" customHeight="1" x14ac:dyDescent="0.2">
      <c r="E603" s="52"/>
      <c r="H603" s="39"/>
    </row>
    <row r="604" spans="5:8" ht="13.5" customHeight="1" x14ac:dyDescent="0.2">
      <c r="E604" s="52"/>
      <c r="H604" s="39"/>
    </row>
    <row r="605" spans="5:8" ht="13.5" customHeight="1" x14ac:dyDescent="0.2">
      <c r="E605" s="52"/>
      <c r="H605" s="39"/>
    </row>
    <row r="606" spans="5:8" ht="13.5" customHeight="1" x14ac:dyDescent="0.2">
      <c r="E606" s="52"/>
      <c r="H606" s="39"/>
    </row>
    <row r="607" spans="5:8" ht="13.5" customHeight="1" x14ac:dyDescent="0.2">
      <c r="E607" s="52"/>
      <c r="H607" s="39"/>
    </row>
    <row r="608" spans="5:8" ht="13.5" customHeight="1" x14ac:dyDescent="0.2">
      <c r="E608" s="52"/>
      <c r="H608" s="39"/>
    </row>
    <row r="609" spans="5:8" ht="13.5" customHeight="1" x14ac:dyDescent="0.2">
      <c r="E609" s="52"/>
      <c r="H609" s="39"/>
    </row>
    <row r="610" spans="5:8" ht="13.5" customHeight="1" x14ac:dyDescent="0.2">
      <c r="E610" s="52"/>
      <c r="H610" s="39"/>
    </row>
    <row r="611" spans="5:8" ht="13.5" customHeight="1" x14ac:dyDescent="0.2">
      <c r="E611" s="52"/>
      <c r="H611" s="39"/>
    </row>
    <row r="612" spans="5:8" ht="13.5" customHeight="1" x14ac:dyDescent="0.2">
      <c r="E612" s="52"/>
      <c r="H612" s="39"/>
    </row>
    <row r="613" spans="5:8" ht="13.5" customHeight="1" x14ac:dyDescent="0.2">
      <c r="E613" s="52"/>
      <c r="H613" s="39"/>
    </row>
    <row r="614" spans="5:8" ht="13.5" customHeight="1" x14ac:dyDescent="0.2">
      <c r="E614" s="52"/>
      <c r="H614" s="39"/>
    </row>
    <row r="615" spans="5:8" ht="13.5" customHeight="1" x14ac:dyDescent="0.2">
      <c r="E615" s="52"/>
      <c r="H615" s="39"/>
    </row>
    <row r="616" spans="5:8" ht="13.5" customHeight="1" x14ac:dyDescent="0.2">
      <c r="E616" s="52"/>
      <c r="H616" s="39"/>
    </row>
    <row r="617" spans="5:8" ht="13.5" customHeight="1" x14ac:dyDescent="0.2">
      <c r="E617" s="52"/>
      <c r="H617" s="39"/>
    </row>
    <row r="618" spans="5:8" ht="13.5" customHeight="1" x14ac:dyDescent="0.2">
      <c r="E618" s="52"/>
      <c r="H618" s="39"/>
    </row>
    <row r="619" spans="5:8" ht="13.5" customHeight="1" x14ac:dyDescent="0.2">
      <c r="E619" s="52"/>
      <c r="H619" s="39"/>
    </row>
    <row r="620" spans="5:8" ht="13.5" customHeight="1" x14ac:dyDescent="0.2">
      <c r="E620" s="52"/>
      <c r="H620" s="39"/>
    </row>
    <row r="621" spans="5:8" ht="13.5" customHeight="1" x14ac:dyDescent="0.2">
      <c r="E621" s="52"/>
      <c r="H621" s="39"/>
    </row>
    <row r="622" spans="5:8" ht="13.5" customHeight="1" x14ac:dyDescent="0.2">
      <c r="E622" s="52"/>
      <c r="H622" s="39"/>
    </row>
    <row r="623" spans="5:8" ht="13.5" customHeight="1" x14ac:dyDescent="0.2">
      <c r="E623" s="52"/>
      <c r="H623" s="39"/>
    </row>
    <row r="624" spans="5:8" ht="13.5" customHeight="1" x14ac:dyDescent="0.2">
      <c r="E624" s="52"/>
      <c r="H624" s="39"/>
    </row>
    <row r="625" spans="5:8" ht="13.5" customHeight="1" x14ac:dyDescent="0.2">
      <c r="E625" s="52"/>
      <c r="H625" s="39"/>
    </row>
    <row r="626" spans="5:8" ht="13.5" customHeight="1" x14ac:dyDescent="0.2">
      <c r="E626" s="52"/>
      <c r="H626" s="39"/>
    </row>
    <row r="627" spans="5:8" ht="13.5" customHeight="1" x14ac:dyDescent="0.2">
      <c r="E627" s="52"/>
      <c r="H627" s="39"/>
    </row>
    <row r="628" spans="5:8" ht="13.5" customHeight="1" x14ac:dyDescent="0.2">
      <c r="E628" s="52"/>
      <c r="H628" s="39"/>
    </row>
    <row r="629" spans="5:8" ht="13.5" customHeight="1" x14ac:dyDescent="0.2">
      <c r="E629" s="52"/>
      <c r="H629" s="39"/>
    </row>
    <row r="630" spans="5:8" ht="13.5" customHeight="1" x14ac:dyDescent="0.2">
      <c r="E630" s="52"/>
      <c r="H630" s="39"/>
    </row>
    <row r="631" spans="5:8" ht="13.5" customHeight="1" x14ac:dyDescent="0.2">
      <c r="E631" s="52"/>
      <c r="H631" s="39"/>
    </row>
    <row r="632" spans="5:8" ht="13.5" customHeight="1" x14ac:dyDescent="0.2">
      <c r="E632" s="52"/>
      <c r="H632" s="39"/>
    </row>
    <row r="633" spans="5:8" ht="13.5" customHeight="1" x14ac:dyDescent="0.2">
      <c r="E633" s="52"/>
      <c r="H633" s="39"/>
    </row>
    <row r="634" spans="5:8" ht="13.5" customHeight="1" x14ac:dyDescent="0.2">
      <c r="E634" s="52"/>
      <c r="H634" s="39"/>
    </row>
    <row r="635" spans="5:8" ht="13.5" customHeight="1" x14ac:dyDescent="0.2">
      <c r="E635" s="52"/>
      <c r="H635" s="39"/>
    </row>
    <row r="636" spans="5:8" ht="13.5" customHeight="1" x14ac:dyDescent="0.2">
      <c r="E636" s="52"/>
      <c r="H636" s="39"/>
    </row>
    <row r="637" spans="5:8" ht="13.5" customHeight="1" x14ac:dyDescent="0.2">
      <c r="E637" s="52"/>
      <c r="H637" s="39"/>
    </row>
    <row r="638" spans="5:8" ht="13.5" customHeight="1" x14ac:dyDescent="0.2">
      <c r="E638" s="52"/>
      <c r="H638" s="39"/>
    </row>
    <row r="639" spans="5:8" ht="13.5" customHeight="1" x14ac:dyDescent="0.2">
      <c r="E639" s="52"/>
      <c r="H639" s="39"/>
    </row>
    <row r="640" spans="5:8" ht="13.5" customHeight="1" x14ac:dyDescent="0.2">
      <c r="E640" s="52"/>
      <c r="H640" s="39"/>
    </row>
    <row r="641" spans="5:8" ht="13.5" customHeight="1" x14ac:dyDescent="0.2">
      <c r="E641" s="52"/>
      <c r="H641" s="39"/>
    </row>
    <row r="642" spans="5:8" ht="13.5" customHeight="1" x14ac:dyDescent="0.2">
      <c r="E642" s="52"/>
      <c r="H642" s="39"/>
    </row>
    <row r="643" spans="5:8" ht="13.5" customHeight="1" x14ac:dyDescent="0.2">
      <c r="E643" s="52"/>
      <c r="H643" s="39"/>
    </row>
    <row r="644" spans="5:8" ht="13.5" customHeight="1" x14ac:dyDescent="0.2">
      <c r="E644" s="52"/>
      <c r="H644" s="39"/>
    </row>
    <row r="645" spans="5:8" ht="13.5" customHeight="1" x14ac:dyDescent="0.2">
      <c r="E645" s="52"/>
      <c r="H645" s="39"/>
    </row>
    <row r="646" spans="5:8" ht="13.5" customHeight="1" x14ac:dyDescent="0.2">
      <c r="E646" s="52"/>
      <c r="H646" s="39"/>
    </row>
    <row r="647" spans="5:8" ht="13.5" customHeight="1" x14ac:dyDescent="0.2">
      <c r="E647" s="52"/>
      <c r="H647" s="39"/>
    </row>
    <row r="648" spans="5:8" ht="13.5" customHeight="1" x14ac:dyDescent="0.2">
      <c r="E648" s="52"/>
      <c r="H648" s="39"/>
    </row>
    <row r="649" spans="5:8" ht="13.5" customHeight="1" x14ac:dyDescent="0.2">
      <c r="E649" s="52"/>
      <c r="H649" s="39"/>
    </row>
    <row r="650" spans="5:8" ht="13.5" customHeight="1" x14ac:dyDescent="0.2">
      <c r="E650" s="52"/>
      <c r="H650" s="39"/>
    </row>
    <row r="651" spans="5:8" ht="13.5" customHeight="1" x14ac:dyDescent="0.2">
      <c r="E651" s="52"/>
      <c r="H651" s="39"/>
    </row>
    <row r="652" spans="5:8" ht="13.5" customHeight="1" x14ac:dyDescent="0.2">
      <c r="E652" s="52"/>
      <c r="H652" s="39"/>
    </row>
    <row r="653" spans="5:8" ht="13.5" customHeight="1" x14ac:dyDescent="0.2">
      <c r="E653" s="52"/>
      <c r="H653" s="39"/>
    </row>
    <row r="654" spans="5:8" ht="13.5" customHeight="1" x14ac:dyDescent="0.2">
      <c r="E654" s="52"/>
      <c r="H654" s="39"/>
    </row>
    <row r="655" spans="5:8" ht="13.5" customHeight="1" x14ac:dyDescent="0.2">
      <c r="E655" s="52"/>
      <c r="H655" s="39"/>
    </row>
    <row r="656" spans="5:8" ht="13.5" customHeight="1" x14ac:dyDescent="0.2">
      <c r="E656" s="52"/>
      <c r="H656" s="39"/>
    </row>
    <row r="657" spans="5:8" ht="13.5" customHeight="1" x14ac:dyDescent="0.2">
      <c r="E657" s="52"/>
      <c r="H657" s="39"/>
    </row>
    <row r="658" spans="5:8" ht="13.5" customHeight="1" x14ac:dyDescent="0.2">
      <c r="E658" s="52"/>
      <c r="H658" s="39"/>
    </row>
    <row r="659" spans="5:8" ht="13.5" customHeight="1" x14ac:dyDescent="0.2">
      <c r="E659" s="52"/>
      <c r="H659" s="39"/>
    </row>
    <row r="660" spans="5:8" ht="13.5" customHeight="1" x14ac:dyDescent="0.2">
      <c r="E660" s="52"/>
      <c r="H660" s="39"/>
    </row>
    <row r="661" spans="5:8" ht="13.5" customHeight="1" x14ac:dyDescent="0.2">
      <c r="E661" s="52"/>
      <c r="H661" s="39"/>
    </row>
    <row r="662" spans="5:8" ht="13.5" customHeight="1" x14ac:dyDescent="0.2">
      <c r="E662" s="52"/>
      <c r="H662" s="39"/>
    </row>
    <row r="663" spans="5:8" ht="13.5" customHeight="1" x14ac:dyDescent="0.2">
      <c r="E663" s="52"/>
      <c r="H663" s="39"/>
    </row>
    <row r="664" spans="5:8" ht="13.5" customHeight="1" x14ac:dyDescent="0.2">
      <c r="E664" s="52"/>
      <c r="H664" s="39"/>
    </row>
    <row r="665" spans="5:8" ht="13.5" customHeight="1" x14ac:dyDescent="0.2">
      <c r="E665" s="52"/>
      <c r="H665" s="39"/>
    </row>
    <row r="666" spans="5:8" ht="13.5" customHeight="1" x14ac:dyDescent="0.2">
      <c r="E666" s="52"/>
      <c r="H666" s="39"/>
    </row>
    <row r="667" spans="5:8" ht="13.5" customHeight="1" x14ac:dyDescent="0.2">
      <c r="E667" s="52"/>
      <c r="H667" s="39"/>
    </row>
    <row r="668" spans="5:8" ht="13.5" customHeight="1" x14ac:dyDescent="0.2">
      <c r="E668" s="52"/>
      <c r="H668" s="39"/>
    </row>
    <row r="669" spans="5:8" ht="13.5" customHeight="1" x14ac:dyDescent="0.2">
      <c r="E669" s="52"/>
      <c r="H669" s="39"/>
    </row>
    <row r="670" spans="5:8" ht="13.5" customHeight="1" x14ac:dyDescent="0.2">
      <c r="E670" s="52"/>
      <c r="H670" s="39"/>
    </row>
    <row r="671" spans="5:8" ht="13.5" customHeight="1" x14ac:dyDescent="0.2">
      <c r="E671" s="52"/>
      <c r="H671" s="39"/>
    </row>
    <row r="672" spans="5:8" ht="13.5" customHeight="1" x14ac:dyDescent="0.2">
      <c r="E672" s="52"/>
      <c r="H672" s="39"/>
    </row>
    <row r="673" spans="5:8" ht="13.5" customHeight="1" x14ac:dyDescent="0.2">
      <c r="E673" s="52"/>
      <c r="H673" s="39"/>
    </row>
    <row r="674" spans="5:8" ht="13.5" customHeight="1" x14ac:dyDescent="0.2">
      <c r="E674" s="52"/>
      <c r="H674" s="39"/>
    </row>
    <row r="675" spans="5:8" ht="13.5" customHeight="1" x14ac:dyDescent="0.2">
      <c r="E675" s="52"/>
      <c r="H675" s="39"/>
    </row>
    <row r="676" spans="5:8" ht="13.5" customHeight="1" x14ac:dyDescent="0.2">
      <c r="E676" s="52"/>
      <c r="H676" s="39"/>
    </row>
    <row r="677" spans="5:8" ht="13.5" customHeight="1" x14ac:dyDescent="0.2">
      <c r="E677" s="52"/>
      <c r="H677" s="39"/>
    </row>
    <row r="678" spans="5:8" ht="13.5" customHeight="1" x14ac:dyDescent="0.2">
      <c r="E678" s="52"/>
      <c r="H678" s="39"/>
    </row>
    <row r="679" spans="5:8" ht="13.5" customHeight="1" x14ac:dyDescent="0.2">
      <c r="E679" s="52"/>
      <c r="H679" s="39"/>
    </row>
    <row r="680" spans="5:8" ht="13.5" customHeight="1" x14ac:dyDescent="0.2">
      <c r="E680" s="52"/>
      <c r="H680" s="39"/>
    </row>
    <row r="681" spans="5:8" ht="13.5" customHeight="1" x14ac:dyDescent="0.2">
      <c r="E681" s="52"/>
      <c r="H681" s="39"/>
    </row>
    <row r="682" spans="5:8" ht="13.5" customHeight="1" x14ac:dyDescent="0.2">
      <c r="E682" s="52"/>
      <c r="H682" s="39"/>
    </row>
    <row r="683" spans="5:8" ht="13.5" customHeight="1" x14ac:dyDescent="0.2">
      <c r="E683" s="52"/>
      <c r="H683" s="39"/>
    </row>
    <row r="684" spans="5:8" ht="13.5" customHeight="1" x14ac:dyDescent="0.2">
      <c r="E684" s="52"/>
      <c r="H684" s="39"/>
    </row>
    <row r="685" spans="5:8" ht="13.5" customHeight="1" x14ac:dyDescent="0.2">
      <c r="E685" s="52"/>
      <c r="H685" s="39"/>
    </row>
    <row r="686" spans="5:8" ht="13.5" customHeight="1" x14ac:dyDescent="0.2">
      <c r="E686" s="52"/>
      <c r="H686" s="39"/>
    </row>
    <row r="687" spans="5:8" ht="13.5" customHeight="1" x14ac:dyDescent="0.2">
      <c r="E687" s="52"/>
      <c r="H687" s="39"/>
    </row>
    <row r="688" spans="5:8" ht="13.5" customHeight="1" x14ac:dyDescent="0.2">
      <c r="E688" s="52"/>
      <c r="H688" s="39"/>
    </row>
    <row r="689" spans="5:11" ht="13.5" customHeight="1" x14ac:dyDescent="0.2">
      <c r="E689" s="52"/>
      <c r="H689" s="39"/>
    </row>
    <row r="690" spans="5:11" ht="13.5" customHeight="1" x14ac:dyDescent="0.2">
      <c r="E690" s="52"/>
      <c r="H690" s="39"/>
    </row>
    <row r="691" spans="5:11" ht="13.5" customHeight="1" x14ac:dyDescent="0.2">
      <c r="E691" s="52"/>
      <c r="H691" s="39"/>
    </row>
    <row r="692" spans="5:11" ht="13.5" customHeight="1" x14ac:dyDescent="0.2">
      <c r="E692" s="52"/>
      <c r="H692" s="39"/>
    </row>
    <row r="693" spans="5:11" ht="13.5" customHeight="1" x14ac:dyDescent="0.2">
      <c r="E693" s="52"/>
      <c r="H693" s="39"/>
    </row>
    <row r="694" spans="5:11" ht="13.5" customHeight="1" x14ac:dyDescent="0.2">
      <c r="E694" s="52"/>
      <c r="H694" s="39"/>
    </row>
    <row r="695" spans="5:11" ht="13.5" customHeight="1" x14ac:dyDescent="0.2">
      <c r="E695" s="52"/>
      <c r="H695" s="39"/>
    </row>
    <row r="696" spans="5:11" ht="13.5" customHeight="1" x14ac:dyDescent="0.2">
      <c r="E696" s="52"/>
      <c r="H696" s="39"/>
    </row>
    <row r="697" spans="5:11" ht="13.5" customHeight="1" x14ac:dyDescent="0.2">
      <c r="E697" s="52"/>
      <c r="H697" s="39"/>
    </row>
    <row r="698" spans="5:11" ht="13.5" customHeight="1" x14ac:dyDescent="0.2">
      <c r="E698" s="52"/>
      <c r="H698" s="39"/>
    </row>
    <row r="699" spans="5:11" ht="13.5" customHeight="1" x14ac:dyDescent="0.2">
      <c r="E699" s="52"/>
      <c r="H699" s="39"/>
      <c r="K699"/>
    </row>
    <row r="700" spans="5:11" ht="13.5" customHeight="1" x14ac:dyDescent="0.2">
      <c r="E700" s="52"/>
      <c r="H700" s="39"/>
      <c r="K700"/>
    </row>
    <row r="701" spans="5:11" ht="13.5" customHeight="1" x14ac:dyDescent="0.2">
      <c r="E701" s="52"/>
      <c r="H701" s="39"/>
      <c r="K701"/>
    </row>
    <row r="702" spans="5:11" ht="13.5" customHeight="1" x14ac:dyDescent="0.2">
      <c r="E702" s="52"/>
      <c r="H702" s="39"/>
      <c r="K702"/>
    </row>
    <row r="703" spans="5:11" ht="13.5" customHeight="1" x14ac:dyDescent="0.2">
      <c r="E703" s="52"/>
      <c r="H703" s="39"/>
      <c r="K703"/>
    </row>
    <row r="704" spans="5:11" ht="13.5" customHeight="1" x14ac:dyDescent="0.2">
      <c r="E704" s="52"/>
      <c r="H704" s="39"/>
      <c r="K704"/>
    </row>
    <row r="705" spans="5:11" ht="13.5" customHeight="1" x14ac:dyDescent="0.2">
      <c r="E705" s="52"/>
      <c r="H705" s="39"/>
      <c r="K705"/>
    </row>
    <row r="706" spans="5:11" ht="13.5" customHeight="1" x14ac:dyDescent="0.2">
      <c r="E706" s="52"/>
      <c r="H706" s="39"/>
      <c r="K706"/>
    </row>
    <row r="707" spans="5:11" ht="13.5" customHeight="1" x14ac:dyDescent="0.2">
      <c r="E707" s="52"/>
      <c r="H707" s="39"/>
      <c r="K707"/>
    </row>
    <row r="708" spans="5:11" ht="13.5" customHeight="1" x14ac:dyDescent="0.2">
      <c r="E708" s="52"/>
      <c r="H708" s="39"/>
      <c r="K708"/>
    </row>
    <row r="709" spans="5:11" ht="13.5" customHeight="1" x14ac:dyDescent="0.2">
      <c r="E709" s="52"/>
      <c r="H709" s="39"/>
      <c r="K709"/>
    </row>
    <row r="710" spans="5:11" ht="13.5" customHeight="1" x14ac:dyDescent="0.2">
      <c r="E710" s="52"/>
      <c r="H710" s="39"/>
      <c r="K710"/>
    </row>
    <row r="711" spans="5:11" ht="13.5" customHeight="1" x14ac:dyDescent="0.2">
      <c r="E711" s="52"/>
      <c r="H711" s="39"/>
      <c r="K711"/>
    </row>
    <row r="712" spans="5:11" ht="13.5" customHeight="1" x14ac:dyDescent="0.2">
      <c r="E712" s="52"/>
      <c r="H712" s="39"/>
      <c r="K712"/>
    </row>
    <row r="713" spans="5:11" ht="13.5" customHeight="1" x14ac:dyDescent="0.2">
      <c r="E713" s="52"/>
      <c r="H713" s="39"/>
      <c r="K713"/>
    </row>
    <row r="714" spans="5:11" ht="13.5" customHeight="1" x14ac:dyDescent="0.2">
      <c r="E714" s="52"/>
      <c r="H714" s="39"/>
      <c r="K714"/>
    </row>
    <row r="715" spans="5:11" ht="13.5" customHeight="1" x14ac:dyDescent="0.2">
      <c r="E715" s="52"/>
      <c r="H715" s="39"/>
      <c r="K715"/>
    </row>
    <row r="716" spans="5:11" ht="13.5" customHeight="1" x14ac:dyDescent="0.2">
      <c r="E716" s="50"/>
      <c r="H716" s="39"/>
      <c r="K716"/>
    </row>
    <row r="717" spans="5:11" ht="13.5" customHeight="1" x14ac:dyDescent="0.2">
      <c r="E717" s="50"/>
      <c r="H717" s="39"/>
      <c r="K717"/>
    </row>
    <row r="718" spans="5:11" ht="13.5" customHeight="1" x14ac:dyDescent="0.2">
      <c r="E718" s="50"/>
      <c r="H718" s="39"/>
      <c r="K718"/>
    </row>
    <row r="719" spans="5:11" ht="13.5" customHeight="1" x14ac:dyDescent="0.2">
      <c r="E719" s="50"/>
      <c r="H719" s="39"/>
      <c r="K719"/>
    </row>
    <row r="720" spans="5:11" ht="13.5" customHeight="1" x14ac:dyDescent="0.2">
      <c r="E720" s="50"/>
      <c r="H720" s="39"/>
      <c r="K720"/>
    </row>
    <row r="721" spans="5:11" ht="13.5" customHeight="1" x14ac:dyDescent="0.2">
      <c r="E721" s="50"/>
      <c r="H721" s="39"/>
      <c r="K721"/>
    </row>
    <row r="722" spans="5:11" ht="13.5" customHeight="1" x14ac:dyDescent="0.2">
      <c r="E722" s="50"/>
      <c r="H722" s="39"/>
      <c r="K722"/>
    </row>
    <row r="723" spans="5:11" ht="13.5" customHeight="1" x14ac:dyDescent="0.2">
      <c r="E723" s="50"/>
      <c r="H723" s="39"/>
      <c r="K723"/>
    </row>
    <row r="724" spans="5:11" ht="13.5" customHeight="1" x14ac:dyDescent="0.2">
      <c r="E724" s="50"/>
      <c r="H724" s="39"/>
      <c r="K724"/>
    </row>
    <row r="725" spans="5:11" ht="13.5" customHeight="1" x14ac:dyDescent="0.2">
      <c r="E725" s="50"/>
      <c r="H725" s="39"/>
      <c r="K725"/>
    </row>
    <row r="726" spans="5:11" ht="13.5" customHeight="1" x14ac:dyDescent="0.2">
      <c r="E726" s="50"/>
      <c r="H726" s="39"/>
      <c r="K726"/>
    </row>
    <row r="727" spans="5:11" ht="13.5" customHeight="1" x14ac:dyDescent="0.2">
      <c r="E727" s="50"/>
      <c r="H727" s="39"/>
      <c r="K727"/>
    </row>
    <row r="728" spans="5:11" ht="13.5" customHeight="1" x14ac:dyDescent="0.2">
      <c r="E728" s="50"/>
      <c r="H728" s="39"/>
      <c r="K728"/>
    </row>
    <row r="729" spans="5:11" ht="13.5" customHeight="1" x14ac:dyDescent="0.2">
      <c r="E729" s="50"/>
      <c r="H729" s="39"/>
      <c r="K729"/>
    </row>
    <row r="730" spans="5:11" ht="13.5" customHeight="1" x14ac:dyDescent="0.2">
      <c r="E730" s="50"/>
      <c r="H730" s="39"/>
      <c r="K730"/>
    </row>
    <row r="731" spans="5:11" ht="13.5" customHeight="1" x14ac:dyDescent="0.2">
      <c r="E731" s="50"/>
      <c r="H731" s="39"/>
      <c r="K731"/>
    </row>
    <row r="732" spans="5:11" ht="13.5" customHeight="1" x14ac:dyDescent="0.2">
      <c r="E732" s="50"/>
      <c r="H732" s="39"/>
      <c r="K732"/>
    </row>
    <row r="733" spans="5:11" ht="13.5" customHeight="1" x14ac:dyDescent="0.2">
      <c r="E733" s="50"/>
      <c r="H733" s="39"/>
      <c r="K733"/>
    </row>
    <row r="734" spans="5:11" ht="13.5" customHeight="1" x14ac:dyDescent="0.2">
      <c r="E734" s="50"/>
      <c r="H734" s="39"/>
      <c r="K734"/>
    </row>
    <row r="735" spans="5:11" ht="13.5" customHeight="1" x14ac:dyDescent="0.2">
      <c r="E735" s="50"/>
      <c r="H735" s="39"/>
      <c r="K735"/>
    </row>
    <row r="736" spans="5:11" ht="13.5" customHeight="1" x14ac:dyDescent="0.2">
      <c r="E736" s="50"/>
      <c r="H736" s="39"/>
      <c r="K736"/>
    </row>
    <row r="737" spans="5:11" ht="13.5" customHeight="1" x14ac:dyDescent="0.2">
      <c r="E737" s="50"/>
      <c r="H737" s="39"/>
      <c r="K737"/>
    </row>
    <row r="738" spans="5:11" ht="13.5" customHeight="1" x14ac:dyDescent="0.2">
      <c r="E738" s="50"/>
      <c r="H738" s="39"/>
      <c r="K738"/>
    </row>
    <row r="739" spans="5:11" ht="13.5" customHeight="1" x14ac:dyDescent="0.2">
      <c r="E739" s="50"/>
      <c r="H739" s="39"/>
      <c r="K739"/>
    </row>
    <row r="740" spans="5:11" ht="13.5" customHeight="1" x14ac:dyDescent="0.2">
      <c r="E740" s="50"/>
      <c r="H740" s="39"/>
      <c r="K740"/>
    </row>
    <row r="741" spans="5:11" ht="13.5" customHeight="1" x14ac:dyDescent="0.2">
      <c r="E741" s="50"/>
      <c r="H741" s="39"/>
      <c r="K741"/>
    </row>
    <row r="742" spans="5:11" ht="13.5" customHeight="1" x14ac:dyDescent="0.2">
      <c r="E742" s="50"/>
      <c r="H742" s="39"/>
      <c r="K742"/>
    </row>
    <row r="743" spans="5:11" ht="13.5" customHeight="1" x14ac:dyDescent="0.2">
      <c r="E743" s="50"/>
      <c r="H743" s="39"/>
      <c r="K743"/>
    </row>
    <row r="744" spans="5:11" ht="13.5" customHeight="1" x14ac:dyDescent="0.2">
      <c r="E744" s="50"/>
      <c r="H744" s="39"/>
      <c r="K744"/>
    </row>
    <row r="745" spans="5:11" ht="13.5" customHeight="1" x14ac:dyDescent="0.2">
      <c r="E745" s="50"/>
      <c r="H745" s="39"/>
      <c r="K745"/>
    </row>
    <row r="746" spans="5:11" ht="13.5" customHeight="1" x14ac:dyDescent="0.2">
      <c r="E746" s="50"/>
      <c r="H746" s="39"/>
      <c r="K746"/>
    </row>
    <row r="747" spans="5:11" ht="13.5" customHeight="1" x14ac:dyDescent="0.2">
      <c r="E747" s="50"/>
      <c r="H747" s="39"/>
      <c r="K747"/>
    </row>
    <row r="748" spans="5:11" ht="13.5" customHeight="1" x14ac:dyDescent="0.2">
      <c r="E748" s="50"/>
      <c r="H748" s="39"/>
      <c r="K748"/>
    </row>
    <row r="749" spans="5:11" ht="13.5" customHeight="1" x14ac:dyDescent="0.2">
      <c r="E749" s="50"/>
      <c r="H749" s="39"/>
      <c r="K749"/>
    </row>
    <row r="750" spans="5:11" ht="13.5" customHeight="1" x14ac:dyDescent="0.2">
      <c r="E750" s="50"/>
      <c r="H750" s="39"/>
      <c r="K750"/>
    </row>
    <row r="751" spans="5:11" ht="13.5" customHeight="1" x14ac:dyDescent="0.2">
      <c r="E751" s="50"/>
      <c r="H751" s="39"/>
      <c r="K751"/>
    </row>
    <row r="752" spans="5:11" ht="13.5" customHeight="1" x14ac:dyDescent="0.2">
      <c r="E752" s="50"/>
      <c r="H752" s="39"/>
      <c r="K752"/>
    </row>
    <row r="753" spans="5:11" ht="13.5" customHeight="1" x14ac:dyDescent="0.2">
      <c r="E753" s="50"/>
      <c r="H753" s="39"/>
      <c r="K753"/>
    </row>
    <row r="754" spans="5:11" ht="13.5" customHeight="1" x14ac:dyDescent="0.2">
      <c r="E754" s="50"/>
      <c r="H754" s="39"/>
      <c r="K754"/>
    </row>
    <row r="755" spans="5:11" ht="13.5" customHeight="1" x14ac:dyDescent="0.2">
      <c r="E755" s="50"/>
      <c r="H755" s="39"/>
      <c r="K755"/>
    </row>
    <row r="756" spans="5:11" ht="13.5" customHeight="1" x14ac:dyDescent="0.2">
      <c r="E756" s="50"/>
      <c r="H756" s="39"/>
      <c r="K756"/>
    </row>
    <row r="757" spans="5:11" ht="13.5" customHeight="1" x14ac:dyDescent="0.2">
      <c r="E757" s="50"/>
      <c r="H757" s="39"/>
      <c r="K757"/>
    </row>
    <row r="758" spans="5:11" ht="13.5" customHeight="1" x14ac:dyDescent="0.2">
      <c r="E758" s="50"/>
      <c r="H758" s="39"/>
      <c r="K758"/>
    </row>
    <row r="759" spans="5:11" ht="13.5" customHeight="1" x14ac:dyDescent="0.2">
      <c r="E759" s="50"/>
      <c r="H759" s="39"/>
      <c r="K759"/>
    </row>
    <row r="760" spans="5:11" ht="13.5" customHeight="1" x14ac:dyDescent="0.2">
      <c r="E760" s="50"/>
      <c r="H760" s="39"/>
      <c r="K760"/>
    </row>
    <row r="761" spans="5:11" ht="13.5" customHeight="1" x14ac:dyDescent="0.2">
      <c r="E761" s="50"/>
      <c r="H761" s="39"/>
      <c r="K761"/>
    </row>
    <row r="762" spans="5:11" ht="13.5" customHeight="1" x14ac:dyDescent="0.2">
      <c r="E762" s="50"/>
      <c r="H762" s="39"/>
      <c r="K762"/>
    </row>
    <row r="763" spans="5:11" ht="13.5" customHeight="1" x14ac:dyDescent="0.2">
      <c r="E763" s="50"/>
      <c r="H763" s="39"/>
      <c r="K763"/>
    </row>
    <row r="764" spans="5:11" ht="13.5" customHeight="1" x14ac:dyDescent="0.2">
      <c r="E764" s="50"/>
      <c r="H764" s="39"/>
      <c r="K764"/>
    </row>
    <row r="765" spans="5:11" ht="13.5" customHeight="1" x14ac:dyDescent="0.2">
      <c r="E765" s="50"/>
      <c r="H765" s="39"/>
      <c r="K765"/>
    </row>
    <row r="766" spans="5:11" ht="13.5" customHeight="1" x14ac:dyDescent="0.2">
      <c r="E766" s="50"/>
      <c r="H766" s="39"/>
      <c r="K766"/>
    </row>
    <row r="767" spans="5:11" ht="13.5" customHeight="1" x14ac:dyDescent="0.2">
      <c r="E767" s="50"/>
      <c r="H767" s="39"/>
      <c r="K767"/>
    </row>
    <row r="768" spans="5:11" ht="13.5" customHeight="1" x14ac:dyDescent="0.2">
      <c r="E768" s="50"/>
      <c r="H768" s="39"/>
      <c r="K768"/>
    </row>
    <row r="769" spans="5:11" ht="13.5" customHeight="1" x14ac:dyDescent="0.2">
      <c r="E769" s="50"/>
      <c r="H769" s="39"/>
      <c r="K769"/>
    </row>
    <row r="770" spans="5:11" ht="13.5" customHeight="1" x14ac:dyDescent="0.2">
      <c r="E770" s="50"/>
      <c r="H770"/>
      <c r="K770"/>
    </row>
    <row r="771" spans="5:11" ht="13.5" customHeight="1" x14ac:dyDescent="0.2">
      <c r="E771" s="50"/>
      <c r="H771"/>
      <c r="K771"/>
    </row>
    <row r="772" spans="5:11" ht="13.5" customHeight="1" x14ac:dyDescent="0.2">
      <c r="E772" s="50"/>
      <c r="H772"/>
      <c r="K772"/>
    </row>
    <row r="773" spans="5:11" ht="13.5" customHeight="1" x14ac:dyDescent="0.2">
      <c r="E773" s="50"/>
      <c r="H773"/>
      <c r="K773"/>
    </row>
    <row r="774" spans="5:11" ht="13.5" customHeight="1" x14ac:dyDescent="0.2">
      <c r="E774" s="50"/>
      <c r="H774"/>
      <c r="K774"/>
    </row>
    <row r="775" spans="5:11" ht="13.5" customHeight="1" x14ac:dyDescent="0.2">
      <c r="E775" s="50"/>
      <c r="H775"/>
      <c r="K775"/>
    </row>
    <row r="776" spans="5:11" ht="13.5" customHeight="1" x14ac:dyDescent="0.2">
      <c r="E776" s="50"/>
      <c r="H776"/>
      <c r="K776"/>
    </row>
    <row r="777" spans="5:11" ht="13.5" customHeight="1" x14ac:dyDescent="0.2">
      <c r="E777" s="50"/>
      <c r="H777"/>
      <c r="K777"/>
    </row>
    <row r="778" spans="5:11" ht="13.5" customHeight="1" x14ac:dyDescent="0.2">
      <c r="E778" s="50"/>
      <c r="H778"/>
      <c r="K778"/>
    </row>
    <row r="779" spans="5:11" ht="13.5" customHeight="1" x14ac:dyDescent="0.2">
      <c r="E779" s="50"/>
      <c r="H779"/>
      <c r="K779"/>
    </row>
    <row r="780" spans="5:11" ht="13.5" customHeight="1" x14ac:dyDescent="0.2">
      <c r="E780" s="50"/>
      <c r="H780"/>
      <c r="K780"/>
    </row>
    <row r="781" spans="5:11" ht="13.5" customHeight="1" x14ac:dyDescent="0.2">
      <c r="E781" s="50"/>
      <c r="H781"/>
      <c r="K781"/>
    </row>
    <row r="782" spans="5:11" ht="13.5" customHeight="1" x14ac:dyDescent="0.2">
      <c r="E782" s="50"/>
      <c r="H782"/>
      <c r="K782"/>
    </row>
    <row r="783" spans="5:11" ht="13.5" customHeight="1" x14ac:dyDescent="0.2">
      <c r="E783" s="50"/>
      <c r="H783"/>
      <c r="K783"/>
    </row>
    <row r="784" spans="5:11" ht="13.5" customHeight="1" x14ac:dyDescent="0.2">
      <c r="E784" s="50"/>
      <c r="H784"/>
      <c r="K784"/>
    </row>
    <row r="785" spans="5:11" ht="13.5" customHeight="1" x14ac:dyDescent="0.2">
      <c r="E785" s="50"/>
      <c r="H785"/>
      <c r="K785"/>
    </row>
    <row r="786" spans="5:11" ht="13.5" customHeight="1" x14ac:dyDescent="0.2">
      <c r="E786" s="50"/>
      <c r="H786"/>
      <c r="K786"/>
    </row>
    <row r="787" spans="5:11" ht="13.5" customHeight="1" x14ac:dyDescent="0.2">
      <c r="E787" s="50"/>
      <c r="H787"/>
      <c r="K787"/>
    </row>
    <row r="788" spans="5:11" ht="13.5" customHeight="1" x14ac:dyDescent="0.2">
      <c r="E788" s="50"/>
      <c r="H788"/>
      <c r="K788"/>
    </row>
    <row r="789" spans="5:11" ht="13.5" customHeight="1" x14ac:dyDescent="0.2">
      <c r="E789" s="50"/>
      <c r="H789"/>
      <c r="K789"/>
    </row>
    <row r="790" spans="5:11" ht="13.5" customHeight="1" x14ac:dyDescent="0.2">
      <c r="E790" s="50"/>
      <c r="H790"/>
      <c r="K790"/>
    </row>
    <row r="791" spans="5:11" ht="13.5" customHeight="1" x14ac:dyDescent="0.2">
      <c r="E791" s="50"/>
      <c r="H791"/>
      <c r="K791"/>
    </row>
    <row r="792" spans="5:11" ht="13.5" customHeight="1" x14ac:dyDescent="0.2">
      <c r="E792" s="50"/>
      <c r="H792"/>
      <c r="K792"/>
    </row>
    <row r="793" spans="5:11" ht="13.5" customHeight="1" x14ac:dyDescent="0.2">
      <c r="E793" s="50"/>
      <c r="H793"/>
      <c r="K793"/>
    </row>
    <row r="794" spans="5:11" ht="13.5" customHeight="1" x14ac:dyDescent="0.2">
      <c r="E794" s="50"/>
      <c r="H794"/>
      <c r="K794"/>
    </row>
    <row r="795" spans="5:11" ht="13.5" customHeight="1" x14ac:dyDescent="0.2">
      <c r="E795" s="50"/>
      <c r="H795"/>
      <c r="K795"/>
    </row>
    <row r="796" spans="5:11" ht="13.5" customHeight="1" x14ac:dyDescent="0.2">
      <c r="E796" s="50"/>
      <c r="H796"/>
      <c r="K796"/>
    </row>
    <row r="797" spans="5:11" ht="13.5" customHeight="1" x14ac:dyDescent="0.2">
      <c r="E797" s="50"/>
      <c r="H797"/>
      <c r="K797"/>
    </row>
    <row r="798" spans="5:11" ht="13.5" customHeight="1" x14ac:dyDescent="0.2">
      <c r="E798" s="50"/>
      <c r="H798"/>
      <c r="K798"/>
    </row>
    <row r="799" spans="5:11" ht="13.5" customHeight="1" x14ac:dyDescent="0.2">
      <c r="E799" s="50"/>
      <c r="H799"/>
      <c r="K799"/>
    </row>
    <row r="800" spans="5:11" ht="13.5" customHeight="1" x14ac:dyDescent="0.2">
      <c r="E800" s="50"/>
      <c r="H800"/>
      <c r="K800"/>
    </row>
    <row r="801" spans="5:11" ht="13.5" customHeight="1" x14ac:dyDescent="0.2">
      <c r="E801" s="50"/>
      <c r="H801"/>
      <c r="K801"/>
    </row>
    <row r="802" spans="5:11" ht="13.5" customHeight="1" x14ac:dyDescent="0.2">
      <c r="E802" s="50"/>
      <c r="H802"/>
      <c r="K802"/>
    </row>
    <row r="803" spans="5:11" ht="13.5" customHeight="1" x14ac:dyDescent="0.2">
      <c r="E803" s="50"/>
      <c r="H803"/>
      <c r="K803"/>
    </row>
    <row r="804" spans="5:11" ht="13.5" customHeight="1" x14ac:dyDescent="0.2">
      <c r="E804" s="50"/>
      <c r="H804"/>
      <c r="K804"/>
    </row>
    <row r="805" spans="5:11" ht="13.5" customHeight="1" x14ac:dyDescent="0.2">
      <c r="E805" s="50"/>
      <c r="H805"/>
      <c r="K805"/>
    </row>
    <row r="806" spans="5:11" ht="13.5" customHeight="1" x14ac:dyDescent="0.2">
      <c r="E806" s="50"/>
      <c r="H806"/>
      <c r="K806"/>
    </row>
    <row r="807" spans="5:11" ht="13.5" customHeight="1" x14ac:dyDescent="0.2">
      <c r="E807" s="50"/>
      <c r="H807"/>
      <c r="K807"/>
    </row>
    <row r="808" spans="5:11" ht="13.5" customHeight="1" x14ac:dyDescent="0.2">
      <c r="E808" s="50"/>
      <c r="H808"/>
      <c r="K808"/>
    </row>
    <row r="809" spans="5:11" ht="13.5" customHeight="1" x14ac:dyDescent="0.2">
      <c r="E809" s="50"/>
      <c r="H809"/>
      <c r="K809"/>
    </row>
    <row r="810" spans="5:11" ht="13.5" customHeight="1" x14ac:dyDescent="0.2">
      <c r="E810" s="50"/>
      <c r="H810"/>
      <c r="K810"/>
    </row>
    <row r="811" spans="5:11" ht="13.5" customHeight="1" x14ac:dyDescent="0.2">
      <c r="E811" s="50"/>
      <c r="H811"/>
      <c r="K811"/>
    </row>
    <row r="812" spans="5:11" ht="13.5" customHeight="1" x14ac:dyDescent="0.2">
      <c r="E812" s="50"/>
      <c r="H812"/>
      <c r="K812"/>
    </row>
    <row r="813" spans="5:11" ht="13.5" customHeight="1" x14ac:dyDescent="0.2">
      <c r="E813" s="50"/>
      <c r="H813"/>
      <c r="K813"/>
    </row>
    <row r="814" spans="5:11" ht="13.5" customHeight="1" x14ac:dyDescent="0.2">
      <c r="E814" s="50"/>
      <c r="H814"/>
      <c r="K814"/>
    </row>
    <row r="815" spans="5:11" ht="13.5" customHeight="1" x14ac:dyDescent="0.2">
      <c r="E815" s="50"/>
      <c r="H815"/>
      <c r="K815"/>
    </row>
    <row r="816" spans="5:11" ht="13.5" customHeight="1" x14ac:dyDescent="0.2">
      <c r="E816" s="50"/>
      <c r="H816"/>
      <c r="K816"/>
    </row>
    <row r="817" spans="5:11" ht="13.5" customHeight="1" x14ac:dyDescent="0.2">
      <c r="E817" s="50"/>
      <c r="H817"/>
      <c r="K817"/>
    </row>
    <row r="818" spans="5:11" ht="13.5" customHeight="1" x14ac:dyDescent="0.2">
      <c r="E818" s="50"/>
      <c r="H818"/>
      <c r="K818"/>
    </row>
    <row r="819" spans="5:11" ht="13.5" customHeight="1" x14ac:dyDescent="0.2">
      <c r="E819" s="50"/>
      <c r="H819"/>
      <c r="K819"/>
    </row>
    <row r="820" spans="5:11" ht="13.5" customHeight="1" x14ac:dyDescent="0.2">
      <c r="E820" s="50"/>
      <c r="H820"/>
      <c r="K820"/>
    </row>
    <row r="821" spans="5:11" ht="13.5" customHeight="1" x14ac:dyDescent="0.2">
      <c r="E821" s="50"/>
      <c r="H821"/>
      <c r="K821"/>
    </row>
    <row r="822" spans="5:11" ht="13.5" customHeight="1" x14ac:dyDescent="0.2">
      <c r="E822" s="50"/>
      <c r="H822"/>
      <c r="K822"/>
    </row>
    <row r="823" spans="5:11" ht="13.5" customHeight="1" x14ac:dyDescent="0.2">
      <c r="E823" s="50"/>
      <c r="H823"/>
      <c r="K823"/>
    </row>
    <row r="824" spans="5:11" ht="13.5" customHeight="1" x14ac:dyDescent="0.2">
      <c r="E824" s="50"/>
      <c r="H824"/>
      <c r="K824"/>
    </row>
    <row r="825" spans="5:11" ht="13.5" customHeight="1" x14ac:dyDescent="0.2">
      <c r="E825" s="50"/>
      <c r="H825"/>
      <c r="K825"/>
    </row>
    <row r="826" spans="5:11" ht="13.5" customHeight="1" x14ac:dyDescent="0.2">
      <c r="E826" s="50"/>
      <c r="H826"/>
      <c r="K826"/>
    </row>
    <row r="827" spans="5:11" ht="13.5" customHeight="1" x14ac:dyDescent="0.2">
      <c r="E827" s="50"/>
      <c r="H827"/>
      <c r="K827"/>
    </row>
    <row r="828" spans="5:11" ht="13.5" customHeight="1" x14ac:dyDescent="0.2">
      <c r="E828" s="50"/>
      <c r="H828"/>
      <c r="K828"/>
    </row>
    <row r="829" spans="5:11" ht="13.5" customHeight="1" x14ac:dyDescent="0.2">
      <c r="E829" s="50"/>
      <c r="H829"/>
      <c r="K829"/>
    </row>
    <row r="830" spans="5:11" ht="13.5" customHeight="1" x14ac:dyDescent="0.2">
      <c r="E830" s="50"/>
      <c r="H830"/>
      <c r="K830"/>
    </row>
    <row r="831" spans="5:11" ht="13.5" customHeight="1" x14ac:dyDescent="0.2">
      <c r="E831" s="50"/>
      <c r="H831"/>
      <c r="K831"/>
    </row>
    <row r="832" spans="5:11" ht="13.5" customHeight="1" x14ac:dyDescent="0.2">
      <c r="E832" s="50"/>
      <c r="H832"/>
      <c r="K832"/>
    </row>
    <row r="833" spans="5:11" ht="13.5" customHeight="1" x14ac:dyDescent="0.2">
      <c r="E833" s="50"/>
      <c r="H833"/>
      <c r="K833"/>
    </row>
    <row r="834" spans="5:11" ht="13.5" customHeight="1" x14ac:dyDescent="0.2">
      <c r="E834" s="50"/>
      <c r="H834"/>
      <c r="K834"/>
    </row>
    <row r="835" spans="5:11" ht="13.5" customHeight="1" x14ac:dyDescent="0.2">
      <c r="E835" s="50"/>
      <c r="H835"/>
      <c r="K835"/>
    </row>
    <row r="836" spans="5:11" ht="13.5" customHeight="1" x14ac:dyDescent="0.2">
      <c r="E836" s="50"/>
      <c r="H836"/>
      <c r="K836"/>
    </row>
    <row r="837" spans="5:11" ht="13.5" customHeight="1" x14ac:dyDescent="0.2">
      <c r="E837" s="50"/>
      <c r="H837"/>
      <c r="K837"/>
    </row>
    <row r="838" spans="5:11" ht="13.5" customHeight="1" x14ac:dyDescent="0.2">
      <c r="E838" s="50"/>
      <c r="H838"/>
      <c r="K838"/>
    </row>
    <row r="839" spans="5:11" ht="13.5" customHeight="1" x14ac:dyDescent="0.2">
      <c r="E839" s="50"/>
      <c r="H839"/>
      <c r="K839"/>
    </row>
    <row r="840" spans="5:11" ht="13.5" customHeight="1" x14ac:dyDescent="0.2">
      <c r="E840" s="50"/>
      <c r="H840"/>
      <c r="K840"/>
    </row>
    <row r="841" spans="5:11" ht="13.5" customHeight="1" x14ac:dyDescent="0.2">
      <c r="E841" s="50"/>
      <c r="H841"/>
      <c r="K841"/>
    </row>
    <row r="842" spans="5:11" ht="13.5" customHeight="1" x14ac:dyDescent="0.2">
      <c r="E842" s="50"/>
      <c r="H842"/>
      <c r="K842"/>
    </row>
    <row r="843" spans="5:11" ht="13.5" customHeight="1" x14ac:dyDescent="0.2">
      <c r="E843" s="50"/>
      <c r="H843"/>
      <c r="K843"/>
    </row>
    <row r="844" spans="5:11" ht="13.5" customHeight="1" x14ac:dyDescent="0.2">
      <c r="E844" s="50"/>
      <c r="H844"/>
      <c r="K844"/>
    </row>
    <row r="845" spans="5:11" ht="13.5" customHeight="1" x14ac:dyDescent="0.2">
      <c r="E845" s="50"/>
      <c r="H845"/>
      <c r="K845"/>
    </row>
    <row r="846" spans="5:11" ht="13.5" customHeight="1" x14ac:dyDescent="0.2">
      <c r="E846" s="50"/>
      <c r="H846"/>
      <c r="K846"/>
    </row>
    <row r="847" spans="5:11" ht="13.5" customHeight="1" x14ac:dyDescent="0.2">
      <c r="E847" s="50"/>
      <c r="H847"/>
      <c r="K847"/>
    </row>
    <row r="848" spans="5:11" ht="13.5" customHeight="1" x14ac:dyDescent="0.2">
      <c r="E848" s="50"/>
      <c r="H848"/>
      <c r="K848"/>
    </row>
    <row r="849" spans="5:11" ht="13.5" customHeight="1" x14ac:dyDescent="0.2">
      <c r="E849" s="50"/>
      <c r="H849"/>
      <c r="K849"/>
    </row>
    <row r="850" spans="5:11" ht="13.5" customHeight="1" x14ac:dyDescent="0.2">
      <c r="E850" s="50"/>
      <c r="H850"/>
      <c r="K850"/>
    </row>
    <row r="851" spans="5:11" ht="13.5" customHeight="1" x14ac:dyDescent="0.2">
      <c r="E851" s="50"/>
      <c r="H851"/>
      <c r="K851"/>
    </row>
    <row r="852" spans="5:11" ht="13.5" customHeight="1" x14ac:dyDescent="0.2">
      <c r="E852" s="50"/>
      <c r="H852"/>
      <c r="K852"/>
    </row>
    <row r="853" spans="5:11" ht="13.5" customHeight="1" x14ac:dyDescent="0.2">
      <c r="E853" s="50"/>
      <c r="H853"/>
      <c r="K853"/>
    </row>
    <row r="854" spans="5:11" ht="13.5" customHeight="1" x14ac:dyDescent="0.2">
      <c r="E854" s="50"/>
      <c r="H854"/>
      <c r="K854"/>
    </row>
    <row r="855" spans="5:11" ht="13.5" customHeight="1" x14ac:dyDescent="0.2">
      <c r="E855" s="50"/>
      <c r="H855"/>
      <c r="K855"/>
    </row>
    <row r="856" spans="5:11" ht="13.5" customHeight="1" x14ac:dyDescent="0.2">
      <c r="E856" s="50"/>
      <c r="H856"/>
      <c r="K856"/>
    </row>
    <row r="857" spans="5:11" ht="13.5" customHeight="1" x14ac:dyDescent="0.2">
      <c r="E857" s="50"/>
      <c r="H857"/>
      <c r="K857"/>
    </row>
    <row r="858" spans="5:11" ht="13.5" customHeight="1" x14ac:dyDescent="0.2">
      <c r="E858" s="50"/>
      <c r="H858"/>
      <c r="K858"/>
    </row>
    <row r="859" spans="5:11" ht="13.5" customHeight="1" x14ac:dyDescent="0.2">
      <c r="E859" s="50"/>
      <c r="H859"/>
      <c r="K859"/>
    </row>
    <row r="860" spans="5:11" ht="13.5" customHeight="1" x14ac:dyDescent="0.2">
      <c r="E860" s="50"/>
      <c r="H860"/>
      <c r="K860"/>
    </row>
    <row r="861" spans="5:11" ht="13.5" customHeight="1" x14ac:dyDescent="0.2">
      <c r="E861" s="50"/>
      <c r="H861"/>
      <c r="K861"/>
    </row>
    <row r="862" spans="5:11" ht="13.5" customHeight="1" x14ac:dyDescent="0.2">
      <c r="E862" s="50"/>
      <c r="H862"/>
      <c r="K862"/>
    </row>
    <row r="863" spans="5:11" ht="13.5" customHeight="1" x14ac:dyDescent="0.2">
      <c r="E863" s="50"/>
      <c r="H863"/>
      <c r="K863"/>
    </row>
    <row r="864" spans="5:11" ht="13.5" customHeight="1" x14ac:dyDescent="0.2">
      <c r="E864" s="50"/>
      <c r="H864"/>
      <c r="K864"/>
    </row>
    <row r="865" spans="5:11" ht="13.5" customHeight="1" x14ac:dyDescent="0.2">
      <c r="E865" s="50"/>
      <c r="H865"/>
      <c r="K865"/>
    </row>
    <row r="866" spans="5:11" ht="13.5" customHeight="1" x14ac:dyDescent="0.2">
      <c r="E866" s="50"/>
      <c r="H866"/>
      <c r="K866"/>
    </row>
    <row r="867" spans="5:11" ht="13.5" customHeight="1" x14ac:dyDescent="0.2">
      <c r="E867" s="50"/>
      <c r="H867"/>
      <c r="K867"/>
    </row>
    <row r="868" spans="5:11" ht="13.5" customHeight="1" x14ac:dyDescent="0.2">
      <c r="E868" s="50"/>
      <c r="H868"/>
      <c r="K868"/>
    </row>
    <row r="869" spans="5:11" ht="13.5" customHeight="1" x14ac:dyDescent="0.2">
      <c r="E869" s="50"/>
      <c r="H869"/>
      <c r="K869"/>
    </row>
    <row r="870" spans="5:11" ht="13.5" customHeight="1" x14ac:dyDescent="0.2">
      <c r="E870" s="50"/>
      <c r="H870"/>
      <c r="K870"/>
    </row>
    <row r="871" spans="5:11" ht="14.25" customHeight="1" x14ac:dyDescent="0.2">
      <c r="E871" s="50"/>
      <c r="H871"/>
      <c r="K871"/>
    </row>
    <row r="872" spans="5:11" ht="13.5" customHeight="1" x14ac:dyDescent="0.2">
      <c r="E872" s="50"/>
      <c r="H872"/>
      <c r="K872"/>
    </row>
    <row r="873" spans="5:11" ht="13.5" customHeight="1" x14ac:dyDescent="0.2">
      <c r="E873" s="50"/>
      <c r="H873"/>
      <c r="K873"/>
    </row>
    <row r="874" spans="5:11" ht="13.5" customHeight="1" x14ac:dyDescent="0.2">
      <c r="E874" s="50"/>
      <c r="H874"/>
      <c r="K874"/>
    </row>
    <row r="875" spans="5:11" ht="13.5" customHeight="1" x14ac:dyDescent="0.2">
      <c r="E875" s="50"/>
      <c r="H875"/>
      <c r="K875"/>
    </row>
    <row r="876" spans="5:11" ht="13.5" customHeight="1" x14ac:dyDescent="0.2">
      <c r="E876" s="50"/>
      <c r="H876"/>
      <c r="K876"/>
    </row>
    <row r="877" spans="5:11" ht="13.5" customHeight="1" x14ac:dyDescent="0.2">
      <c r="E877" s="50"/>
      <c r="H877"/>
      <c r="K877"/>
    </row>
    <row r="878" spans="5:11" ht="13.5" customHeight="1" x14ac:dyDescent="0.2">
      <c r="E878" s="50"/>
      <c r="H878"/>
      <c r="K878"/>
    </row>
    <row r="879" spans="5:11" ht="13.5" customHeight="1" x14ac:dyDescent="0.2">
      <c r="E879" s="50"/>
      <c r="H879"/>
      <c r="K879"/>
    </row>
    <row r="880" spans="5:11" ht="13.5" customHeight="1" x14ac:dyDescent="0.2">
      <c r="E880" s="50"/>
      <c r="H880"/>
      <c r="K880"/>
    </row>
    <row r="881" spans="5:11" ht="13.5" customHeight="1" x14ac:dyDescent="0.2">
      <c r="E881" s="50"/>
      <c r="H881"/>
      <c r="K881"/>
    </row>
    <row r="882" spans="5:11" ht="13.5" customHeight="1" x14ac:dyDescent="0.2">
      <c r="E882" s="50"/>
      <c r="H882"/>
      <c r="K882"/>
    </row>
    <row r="883" spans="5:11" ht="13.5" customHeight="1" x14ac:dyDescent="0.2">
      <c r="E883" s="50"/>
      <c r="H883"/>
      <c r="K883"/>
    </row>
    <row r="884" spans="5:11" ht="13.5" customHeight="1" x14ac:dyDescent="0.2">
      <c r="E884" s="50"/>
      <c r="H884"/>
      <c r="K884"/>
    </row>
    <row r="885" spans="5:11" ht="13.5" customHeight="1" x14ac:dyDescent="0.2">
      <c r="E885" s="50"/>
      <c r="H885"/>
      <c r="K885"/>
    </row>
    <row r="886" spans="5:11" ht="13.5" customHeight="1" x14ac:dyDescent="0.2">
      <c r="E886" s="50"/>
      <c r="H886"/>
      <c r="K886"/>
    </row>
    <row r="887" spans="5:11" ht="13.5" customHeight="1" x14ac:dyDescent="0.2">
      <c r="E887" s="50"/>
      <c r="H887"/>
      <c r="K887"/>
    </row>
    <row r="888" spans="5:11" ht="13.5" customHeight="1" x14ac:dyDescent="0.2">
      <c r="E888" s="50"/>
      <c r="H888"/>
      <c r="K888"/>
    </row>
    <row r="889" spans="5:11" ht="13.5" customHeight="1" x14ac:dyDescent="0.2">
      <c r="E889" s="50"/>
      <c r="H889"/>
      <c r="K889"/>
    </row>
    <row r="890" spans="5:11" ht="13.5" customHeight="1" x14ac:dyDescent="0.2">
      <c r="E890" s="50"/>
      <c r="H890"/>
      <c r="K890"/>
    </row>
    <row r="891" spans="5:11" ht="13.5" customHeight="1" x14ac:dyDescent="0.2">
      <c r="E891" s="50"/>
      <c r="H891"/>
      <c r="K891"/>
    </row>
    <row r="892" spans="5:11" ht="13.5" customHeight="1" x14ac:dyDescent="0.2">
      <c r="E892" s="50"/>
      <c r="H892"/>
      <c r="K892"/>
    </row>
    <row r="893" spans="5:11" ht="13.5" customHeight="1" x14ac:dyDescent="0.2">
      <c r="E893" s="50"/>
      <c r="H893"/>
      <c r="K893"/>
    </row>
    <row r="894" spans="5:11" ht="13.5" customHeight="1" x14ac:dyDescent="0.2">
      <c r="E894" s="50"/>
      <c r="H894"/>
      <c r="K894"/>
    </row>
    <row r="895" spans="5:11" ht="13.5" customHeight="1" x14ac:dyDescent="0.2">
      <c r="E895" s="50"/>
      <c r="H895"/>
      <c r="K895"/>
    </row>
    <row r="896" spans="5:11" ht="13.5" customHeight="1" x14ac:dyDescent="0.2">
      <c r="E896" s="50"/>
      <c r="H896"/>
      <c r="K896"/>
    </row>
    <row r="897" spans="5:11" ht="13.5" customHeight="1" x14ac:dyDescent="0.2">
      <c r="E897" s="50"/>
      <c r="H897"/>
      <c r="K897"/>
    </row>
    <row r="898" spans="5:11" ht="13.5" customHeight="1" x14ac:dyDescent="0.2">
      <c r="E898" s="50"/>
      <c r="H898"/>
      <c r="K898"/>
    </row>
    <row r="899" spans="5:11" ht="13.5" customHeight="1" x14ac:dyDescent="0.2">
      <c r="E899" s="50"/>
      <c r="H899"/>
      <c r="K899"/>
    </row>
    <row r="900" spans="5:11" ht="13.5" customHeight="1" x14ac:dyDescent="0.2">
      <c r="E900" s="50"/>
      <c r="H900"/>
      <c r="K900"/>
    </row>
    <row r="901" spans="5:11" ht="13.5" customHeight="1" x14ac:dyDescent="0.2">
      <c r="E901" s="50"/>
      <c r="H901"/>
      <c r="K901"/>
    </row>
    <row r="902" spans="5:11" ht="13.5" customHeight="1" x14ac:dyDescent="0.2">
      <c r="E902" s="50"/>
      <c r="H902"/>
      <c r="K902"/>
    </row>
    <row r="903" spans="5:11" ht="13.5" customHeight="1" x14ac:dyDescent="0.2">
      <c r="E903" s="50"/>
      <c r="H903"/>
      <c r="K903"/>
    </row>
    <row r="904" spans="5:11" ht="13.5" customHeight="1" x14ac:dyDescent="0.2">
      <c r="E904" s="50"/>
      <c r="H904"/>
      <c r="K904"/>
    </row>
    <row r="905" spans="5:11" ht="13.5" customHeight="1" x14ac:dyDescent="0.2">
      <c r="E905" s="50"/>
      <c r="H905"/>
      <c r="K905"/>
    </row>
    <row r="906" spans="5:11" ht="13.5" customHeight="1" x14ac:dyDescent="0.2">
      <c r="E906" s="50"/>
      <c r="H906"/>
      <c r="K906"/>
    </row>
    <row r="907" spans="5:11" ht="13.5" customHeight="1" x14ac:dyDescent="0.2">
      <c r="E907" s="50"/>
      <c r="H907"/>
      <c r="K907"/>
    </row>
    <row r="908" spans="5:11" ht="13.5" customHeight="1" x14ac:dyDescent="0.2">
      <c r="E908" s="50"/>
      <c r="H908"/>
      <c r="K908"/>
    </row>
    <row r="909" spans="5:11" ht="13.5" customHeight="1" x14ac:dyDescent="0.2">
      <c r="E909" s="50"/>
      <c r="H909"/>
      <c r="K909"/>
    </row>
    <row r="910" spans="5:11" ht="13.5" customHeight="1" x14ac:dyDescent="0.2">
      <c r="E910" s="50"/>
      <c r="H910"/>
      <c r="K910"/>
    </row>
    <row r="911" spans="5:11" ht="13.5" customHeight="1" x14ac:dyDescent="0.2">
      <c r="E911" s="50"/>
      <c r="H911"/>
      <c r="K911"/>
    </row>
    <row r="912" spans="5:11" ht="13.5" customHeight="1" x14ac:dyDescent="0.2">
      <c r="E912" s="50"/>
      <c r="H912"/>
      <c r="K912"/>
    </row>
    <row r="913" spans="5:11" ht="13.5" customHeight="1" x14ac:dyDescent="0.2">
      <c r="E913" s="50"/>
      <c r="H913"/>
      <c r="K913"/>
    </row>
    <row r="914" spans="5:11" ht="13.5" customHeight="1" x14ac:dyDescent="0.2">
      <c r="E914" s="50"/>
      <c r="H914"/>
      <c r="K914"/>
    </row>
    <row r="915" spans="5:11" ht="13.5" customHeight="1" x14ac:dyDescent="0.2">
      <c r="E915" s="50"/>
      <c r="H915"/>
      <c r="K915"/>
    </row>
    <row r="916" spans="5:11" ht="13.5" customHeight="1" x14ac:dyDescent="0.2">
      <c r="E916" s="50"/>
      <c r="H916"/>
      <c r="K916"/>
    </row>
    <row r="917" spans="5:11" ht="13.5" customHeight="1" x14ac:dyDescent="0.2">
      <c r="E917" s="50"/>
      <c r="H917"/>
      <c r="K917"/>
    </row>
    <row r="918" spans="5:11" ht="13.5" customHeight="1" x14ac:dyDescent="0.2">
      <c r="E918" s="50"/>
      <c r="H918"/>
      <c r="K918"/>
    </row>
    <row r="919" spans="5:11" ht="13.5" customHeight="1" x14ac:dyDescent="0.2">
      <c r="E919" s="50"/>
      <c r="H919"/>
      <c r="K919"/>
    </row>
    <row r="920" spans="5:11" ht="13.5" customHeight="1" x14ac:dyDescent="0.2">
      <c r="E920" s="50"/>
      <c r="H920"/>
      <c r="K920"/>
    </row>
    <row r="921" spans="5:11" ht="13.5" customHeight="1" x14ac:dyDescent="0.2">
      <c r="E921" s="50"/>
      <c r="H921"/>
      <c r="K921"/>
    </row>
    <row r="922" spans="5:11" ht="13.5" customHeight="1" x14ac:dyDescent="0.2">
      <c r="E922" s="50"/>
      <c r="H922"/>
      <c r="K922"/>
    </row>
    <row r="923" spans="5:11" ht="13.5" customHeight="1" x14ac:dyDescent="0.2">
      <c r="E923" s="50"/>
      <c r="H923"/>
      <c r="K923"/>
    </row>
    <row r="924" spans="5:11" ht="13.5" customHeight="1" x14ac:dyDescent="0.2">
      <c r="E924" s="50"/>
      <c r="H924"/>
      <c r="K924"/>
    </row>
    <row r="925" spans="5:11" ht="13.5" customHeight="1" x14ac:dyDescent="0.2">
      <c r="E925" s="50"/>
      <c r="H925"/>
      <c r="K925"/>
    </row>
    <row r="926" spans="5:11" ht="13.5" customHeight="1" x14ac:dyDescent="0.2">
      <c r="E926" s="50"/>
      <c r="H926"/>
      <c r="K926"/>
    </row>
    <row r="927" spans="5:11" ht="13.5" customHeight="1" x14ac:dyDescent="0.2">
      <c r="E927" s="50"/>
      <c r="H927"/>
      <c r="K927"/>
    </row>
    <row r="928" spans="5:11" ht="13.5" customHeight="1" x14ac:dyDescent="0.2">
      <c r="E928" s="50"/>
      <c r="H928"/>
      <c r="K928"/>
    </row>
    <row r="929" spans="5:11" ht="13.5" customHeight="1" x14ac:dyDescent="0.2">
      <c r="E929" s="50"/>
      <c r="H929"/>
      <c r="K929"/>
    </row>
    <row r="930" spans="5:11" ht="13.5" customHeight="1" x14ac:dyDescent="0.2">
      <c r="E930" s="50"/>
      <c r="H930"/>
      <c r="K930"/>
    </row>
    <row r="931" spans="5:11" ht="13.5" customHeight="1" x14ac:dyDescent="0.2">
      <c r="E931" s="50"/>
      <c r="H931"/>
      <c r="K931"/>
    </row>
    <row r="932" spans="5:11" ht="13.5" customHeight="1" x14ac:dyDescent="0.2">
      <c r="E932" s="50"/>
      <c r="H932"/>
      <c r="K932"/>
    </row>
    <row r="933" spans="5:11" ht="13.5" customHeight="1" x14ac:dyDescent="0.2">
      <c r="E933" s="50"/>
      <c r="H933"/>
      <c r="K933"/>
    </row>
    <row r="934" spans="5:11" ht="13.5" customHeight="1" x14ac:dyDescent="0.2">
      <c r="E934" s="50"/>
      <c r="H934"/>
      <c r="K934"/>
    </row>
    <row r="935" spans="5:11" ht="13.5" customHeight="1" x14ac:dyDescent="0.2">
      <c r="E935" s="50"/>
      <c r="H935"/>
      <c r="K935"/>
    </row>
    <row r="936" spans="5:11" ht="13.5" customHeight="1" x14ac:dyDescent="0.2">
      <c r="E936" s="50"/>
      <c r="H936"/>
      <c r="K936"/>
    </row>
    <row r="937" spans="5:11" ht="13.5" customHeight="1" x14ac:dyDescent="0.2">
      <c r="E937" s="50"/>
      <c r="H937"/>
      <c r="K937"/>
    </row>
    <row r="938" spans="5:11" ht="13.5" customHeight="1" x14ac:dyDescent="0.2">
      <c r="E938" s="50"/>
      <c r="H938"/>
      <c r="K938"/>
    </row>
    <row r="939" spans="5:11" ht="13.5" customHeight="1" x14ac:dyDescent="0.2">
      <c r="E939" s="50"/>
      <c r="H939"/>
      <c r="K939"/>
    </row>
    <row r="940" spans="5:11" ht="13.5" customHeight="1" x14ac:dyDescent="0.2">
      <c r="E940" s="50"/>
      <c r="H940"/>
      <c r="K940"/>
    </row>
    <row r="941" spans="5:11" ht="12.75" customHeight="1" x14ac:dyDescent="0.2">
      <c r="E941" s="50"/>
      <c r="H941"/>
      <c r="K941"/>
    </row>
    <row r="942" spans="5:11" ht="12.75" customHeight="1" x14ac:dyDescent="0.2">
      <c r="E942" s="50"/>
      <c r="H942"/>
      <c r="K942"/>
    </row>
    <row r="943" spans="5:11" ht="12.75" customHeight="1" x14ac:dyDescent="0.2">
      <c r="E943" s="50"/>
      <c r="H943"/>
      <c r="K943"/>
    </row>
    <row r="944" spans="5:11" ht="12.75" customHeight="1" x14ac:dyDescent="0.2">
      <c r="E944" s="50"/>
      <c r="H944"/>
      <c r="K944"/>
    </row>
    <row r="945" spans="5:11" ht="12.75" customHeight="1" x14ac:dyDescent="0.2">
      <c r="E945" s="50"/>
      <c r="H945"/>
      <c r="K945"/>
    </row>
    <row r="946" spans="5:11" ht="12.75" customHeight="1" x14ac:dyDescent="0.2">
      <c r="E946" s="50"/>
      <c r="H946"/>
      <c r="K946"/>
    </row>
    <row r="947" spans="5:11" ht="12.75" customHeight="1" x14ac:dyDescent="0.2">
      <c r="E947" s="50"/>
      <c r="H947"/>
      <c r="K947"/>
    </row>
    <row r="948" spans="5:11" ht="12.75" customHeight="1" x14ac:dyDescent="0.2">
      <c r="E948" s="50"/>
      <c r="H948"/>
      <c r="K948"/>
    </row>
    <row r="949" spans="5:11" ht="12.75" customHeight="1" x14ac:dyDescent="0.2">
      <c r="E949" s="50"/>
      <c r="H949"/>
      <c r="K949"/>
    </row>
    <row r="950" spans="5:11" ht="12.75" customHeight="1" x14ac:dyDescent="0.2">
      <c r="E950" s="50"/>
      <c r="H950"/>
      <c r="K950"/>
    </row>
    <row r="951" spans="5:11" ht="12.75" customHeight="1" x14ac:dyDescent="0.2">
      <c r="E951" s="50"/>
      <c r="H951"/>
      <c r="K951"/>
    </row>
    <row r="952" spans="5:11" ht="12.75" customHeight="1" x14ac:dyDescent="0.2">
      <c r="E952" s="50"/>
      <c r="H952"/>
      <c r="K952"/>
    </row>
    <row r="953" spans="5:11" ht="12.75" customHeight="1" x14ac:dyDescent="0.2">
      <c r="E953" s="50"/>
      <c r="H953"/>
      <c r="K953"/>
    </row>
    <row r="954" spans="5:11" ht="12.75" customHeight="1" x14ac:dyDescent="0.2">
      <c r="E954" s="50"/>
      <c r="H954"/>
      <c r="K954"/>
    </row>
    <row r="955" spans="5:11" ht="12.75" customHeight="1" x14ac:dyDescent="0.2">
      <c r="E955" s="50"/>
      <c r="H955"/>
      <c r="K955"/>
    </row>
    <row r="956" spans="5:11" ht="12.75" customHeight="1" x14ac:dyDescent="0.2">
      <c r="E956" s="50"/>
      <c r="H956"/>
      <c r="K956"/>
    </row>
    <row r="957" spans="5:11" ht="12.75" customHeight="1" x14ac:dyDescent="0.2">
      <c r="E957" s="50"/>
      <c r="H957"/>
      <c r="K957"/>
    </row>
    <row r="958" spans="5:11" ht="12.75" customHeight="1" x14ac:dyDescent="0.2">
      <c r="E958" s="50"/>
      <c r="H958"/>
      <c r="K958"/>
    </row>
    <row r="959" spans="5:11" ht="12.75" customHeight="1" x14ac:dyDescent="0.2">
      <c r="E959" s="50"/>
      <c r="H959"/>
      <c r="K959"/>
    </row>
    <row r="960" spans="5:11" ht="12.75" customHeight="1" x14ac:dyDescent="0.2">
      <c r="E960" s="50"/>
      <c r="H960"/>
      <c r="K960"/>
    </row>
    <row r="961" spans="5:11" ht="12.75" customHeight="1" x14ac:dyDescent="0.2">
      <c r="E961" s="50"/>
      <c r="H961"/>
      <c r="K961"/>
    </row>
    <row r="962" spans="5:11" ht="12.75" customHeight="1" x14ac:dyDescent="0.2">
      <c r="E962" s="50"/>
      <c r="H962"/>
      <c r="K962"/>
    </row>
    <row r="963" spans="5:11" ht="12.75" customHeight="1" x14ac:dyDescent="0.2">
      <c r="E963" s="50"/>
      <c r="H963"/>
      <c r="K963"/>
    </row>
    <row r="964" spans="5:11" ht="12.75" customHeight="1" x14ac:dyDescent="0.2">
      <c r="E964" s="50"/>
      <c r="H964"/>
      <c r="K964"/>
    </row>
    <row r="965" spans="5:11" ht="12.75" customHeight="1" x14ac:dyDescent="0.2">
      <c r="E965" s="50"/>
      <c r="H965"/>
      <c r="K965"/>
    </row>
    <row r="966" spans="5:11" ht="12.75" customHeight="1" x14ac:dyDescent="0.2">
      <c r="E966" s="50"/>
      <c r="H966"/>
      <c r="K966"/>
    </row>
    <row r="967" spans="5:11" ht="12.75" customHeight="1" x14ac:dyDescent="0.2">
      <c r="E967" s="50"/>
      <c r="H967"/>
      <c r="K967"/>
    </row>
    <row r="968" spans="5:11" ht="12.75" customHeight="1" x14ac:dyDescent="0.2">
      <c r="E968" s="50"/>
      <c r="H968"/>
      <c r="K968"/>
    </row>
    <row r="969" spans="5:11" ht="12.75" customHeight="1" x14ac:dyDescent="0.2">
      <c r="E969" s="50"/>
      <c r="H969"/>
      <c r="K969"/>
    </row>
    <row r="970" spans="5:11" ht="12.75" customHeight="1" x14ac:dyDescent="0.2">
      <c r="E970" s="50"/>
      <c r="H970"/>
      <c r="K970"/>
    </row>
    <row r="971" spans="5:11" ht="12.75" customHeight="1" x14ac:dyDescent="0.2">
      <c r="E971" s="50"/>
      <c r="H971"/>
      <c r="K971"/>
    </row>
    <row r="972" spans="5:11" ht="12.75" customHeight="1" x14ac:dyDescent="0.2">
      <c r="E972" s="50"/>
      <c r="H972"/>
      <c r="K972"/>
    </row>
    <row r="973" spans="5:11" ht="12.75" customHeight="1" x14ac:dyDescent="0.2">
      <c r="E973" s="50"/>
      <c r="H973"/>
      <c r="K973"/>
    </row>
    <row r="974" spans="5:11" ht="12.75" customHeight="1" x14ac:dyDescent="0.2">
      <c r="E974" s="50"/>
      <c r="H974"/>
      <c r="K974"/>
    </row>
    <row r="975" spans="5:11" ht="12.75" customHeight="1" x14ac:dyDescent="0.2">
      <c r="E975" s="50"/>
      <c r="H975"/>
      <c r="K975"/>
    </row>
    <row r="976" spans="5:11" ht="12.75" customHeight="1" x14ac:dyDescent="0.2">
      <c r="E976" s="50"/>
      <c r="H976"/>
      <c r="K976"/>
    </row>
    <row r="977" spans="5:11" ht="12.75" customHeight="1" x14ac:dyDescent="0.2">
      <c r="E977" s="50"/>
      <c r="H977"/>
      <c r="K977"/>
    </row>
    <row r="978" spans="5:11" ht="12.75" customHeight="1" x14ac:dyDescent="0.2">
      <c r="E978" s="50"/>
      <c r="H978"/>
      <c r="K978"/>
    </row>
    <row r="979" spans="5:11" ht="12.75" customHeight="1" x14ac:dyDescent="0.2">
      <c r="E979" s="50"/>
      <c r="H979"/>
      <c r="K979"/>
    </row>
    <row r="980" spans="5:11" ht="12.75" customHeight="1" x14ac:dyDescent="0.2">
      <c r="E980" s="50"/>
      <c r="H980"/>
      <c r="K980"/>
    </row>
    <row r="981" spans="5:11" ht="12.75" customHeight="1" x14ac:dyDescent="0.2">
      <c r="E981" s="50"/>
      <c r="H981"/>
      <c r="K981"/>
    </row>
    <row r="982" spans="5:11" ht="12.75" customHeight="1" x14ac:dyDescent="0.2">
      <c r="E982" s="50"/>
      <c r="H982"/>
      <c r="K982"/>
    </row>
    <row r="983" spans="5:11" ht="12.75" customHeight="1" x14ac:dyDescent="0.2">
      <c r="E983" s="50"/>
      <c r="H983"/>
      <c r="K983"/>
    </row>
    <row r="984" spans="5:11" ht="12.75" customHeight="1" x14ac:dyDescent="0.2">
      <c r="E984" s="50"/>
      <c r="H984"/>
      <c r="K984"/>
    </row>
    <row r="985" spans="5:11" ht="12.75" customHeight="1" x14ac:dyDescent="0.2">
      <c r="E985" s="50"/>
      <c r="H985"/>
      <c r="K985"/>
    </row>
    <row r="986" spans="5:11" ht="12.75" customHeight="1" x14ac:dyDescent="0.2">
      <c r="E986" s="50"/>
      <c r="H986"/>
      <c r="K986"/>
    </row>
    <row r="987" spans="5:11" ht="12.75" customHeight="1" x14ac:dyDescent="0.2">
      <c r="E987" s="50"/>
      <c r="H987"/>
      <c r="K987"/>
    </row>
    <row r="988" spans="5:11" ht="12.75" customHeight="1" x14ac:dyDescent="0.2">
      <c r="E988" s="50"/>
      <c r="H988"/>
      <c r="K988"/>
    </row>
    <row r="989" spans="5:11" ht="12.75" customHeight="1" x14ac:dyDescent="0.2">
      <c r="E989" s="50"/>
      <c r="H989"/>
      <c r="K989"/>
    </row>
    <row r="990" spans="5:11" ht="12.75" customHeight="1" x14ac:dyDescent="0.2">
      <c r="E990" s="50"/>
      <c r="H990"/>
      <c r="K990"/>
    </row>
    <row r="991" spans="5:11" ht="12.75" customHeight="1" x14ac:dyDescent="0.2">
      <c r="E991" s="50"/>
      <c r="H991"/>
      <c r="K991"/>
    </row>
    <row r="992" spans="5:11" ht="12.75" customHeight="1" x14ac:dyDescent="0.2">
      <c r="E992" s="50"/>
      <c r="H992"/>
      <c r="K992"/>
    </row>
    <row r="993" spans="5:11" ht="12.75" customHeight="1" x14ac:dyDescent="0.2">
      <c r="E993" s="50"/>
      <c r="H993"/>
      <c r="K993"/>
    </row>
    <row r="994" spans="5:11" ht="12.75" customHeight="1" x14ac:dyDescent="0.2">
      <c r="E994" s="50"/>
      <c r="H994"/>
      <c r="K994"/>
    </row>
    <row r="995" spans="5:11" ht="12.75" customHeight="1" x14ac:dyDescent="0.2">
      <c r="E995" s="50"/>
      <c r="H995"/>
      <c r="K995"/>
    </row>
    <row r="996" spans="5:11" ht="12.75" customHeight="1" x14ac:dyDescent="0.2">
      <c r="E996" s="50"/>
      <c r="H996"/>
      <c r="K996"/>
    </row>
    <row r="997" spans="5:11" ht="12.75" customHeight="1" x14ac:dyDescent="0.2">
      <c r="E997" s="50"/>
      <c r="H997"/>
      <c r="K997"/>
    </row>
    <row r="998" spans="5:11" ht="12.75" customHeight="1" x14ac:dyDescent="0.2">
      <c r="E998" s="50"/>
      <c r="H998"/>
      <c r="K998"/>
    </row>
    <row r="999" spans="5:11" ht="12.75" customHeight="1" x14ac:dyDescent="0.2">
      <c r="E999" s="50"/>
      <c r="H999"/>
      <c r="K999"/>
    </row>
    <row r="1000" spans="5:11" ht="12.75" customHeight="1" x14ac:dyDescent="0.2">
      <c r="E1000" s="50"/>
      <c r="H1000"/>
      <c r="K1000"/>
    </row>
    <row r="1001" spans="5:11" ht="12.75" customHeight="1" x14ac:dyDescent="0.2">
      <c r="E1001" s="50"/>
      <c r="H1001"/>
      <c r="K1001"/>
    </row>
    <row r="1002" spans="5:11" ht="12.75" customHeight="1" x14ac:dyDescent="0.2">
      <c r="E1002" s="50"/>
      <c r="H1002"/>
      <c r="K1002"/>
    </row>
    <row r="1003" spans="5:11" ht="12.75" customHeight="1" x14ac:dyDescent="0.2">
      <c r="E1003" s="50"/>
      <c r="H1003"/>
      <c r="K1003"/>
    </row>
    <row r="1004" spans="5:11" ht="12.75" customHeight="1" x14ac:dyDescent="0.2">
      <c r="E1004" s="50"/>
      <c r="H1004"/>
      <c r="K1004"/>
    </row>
    <row r="1005" spans="5:11" ht="12.75" customHeight="1" x14ac:dyDescent="0.2">
      <c r="E1005" s="50"/>
      <c r="H1005"/>
      <c r="K1005"/>
    </row>
    <row r="1006" spans="5:11" ht="12.75" customHeight="1" x14ac:dyDescent="0.2">
      <c r="E1006" s="50"/>
      <c r="H1006"/>
      <c r="K1006"/>
    </row>
    <row r="1007" spans="5:11" ht="12.75" customHeight="1" x14ac:dyDescent="0.2">
      <c r="E1007" s="50"/>
      <c r="H1007"/>
      <c r="K1007"/>
    </row>
    <row r="1008" spans="5:11" ht="12.75" customHeight="1" x14ac:dyDescent="0.2">
      <c r="E1008" s="50"/>
      <c r="H1008"/>
      <c r="K1008"/>
    </row>
    <row r="1009" spans="5:11" ht="12.75" customHeight="1" x14ac:dyDescent="0.2">
      <c r="E1009" s="50"/>
      <c r="H1009"/>
      <c r="K1009"/>
    </row>
    <row r="1010" spans="5:11" ht="12.75" customHeight="1" x14ac:dyDescent="0.2">
      <c r="E1010" s="50"/>
      <c r="H1010"/>
      <c r="K1010"/>
    </row>
    <row r="1011" spans="5:11" ht="12.75" customHeight="1" x14ac:dyDescent="0.2">
      <c r="E1011" s="50"/>
      <c r="H1011"/>
      <c r="K1011"/>
    </row>
    <row r="1012" spans="5:11" ht="12.75" customHeight="1" x14ac:dyDescent="0.2">
      <c r="E1012" s="50"/>
      <c r="H1012"/>
      <c r="K1012"/>
    </row>
    <row r="1013" spans="5:11" ht="12.75" customHeight="1" x14ac:dyDescent="0.2">
      <c r="E1013" s="50"/>
      <c r="H1013"/>
      <c r="K1013"/>
    </row>
    <row r="1014" spans="5:11" ht="12.75" customHeight="1" x14ac:dyDescent="0.2">
      <c r="E1014" s="50"/>
      <c r="H1014"/>
      <c r="K1014"/>
    </row>
    <row r="1015" spans="5:11" ht="12.75" customHeight="1" x14ac:dyDescent="0.2">
      <c r="E1015" s="50"/>
      <c r="H1015"/>
      <c r="K1015"/>
    </row>
    <row r="1016" spans="5:11" ht="12.75" customHeight="1" x14ac:dyDescent="0.2">
      <c r="E1016" s="50"/>
      <c r="H1016"/>
      <c r="K1016"/>
    </row>
    <row r="1017" spans="5:11" ht="12.75" customHeight="1" x14ac:dyDescent="0.2">
      <c r="E1017" s="50"/>
      <c r="H1017"/>
      <c r="K1017"/>
    </row>
    <row r="1018" spans="5:11" ht="12.75" customHeight="1" x14ac:dyDescent="0.2">
      <c r="E1018" s="50"/>
      <c r="H1018"/>
      <c r="K1018"/>
    </row>
    <row r="1019" spans="5:11" ht="12.75" customHeight="1" x14ac:dyDescent="0.2">
      <c r="E1019" s="50"/>
      <c r="H1019"/>
      <c r="K1019"/>
    </row>
    <row r="1020" spans="5:11" ht="12.75" customHeight="1" x14ac:dyDescent="0.2">
      <c r="E1020" s="50"/>
      <c r="H1020"/>
      <c r="K1020"/>
    </row>
    <row r="1021" spans="5:11" ht="12.75" customHeight="1" x14ac:dyDescent="0.2">
      <c r="E1021" s="50"/>
      <c r="H1021"/>
      <c r="K1021"/>
    </row>
    <row r="1022" spans="5:11" ht="12.75" customHeight="1" x14ac:dyDescent="0.2">
      <c r="E1022" s="50"/>
      <c r="H1022"/>
      <c r="K1022"/>
    </row>
    <row r="1023" spans="5:11" ht="12.75" customHeight="1" x14ac:dyDescent="0.2">
      <c r="E1023" s="50"/>
      <c r="H1023"/>
      <c r="K1023"/>
    </row>
    <row r="1024" spans="5:11" ht="12.75" customHeight="1" x14ac:dyDescent="0.2">
      <c r="E1024" s="50"/>
      <c r="H1024"/>
      <c r="K1024"/>
    </row>
    <row r="1025" spans="5:11" ht="12.75" customHeight="1" x14ac:dyDescent="0.2">
      <c r="E1025" s="50"/>
      <c r="H1025"/>
      <c r="K1025"/>
    </row>
    <row r="1026" spans="5:11" ht="12.75" customHeight="1" x14ac:dyDescent="0.2">
      <c r="E1026" s="50"/>
      <c r="H1026"/>
      <c r="K1026"/>
    </row>
    <row r="1027" spans="5:11" ht="12.75" customHeight="1" x14ac:dyDescent="0.2">
      <c r="E1027" s="50"/>
      <c r="H1027"/>
      <c r="K1027"/>
    </row>
    <row r="1028" spans="5:11" ht="12.75" customHeight="1" x14ac:dyDescent="0.2">
      <c r="E1028" s="50"/>
      <c r="H1028"/>
      <c r="K1028"/>
    </row>
    <row r="1029" spans="5:11" ht="12.75" customHeight="1" x14ac:dyDescent="0.2">
      <c r="E1029" s="50"/>
      <c r="H1029"/>
      <c r="K1029"/>
    </row>
    <row r="1030" spans="5:11" ht="12.75" customHeight="1" x14ac:dyDescent="0.2">
      <c r="E1030" s="50"/>
      <c r="H1030"/>
      <c r="K1030"/>
    </row>
    <row r="1031" spans="5:11" ht="12.75" customHeight="1" x14ac:dyDescent="0.2">
      <c r="E1031" s="50"/>
      <c r="H1031"/>
      <c r="K1031"/>
    </row>
    <row r="1032" spans="5:11" ht="12.75" customHeight="1" x14ac:dyDescent="0.2">
      <c r="E1032" s="50"/>
      <c r="H1032"/>
      <c r="K1032"/>
    </row>
    <row r="1033" spans="5:11" ht="12.75" customHeight="1" x14ac:dyDescent="0.2">
      <c r="E1033" s="50"/>
      <c r="H1033"/>
      <c r="K1033"/>
    </row>
    <row r="1034" spans="5:11" ht="12.75" customHeight="1" x14ac:dyDescent="0.2">
      <c r="E1034" s="50"/>
      <c r="H1034"/>
      <c r="K1034"/>
    </row>
    <row r="1035" spans="5:11" ht="12.75" customHeight="1" x14ac:dyDescent="0.2">
      <c r="E1035" s="50"/>
      <c r="H1035"/>
      <c r="K1035"/>
    </row>
    <row r="1036" spans="5:11" ht="12.75" customHeight="1" x14ac:dyDescent="0.2">
      <c r="E1036" s="50"/>
      <c r="H1036"/>
      <c r="K1036"/>
    </row>
    <row r="1037" spans="5:11" ht="12.75" customHeight="1" x14ac:dyDescent="0.2">
      <c r="E1037" s="50"/>
      <c r="H1037"/>
      <c r="K1037"/>
    </row>
    <row r="1038" spans="5:11" ht="12.75" customHeight="1" x14ac:dyDescent="0.2">
      <c r="E1038" s="50"/>
      <c r="H1038"/>
      <c r="K1038"/>
    </row>
    <row r="1039" spans="5:11" ht="12.75" customHeight="1" x14ac:dyDescent="0.2">
      <c r="E1039" s="50"/>
      <c r="H1039"/>
      <c r="K1039"/>
    </row>
    <row r="1040" spans="5:11" ht="12.75" customHeight="1" x14ac:dyDescent="0.2">
      <c r="E1040" s="50"/>
      <c r="H1040"/>
      <c r="K1040"/>
    </row>
    <row r="1041" spans="5:11" ht="12.75" customHeight="1" x14ac:dyDescent="0.2">
      <c r="E1041" s="50"/>
      <c r="H1041"/>
      <c r="K1041"/>
    </row>
    <row r="1042" spans="5:11" ht="12.75" customHeight="1" x14ac:dyDescent="0.2">
      <c r="E1042" s="50"/>
      <c r="H1042"/>
      <c r="K1042"/>
    </row>
    <row r="1043" spans="5:11" ht="12.75" customHeight="1" x14ac:dyDescent="0.2">
      <c r="E1043" s="50"/>
      <c r="H1043"/>
      <c r="K1043"/>
    </row>
    <row r="1044" spans="5:11" ht="12.75" customHeight="1" x14ac:dyDescent="0.2">
      <c r="E1044" s="50"/>
      <c r="H1044"/>
      <c r="K1044"/>
    </row>
    <row r="1045" spans="5:11" ht="12.75" customHeight="1" x14ac:dyDescent="0.2">
      <c r="E1045" s="50"/>
      <c r="H1045"/>
      <c r="K1045"/>
    </row>
    <row r="1046" spans="5:11" ht="12.75" customHeight="1" x14ac:dyDescent="0.2">
      <c r="E1046" s="50"/>
      <c r="H1046"/>
      <c r="K1046"/>
    </row>
    <row r="1047" spans="5:11" ht="12.75" customHeight="1" x14ac:dyDescent="0.2">
      <c r="E1047" s="50"/>
      <c r="H1047"/>
      <c r="K1047"/>
    </row>
    <row r="1048" spans="5:11" ht="12.75" customHeight="1" x14ac:dyDescent="0.2">
      <c r="E1048" s="50"/>
      <c r="H1048"/>
      <c r="K1048"/>
    </row>
    <row r="1049" spans="5:11" ht="12.75" customHeight="1" x14ac:dyDescent="0.2">
      <c r="E1049" s="50"/>
      <c r="H1049"/>
      <c r="K1049"/>
    </row>
    <row r="1050" spans="5:11" ht="12.75" customHeight="1" x14ac:dyDescent="0.2">
      <c r="E1050" s="50"/>
      <c r="H1050"/>
      <c r="K1050"/>
    </row>
    <row r="1051" spans="5:11" ht="12.75" customHeight="1" x14ac:dyDescent="0.2">
      <c r="E1051" s="50"/>
      <c r="H1051"/>
      <c r="K1051"/>
    </row>
    <row r="1052" spans="5:11" ht="12.75" customHeight="1" x14ac:dyDescent="0.2">
      <c r="E1052" s="50"/>
      <c r="H1052"/>
      <c r="K1052"/>
    </row>
    <row r="1053" spans="5:11" ht="12.75" customHeight="1" x14ac:dyDescent="0.2">
      <c r="E1053" s="50"/>
      <c r="H1053"/>
      <c r="K1053"/>
    </row>
    <row r="1054" spans="5:11" ht="12.75" customHeight="1" x14ac:dyDescent="0.2">
      <c r="E1054" s="50"/>
      <c r="H1054"/>
      <c r="K1054"/>
    </row>
    <row r="1055" spans="5:11" ht="12.75" customHeight="1" x14ac:dyDescent="0.2">
      <c r="E1055" s="50"/>
      <c r="H1055"/>
      <c r="K1055"/>
    </row>
    <row r="1056" spans="5:11" ht="12.75" customHeight="1" x14ac:dyDescent="0.2">
      <c r="E1056" s="50"/>
      <c r="H1056"/>
      <c r="K1056"/>
    </row>
    <row r="1057" spans="5:11" ht="12.75" customHeight="1" x14ac:dyDescent="0.2">
      <c r="E1057" s="50"/>
      <c r="H1057"/>
      <c r="K1057"/>
    </row>
    <row r="1058" spans="5:11" ht="12.75" customHeight="1" x14ac:dyDescent="0.2">
      <c r="E1058" s="50"/>
      <c r="H1058"/>
      <c r="K1058"/>
    </row>
    <row r="1059" spans="5:11" ht="12.75" customHeight="1" x14ac:dyDescent="0.2">
      <c r="E1059" s="50"/>
      <c r="H1059"/>
      <c r="K1059"/>
    </row>
    <row r="1060" spans="5:11" ht="12.75" customHeight="1" x14ac:dyDescent="0.2">
      <c r="E1060" s="50"/>
      <c r="H1060"/>
      <c r="K1060"/>
    </row>
    <row r="1061" spans="5:11" ht="12.75" customHeight="1" x14ac:dyDescent="0.2">
      <c r="E1061" s="50"/>
      <c r="H1061"/>
      <c r="K1061"/>
    </row>
    <row r="1062" spans="5:11" ht="12.75" customHeight="1" x14ac:dyDescent="0.2">
      <c r="E1062" s="50"/>
      <c r="H1062"/>
      <c r="K1062"/>
    </row>
    <row r="1063" spans="5:11" ht="12.75" customHeight="1" x14ac:dyDescent="0.2">
      <c r="E1063" s="50"/>
      <c r="H1063"/>
      <c r="K1063"/>
    </row>
    <row r="1064" spans="5:11" ht="12.75" customHeight="1" x14ac:dyDescent="0.2">
      <c r="E1064" s="50"/>
      <c r="H1064"/>
      <c r="K1064"/>
    </row>
    <row r="1065" spans="5:11" ht="12.75" customHeight="1" x14ac:dyDescent="0.2">
      <c r="E1065" s="50"/>
      <c r="H1065"/>
      <c r="K1065"/>
    </row>
    <row r="1066" spans="5:11" ht="12.75" customHeight="1" x14ac:dyDescent="0.2">
      <c r="E1066" s="50"/>
      <c r="H1066"/>
      <c r="K1066"/>
    </row>
    <row r="1067" spans="5:11" ht="12.75" customHeight="1" x14ac:dyDescent="0.2">
      <c r="E1067" s="50"/>
      <c r="H1067"/>
      <c r="K1067"/>
    </row>
    <row r="1068" spans="5:11" ht="12.75" customHeight="1" x14ac:dyDescent="0.2">
      <c r="E1068" s="50"/>
      <c r="H1068"/>
      <c r="K1068"/>
    </row>
    <row r="1069" spans="5:11" ht="12.75" customHeight="1" x14ac:dyDescent="0.2">
      <c r="E1069" s="50"/>
      <c r="H1069"/>
      <c r="K1069"/>
    </row>
    <row r="1070" spans="5:11" ht="12.75" customHeight="1" x14ac:dyDescent="0.2">
      <c r="E1070" s="50"/>
      <c r="H1070"/>
      <c r="K1070"/>
    </row>
    <row r="1071" spans="5:11" ht="12.75" customHeight="1" x14ac:dyDescent="0.2">
      <c r="E1071" s="50"/>
      <c r="H1071"/>
      <c r="K1071"/>
    </row>
    <row r="1072" spans="5:11" ht="12.75" customHeight="1" x14ac:dyDescent="0.2">
      <c r="E1072" s="50"/>
      <c r="H1072"/>
      <c r="K1072"/>
    </row>
    <row r="1073" spans="5:11" ht="12.75" customHeight="1" x14ac:dyDescent="0.2">
      <c r="E1073" s="50"/>
      <c r="H1073"/>
      <c r="K1073"/>
    </row>
    <row r="1074" spans="5:11" ht="12.75" customHeight="1" x14ac:dyDescent="0.2">
      <c r="E1074" s="50"/>
      <c r="H1074"/>
      <c r="K1074"/>
    </row>
    <row r="1075" spans="5:11" ht="12.75" customHeight="1" x14ac:dyDescent="0.2">
      <c r="E1075" s="50"/>
      <c r="H1075"/>
      <c r="K1075"/>
    </row>
    <row r="1076" spans="5:11" ht="12.75" customHeight="1" x14ac:dyDescent="0.2">
      <c r="E1076" s="50"/>
      <c r="H1076"/>
      <c r="K1076"/>
    </row>
    <row r="1077" spans="5:11" ht="12.75" customHeight="1" x14ac:dyDescent="0.2">
      <c r="E1077" s="50"/>
      <c r="H1077"/>
      <c r="K1077"/>
    </row>
    <row r="1078" spans="5:11" ht="12.75" customHeight="1" x14ac:dyDescent="0.2">
      <c r="E1078" s="50"/>
      <c r="H1078"/>
      <c r="K1078"/>
    </row>
    <row r="1079" spans="5:11" ht="12.75" customHeight="1" x14ac:dyDescent="0.2">
      <c r="E1079" s="50"/>
      <c r="H1079"/>
      <c r="K1079"/>
    </row>
    <row r="1080" spans="5:11" ht="12.75" customHeight="1" x14ac:dyDescent="0.2">
      <c r="E1080" s="50"/>
      <c r="H1080"/>
      <c r="K1080"/>
    </row>
    <row r="1081" spans="5:11" ht="12.75" customHeight="1" x14ac:dyDescent="0.2">
      <c r="E1081" s="50"/>
      <c r="H1081"/>
      <c r="K1081"/>
    </row>
    <row r="1082" spans="5:11" ht="12.75" customHeight="1" x14ac:dyDescent="0.2">
      <c r="E1082" s="50"/>
      <c r="H1082"/>
      <c r="K1082"/>
    </row>
    <row r="1083" spans="5:11" ht="12.75" customHeight="1" x14ac:dyDescent="0.2">
      <c r="E1083" s="50"/>
      <c r="H1083"/>
      <c r="K1083"/>
    </row>
    <row r="1084" spans="5:11" ht="12.75" customHeight="1" x14ac:dyDescent="0.2">
      <c r="E1084" s="50"/>
      <c r="H1084"/>
      <c r="K1084"/>
    </row>
    <row r="1085" spans="5:11" ht="12.75" customHeight="1" x14ac:dyDescent="0.2">
      <c r="E1085" s="50"/>
      <c r="H1085"/>
      <c r="K1085"/>
    </row>
    <row r="1086" spans="5:11" ht="12.75" customHeight="1" x14ac:dyDescent="0.2">
      <c r="E1086" s="50"/>
      <c r="H1086"/>
      <c r="K1086"/>
    </row>
    <row r="1087" spans="5:11" ht="12.75" customHeight="1" x14ac:dyDescent="0.2">
      <c r="E1087" s="50"/>
      <c r="H1087"/>
      <c r="K1087"/>
    </row>
    <row r="1088" spans="5:11" ht="12.75" customHeight="1" x14ac:dyDescent="0.2">
      <c r="E1088" s="50"/>
      <c r="H1088"/>
      <c r="K1088"/>
    </row>
    <row r="1089" spans="5:11" ht="12.75" customHeight="1" x14ac:dyDescent="0.2">
      <c r="E1089" s="50"/>
      <c r="H1089"/>
      <c r="K1089"/>
    </row>
    <row r="1090" spans="5:11" ht="12.75" customHeight="1" x14ac:dyDescent="0.2">
      <c r="E1090" s="50"/>
      <c r="H1090"/>
      <c r="K1090"/>
    </row>
    <row r="1091" spans="5:11" ht="12.75" customHeight="1" x14ac:dyDescent="0.2">
      <c r="E1091" s="50"/>
      <c r="H1091"/>
      <c r="K1091"/>
    </row>
    <row r="1092" spans="5:11" ht="12.75" customHeight="1" x14ac:dyDescent="0.2">
      <c r="E1092" s="50"/>
      <c r="H1092"/>
      <c r="K1092"/>
    </row>
    <row r="1093" spans="5:11" ht="12.75" customHeight="1" x14ac:dyDescent="0.2">
      <c r="E1093" s="50"/>
      <c r="H1093"/>
      <c r="K1093"/>
    </row>
    <row r="1094" spans="5:11" ht="12.75" customHeight="1" x14ac:dyDescent="0.2">
      <c r="E1094" s="50"/>
      <c r="H1094"/>
      <c r="K1094"/>
    </row>
    <row r="1095" spans="5:11" ht="12.75" customHeight="1" x14ac:dyDescent="0.2">
      <c r="E1095" s="50"/>
      <c r="H1095"/>
      <c r="K1095"/>
    </row>
    <row r="1096" spans="5:11" ht="12.75" customHeight="1" x14ac:dyDescent="0.2">
      <c r="E1096" s="50"/>
      <c r="H1096"/>
      <c r="K1096"/>
    </row>
    <row r="1097" spans="5:11" ht="12.75" customHeight="1" x14ac:dyDescent="0.2">
      <c r="E1097" s="50"/>
      <c r="H1097"/>
      <c r="K1097"/>
    </row>
    <row r="1098" spans="5:11" ht="12.75" customHeight="1" x14ac:dyDescent="0.2">
      <c r="E1098" s="50"/>
      <c r="H1098"/>
      <c r="K1098"/>
    </row>
    <row r="1099" spans="5:11" ht="12.75" customHeight="1" x14ac:dyDescent="0.2">
      <c r="E1099" s="50"/>
      <c r="H1099"/>
      <c r="K1099"/>
    </row>
    <row r="1100" spans="5:11" ht="12.75" customHeight="1" x14ac:dyDescent="0.2">
      <c r="E1100" s="50"/>
      <c r="H1100"/>
      <c r="K1100"/>
    </row>
    <row r="1101" spans="5:11" ht="12.75" customHeight="1" x14ac:dyDescent="0.2">
      <c r="E1101" s="50"/>
      <c r="H1101"/>
      <c r="K1101"/>
    </row>
    <row r="1102" spans="5:11" ht="12.75" customHeight="1" x14ac:dyDescent="0.2">
      <c r="E1102" s="50"/>
      <c r="H1102"/>
      <c r="K1102"/>
    </row>
    <row r="1103" spans="5:11" ht="12.75" customHeight="1" x14ac:dyDescent="0.2">
      <c r="E1103" s="50"/>
      <c r="H1103"/>
      <c r="K1103"/>
    </row>
    <row r="1104" spans="5:11" ht="12.75" customHeight="1" x14ac:dyDescent="0.2">
      <c r="E1104" s="50"/>
      <c r="H1104"/>
      <c r="K1104"/>
    </row>
    <row r="1105" spans="5:11" ht="12.75" customHeight="1" x14ac:dyDescent="0.2">
      <c r="E1105" s="50"/>
      <c r="H1105"/>
      <c r="K1105"/>
    </row>
    <row r="1106" spans="5:11" ht="12.75" customHeight="1" x14ac:dyDescent="0.2">
      <c r="E1106" s="50"/>
      <c r="H1106"/>
      <c r="K1106"/>
    </row>
    <row r="1107" spans="5:11" ht="12.75" customHeight="1" x14ac:dyDescent="0.2">
      <c r="E1107" s="50"/>
      <c r="H1107"/>
      <c r="K1107"/>
    </row>
    <row r="1108" spans="5:11" ht="12.75" customHeight="1" x14ac:dyDescent="0.2">
      <c r="E1108" s="50"/>
      <c r="H1108"/>
      <c r="K1108"/>
    </row>
    <row r="1109" spans="5:11" ht="12.75" customHeight="1" x14ac:dyDescent="0.2">
      <c r="E1109" s="50"/>
      <c r="H1109"/>
      <c r="K1109"/>
    </row>
    <row r="1110" spans="5:11" ht="12.75" customHeight="1" x14ac:dyDescent="0.2">
      <c r="E1110" s="50"/>
      <c r="H1110"/>
      <c r="K1110"/>
    </row>
    <row r="1111" spans="5:11" ht="12.75" customHeight="1" x14ac:dyDescent="0.2">
      <c r="E1111" s="50"/>
      <c r="H1111"/>
      <c r="K1111"/>
    </row>
    <row r="1112" spans="5:11" ht="12.75" customHeight="1" x14ac:dyDescent="0.2">
      <c r="E1112" s="50"/>
      <c r="H1112"/>
      <c r="K1112"/>
    </row>
    <row r="1113" spans="5:11" ht="12.75" customHeight="1" x14ac:dyDescent="0.2">
      <c r="E1113" s="50"/>
      <c r="H1113"/>
      <c r="K1113"/>
    </row>
    <row r="1114" spans="5:11" ht="12.75" customHeight="1" x14ac:dyDescent="0.2">
      <c r="E1114" s="50"/>
      <c r="H1114"/>
      <c r="K1114"/>
    </row>
    <row r="1115" spans="5:11" ht="12.75" customHeight="1" x14ac:dyDescent="0.2">
      <c r="E1115" s="50"/>
      <c r="H1115"/>
      <c r="K1115"/>
    </row>
    <row r="1116" spans="5:11" ht="12.75" customHeight="1" x14ac:dyDescent="0.2">
      <c r="E1116" s="50"/>
      <c r="H1116"/>
      <c r="K1116"/>
    </row>
    <row r="1117" spans="5:11" ht="12.75" customHeight="1" x14ac:dyDescent="0.2">
      <c r="E1117" s="50"/>
      <c r="H1117"/>
      <c r="K1117"/>
    </row>
    <row r="1118" spans="5:11" ht="12.75" customHeight="1" x14ac:dyDescent="0.2">
      <c r="E1118" s="50"/>
      <c r="H1118"/>
      <c r="K1118"/>
    </row>
    <row r="1119" spans="5:11" ht="12.75" customHeight="1" x14ac:dyDescent="0.2">
      <c r="E1119" s="50"/>
      <c r="H1119"/>
      <c r="K1119"/>
    </row>
    <row r="1120" spans="5:11" ht="12.75" customHeight="1" x14ac:dyDescent="0.2">
      <c r="E1120" s="50"/>
      <c r="H1120"/>
      <c r="K1120"/>
    </row>
    <row r="1121" spans="5:11" ht="12.75" customHeight="1" x14ac:dyDescent="0.2">
      <c r="E1121" s="50"/>
      <c r="H1121"/>
      <c r="K1121"/>
    </row>
    <row r="1122" spans="5:11" ht="12.75" customHeight="1" x14ac:dyDescent="0.2">
      <c r="E1122" s="50"/>
      <c r="H1122"/>
      <c r="K1122"/>
    </row>
    <row r="1123" spans="5:11" ht="12.75" customHeight="1" x14ac:dyDescent="0.2">
      <c r="E1123" s="50"/>
      <c r="H1123"/>
      <c r="K1123"/>
    </row>
    <row r="1124" spans="5:11" ht="12.75" customHeight="1" x14ac:dyDescent="0.2">
      <c r="E1124" s="50"/>
      <c r="H1124"/>
      <c r="K1124"/>
    </row>
    <row r="1125" spans="5:11" ht="12.75" customHeight="1" x14ac:dyDescent="0.2">
      <c r="E1125" s="50"/>
      <c r="H1125"/>
      <c r="K1125"/>
    </row>
    <row r="1126" spans="5:11" ht="12.75" customHeight="1" x14ac:dyDescent="0.2">
      <c r="E1126" s="50"/>
      <c r="H1126"/>
      <c r="K1126"/>
    </row>
    <row r="1127" spans="5:11" ht="12.75" customHeight="1" x14ac:dyDescent="0.2">
      <c r="E1127" s="50"/>
      <c r="H1127"/>
      <c r="K1127"/>
    </row>
    <row r="1128" spans="5:11" ht="12.75" customHeight="1" x14ac:dyDescent="0.2">
      <c r="E1128" s="50"/>
      <c r="H1128"/>
      <c r="K1128"/>
    </row>
    <row r="1129" spans="5:11" ht="12.75" customHeight="1" x14ac:dyDescent="0.2">
      <c r="E1129" s="50"/>
      <c r="H1129"/>
      <c r="K1129"/>
    </row>
    <row r="1130" spans="5:11" ht="12.75" customHeight="1" x14ac:dyDescent="0.2">
      <c r="E1130" s="50"/>
      <c r="H1130"/>
      <c r="K1130"/>
    </row>
    <row r="1131" spans="5:11" ht="12.75" customHeight="1" x14ac:dyDescent="0.2">
      <c r="E1131" s="50"/>
      <c r="H1131"/>
      <c r="K1131"/>
    </row>
    <row r="1132" spans="5:11" ht="12.75" customHeight="1" x14ac:dyDescent="0.2">
      <c r="E1132" s="50"/>
      <c r="H1132"/>
      <c r="K1132"/>
    </row>
    <row r="1133" spans="5:11" ht="12.75" customHeight="1" x14ac:dyDescent="0.2">
      <c r="E1133" s="50"/>
      <c r="H1133"/>
      <c r="K1133"/>
    </row>
    <row r="1134" spans="5:11" ht="12.75" customHeight="1" x14ac:dyDescent="0.2">
      <c r="E1134" s="50"/>
      <c r="H1134"/>
      <c r="K1134"/>
    </row>
    <row r="1135" spans="5:11" ht="12.75" customHeight="1" x14ac:dyDescent="0.2">
      <c r="E1135" s="50"/>
      <c r="H1135"/>
      <c r="K1135"/>
    </row>
    <row r="1136" spans="5:11" ht="12.75" customHeight="1" x14ac:dyDescent="0.2">
      <c r="E1136" s="50"/>
      <c r="H1136"/>
      <c r="K1136"/>
    </row>
    <row r="1137" spans="5:11" ht="12.75" customHeight="1" x14ac:dyDescent="0.2">
      <c r="E1137" s="50"/>
      <c r="H1137"/>
      <c r="K1137"/>
    </row>
    <row r="1138" spans="5:11" ht="12.75" customHeight="1" x14ac:dyDescent="0.2">
      <c r="E1138" s="50"/>
      <c r="H1138"/>
      <c r="K1138"/>
    </row>
    <row r="1139" spans="5:11" ht="12.75" customHeight="1" x14ac:dyDescent="0.2">
      <c r="E1139" s="50"/>
      <c r="H1139"/>
      <c r="K1139"/>
    </row>
    <row r="1140" spans="5:11" ht="12.75" customHeight="1" x14ac:dyDescent="0.2">
      <c r="E1140" s="50"/>
      <c r="H1140"/>
      <c r="K1140"/>
    </row>
    <row r="1141" spans="5:11" ht="12.75" customHeight="1" x14ac:dyDescent="0.2">
      <c r="E1141" s="50"/>
      <c r="H1141"/>
      <c r="K1141"/>
    </row>
    <row r="1142" spans="5:11" ht="12.75" customHeight="1" x14ac:dyDescent="0.2">
      <c r="E1142" s="50"/>
      <c r="H1142"/>
      <c r="K1142"/>
    </row>
    <row r="1143" spans="5:11" ht="12.75" customHeight="1" x14ac:dyDescent="0.2">
      <c r="E1143" s="50"/>
      <c r="H1143"/>
      <c r="K1143"/>
    </row>
    <row r="1144" spans="5:11" ht="12.75" customHeight="1" x14ac:dyDescent="0.2">
      <c r="E1144" s="50"/>
      <c r="H1144"/>
      <c r="K1144"/>
    </row>
    <row r="1145" spans="5:11" ht="12.75" customHeight="1" x14ac:dyDescent="0.2">
      <c r="E1145" s="50"/>
      <c r="H1145"/>
      <c r="K1145"/>
    </row>
    <row r="1146" spans="5:11" ht="12.75" customHeight="1" x14ac:dyDescent="0.2">
      <c r="E1146" s="50"/>
      <c r="H1146"/>
      <c r="K1146"/>
    </row>
    <row r="1147" spans="5:11" ht="12.75" customHeight="1" x14ac:dyDescent="0.2">
      <c r="E1147" s="50"/>
      <c r="H1147"/>
      <c r="K1147"/>
    </row>
    <row r="1148" spans="5:11" ht="12.75" customHeight="1" x14ac:dyDescent="0.2">
      <c r="E1148" s="50"/>
      <c r="H1148"/>
      <c r="K1148"/>
    </row>
    <row r="1149" spans="5:11" ht="12.75" customHeight="1" x14ac:dyDescent="0.2">
      <c r="E1149" s="50"/>
      <c r="H1149"/>
      <c r="K1149"/>
    </row>
    <row r="1150" spans="5:11" ht="12.75" customHeight="1" x14ac:dyDescent="0.2">
      <c r="E1150" s="50"/>
      <c r="H1150"/>
      <c r="K1150"/>
    </row>
    <row r="1151" spans="5:11" ht="12.75" customHeight="1" x14ac:dyDescent="0.2">
      <c r="E1151" s="50"/>
      <c r="H1151"/>
      <c r="K1151"/>
    </row>
    <row r="1152" spans="5:11" ht="12.75" customHeight="1" x14ac:dyDescent="0.2">
      <c r="E1152" s="50"/>
      <c r="H1152"/>
      <c r="K1152"/>
    </row>
    <row r="1153" spans="5:11" ht="12.75" customHeight="1" x14ac:dyDescent="0.2">
      <c r="E1153" s="50"/>
      <c r="H1153"/>
      <c r="K1153"/>
    </row>
    <row r="1154" spans="5:11" ht="12.75" customHeight="1" x14ac:dyDescent="0.2">
      <c r="E1154" s="50"/>
      <c r="H1154"/>
      <c r="K1154"/>
    </row>
    <row r="1155" spans="5:11" ht="12.75" customHeight="1" x14ac:dyDescent="0.2">
      <c r="E1155" s="50"/>
      <c r="H1155"/>
      <c r="K1155"/>
    </row>
    <row r="1156" spans="5:11" ht="12.75" customHeight="1" x14ac:dyDescent="0.2">
      <c r="E1156" s="50"/>
      <c r="H1156"/>
      <c r="K1156"/>
    </row>
    <row r="1157" spans="5:11" ht="12.75" customHeight="1" x14ac:dyDescent="0.2">
      <c r="E1157" s="50"/>
      <c r="H1157"/>
      <c r="K1157"/>
    </row>
    <row r="1158" spans="5:11" ht="12.75" customHeight="1" x14ac:dyDescent="0.2">
      <c r="E1158" s="50"/>
      <c r="H1158"/>
      <c r="K1158"/>
    </row>
    <row r="1159" spans="5:11" ht="12.75" customHeight="1" x14ac:dyDescent="0.2">
      <c r="E1159" s="50"/>
      <c r="H1159"/>
      <c r="K1159"/>
    </row>
    <row r="1160" spans="5:11" ht="12.75" customHeight="1" x14ac:dyDescent="0.2">
      <c r="E1160" s="50"/>
      <c r="H1160"/>
      <c r="K1160"/>
    </row>
    <row r="1161" spans="5:11" ht="12.75" customHeight="1" x14ac:dyDescent="0.2">
      <c r="E1161" s="50"/>
      <c r="H1161"/>
      <c r="K1161"/>
    </row>
    <row r="1162" spans="5:11" ht="12.75" customHeight="1" x14ac:dyDescent="0.2">
      <c r="E1162" s="50"/>
      <c r="H1162"/>
      <c r="K1162"/>
    </row>
    <row r="1163" spans="5:11" ht="12.75" customHeight="1" x14ac:dyDescent="0.2">
      <c r="E1163" s="50"/>
      <c r="H1163"/>
      <c r="K1163"/>
    </row>
    <row r="1164" spans="5:11" ht="12.75" customHeight="1" x14ac:dyDescent="0.2">
      <c r="E1164" s="50"/>
      <c r="H1164"/>
      <c r="K1164"/>
    </row>
    <row r="1165" spans="5:11" ht="12.75" customHeight="1" x14ac:dyDescent="0.2">
      <c r="E1165" s="50"/>
      <c r="H1165"/>
      <c r="K1165"/>
    </row>
    <row r="1166" spans="5:11" ht="12.75" customHeight="1" x14ac:dyDescent="0.2">
      <c r="E1166" s="50"/>
      <c r="H1166"/>
      <c r="K1166"/>
    </row>
    <row r="1167" spans="5:11" ht="12.75" customHeight="1" x14ac:dyDescent="0.2">
      <c r="E1167" s="50"/>
      <c r="H1167"/>
      <c r="K1167"/>
    </row>
    <row r="1168" spans="5:11" ht="12.75" customHeight="1" x14ac:dyDescent="0.2">
      <c r="E1168" s="50"/>
      <c r="H1168"/>
      <c r="K1168"/>
    </row>
    <row r="1169" spans="5:11" ht="12.75" customHeight="1" x14ac:dyDescent="0.2">
      <c r="E1169" s="50"/>
      <c r="H1169"/>
      <c r="K1169"/>
    </row>
    <row r="1170" spans="5:11" ht="12.75" customHeight="1" x14ac:dyDescent="0.2">
      <c r="E1170" s="50"/>
      <c r="H1170"/>
      <c r="K1170"/>
    </row>
    <row r="1171" spans="5:11" ht="12.75" customHeight="1" x14ac:dyDescent="0.2">
      <c r="E1171" s="50"/>
      <c r="H1171"/>
      <c r="K1171"/>
    </row>
    <row r="1172" spans="5:11" ht="12.75" customHeight="1" x14ac:dyDescent="0.2">
      <c r="E1172" s="50"/>
      <c r="H1172"/>
      <c r="K1172"/>
    </row>
    <row r="1173" spans="5:11" ht="12.75" customHeight="1" x14ac:dyDescent="0.2">
      <c r="E1173" s="50"/>
      <c r="H1173"/>
      <c r="K1173"/>
    </row>
    <row r="1174" spans="5:11" ht="12.75" customHeight="1" x14ac:dyDescent="0.2">
      <c r="E1174" s="50"/>
      <c r="H1174"/>
      <c r="K1174"/>
    </row>
    <row r="1175" spans="5:11" ht="12.75" customHeight="1" x14ac:dyDescent="0.2">
      <c r="E1175" s="50"/>
      <c r="H1175"/>
      <c r="K1175"/>
    </row>
    <row r="1176" spans="5:11" ht="12.75" customHeight="1" x14ac:dyDescent="0.2">
      <c r="E1176" s="50"/>
      <c r="H1176"/>
      <c r="K1176"/>
    </row>
    <row r="1177" spans="5:11" ht="12.75" customHeight="1" x14ac:dyDescent="0.2">
      <c r="E1177" s="50"/>
      <c r="H1177"/>
      <c r="K1177"/>
    </row>
    <row r="1178" spans="5:11" ht="12.75" customHeight="1" x14ac:dyDescent="0.2">
      <c r="E1178" s="50"/>
      <c r="H1178"/>
      <c r="K1178"/>
    </row>
    <row r="1179" spans="5:11" ht="12.75" customHeight="1" x14ac:dyDescent="0.2">
      <c r="E1179" s="50"/>
      <c r="H1179"/>
      <c r="K1179"/>
    </row>
    <row r="1180" spans="5:11" ht="12.75" customHeight="1" x14ac:dyDescent="0.2">
      <c r="E1180" s="50"/>
      <c r="H1180"/>
      <c r="K1180"/>
    </row>
    <row r="1181" spans="5:11" ht="12.75" customHeight="1" x14ac:dyDescent="0.2">
      <c r="E1181" s="50"/>
      <c r="H1181"/>
      <c r="K1181"/>
    </row>
    <row r="1182" spans="5:11" ht="12.75" customHeight="1" x14ac:dyDescent="0.2">
      <c r="E1182" s="50"/>
      <c r="H1182"/>
      <c r="K1182"/>
    </row>
    <row r="1183" spans="5:11" ht="12.75" customHeight="1" x14ac:dyDescent="0.2">
      <c r="E1183" s="50"/>
      <c r="H1183"/>
      <c r="K1183"/>
    </row>
    <row r="1184" spans="5:11" ht="12.75" customHeight="1" x14ac:dyDescent="0.2">
      <c r="E1184" s="50"/>
      <c r="H1184"/>
      <c r="K1184"/>
    </row>
    <row r="1185" spans="5:11" ht="12.75" customHeight="1" x14ac:dyDescent="0.2">
      <c r="E1185" s="50"/>
      <c r="H1185"/>
      <c r="K1185"/>
    </row>
    <row r="1186" spans="5:11" ht="12.75" customHeight="1" x14ac:dyDescent="0.2">
      <c r="E1186" s="50"/>
      <c r="H1186"/>
      <c r="K1186"/>
    </row>
    <row r="1187" spans="5:11" ht="12.75" customHeight="1" x14ac:dyDescent="0.2">
      <c r="E1187" s="50"/>
      <c r="H1187"/>
      <c r="K1187"/>
    </row>
    <row r="1188" spans="5:11" ht="12.75" customHeight="1" x14ac:dyDescent="0.2">
      <c r="E1188" s="50"/>
      <c r="H1188"/>
      <c r="K1188"/>
    </row>
    <row r="1189" spans="5:11" ht="12.75" customHeight="1" x14ac:dyDescent="0.2">
      <c r="E1189" s="50"/>
      <c r="H1189"/>
      <c r="K1189"/>
    </row>
    <row r="1190" spans="5:11" ht="12.75" customHeight="1" x14ac:dyDescent="0.2">
      <c r="E1190" s="50"/>
      <c r="H1190"/>
      <c r="K1190"/>
    </row>
    <row r="1191" spans="5:11" ht="12.75" customHeight="1" x14ac:dyDescent="0.2">
      <c r="E1191" s="50"/>
      <c r="H1191"/>
      <c r="K1191"/>
    </row>
    <row r="1192" spans="5:11" ht="12.75" customHeight="1" x14ac:dyDescent="0.2">
      <c r="E1192" s="50"/>
      <c r="H1192"/>
      <c r="K1192"/>
    </row>
    <row r="1193" spans="5:11" ht="12.75" customHeight="1" x14ac:dyDescent="0.2">
      <c r="E1193" s="50"/>
      <c r="H1193"/>
      <c r="K1193"/>
    </row>
    <row r="1194" spans="5:11" ht="12.75" customHeight="1" x14ac:dyDescent="0.2">
      <c r="E1194" s="50"/>
      <c r="H1194"/>
      <c r="K1194"/>
    </row>
    <row r="1195" spans="5:11" ht="12.75" customHeight="1" x14ac:dyDescent="0.2">
      <c r="E1195" s="50"/>
      <c r="H1195"/>
      <c r="K1195"/>
    </row>
    <row r="1196" spans="5:11" ht="12.75" customHeight="1" x14ac:dyDescent="0.2">
      <c r="E1196" s="50"/>
      <c r="H1196"/>
      <c r="K1196"/>
    </row>
    <row r="1197" spans="5:11" ht="12.75" customHeight="1" x14ac:dyDescent="0.2">
      <c r="E1197" s="50"/>
      <c r="H1197"/>
      <c r="K1197"/>
    </row>
    <row r="1198" spans="5:11" ht="12.75" customHeight="1" x14ac:dyDescent="0.2">
      <c r="E1198" s="50"/>
      <c r="H1198"/>
      <c r="K1198"/>
    </row>
    <row r="1199" spans="5:11" ht="12.75" customHeight="1" x14ac:dyDescent="0.2">
      <c r="E1199" s="50"/>
      <c r="H1199"/>
      <c r="K1199"/>
    </row>
    <row r="1200" spans="5:11" ht="12.75" customHeight="1" x14ac:dyDescent="0.2">
      <c r="E1200" s="50"/>
      <c r="H1200"/>
      <c r="K1200"/>
    </row>
    <row r="1201" spans="5:11" ht="12.75" customHeight="1" x14ac:dyDescent="0.2">
      <c r="E1201" s="50"/>
      <c r="H1201"/>
      <c r="K1201"/>
    </row>
    <row r="1202" spans="5:11" ht="12.75" customHeight="1" x14ac:dyDescent="0.2">
      <c r="E1202" s="50"/>
      <c r="H1202"/>
      <c r="K1202"/>
    </row>
    <row r="1203" spans="5:11" ht="12.75" customHeight="1" x14ac:dyDescent="0.2">
      <c r="E1203" s="50"/>
      <c r="H1203"/>
      <c r="K1203"/>
    </row>
    <row r="1204" spans="5:11" ht="12.75" customHeight="1" x14ac:dyDescent="0.2">
      <c r="E1204" s="50"/>
      <c r="H1204"/>
      <c r="K1204"/>
    </row>
    <row r="1205" spans="5:11" ht="12.75" customHeight="1" x14ac:dyDescent="0.2">
      <c r="E1205" s="50"/>
      <c r="H1205"/>
      <c r="K1205"/>
    </row>
    <row r="1206" spans="5:11" ht="12.75" customHeight="1" x14ac:dyDescent="0.2">
      <c r="E1206" s="50"/>
      <c r="H1206"/>
      <c r="K1206"/>
    </row>
    <row r="1207" spans="5:11" ht="12.75" customHeight="1" x14ac:dyDescent="0.2">
      <c r="E1207" s="50"/>
      <c r="H1207"/>
      <c r="K1207"/>
    </row>
    <row r="1208" spans="5:11" ht="12.75" customHeight="1" x14ac:dyDescent="0.2">
      <c r="E1208" s="50"/>
      <c r="H1208"/>
      <c r="K1208"/>
    </row>
    <row r="1209" spans="5:11" ht="12.75" customHeight="1" x14ac:dyDescent="0.2">
      <c r="E1209" s="50"/>
      <c r="H1209"/>
      <c r="K1209"/>
    </row>
    <row r="1210" spans="5:11" ht="12.75" customHeight="1" x14ac:dyDescent="0.2">
      <c r="E1210" s="50"/>
      <c r="H1210"/>
      <c r="K1210"/>
    </row>
    <row r="1211" spans="5:11" ht="12.75" customHeight="1" x14ac:dyDescent="0.2">
      <c r="E1211" s="50"/>
      <c r="H1211"/>
      <c r="K1211"/>
    </row>
    <row r="1212" spans="5:11" ht="12.75" customHeight="1" x14ac:dyDescent="0.2">
      <c r="E1212" s="50"/>
      <c r="H1212"/>
      <c r="K1212"/>
    </row>
    <row r="1213" spans="5:11" ht="12.75" customHeight="1" x14ac:dyDescent="0.2">
      <c r="E1213" s="50"/>
      <c r="H1213"/>
      <c r="K1213"/>
    </row>
    <row r="1214" spans="5:11" ht="12.75" customHeight="1" x14ac:dyDescent="0.2">
      <c r="E1214" s="50"/>
      <c r="H1214"/>
      <c r="K1214"/>
    </row>
    <row r="1215" spans="5:11" ht="12.75" customHeight="1" x14ac:dyDescent="0.2">
      <c r="E1215" s="50"/>
      <c r="H1215"/>
      <c r="K1215"/>
    </row>
    <row r="1216" spans="5:11" ht="12.75" customHeight="1" x14ac:dyDescent="0.2">
      <c r="E1216" s="50"/>
      <c r="H1216"/>
      <c r="K1216"/>
    </row>
    <row r="1217" spans="5:11" ht="14.25" customHeight="1" x14ac:dyDescent="0.2">
      <c r="E1217" s="50"/>
      <c r="H1217"/>
      <c r="K1217"/>
    </row>
    <row r="1218" spans="5:11" ht="13.5" customHeight="1" x14ac:dyDescent="0.2">
      <c r="E1218" s="50"/>
      <c r="H1218"/>
      <c r="K1218"/>
    </row>
    <row r="1219" spans="5:11" ht="13.5" customHeight="1" x14ac:dyDescent="0.2">
      <c r="E1219" s="50"/>
      <c r="H1219"/>
      <c r="K1219"/>
    </row>
    <row r="1220" spans="5:11" ht="13.5" customHeight="1" x14ac:dyDescent="0.2">
      <c r="E1220" s="50"/>
      <c r="H1220"/>
      <c r="K1220"/>
    </row>
    <row r="1221" spans="5:11" ht="13.5" customHeight="1" x14ac:dyDescent="0.2">
      <c r="E1221" s="50"/>
      <c r="H1221"/>
      <c r="K1221"/>
    </row>
    <row r="1222" spans="5:11" ht="13.5" customHeight="1" x14ac:dyDescent="0.2">
      <c r="E1222" s="50"/>
      <c r="H1222"/>
      <c r="K1222"/>
    </row>
    <row r="1223" spans="5:11" ht="13.5" customHeight="1" x14ac:dyDescent="0.2">
      <c r="E1223" s="50"/>
      <c r="H1223"/>
      <c r="K1223"/>
    </row>
    <row r="1224" spans="5:11" ht="13.5" customHeight="1" x14ac:dyDescent="0.2">
      <c r="E1224" s="50"/>
      <c r="H1224"/>
      <c r="K1224"/>
    </row>
    <row r="1225" spans="5:11" ht="13.5" customHeight="1" x14ac:dyDescent="0.2">
      <c r="E1225" s="50"/>
      <c r="H1225"/>
      <c r="K1225"/>
    </row>
    <row r="1226" spans="5:11" ht="13.5" customHeight="1" x14ac:dyDescent="0.2">
      <c r="E1226" s="50"/>
      <c r="H1226"/>
      <c r="K1226"/>
    </row>
    <row r="1227" spans="5:11" ht="13.5" customHeight="1" x14ac:dyDescent="0.2">
      <c r="E1227" s="50"/>
      <c r="H1227"/>
      <c r="K1227"/>
    </row>
    <row r="1228" spans="5:11" ht="13.5" customHeight="1" x14ac:dyDescent="0.2">
      <c r="E1228" s="50"/>
      <c r="H1228"/>
      <c r="K1228"/>
    </row>
    <row r="1229" spans="5:11" ht="13.5" customHeight="1" x14ac:dyDescent="0.2">
      <c r="E1229" s="50"/>
      <c r="H1229"/>
      <c r="K1229"/>
    </row>
    <row r="1230" spans="5:11" ht="13.5" customHeight="1" x14ac:dyDescent="0.2">
      <c r="E1230" s="50"/>
      <c r="H1230"/>
      <c r="K1230"/>
    </row>
    <row r="1231" spans="5:11" ht="13.5" customHeight="1" x14ac:dyDescent="0.2">
      <c r="E1231" s="50"/>
      <c r="H1231"/>
      <c r="K1231"/>
    </row>
    <row r="1232" spans="5:11" ht="13.5" customHeight="1" x14ac:dyDescent="0.2">
      <c r="E1232" s="50"/>
      <c r="H1232"/>
      <c r="K1232"/>
    </row>
    <row r="1233" spans="5:11" ht="13.5" customHeight="1" x14ac:dyDescent="0.2">
      <c r="E1233" s="50"/>
      <c r="H1233"/>
      <c r="K1233"/>
    </row>
    <row r="1234" spans="5:11" ht="13.5" customHeight="1" x14ac:dyDescent="0.2">
      <c r="E1234" s="50"/>
      <c r="H1234"/>
      <c r="K1234"/>
    </row>
    <row r="1235" spans="5:11" ht="13.5" customHeight="1" x14ac:dyDescent="0.2">
      <c r="E1235" s="50"/>
      <c r="H1235"/>
      <c r="K1235"/>
    </row>
    <row r="1236" spans="5:11" ht="13.5" customHeight="1" x14ac:dyDescent="0.2">
      <c r="E1236" s="50"/>
      <c r="H1236"/>
      <c r="K1236"/>
    </row>
    <row r="1237" spans="5:11" ht="13.5" customHeight="1" x14ac:dyDescent="0.2">
      <c r="E1237" s="50"/>
      <c r="H1237"/>
      <c r="K1237"/>
    </row>
    <row r="1238" spans="5:11" ht="13.5" customHeight="1" x14ac:dyDescent="0.2">
      <c r="E1238" s="50"/>
      <c r="H1238"/>
      <c r="K1238"/>
    </row>
    <row r="1239" spans="5:11" ht="13.5" customHeight="1" x14ac:dyDescent="0.2">
      <c r="E1239" s="50"/>
      <c r="H1239"/>
      <c r="K1239"/>
    </row>
    <row r="1240" spans="5:11" ht="13.5" customHeight="1" x14ac:dyDescent="0.2">
      <c r="E1240" s="50"/>
      <c r="H1240"/>
      <c r="K1240"/>
    </row>
    <row r="1241" spans="5:11" ht="13.5" customHeight="1" x14ac:dyDescent="0.2">
      <c r="E1241" s="50"/>
      <c r="H1241"/>
      <c r="K1241"/>
    </row>
    <row r="1242" spans="5:11" ht="13.5" customHeight="1" x14ac:dyDescent="0.2">
      <c r="E1242" s="50"/>
      <c r="H1242"/>
      <c r="K1242"/>
    </row>
    <row r="1243" spans="5:11" ht="13.5" customHeight="1" x14ac:dyDescent="0.2">
      <c r="E1243" s="50"/>
      <c r="H1243"/>
      <c r="K1243"/>
    </row>
    <row r="1244" spans="5:11" ht="13.5" customHeight="1" x14ac:dyDescent="0.2">
      <c r="E1244" s="50"/>
      <c r="H1244"/>
      <c r="K1244"/>
    </row>
    <row r="1245" spans="5:11" ht="13.5" customHeight="1" x14ac:dyDescent="0.2">
      <c r="E1245" s="50"/>
      <c r="H1245"/>
      <c r="K1245"/>
    </row>
    <row r="1246" spans="5:11" ht="13.5" customHeight="1" x14ac:dyDescent="0.2">
      <c r="E1246" s="50"/>
      <c r="H1246"/>
      <c r="K1246"/>
    </row>
    <row r="1247" spans="5:11" ht="13.5" customHeight="1" x14ac:dyDescent="0.2">
      <c r="E1247" s="50"/>
      <c r="H1247"/>
      <c r="K1247"/>
    </row>
    <row r="1248" spans="5:11" ht="13.5" customHeight="1" x14ac:dyDescent="0.2">
      <c r="E1248" s="50"/>
      <c r="H1248"/>
      <c r="K1248"/>
    </row>
    <row r="1249" spans="5:11" ht="13.5" customHeight="1" x14ac:dyDescent="0.2">
      <c r="E1249" s="50"/>
      <c r="H1249"/>
      <c r="K1249"/>
    </row>
    <row r="1250" spans="5:11" ht="13.5" customHeight="1" x14ac:dyDescent="0.2">
      <c r="E1250" s="50"/>
      <c r="H1250"/>
      <c r="K1250"/>
    </row>
    <row r="1251" spans="5:11" ht="13.5" customHeight="1" x14ac:dyDescent="0.2">
      <c r="E1251" s="50"/>
      <c r="H1251"/>
      <c r="K1251"/>
    </row>
    <row r="1252" spans="5:11" ht="13.5" customHeight="1" x14ac:dyDescent="0.2">
      <c r="E1252" s="50"/>
      <c r="H1252"/>
      <c r="K1252"/>
    </row>
    <row r="1253" spans="5:11" ht="13.5" customHeight="1" x14ac:dyDescent="0.2">
      <c r="E1253" s="50"/>
      <c r="H1253"/>
      <c r="K1253"/>
    </row>
    <row r="1254" spans="5:11" ht="13.5" customHeight="1" x14ac:dyDescent="0.2">
      <c r="E1254" s="50"/>
      <c r="H1254"/>
      <c r="K1254"/>
    </row>
    <row r="1255" spans="5:11" ht="13.5" customHeight="1" x14ac:dyDescent="0.2">
      <c r="E1255" s="50"/>
      <c r="H1255"/>
      <c r="K1255"/>
    </row>
    <row r="1256" spans="5:11" ht="13.5" customHeight="1" x14ac:dyDescent="0.2">
      <c r="E1256" s="50"/>
      <c r="H1256"/>
      <c r="K1256"/>
    </row>
    <row r="1257" spans="5:11" ht="13.5" customHeight="1" x14ac:dyDescent="0.2">
      <c r="E1257" s="50"/>
      <c r="H1257"/>
      <c r="K1257"/>
    </row>
    <row r="1258" spans="5:11" ht="13.5" customHeight="1" x14ac:dyDescent="0.2">
      <c r="E1258" s="50"/>
      <c r="H1258"/>
      <c r="K1258"/>
    </row>
    <row r="1259" spans="5:11" ht="13.5" customHeight="1" x14ac:dyDescent="0.2">
      <c r="E1259" s="50"/>
      <c r="H1259"/>
      <c r="K1259"/>
    </row>
    <row r="1260" spans="5:11" ht="13.5" customHeight="1" x14ac:dyDescent="0.2">
      <c r="E1260" s="50"/>
      <c r="H1260"/>
      <c r="K1260"/>
    </row>
    <row r="1261" spans="5:11" ht="13.5" customHeight="1" x14ac:dyDescent="0.2">
      <c r="E1261" s="50"/>
      <c r="H1261"/>
      <c r="K1261"/>
    </row>
    <row r="1262" spans="5:11" ht="13.5" customHeight="1" x14ac:dyDescent="0.2">
      <c r="E1262" s="50"/>
      <c r="H1262"/>
      <c r="K1262"/>
    </row>
    <row r="1263" spans="5:11" ht="13.5" customHeight="1" x14ac:dyDescent="0.2">
      <c r="E1263" s="50"/>
      <c r="H1263"/>
      <c r="K1263"/>
    </row>
    <row r="1264" spans="5:11" ht="13.5" customHeight="1" x14ac:dyDescent="0.2">
      <c r="E1264" s="50"/>
      <c r="H1264"/>
      <c r="K1264"/>
    </row>
    <row r="1265" spans="5:11" ht="13.5" customHeight="1" x14ac:dyDescent="0.2">
      <c r="E1265" s="50"/>
      <c r="H1265"/>
      <c r="K1265"/>
    </row>
    <row r="1266" spans="5:11" ht="13.5" customHeight="1" x14ac:dyDescent="0.2">
      <c r="E1266" s="50"/>
      <c r="H1266"/>
      <c r="K1266"/>
    </row>
    <row r="1267" spans="5:11" ht="13.5" customHeight="1" x14ac:dyDescent="0.2">
      <c r="E1267" s="50"/>
      <c r="H1267"/>
      <c r="K1267"/>
    </row>
    <row r="1268" spans="5:11" ht="13.5" customHeight="1" x14ac:dyDescent="0.2">
      <c r="E1268" s="50"/>
      <c r="H1268"/>
      <c r="K1268"/>
    </row>
    <row r="1269" spans="5:11" ht="13.5" customHeight="1" x14ac:dyDescent="0.2">
      <c r="E1269" s="50"/>
      <c r="H1269"/>
      <c r="K1269"/>
    </row>
    <row r="1270" spans="5:11" ht="13.5" customHeight="1" x14ac:dyDescent="0.2">
      <c r="E1270" s="50"/>
      <c r="H1270"/>
      <c r="K1270"/>
    </row>
    <row r="1271" spans="5:11" ht="13.5" customHeight="1" x14ac:dyDescent="0.2">
      <c r="E1271" s="50"/>
      <c r="H1271"/>
      <c r="K1271"/>
    </row>
    <row r="1272" spans="5:11" ht="13.5" customHeight="1" x14ac:dyDescent="0.2">
      <c r="E1272" s="50"/>
      <c r="H1272"/>
      <c r="K1272"/>
    </row>
    <row r="1273" spans="5:11" ht="13.5" customHeight="1" x14ac:dyDescent="0.2">
      <c r="E1273" s="50"/>
      <c r="H1273"/>
      <c r="K1273"/>
    </row>
    <row r="1274" spans="5:11" ht="13.5" customHeight="1" x14ac:dyDescent="0.2">
      <c r="E1274" s="50"/>
      <c r="H1274"/>
      <c r="K1274"/>
    </row>
    <row r="1275" spans="5:11" x14ac:dyDescent="0.2">
      <c r="E1275" s="50"/>
      <c r="H1275"/>
      <c r="K1275"/>
    </row>
    <row r="1276" spans="5:11" x14ac:dyDescent="0.2">
      <c r="E1276" s="50"/>
      <c r="H1276"/>
      <c r="K1276"/>
    </row>
    <row r="1277" spans="5:11" x14ac:dyDescent="0.2">
      <c r="E1277" s="50"/>
      <c r="H1277"/>
      <c r="K1277"/>
    </row>
    <row r="1278" spans="5:11" x14ac:dyDescent="0.2">
      <c r="E1278" s="50"/>
      <c r="H1278"/>
      <c r="K1278"/>
    </row>
    <row r="1279" spans="5:11" x14ac:dyDescent="0.2">
      <c r="E1279" s="50"/>
      <c r="H1279"/>
      <c r="K1279"/>
    </row>
    <row r="1280" spans="5:11" x14ac:dyDescent="0.2">
      <c r="E1280" s="50"/>
      <c r="H1280"/>
      <c r="K1280"/>
    </row>
    <row r="1281" spans="5:11" x14ac:dyDescent="0.2">
      <c r="E1281" s="50"/>
      <c r="H1281"/>
      <c r="K1281"/>
    </row>
    <row r="1282" spans="5:11" x14ac:dyDescent="0.2">
      <c r="E1282" s="50"/>
      <c r="H1282"/>
      <c r="K1282"/>
    </row>
    <row r="1283" spans="5:11" x14ac:dyDescent="0.2">
      <c r="E1283" s="50"/>
      <c r="H1283"/>
      <c r="K1283"/>
    </row>
    <row r="1284" spans="5:11" x14ac:dyDescent="0.2">
      <c r="E1284" s="50"/>
      <c r="H1284"/>
      <c r="K1284"/>
    </row>
    <row r="1285" spans="5:11" x14ac:dyDescent="0.2">
      <c r="E1285" s="50"/>
      <c r="H1285"/>
      <c r="K1285"/>
    </row>
    <row r="1286" spans="5:11" x14ac:dyDescent="0.2">
      <c r="E1286" s="50"/>
      <c r="H1286"/>
      <c r="K1286"/>
    </row>
    <row r="1287" spans="5:11" x14ac:dyDescent="0.2">
      <c r="E1287" s="50"/>
      <c r="H1287"/>
      <c r="K1287"/>
    </row>
    <row r="1288" spans="5:11" x14ac:dyDescent="0.2">
      <c r="E1288" s="50"/>
      <c r="H1288"/>
      <c r="K1288"/>
    </row>
    <row r="1289" spans="5:11" x14ac:dyDescent="0.2">
      <c r="E1289" s="50"/>
      <c r="H1289"/>
      <c r="K1289"/>
    </row>
    <row r="1290" spans="5:11" x14ac:dyDescent="0.2">
      <c r="E1290" s="50"/>
      <c r="H1290"/>
      <c r="K1290"/>
    </row>
    <row r="1291" spans="5:11" x14ac:dyDescent="0.2">
      <c r="E1291" s="50"/>
      <c r="H1291"/>
      <c r="K1291"/>
    </row>
    <row r="1292" spans="5:11" x14ac:dyDescent="0.2">
      <c r="E1292" s="50"/>
      <c r="H1292"/>
      <c r="K1292"/>
    </row>
    <row r="1293" spans="5:11" x14ac:dyDescent="0.2">
      <c r="E1293" s="50"/>
      <c r="H1293"/>
      <c r="K1293"/>
    </row>
    <row r="1294" spans="5:11" x14ac:dyDescent="0.2">
      <c r="E1294" s="50"/>
      <c r="H1294"/>
      <c r="K1294"/>
    </row>
    <row r="1295" spans="5:11" x14ac:dyDescent="0.2">
      <c r="E1295" s="50"/>
      <c r="H1295"/>
      <c r="K1295"/>
    </row>
    <row r="1296" spans="5:11" x14ac:dyDescent="0.2">
      <c r="E1296" s="50"/>
      <c r="H1296"/>
      <c r="K1296"/>
    </row>
    <row r="1297" spans="5:11" x14ac:dyDescent="0.2">
      <c r="E1297" s="50"/>
      <c r="H1297"/>
      <c r="K1297"/>
    </row>
    <row r="1298" spans="5:11" x14ac:dyDescent="0.2">
      <c r="E1298" s="50"/>
      <c r="H1298"/>
      <c r="K1298"/>
    </row>
    <row r="1299" spans="5:11" x14ac:dyDescent="0.2">
      <c r="E1299" s="50"/>
      <c r="H1299"/>
      <c r="K1299"/>
    </row>
    <row r="1300" spans="5:11" x14ac:dyDescent="0.2">
      <c r="E1300" s="50"/>
      <c r="H1300"/>
      <c r="K1300"/>
    </row>
    <row r="1301" spans="5:11" x14ac:dyDescent="0.2">
      <c r="E1301" s="50"/>
      <c r="H1301"/>
      <c r="K1301"/>
    </row>
    <row r="1302" spans="5:11" x14ac:dyDescent="0.2">
      <c r="E1302" s="50"/>
      <c r="H1302"/>
      <c r="K1302"/>
    </row>
    <row r="1303" spans="5:11" x14ac:dyDescent="0.2">
      <c r="E1303" s="50"/>
      <c r="H1303"/>
      <c r="K1303"/>
    </row>
    <row r="1304" spans="5:11" x14ac:dyDescent="0.2">
      <c r="E1304" s="50"/>
      <c r="H1304"/>
      <c r="K1304"/>
    </row>
    <row r="1305" spans="5:11" x14ac:dyDescent="0.2">
      <c r="E1305" s="50"/>
      <c r="H1305"/>
      <c r="K1305"/>
    </row>
    <row r="1306" spans="5:11" x14ac:dyDescent="0.2">
      <c r="E1306" s="50"/>
      <c r="H1306"/>
      <c r="K1306"/>
    </row>
    <row r="1307" spans="5:11" x14ac:dyDescent="0.2">
      <c r="E1307" s="50"/>
      <c r="H1307"/>
      <c r="K1307"/>
    </row>
    <row r="1308" spans="5:11" x14ac:dyDescent="0.2">
      <c r="E1308" s="50"/>
      <c r="H1308"/>
      <c r="K1308"/>
    </row>
    <row r="1309" spans="5:11" x14ac:dyDescent="0.2">
      <c r="E1309" s="50"/>
      <c r="H1309"/>
      <c r="K1309"/>
    </row>
    <row r="1310" spans="5:11" x14ac:dyDescent="0.2">
      <c r="E1310" s="50"/>
      <c r="H1310"/>
      <c r="K1310"/>
    </row>
    <row r="1311" spans="5:11" x14ac:dyDescent="0.2">
      <c r="E1311" s="50"/>
      <c r="H1311"/>
      <c r="K1311"/>
    </row>
    <row r="1312" spans="5:11" x14ac:dyDescent="0.2">
      <c r="E1312" s="50"/>
      <c r="H1312"/>
      <c r="K1312"/>
    </row>
    <row r="1313" spans="5:11" x14ac:dyDescent="0.2">
      <c r="E1313" s="50"/>
      <c r="H1313"/>
      <c r="K1313"/>
    </row>
    <row r="1314" spans="5:11" x14ac:dyDescent="0.2">
      <c r="E1314" s="50"/>
      <c r="H1314"/>
      <c r="K1314"/>
    </row>
    <row r="1315" spans="5:11" x14ac:dyDescent="0.2">
      <c r="E1315" s="50"/>
      <c r="H1315"/>
      <c r="K1315"/>
    </row>
    <row r="1316" spans="5:11" x14ac:dyDescent="0.2">
      <c r="E1316" s="50"/>
      <c r="H1316"/>
      <c r="K1316"/>
    </row>
    <row r="1317" spans="5:11" x14ac:dyDescent="0.2">
      <c r="E1317" s="50"/>
      <c r="H1317"/>
      <c r="K1317"/>
    </row>
    <row r="1318" spans="5:11" x14ac:dyDescent="0.2">
      <c r="E1318" s="50"/>
      <c r="H1318"/>
      <c r="K1318"/>
    </row>
    <row r="1319" spans="5:11" x14ac:dyDescent="0.2">
      <c r="E1319" s="50"/>
      <c r="H1319"/>
      <c r="K1319"/>
    </row>
    <row r="1320" spans="5:11" x14ac:dyDescent="0.2">
      <c r="E1320" s="50"/>
      <c r="H1320"/>
      <c r="K1320"/>
    </row>
    <row r="1321" spans="5:11" x14ac:dyDescent="0.2">
      <c r="E1321" s="50"/>
      <c r="H1321"/>
      <c r="K1321"/>
    </row>
    <row r="1322" spans="5:11" x14ac:dyDescent="0.2">
      <c r="E1322" s="50"/>
      <c r="H1322"/>
      <c r="K1322"/>
    </row>
    <row r="1323" spans="5:11" x14ac:dyDescent="0.2">
      <c r="E1323" s="50"/>
      <c r="H1323"/>
      <c r="K1323"/>
    </row>
    <row r="1324" spans="5:11" x14ac:dyDescent="0.2">
      <c r="E1324" s="50"/>
      <c r="H1324"/>
      <c r="K1324"/>
    </row>
    <row r="1325" spans="5:11" x14ac:dyDescent="0.2">
      <c r="E1325" s="50"/>
      <c r="H1325"/>
      <c r="K1325"/>
    </row>
    <row r="1326" spans="5:11" x14ac:dyDescent="0.2">
      <c r="E1326" s="50"/>
      <c r="H1326"/>
      <c r="K1326"/>
    </row>
    <row r="1327" spans="5:11" x14ac:dyDescent="0.2">
      <c r="E1327" s="50"/>
      <c r="H1327"/>
      <c r="K1327"/>
    </row>
    <row r="1328" spans="5:11" x14ac:dyDescent="0.2">
      <c r="E1328" s="50"/>
      <c r="H1328"/>
      <c r="K1328"/>
    </row>
    <row r="1329" spans="5:11" x14ac:dyDescent="0.2">
      <c r="E1329" s="50"/>
      <c r="H1329"/>
      <c r="K1329"/>
    </row>
    <row r="1330" spans="5:11" x14ac:dyDescent="0.2">
      <c r="E1330" s="50"/>
      <c r="H1330"/>
      <c r="K1330"/>
    </row>
    <row r="1331" spans="5:11" x14ac:dyDescent="0.2">
      <c r="E1331" s="50"/>
      <c r="H1331"/>
      <c r="K1331"/>
    </row>
    <row r="1332" spans="5:11" x14ac:dyDescent="0.2">
      <c r="E1332" s="50"/>
      <c r="H1332"/>
      <c r="K1332"/>
    </row>
    <row r="1333" spans="5:11" x14ac:dyDescent="0.2">
      <c r="E1333" s="50"/>
      <c r="H1333"/>
      <c r="K1333"/>
    </row>
    <row r="1334" spans="5:11" x14ac:dyDescent="0.2">
      <c r="E1334" s="50"/>
      <c r="H1334"/>
      <c r="K1334"/>
    </row>
    <row r="1335" spans="5:11" x14ac:dyDescent="0.2">
      <c r="E1335" s="50"/>
      <c r="H1335"/>
      <c r="K1335"/>
    </row>
    <row r="1336" spans="5:11" x14ac:dyDescent="0.2">
      <c r="E1336" s="50"/>
      <c r="H1336"/>
      <c r="K1336"/>
    </row>
    <row r="1337" spans="5:11" x14ac:dyDescent="0.2">
      <c r="E1337" s="50"/>
      <c r="H1337"/>
      <c r="K1337"/>
    </row>
    <row r="1338" spans="5:11" x14ac:dyDescent="0.2">
      <c r="E1338" s="50"/>
      <c r="H1338"/>
      <c r="K1338"/>
    </row>
    <row r="1339" spans="5:11" x14ac:dyDescent="0.2">
      <c r="E1339" s="50"/>
      <c r="H1339"/>
      <c r="K1339"/>
    </row>
    <row r="1340" spans="5:11" x14ac:dyDescent="0.2">
      <c r="E1340" s="50"/>
      <c r="H1340"/>
      <c r="K1340"/>
    </row>
    <row r="1341" spans="5:11" x14ac:dyDescent="0.2">
      <c r="E1341" s="50"/>
      <c r="H1341"/>
      <c r="K1341"/>
    </row>
    <row r="1342" spans="5:11" x14ac:dyDescent="0.2">
      <c r="E1342" s="50"/>
      <c r="H1342"/>
      <c r="K1342"/>
    </row>
    <row r="1343" spans="5:11" x14ac:dyDescent="0.2">
      <c r="E1343" s="50"/>
      <c r="H1343"/>
      <c r="K1343"/>
    </row>
    <row r="1344" spans="5:11" x14ac:dyDescent="0.2">
      <c r="E1344" s="50"/>
      <c r="H1344"/>
      <c r="K1344"/>
    </row>
    <row r="1345" spans="5:11" x14ac:dyDescent="0.2">
      <c r="E1345" s="50"/>
      <c r="H1345"/>
      <c r="K1345"/>
    </row>
    <row r="1346" spans="5:11" x14ac:dyDescent="0.2">
      <c r="E1346" s="50"/>
      <c r="H1346"/>
      <c r="K1346"/>
    </row>
    <row r="1347" spans="5:11" x14ac:dyDescent="0.2">
      <c r="E1347" s="50"/>
      <c r="H1347"/>
      <c r="K1347"/>
    </row>
    <row r="1348" spans="5:11" x14ac:dyDescent="0.2">
      <c r="E1348" s="50"/>
      <c r="H1348"/>
      <c r="K1348"/>
    </row>
    <row r="1349" spans="5:11" x14ac:dyDescent="0.2">
      <c r="E1349" s="50"/>
      <c r="H1349"/>
      <c r="K1349"/>
    </row>
    <row r="1350" spans="5:11" x14ac:dyDescent="0.2">
      <c r="E1350" s="50"/>
      <c r="H1350"/>
      <c r="K1350"/>
    </row>
    <row r="1351" spans="5:11" x14ac:dyDescent="0.2">
      <c r="E1351" s="50"/>
      <c r="H1351"/>
      <c r="K1351"/>
    </row>
    <row r="1352" spans="5:11" x14ac:dyDescent="0.2">
      <c r="E1352" s="50"/>
      <c r="H1352"/>
      <c r="K1352"/>
    </row>
    <row r="1353" spans="5:11" x14ac:dyDescent="0.2">
      <c r="E1353" s="50"/>
      <c r="H1353"/>
      <c r="K1353"/>
    </row>
    <row r="1354" spans="5:11" x14ac:dyDescent="0.2">
      <c r="E1354" s="50"/>
      <c r="H1354"/>
      <c r="K1354"/>
    </row>
    <row r="1355" spans="5:11" x14ac:dyDescent="0.2">
      <c r="E1355" s="50"/>
      <c r="H1355"/>
      <c r="K1355"/>
    </row>
    <row r="1356" spans="5:11" x14ac:dyDescent="0.2">
      <c r="E1356" s="50"/>
      <c r="H1356"/>
      <c r="K1356"/>
    </row>
    <row r="1357" spans="5:11" x14ac:dyDescent="0.2">
      <c r="E1357" s="50"/>
      <c r="H1357"/>
      <c r="K1357"/>
    </row>
    <row r="1358" spans="5:11" x14ac:dyDescent="0.2">
      <c r="E1358" s="50"/>
      <c r="H1358"/>
      <c r="K1358"/>
    </row>
    <row r="1359" spans="5:11" x14ac:dyDescent="0.2">
      <c r="E1359" s="50"/>
      <c r="H1359"/>
      <c r="K1359"/>
    </row>
    <row r="1360" spans="5:11" x14ac:dyDescent="0.2">
      <c r="E1360" s="50"/>
      <c r="H1360"/>
      <c r="K1360"/>
    </row>
    <row r="1361" spans="5:11" x14ac:dyDescent="0.2">
      <c r="E1361" s="50"/>
      <c r="H1361"/>
      <c r="K1361"/>
    </row>
    <row r="1362" spans="5:11" x14ac:dyDescent="0.2">
      <c r="E1362" s="50"/>
      <c r="H1362"/>
      <c r="K1362"/>
    </row>
    <row r="1363" spans="5:11" x14ac:dyDescent="0.2">
      <c r="E1363" s="50"/>
      <c r="H1363"/>
      <c r="K1363"/>
    </row>
    <row r="1364" spans="5:11" x14ac:dyDescent="0.2">
      <c r="E1364" s="50"/>
      <c r="H1364"/>
      <c r="K1364"/>
    </row>
    <row r="1365" spans="5:11" x14ac:dyDescent="0.2">
      <c r="E1365" s="50"/>
      <c r="H1365"/>
      <c r="K1365"/>
    </row>
    <row r="1366" spans="5:11" x14ac:dyDescent="0.2">
      <c r="E1366" s="50"/>
      <c r="H1366"/>
      <c r="K1366"/>
    </row>
    <row r="1367" spans="5:11" x14ac:dyDescent="0.2">
      <c r="E1367" s="50"/>
      <c r="H1367"/>
      <c r="K1367"/>
    </row>
    <row r="1368" spans="5:11" x14ac:dyDescent="0.2">
      <c r="E1368" s="50"/>
      <c r="H1368"/>
      <c r="K1368"/>
    </row>
    <row r="1369" spans="5:11" x14ac:dyDescent="0.2">
      <c r="E1369" s="50"/>
      <c r="H1369"/>
      <c r="K1369"/>
    </row>
    <row r="1370" spans="5:11" x14ac:dyDescent="0.2">
      <c r="E1370" s="50"/>
      <c r="H1370"/>
      <c r="K1370"/>
    </row>
    <row r="1371" spans="5:11" x14ac:dyDescent="0.2">
      <c r="E1371" s="50"/>
      <c r="H1371"/>
      <c r="K1371"/>
    </row>
    <row r="1372" spans="5:11" x14ac:dyDescent="0.2">
      <c r="E1372" s="50"/>
      <c r="H1372"/>
      <c r="K1372"/>
    </row>
    <row r="1373" spans="5:11" x14ac:dyDescent="0.2">
      <c r="E1373" s="50"/>
      <c r="H1373"/>
      <c r="K1373"/>
    </row>
    <row r="1374" spans="5:11" x14ac:dyDescent="0.2">
      <c r="E1374" s="50"/>
      <c r="H1374"/>
      <c r="K1374"/>
    </row>
    <row r="1375" spans="5:11" x14ac:dyDescent="0.2">
      <c r="E1375" s="50"/>
      <c r="H1375"/>
      <c r="K1375"/>
    </row>
    <row r="1376" spans="5:11" x14ac:dyDescent="0.2">
      <c r="E1376" s="50"/>
      <c r="H1376"/>
      <c r="K1376"/>
    </row>
    <row r="1377" spans="5:11" x14ac:dyDescent="0.2">
      <c r="E1377" s="50"/>
      <c r="H1377"/>
      <c r="K1377"/>
    </row>
    <row r="1378" spans="5:11" x14ac:dyDescent="0.2">
      <c r="E1378" s="50"/>
      <c r="H1378"/>
      <c r="K1378"/>
    </row>
    <row r="1379" spans="5:11" x14ac:dyDescent="0.2">
      <c r="E1379" s="50"/>
      <c r="H1379"/>
      <c r="K1379"/>
    </row>
    <row r="1380" spans="5:11" x14ac:dyDescent="0.2">
      <c r="E1380" s="50"/>
      <c r="H1380"/>
      <c r="K1380"/>
    </row>
    <row r="1381" spans="5:11" x14ac:dyDescent="0.2">
      <c r="E1381" s="50"/>
      <c r="H1381"/>
      <c r="K1381"/>
    </row>
    <row r="1382" spans="5:11" x14ac:dyDescent="0.2">
      <c r="E1382" s="50"/>
      <c r="H1382"/>
      <c r="K1382"/>
    </row>
    <row r="1383" spans="5:11" x14ac:dyDescent="0.2">
      <c r="E1383" s="50"/>
      <c r="H1383"/>
      <c r="K1383"/>
    </row>
    <row r="1384" spans="5:11" x14ac:dyDescent="0.2">
      <c r="E1384" s="50"/>
      <c r="H1384"/>
      <c r="K1384"/>
    </row>
    <row r="1385" spans="5:11" x14ac:dyDescent="0.2">
      <c r="E1385" s="50"/>
      <c r="H1385"/>
      <c r="K1385"/>
    </row>
    <row r="1386" spans="5:11" x14ac:dyDescent="0.2">
      <c r="E1386" s="50"/>
      <c r="H1386"/>
      <c r="K1386"/>
    </row>
    <row r="1387" spans="5:11" x14ac:dyDescent="0.2">
      <c r="E1387" s="50"/>
      <c r="H1387"/>
      <c r="K1387"/>
    </row>
    <row r="1388" spans="5:11" x14ac:dyDescent="0.2">
      <c r="E1388" s="50"/>
      <c r="H1388"/>
      <c r="K1388"/>
    </row>
    <row r="1389" spans="5:11" x14ac:dyDescent="0.2">
      <c r="E1389" s="50"/>
      <c r="H1389"/>
      <c r="K1389"/>
    </row>
    <row r="1390" spans="5:11" x14ac:dyDescent="0.2">
      <c r="E1390" s="50"/>
      <c r="H1390"/>
      <c r="K1390"/>
    </row>
    <row r="1391" spans="5:11" x14ac:dyDescent="0.2">
      <c r="E1391" s="50"/>
      <c r="H1391"/>
      <c r="K1391"/>
    </row>
    <row r="1392" spans="5:11" x14ac:dyDescent="0.2">
      <c r="E1392" s="50"/>
      <c r="H1392"/>
      <c r="K1392"/>
    </row>
    <row r="1393" spans="5:11" x14ac:dyDescent="0.2">
      <c r="E1393" s="50"/>
      <c r="H1393"/>
      <c r="K1393"/>
    </row>
    <row r="1394" spans="5:11" x14ac:dyDescent="0.2">
      <c r="E1394" s="50"/>
      <c r="H1394"/>
      <c r="K1394"/>
    </row>
    <row r="1395" spans="5:11" x14ac:dyDescent="0.2">
      <c r="E1395" s="50"/>
      <c r="H1395"/>
      <c r="K1395"/>
    </row>
    <row r="1396" spans="5:11" x14ac:dyDescent="0.2">
      <c r="E1396" s="50"/>
      <c r="H1396"/>
      <c r="K1396"/>
    </row>
    <row r="1397" spans="5:11" x14ac:dyDescent="0.2">
      <c r="E1397" s="50"/>
      <c r="H1397"/>
      <c r="K1397"/>
    </row>
    <row r="1398" spans="5:11" x14ac:dyDescent="0.2">
      <c r="E1398" s="50"/>
      <c r="H1398"/>
      <c r="K1398"/>
    </row>
    <row r="1399" spans="5:11" x14ac:dyDescent="0.2">
      <c r="E1399" s="50"/>
      <c r="H1399"/>
      <c r="K1399"/>
    </row>
    <row r="1400" spans="5:11" x14ac:dyDescent="0.2">
      <c r="E1400" s="50"/>
      <c r="H1400"/>
      <c r="K1400"/>
    </row>
    <row r="1401" spans="5:11" x14ac:dyDescent="0.2">
      <c r="E1401" s="50"/>
      <c r="H1401"/>
      <c r="K1401"/>
    </row>
    <row r="1402" spans="5:11" x14ac:dyDescent="0.2">
      <c r="E1402" s="50"/>
      <c r="H1402"/>
      <c r="K1402"/>
    </row>
    <row r="1403" spans="5:11" x14ac:dyDescent="0.2">
      <c r="E1403" s="50"/>
      <c r="H1403"/>
      <c r="K1403"/>
    </row>
    <row r="1404" spans="5:11" x14ac:dyDescent="0.2">
      <c r="E1404" s="50"/>
      <c r="H1404"/>
      <c r="K1404"/>
    </row>
    <row r="1405" spans="5:11" x14ac:dyDescent="0.2">
      <c r="E1405" s="50"/>
      <c r="H1405"/>
      <c r="K1405"/>
    </row>
    <row r="1406" spans="5:11" x14ac:dyDescent="0.2">
      <c r="E1406" s="50"/>
      <c r="H1406"/>
      <c r="K1406"/>
    </row>
    <row r="1407" spans="5:11" x14ac:dyDescent="0.2">
      <c r="E1407" s="50"/>
      <c r="H1407"/>
      <c r="K1407"/>
    </row>
    <row r="1408" spans="5:11" x14ac:dyDescent="0.2">
      <c r="E1408" s="50"/>
      <c r="H1408"/>
      <c r="K1408"/>
    </row>
    <row r="1409" spans="5:11" x14ac:dyDescent="0.2">
      <c r="E1409" s="50"/>
      <c r="H1409"/>
      <c r="K1409"/>
    </row>
    <row r="1410" spans="5:11" x14ac:dyDescent="0.2">
      <c r="E1410" s="50"/>
      <c r="H1410"/>
      <c r="K1410"/>
    </row>
    <row r="1411" spans="5:11" x14ac:dyDescent="0.2">
      <c r="E1411" s="50"/>
      <c r="H1411"/>
      <c r="K1411"/>
    </row>
    <row r="1412" spans="5:11" x14ac:dyDescent="0.2">
      <c r="E1412" s="50"/>
      <c r="H1412"/>
      <c r="K1412"/>
    </row>
    <row r="1413" spans="5:11" x14ac:dyDescent="0.2">
      <c r="E1413" s="50"/>
      <c r="H1413"/>
      <c r="K1413"/>
    </row>
    <row r="1414" spans="5:11" x14ac:dyDescent="0.2">
      <c r="E1414" s="50"/>
      <c r="H1414"/>
      <c r="K1414"/>
    </row>
    <row r="1415" spans="5:11" x14ac:dyDescent="0.2">
      <c r="E1415" s="50"/>
      <c r="H1415"/>
      <c r="K1415"/>
    </row>
    <row r="1416" spans="5:11" x14ac:dyDescent="0.2">
      <c r="E1416" s="50"/>
      <c r="H1416"/>
      <c r="K1416"/>
    </row>
    <row r="1417" spans="5:11" x14ac:dyDescent="0.2">
      <c r="E1417" s="50"/>
      <c r="H1417"/>
      <c r="K1417"/>
    </row>
    <row r="1418" spans="5:11" x14ac:dyDescent="0.2">
      <c r="E1418" s="50"/>
      <c r="H1418"/>
      <c r="K1418"/>
    </row>
    <row r="1419" spans="5:11" x14ac:dyDescent="0.2">
      <c r="E1419" s="50"/>
      <c r="H1419"/>
      <c r="K1419"/>
    </row>
    <row r="1420" spans="5:11" x14ac:dyDescent="0.2">
      <c r="E1420" s="50"/>
      <c r="H1420"/>
      <c r="K1420"/>
    </row>
    <row r="1421" spans="5:11" x14ac:dyDescent="0.2">
      <c r="E1421" s="50"/>
      <c r="H1421"/>
      <c r="K1421"/>
    </row>
    <row r="1422" spans="5:11" x14ac:dyDescent="0.2">
      <c r="E1422" s="50"/>
      <c r="H1422"/>
      <c r="K1422"/>
    </row>
    <row r="1423" spans="5:11" x14ac:dyDescent="0.2">
      <c r="E1423" s="50"/>
      <c r="H1423"/>
      <c r="K1423"/>
    </row>
    <row r="1424" spans="5:11" x14ac:dyDescent="0.2">
      <c r="E1424" s="50"/>
      <c r="H1424"/>
      <c r="K1424"/>
    </row>
    <row r="1425" spans="5:11" x14ac:dyDescent="0.2">
      <c r="E1425" s="50"/>
      <c r="H1425"/>
      <c r="K1425"/>
    </row>
    <row r="1426" spans="5:11" x14ac:dyDescent="0.2">
      <c r="E1426" s="50"/>
      <c r="H1426"/>
      <c r="K1426"/>
    </row>
    <row r="1427" spans="5:11" x14ac:dyDescent="0.2">
      <c r="E1427" s="50"/>
      <c r="H1427"/>
      <c r="K1427"/>
    </row>
    <row r="1428" spans="5:11" x14ac:dyDescent="0.2">
      <c r="E1428" s="50"/>
      <c r="H1428"/>
      <c r="K1428"/>
    </row>
    <row r="1429" spans="5:11" x14ac:dyDescent="0.2">
      <c r="E1429" s="50"/>
      <c r="H1429"/>
      <c r="K1429"/>
    </row>
    <row r="1430" spans="5:11" x14ac:dyDescent="0.2">
      <c r="E1430" s="50"/>
      <c r="H1430"/>
      <c r="K1430"/>
    </row>
    <row r="1431" spans="5:11" x14ac:dyDescent="0.2">
      <c r="E1431" s="50"/>
      <c r="H1431"/>
      <c r="K1431"/>
    </row>
    <row r="1432" spans="5:11" x14ac:dyDescent="0.2">
      <c r="E1432" s="50"/>
      <c r="H1432"/>
      <c r="K1432"/>
    </row>
    <row r="1433" spans="5:11" x14ac:dyDescent="0.2">
      <c r="E1433" s="50"/>
      <c r="H1433"/>
      <c r="K1433"/>
    </row>
    <row r="1434" spans="5:11" x14ac:dyDescent="0.2">
      <c r="E1434" s="50"/>
      <c r="H1434"/>
      <c r="K1434"/>
    </row>
    <row r="1435" spans="5:11" x14ac:dyDescent="0.2">
      <c r="E1435" s="50"/>
      <c r="H1435"/>
      <c r="K1435"/>
    </row>
    <row r="1436" spans="5:11" x14ac:dyDescent="0.2">
      <c r="E1436" s="50"/>
      <c r="H1436"/>
      <c r="K1436"/>
    </row>
    <row r="1437" spans="5:11" x14ac:dyDescent="0.2">
      <c r="E1437" s="50"/>
      <c r="H1437"/>
      <c r="K1437"/>
    </row>
    <row r="1438" spans="5:11" x14ac:dyDescent="0.2">
      <c r="E1438" s="50"/>
      <c r="H1438"/>
      <c r="K1438"/>
    </row>
    <row r="1439" spans="5:11" x14ac:dyDescent="0.2">
      <c r="E1439" s="50"/>
      <c r="H1439"/>
      <c r="K1439"/>
    </row>
    <row r="1440" spans="5:11" x14ac:dyDescent="0.2">
      <c r="E1440" s="50"/>
      <c r="H1440"/>
      <c r="K1440"/>
    </row>
    <row r="1441" spans="5:11" x14ac:dyDescent="0.2">
      <c r="E1441" s="50"/>
      <c r="H1441"/>
      <c r="K1441"/>
    </row>
    <row r="1442" spans="5:11" x14ac:dyDescent="0.2">
      <c r="E1442" s="50"/>
      <c r="H1442"/>
      <c r="K1442"/>
    </row>
    <row r="1443" spans="5:11" x14ac:dyDescent="0.2">
      <c r="E1443" s="50"/>
      <c r="H1443"/>
      <c r="K1443"/>
    </row>
    <row r="1444" spans="5:11" x14ac:dyDescent="0.2">
      <c r="E1444" s="50"/>
      <c r="H1444"/>
      <c r="K1444"/>
    </row>
    <row r="1445" spans="5:11" x14ac:dyDescent="0.2">
      <c r="E1445" s="50"/>
      <c r="H1445"/>
      <c r="K1445"/>
    </row>
    <row r="1446" spans="5:11" x14ac:dyDescent="0.2">
      <c r="E1446" s="50"/>
      <c r="H1446"/>
      <c r="K1446"/>
    </row>
    <row r="1447" spans="5:11" x14ac:dyDescent="0.2">
      <c r="E1447" s="50"/>
      <c r="H1447"/>
      <c r="K1447"/>
    </row>
    <row r="1448" spans="5:11" x14ac:dyDescent="0.2">
      <c r="E1448" s="50"/>
      <c r="H1448"/>
      <c r="K1448"/>
    </row>
    <row r="1449" spans="5:11" x14ac:dyDescent="0.2">
      <c r="E1449" s="50"/>
      <c r="H1449"/>
      <c r="K1449"/>
    </row>
    <row r="1450" spans="5:11" x14ac:dyDescent="0.2">
      <c r="E1450" s="50"/>
      <c r="H1450"/>
      <c r="K1450"/>
    </row>
    <row r="1451" spans="5:11" x14ac:dyDescent="0.2">
      <c r="E1451" s="50"/>
      <c r="H1451"/>
      <c r="K1451"/>
    </row>
    <row r="1452" spans="5:11" x14ac:dyDescent="0.2">
      <c r="E1452" s="50"/>
      <c r="H1452"/>
      <c r="K1452"/>
    </row>
    <row r="1453" spans="5:11" x14ac:dyDescent="0.2">
      <c r="E1453" s="50"/>
      <c r="H1453"/>
      <c r="K1453"/>
    </row>
    <row r="1454" spans="5:11" x14ac:dyDescent="0.2">
      <c r="E1454" s="50"/>
      <c r="H1454"/>
      <c r="K1454"/>
    </row>
    <row r="1455" spans="5:11" x14ac:dyDescent="0.2">
      <c r="E1455" s="50"/>
      <c r="H1455"/>
      <c r="K1455"/>
    </row>
    <row r="1456" spans="5:11" x14ac:dyDescent="0.2">
      <c r="E1456" s="50"/>
      <c r="H1456"/>
      <c r="K1456"/>
    </row>
    <row r="1457" spans="5:11" x14ac:dyDescent="0.2">
      <c r="E1457" s="50"/>
      <c r="H1457"/>
      <c r="K1457"/>
    </row>
    <row r="1458" spans="5:11" x14ac:dyDescent="0.2">
      <c r="E1458" s="50"/>
      <c r="H1458"/>
      <c r="K1458"/>
    </row>
    <row r="1459" spans="5:11" x14ac:dyDescent="0.2">
      <c r="E1459" s="50"/>
      <c r="H1459"/>
      <c r="K1459"/>
    </row>
    <row r="1460" spans="5:11" x14ac:dyDescent="0.2">
      <c r="E1460" s="50"/>
      <c r="H1460"/>
      <c r="K1460"/>
    </row>
    <row r="1461" spans="5:11" x14ac:dyDescent="0.2">
      <c r="E1461" s="50"/>
      <c r="H1461"/>
      <c r="K1461"/>
    </row>
    <row r="1462" spans="5:11" x14ac:dyDescent="0.2">
      <c r="E1462" s="50"/>
      <c r="H1462"/>
      <c r="K1462"/>
    </row>
    <row r="1463" spans="5:11" x14ac:dyDescent="0.2">
      <c r="E1463" s="50"/>
      <c r="H1463"/>
      <c r="K1463"/>
    </row>
    <row r="1464" spans="5:11" x14ac:dyDescent="0.2">
      <c r="E1464" s="50"/>
      <c r="H1464"/>
      <c r="K1464"/>
    </row>
    <row r="1465" spans="5:11" x14ac:dyDescent="0.2">
      <c r="E1465" s="50"/>
      <c r="H1465"/>
      <c r="K1465"/>
    </row>
    <row r="1466" spans="5:11" x14ac:dyDescent="0.2">
      <c r="E1466" s="50"/>
      <c r="H1466"/>
      <c r="K1466"/>
    </row>
    <row r="1467" spans="5:11" x14ac:dyDescent="0.2">
      <c r="E1467" s="50"/>
      <c r="H1467"/>
      <c r="K1467"/>
    </row>
    <row r="1468" spans="5:11" x14ac:dyDescent="0.2">
      <c r="E1468" s="50"/>
      <c r="H1468"/>
      <c r="K1468"/>
    </row>
    <row r="1469" spans="5:11" x14ac:dyDescent="0.2">
      <c r="E1469" s="50"/>
      <c r="H1469"/>
      <c r="K1469"/>
    </row>
    <row r="1470" spans="5:11" x14ac:dyDescent="0.2">
      <c r="E1470" s="50"/>
      <c r="H1470"/>
      <c r="K1470"/>
    </row>
    <row r="1471" spans="5:11" x14ac:dyDescent="0.2">
      <c r="E1471" s="50"/>
      <c r="H1471"/>
      <c r="K1471"/>
    </row>
    <row r="1472" spans="5:11" x14ac:dyDescent="0.2">
      <c r="E1472" s="50"/>
      <c r="H1472"/>
      <c r="K1472"/>
    </row>
    <row r="1473" spans="5:11" x14ac:dyDescent="0.2">
      <c r="E1473" s="50"/>
      <c r="H1473"/>
      <c r="K1473"/>
    </row>
    <row r="1474" spans="5:11" x14ac:dyDescent="0.2">
      <c r="E1474" s="50"/>
      <c r="H1474"/>
      <c r="K1474"/>
    </row>
    <row r="1475" spans="5:11" x14ac:dyDescent="0.2">
      <c r="E1475" s="50"/>
      <c r="H1475"/>
      <c r="K1475"/>
    </row>
    <row r="1476" spans="5:11" x14ac:dyDescent="0.2">
      <c r="E1476" s="50"/>
      <c r="H1476"/>
      <c r="K1476"/>
    </row>
    <row r="1477" spans="5:11" x14ac:dyDescent="0.2">
      <c r="E1477" s="50"/>
      <c r="H1477"/>
      <c r="K1477"/>
    </row>
    <row r="1478" spans="5:11" x14ac:dyDescent="0.2">
      <c r="E1478" s="50"/>
      <c r="H1478"/>
      <c r="K1478"/>
    </row>
    <row r="1479" spans="5:11" x14ac:dyDescent="0.2">
      <c r="E1479" s="50"/>
      <c r="H1479"/>
      <c r="K1479"/>
    </row>
    <row r="1480" spans="5:11" x14ac:dyDescent="0.2">
      <c r="E1480" s="50"/>
      <c r="H1480"/>
      <c r="K1480"/>
    </row>
    <row r="1481" spans="5:11" x14ac:dyDescent="0.2">
      <c r="E1481" s="50"/>
      <c r="H1481"/>
      <c r="K1481"/>
    </row>
    <row r="1482" spans="5:11" x14ac:dyDescent="0.2">
      <c r="E1482" s="50"/>
      <c r="H1482"/>
      <c r="K1482"/>
    </row>
    <row r="1483" spans="5:11" x14ac:dyDescent="0.2">
      <c r="E1483" s="50"/>
      <c r="H1483"/>
      <c r="K1483"/>
    </row>
    <row r="1484" spans="5:11" x14ac:dyDescent="0.2">
      <c r="E1484" s="50"/>
      <c r="H1484"/>
      <c r="K1484"/>
    </row>
    <row r="1485" spans="5:11" x14ac:dyDescent="0.2">
      <c r="E1485" s="50"/>
      <c r="H1485"/>
      <c r="K1485"/>
    </row>
    <row r="1486" spans="5:11" x14ac:dyDescent="0.2">
      <c r="E1486" s="50"/>
      <c r="H1486"/>
      <c r="K1486"/>
    </row>
    <row r="1487" spans="5:11" x14ac:dyDescent="0.2">
      <c r="E1487" s="50"/>
      <c r="H1487"/>
      <c r="K1487"/>
    </row>
    <row r="1488" spans="5:11" x14ac:dyDescent="0.2">
      <c r="E1488" s="50"/>
      <c r="H1488"/>
      <c r="K1488"/>
    </row>
    <row r="1489" spans="5:11" x14ac:dyDescent="0.2">
      <c r="E1489" s="50"/>
      <c r="H1489"/>
      <c r="K1489"/>
    </row>
    <row r="1490" spans="5:11" x14ac:dyDescent="0.2">
      <c r="E1490" s="50"/>
      <c r="H1490"/>
      <c r="K1490"/>
    </row>
    <row r="1491" spans="5:11" x14ac:dyDescent="0.2">
      <c r="E1491" s="50"/>
      <c r="H1491"/>
      <c r="K1491"/>
    </row>
    <row r="1492" spans="5:11" x14ac:dyDescent="0.2">
      <c r="E1492" s="50"/>
      <c r="H1492"/>
      <c r="K1492"/>
    </row>
    <row r="1493" spans="5:11" x14ac:dyDescent="0.2">
      <c r="E1493" s="50"/>
      <c r="H1493"/>
      <c r="K1493"/>
    </row>
    <row r="1494" spans="5:11" x14ac:dyDescent="0.2">
      <c r="E1494" s="50"/>
      <c r="H1494"/>
      <c r="K1494"/>
    </row>
    <row r="1495" spans="5:11" x14ac:dyDescent="0.2">
      <c r="E1495" s="50"/>
      <c r="H1495"/>
      <c r="K1495"/>
    </row>
    <row r="1496" spans="5:11" x14ac:dyDescent="0.2">
      <c r="E1496" s="50"/>
      <c r="H1496"/>
      <c r="K1496"/>
    </row>
    <row r="1497" spans="5:11" x14ac:dyDescent="0.2">
      <c r="E1497" s="50"/>
      <c r="H1497"/>
      <c r="K1497"/>
    </row>
    <row r="1498" spans="5:11" x14ac:dyDescent="0.2">
      <c r="E1498" s="50"/>
      <c r="H1498"/>
      <c r="K1498"/>
    </row>
    <row r="1499" spans="5:11" x14ac:dyDescent="0.2">
      <c r="E1499" s="50"/>
      <c r="H1499"/>
      <c r="K1499"/>
    </row>
    <row r="1500" spans="5:11" x14ac:dyDescent="0.2">
      <c r="E1500" s="50"/>
      <c r="H1500"/>
      <c r="K1500"/>
    </row>
    <row r="1501" spans="5:11" x14ac:dyDescent="0.2">
      <c r="E1501" s="50"/>
      <c r="H1501"/>
      <c r="K1501"/>
    </row>
    <row r="1502" spans="5:11" x14ac:dyDescent="0.2">
      <c r="E1502" s="50"/>
      <c r="H1502"/>
      <c r="K1502"/>
    </row>
    <row r="1503" spans="5:11" x14ac:dyDescent="0.2">
      <c r="E1503" s="50"/>
      <c r="H1503"/>
      <c r="K1503"/>
    </row>
    <row r="1504" spans="5:11" x14ac:dyDescent="0.2">
      <c r="E1504" s="50"/>
      <c r="H1504"/>
      <c r="K1504"/>
    </row>
    <row r="1505" spans="5:11" x14ac:dyDescent="0.2">
      <c r="E1505" s="50"/>
      <c r="H1505"/>
      <c r="K1505"/>
    </row>
    <row r="1506" spans="5:11" x14ac:dyDescent="0.2">
      <c r="E1506" s="50"/>
      <c r="H1506"/>
      <c r="K1506"/>
    </row>
    <row r="1507" spans="5:11" x14ac:dyDescent="0.2">
      <c r="E1507" s="50"/>
      <c r="H1507"/>
      <c r="K1507"/>
    </row>
    <row r="1508" spans="5:11" x14ac:dyDescent="0.2">
      <c r="E1508" s="50"/>
      <c r="H1508"/>
      <c r="K1508"/>
    </row>
    <row r="1509" spans="5:11" x14ac:dyDescent="0.2">
      <c r="E1509" s="50"/>
      <c r="H1509"/>
      <c r="K1509"/>
    </row>
    <row r="1510" spans="5:11" x14ac:dyDescent="0.2">
      <c r="E1510" s="50"/>
      <c r="H1510"/>
      <c r="K1510"/>
    </row>
    <row r="1511" spans="5:11" x14ac:dyDescent="0.2">
      <c r="E1511" s="50"/>
      <c r="H1511"/>
      <c r="K1511"/>
    </row>
    <row r="1512" spans="5:11" x14ac:dyDescent="0.2">
      <c r="E1512" s="50"/>
      <c r="H1512"/>
      <c r="K1512"/>
    </row>
    <row r="1513" spans="5:11" x14ac:dyDescent="0.2">
      <c r="E1513" s="50"/>
      <c r="H1513"/>
      <c r="K1513"/>
    </row>
    <row r="1514" spans="5:11" x14ac:dyDescent="0.2">
      <c r="E1514" s="50"/>
      <c r="H1514"/>
      <c r="K1514"/>
    </row>
    <row r="1515" spans="5:11" x14ac:dyDescent="0.2">
      <c r="E1515" s="50"/>
      <c r="H1515"/>
      <c r="K1515"/>
    </row>
    <row r="1516" spans="5:11" x14ac:dyDescent="0.2">
      <c r="E1516" s="50"/>
      <c r="H1516"/>
      <c r="K1516"/>
    </row>
    <row r="1517" spans="5:11" x14ac:dyDescent="0.2">
      <c r="E1517" s="50"/>
      <c r="H1517"/>
      <c r="K1517"/>
    </row>
    <row r="1518" spans="5:11" x14ac:dyDescent="0.2">
      <c r="E1518" s="50"/>
      <c r="H1518"/>
      <c r="K1518"/>
    </row>
    <row r="1519" spans="5:11" x14ac:dyDescent="0.2">
      <c r="E1519" s="50"/>
      <c r="H1519"/>
      <c r="K1519"/>
    </row>
    <row r="1520" spans="5:11" x14ac:dyDescent="0.2">
      <c r="E1520" s="50"/>
      <c r="H1520"/>
      <c r="K1520"/>
    </row>
    <row r="1521" spans="5:11" x14ac:dyDescent="0.2">
      <c r="E1521" s="50"/>
      <c r="H1521"/>
      <c r="K1521"/>
    </row>
    <row r="1522" spans="5:11" x14ac:dyDescent="0.2">
      <c r="E1522" s="50"/>
      <c r="H1522"/>
      <c r="K1522"/>
    </row>
    <row r="1523" spans="5:11" x14ac:dyDescent="0.2">
      <c r="E1523" s="50"/>
      <c r="H1523"/>
      <c r="K1523"/>
    </row>
    <row r="1524" spans="5:11" x14ac:dyDescent="0.2">
      <c r="E1524" s="50"/>
      <c r="H1524"/>
      <c r="K1524"/>
    </row>
    <row r="1525" spans="5:11" x14ac:dyDescent="0.2">
      <c r="E1525" s="50"/>
      <c r="H1525"/>
      <c r="K1525"/>
    </row>
    <row r="1526" spans="5:11" x14ac:dyDescent="0.2">
      <c r="E1526" s="50"/>
      <c r="H1526"/>
      <c r="K1526"/>
    </row>
    <row r="1527" spans="5:11" x14ac:dyDescent="0.2">
      <c r="E1527" s="50"/>
      <c r="H1527"/>
      <c r="K1527"/>
    </row>
    <row r="1528" spans="5:11" x14ac:dyDescent="0.2">
      <c r="E1528" s="50"/>
      <c r="H1528"/>
      <c r="K1528"/>
    </row>
    <row r="1529" spans="5:11" x14ac:dyDescent="0.2">
      <c r="E1529" s="50"/>
      <c r="H1529"/>
      <c r="K1529"/>
    </row>
    <row r="1530" spans="5:11" x14ac:dyDescent="0.2">
      <c r="E1530" s="50"/>
      <c r="H1530"/>
      <c r="K1530"/>
    </row>
    <row r="1531" spans="5:11" x14ac:dyDescent="0.2">
      <c r="E1531" s="50"/>
      <c r="H1531"/>
      <c r="K1531"/>
    </row>
    <row r="1532" spans="5:11" x14ac:dyDescent="0.2">
      <c r="E1532" s="50"/>
      <c r="H1532"/>
      <c r="K1532"/>
    </row>
    <row r="1533" spans="5:11" x14ac:dyDescent="0.2">
      <c r="E1533" s="50"/>
      <c r="H1533"/>
      <c r="K1533"/>
    </row>
    <row r="1534" spans="5:11" x14ac:dyDescent="0.2">
      <c r="E1534" s="50"/>
      <c r="H1534"/>
      <c r="K1534"/>
    </row>
    <row r="1535" spans="5:11" x14ac:dyDescent="0.2">
      <c r="E1535" s="50"/>
      <c r="H1535"/>
      <c r="K1535"/>
    </row>
    <row r="1536" spans="5:11" x14ac:dyDescent="0.2">
      <c r="E1536" s="50"/>
      <c r="H1536"/>
      <c r="K1536"/>
    </row>
    <row r="1537" spans="5:11" x14ac:dyDescent="0.2">
      <c r="E1537" s="50"/>
      <c r="H1537"/>
      <c r="K1537"/>
    </row>
    <row r="1538" spans="5:11" x14ac:dyDescent="0.2">
      <c r="E1538" s="50"/>
      <c r="H1538"/>
      <c r="K1538"/>
    </row>
    <row r="1539" spans="5:11" x14ac:dyDescent="0.2">
      <c r="E1539" s="50"/>
      <c r="H1539"/>
      <c r="K1539"/>
    </row>
    <row r="1540" spans="5:11" x14ac:dyDescent="0.2">
      <c r="E1540" s="50"/>
      <c r="H1540"/>
      <c r="K1540"/>
    </row>
    <row r="1541" spans="5:11" x14ac:dyDescent="0.2">
      <c r="E1541" s="50"/>
      <c r="H1541"/>
      <c r="K1541"/>
    </row>
    <row r="1542" spans="5:11" x14ac:dyDescent="0.2">
      <c r="E1542" s="50"/>
      <c r="H1542"/>
      <c r="K1542"/>
    </row>
    <row r="1543" spans="5:11" x14ac:dyDescent="0.2">
      <c r="E1543" s="50"/>
      <c r="H1543"/>
      <c r="K1543"/>
    </row>
    <row r="1544" spans="5:11" x14ac:dyDescent="0.2">
      <c r="E1544" s="50"/>
      <c r="H1544"/>
      <c r="K1544"/>
    </row>
    <row r="1545" spans="5:11" x14ac:dyDescent="0.2">
      <c r="E1545" s="50"/>
      <c r="H1545"/>
      <c r="K1545"/>
    </row>
    <row r="1546" spans="5:11" x14ac:dyDescent="0.2">
      <c r="E1546" s="50"/>
      <c r="H1546"/>
      <c r="K1546"/>
    </row>
    <row r="1547" spans="5:11" x14ac:dyDescent="0.2">
      <c r="E1547" s="50"/>
      <c r="H1547"/>
      <c r="K1547"/>
    </row>
    <row r="1548" spans="5:11" x14ac:dyDescent="0.2">
      <c r="E1548" s="50"/>
      <c r="H1548"/>
      <c r="K1548"/>
    </row>
    <row r="1549" spans="5:11" x14ac:dyDescent="0.2">
      <c r="E1549" s="50"/>
      <c r="H1549"/>
      <c r="K1549"/>
    </row>
    <row r="1550" spans="5:11" x14ac:dyDescent="0.2">
      <c r="E1550" s="50"/>
      <c r="H1550"/>
      <c r="K1550"/>
    </row>
    <row r="1551" spans="5:11" x14ac:dyDescent="0.2">
      <c r="E1551" s="50"/>
      <c r="H1551"/>
      <c r="K1551"/>
    </row>
    <row r="1552" spans="5:11" x14ac:dyDescent="0.2">
      <c r="E1552" s="50"/>
      <c r="H1552"/>
      <c r="K1552"/>
    </row>
    <row r="1553" spans="5:11" x14ac:dyDescent="0.2">
      <c r="E1553" s="50"/>
      <c r="H1553"/>
      <c r="K1553"/>
    </row>
    <row r="1554" spans="5:11" x14ac:dyDescent="0.2">
      <c r="E1554" s="50"/>
      <c r="H1554"/>
      <c r="K1554"/>
    </row>
    <row r="1555" spans="5:11" x14ac:dyDescent="0.2">
      <c r="E1555" s="50"/>
      <c r="H1555"/>
      <c r="K1555"/>
    </row>
    <row r="1556" spans="5:11" x14ac:dyDescent="0.2">
      <c r="E1556" s="50"/>
      <c r="H1556"/>
      <c r="K1556"/>
    </row>
    <row r="1557" spans="5:11" x14ac:dyDescent="0.2">
      <c r="E1557" s="50"/>
      <c r="H1557"/>
      <c r="K1557"/>
    </row>
    <row r="1558" spans="5:11" x14ac:dyDescent="0.2">
      <c r="E1558" s="50"/>
      <c r="H1558"/>
      <c r="K1558"/>
    </row>
    <row r="1559" spans="5:11" x14ac:dyDescent="0.2">
      <c r="E1559" s="50"/>
      <c r="H1559"/>
      <c r="K1559"/>
    </row>
    <row r="1560" spans="5:11" x14ac:dyDescent="0.2">
      <c r="E1560" s="50"/>
      <c r="H1560"/>
      <c r="K1560"/>
    </row>
    <row r="1561" spans="5:11" x14ac:dyDescent="0.2">
      <c r="E1561" s="50"/>
      <c r="H1561"/>
      <c r="K1561"/>
    </row>
    <row r="1562" spans="5:11" x14ac:dyDescent="0.2">
      <c r="E1562" s="50"/>
      <c r="H1562"/>
      <c r="K1562"/>
    </row>
    <row r="1563" spans="5:11" x14ac:dyDescent="0.2">
      <c r="E1563" s="50"/>
      <c r="H1563"/>
      <c r="K1563"/>
    </row>
    <row r="1564" spans="5:11" x14ac:dyDescent="0.2">
      <c r="E1564" s="50"/>
      <c r="H1564"/>
      <c r="K1564"/>
    </row>
    <row r="1565" spans="5:11" x14ac:dyDescent="0.2">
      <c r="E1565" s="50"/>
      <c r="H1565"/>
      <c r="K1565"/>
    </row>
    <row r="1566" spans="5:11" x14ac:dyDescent="0.2">
      <c r="E1566" s="50"/>
      <c r="H1566"/>
      <c r="K1566"/>
    </row>
    <row r="1567" spans="5:11" x14ac:dyDescent="0.2">
      <c r="E1567" s="50"/>
      <c r="H1567"/>
      <c r="K1567"/>
    </row>
    <row r="1568" spans="5:11" x14ac:dyDescent="0.2">
      <c r="E1568" s="50"/>
      <c r="H1568"/>
      <c r="K1568"/>
    </row>
    <row r="1569" spans="5:11" x14ac:dyDescent="0.2">
      <c r="E1569" s="50"/>
      <c r="H1569"/>
      <c r="K1569"/>
    </row>
    <row r="1570" spans="5:11" x14ac:dyDescent="0.2">
      <c r="E1570" s="50"/>
      <c r="H1570"/>
      <c r="K1570"/>
    </row>
    <row r="1571" spans="5:11" x14ac:dyDescent="0.2">
      <c r="E1571" s="50"/>
      <c r="H1571"/>
      <c r="K1571"/>
    </row>
    <row r="1572" spans="5:11" x14ac:dyDescent="0.2">
      <c r="E1572" s="50"/>
      <c r="H1572"/>
      <c r="K1572"/>
    </row>
    <row r="1573" spans="5:11" x14ac:dyDescent="0.2">
      <c r="E1573" s="50"/>
      <c r="H1573"/>
      <c r="K1573"/>
    </row>
    <row r="1574" spans="5:11" x14ac:dyDescent="0.2">
      <c r="E1574" s="50"/>
      <c r="H1574"/>
      <c r="K1574"/>
    </row>
    <row r="1575" spans="5:11" x14ac:dyDescent="0.2">
      <c r="E1575" s="50"/>
      <c r="H1575"/>
      <c r="K1575"/>
    </row>
    <row r="1576" spans="5:11" x14ac:dyDescent="0.2">
      <c r="E1576" s="50"/>
      <c r="H1576"/>
      <c r="K1576"/>
    </row>
    <row r="1577" spans="5:11" x14ac:dyDescent="0.2">
      <c r="E1577" s="50"/>
      <c r="H1577"/>
      <c r="K1577"/>
    </row>
    <row r="1578" spans="5:11" x14ac:dyDescent="0.2">
      <c r="E1578" s="50"/>
      <c r="H1578"/>
      <c r="K1578"/>
    </row>
    <row r="1579" spans="5:11" x14ac:dyDescent="0.2">
      <c r="E1579" s="50"/>
      <c r="H1579"/>
      <c r="K1579"/>
    </row>
    <row r="1580" spans="5:11" x14ac:dyDescent="0.2">
      <c r="E1580" s="50"/>
      <c r="H1580"/>
      <c r="K1580"/>
    </row>
    <row r="1581" spans="5:11" x14ac:dyDescent="0.2">
      <c r="E1581" s="50"/>
      <c r="H1581"/>
      <c r="K1581"/>
    </row>
    <row r="1582" spans="5:11" x14ac:dyDescent="0.2">
      <c r="E1582" s="50"/>
      <c r="H1582"/>
      <c r="K1582"/>
    </row>
    <row r="1583" spans="5:11" x14ac:dyDescent="0.2">
      <c r="E1583" s="50"/>
      <c r="H1583"/>
      <c r="K1583"/>
    </row>
    <row r="1584" spans="5:11" x14ac:dyDescent="0.2">
      <c r="E1584" s="50"/>
      <c r="H1584"/>
      <c r="K1584"/>
    </row>
    <row r="1585" spans="5:11" x14ac:dyDescent="0.2">
      <c r="E1585" s="50"/>
      <c r="H1585"/>
      <c r="K1585"/>
    </row>
    <row r="1586" spans="5:11" x14ac:dyDescent="0.2">
      <c r="E1586" s="50"/>
      <c r="H1586"/>
      <c r="K1586"/>
    </row>
    <row r="1587" spans="5:11" x14ac:dyDescent="0.2">
      <c r="E1587" s="50"/>
      <c r="H1587"/>
      <c r="K1587"/>
    </row>
    <row r="1588" spans="5:11" x14ac:dyDescent="0.2">
      <c r="E1588" s="50"/>
      <c r="H1588"/>
      <c r="K1588"/>
    </row>
    <row r="1589" spans="5:11" x14ac:dyDescent="0.2">
      <c r="E1589" s="50"/>
      <c r="H1589"/>
      <c r="K1589"/>
    </row>
    <row r="1590" spans="5:11" x14ac:dyDescent="0.2">
      <c r="E1590" s="50"/>
      <c r="H1590"/>
      <c r="K1590"/>
    </row>
    <row r="1591" spans="5:11" x14ac:dyDescent="0.2">
      <c r="E1591" s="50"/>
      <c r="H1591"/>
      <c r="K1591"/>
    </row>
    <row r="1592" spans="5:11" x14ac:dyDescent="0.2">
      <c r="E1592" s="50"/>
      <c r="H1592"/>
      <c r="K1592"/>
    </row>
    <row r="1593" spans="5:11" x14ac:dyDescent="0.2">
      <c r="E1593" s="50"/>
      <c r="H1593"/>
      <c r="K1593"/>
    </row>
    <row r="1594" spans="5:11" x14ac:dyDescent="0.2">
      <c r="E1594" s="50"/>
      <c r="H1594"/>
      <c r="K1594"/>
    </row>
    <row r="1595" spans="5:11" x14ac:dyDescent="0.2">
      <c r="E1595" s="50"/>
      <c r="H1595"/>
      <c r="K1595"/>
    </row>
    <row r="1596" spans="5:11" x14ac:dyDescent="0.2">
      <c r="E1596" s="50"/>
      <c r="H1596"/>
      <c r="K1596"/>
    </row>
    <row r="1597" spans="5:11" x14ac:dyDescent="0.2">
      <c r="E1597" s="50"/>
      <c r="H1597"/>
      <c r="K1597"/>
    </row>
    <row r="1598" spans="5:11" x14ac:dyDescent="0.2">
      <c r="E1598" s="50"/>
      <c r="H1598"/>
      <c r="K1598"/>
    </row>
    <row r="1599" spans="5:11" x14ac:dyDescent="0.2">
      <c r="E1599" s="50"/>
      <c r="H1599"/>
      <c r="K1599"/>
    </row>
    <row r="1600" spans="5:11" x14ac:dyDescent="0.2">
      <c r="E1600" s="50"/>
      <c r="H1600"/>
      <c r="K1600"/>
    </row>
    <row r="1601" spans="5:11" x14ac:dyDescent="0.2">
      <c r="E1601" s="50"/>
      <c r="H1601"/>
      <c r="K1601"/>
    </row>
    <row r="1602" spans="5:11" x14ac:dyDescent="0.2">
      <c r="E1602" s="50"/>
      <c r="H1602"/>
      <c r="K1602"/>
    </row>
    <row r="1603" spans="5:11" x14ac:dyDescent="0.2">
      <c r="E1603" s="50"/>
      <c r="H1603"/>
      <c r="K1603"/>
    </row>
    <row r="1604" spans="5:11" x14ac:dyDescent="0.2">
      <c r="E1604" s="50"/>
      <c r="H1604"/>
      <c r="K1604"/>
    </row>
    <row r="1605" spans="5:11" x14ac:dyDescent="0.2">
      <c r="E1605" s="50"/>
      <c r="H1605"/>
      <c r="K1605"/>
    </row>
    <row r="1606" spans="5:11" x14ac:dyDescent="0.2">
      <c r="E1606" s="50"/>
      <c r="H1606"/>
      <c r="K1606"/>
    </row>
    <row r="1607" spans="5:11" x14ac:dyDescent="0.2">
      <c r="E1607" s="50"/>
      <c r="H1607"/>
      <c r="K1607"/>
    </row>
    <row r="1608" spans="5:11" x14ac:dyDescent="0.2">
      <c r="E1608" s="50"/>
      <c r="H1608"/>
      <c r="K1608"/>
    </row>
    <row r="1609" spans="5:11" x14ac:dyDescent="0.2">
      <c r="E1609" s="50"/>
      <c r="H1609"/>
      <c r="K1609"/>
    </row>
    <row r="1610" spans="5:11" x14ac:dyDescent="0.2">
      <c r="E1610" s="50"/>
      <c r="H1610"/>
      <c r="K1610"/>
    </row>
    <row r="1611" spans="5:11" x14ac:dyDescent="0.2">
      <c r="E1611" s="50"/>
      <c r="H1611"/>
      <c r="K1611"/>
    </row>
    <row r="1612" spans="5:11" x14ac:dyDescent="0.2">
      <c r="E1612" s="50"/>
      <c r="H1612"/>
      <c r="K1612"/>
    </row>
    <row r="1613" spans="5:11" x14ac:dyDescent="0.2">
      <c r="E1613" s="50"/>
      <c r="H1613"/>
      <c r="K1613"/>
    </row>
    <row r="1614" spans="5:11" x14ac:dyDescent="0.2">
      <c r="E1614" s="50"/>
      <c r="H1614"/>
      <c r="K1614"/>
    </row>
    <row r="1615" spans="5:11" x14ac:dyDescent="0.2">
      <c r="E1615" s="50"/>
      <c r="H1615"/>
      <c r="K1615"/>
    </row>
    <row r="1616" spans="5:11" x14ac:dyDescent="0.2">
      <c r="E1616" s="50"/>
      <c r="H1616"/>
      <c r="K1616"/>
    </row>
    <row r="1617" spans="5:11" x14ac:dyDescent="0.2">
      <c r="E1617" s="50"/>
      <c r="H1617"/>
      <c r="K1617"/>
    </row>
    <row r="1618" spans="5:11" x14ac:dyDescent="0.2">
      <c r="E1618" s="50"/>
      <c r="H1618"/>
      <c r="K1618"/>
    </row>
    <row r="1619" spans="5:11" x14ac:dyDescent="0.2">
      <c r="E1619" s="50"/>
      <c r="H1619"/>
      <c r="K1619"/>
    </row>
    <row r="1620" spans="5:11" x14ac:dyDescent="0.2">
      <c r="E1620" s="50"/>
      <c r="H1620"/>
      <c r="K1620"/>
    </row>
    <row r="1621" spans="5:11" x14ac:dyDescent="0.2">
      <c r="E1621" s="50"/>
      <c r="H1621"/>
      <c r="K1621"/>
    </row>
    <row r="1622" spans="5:11" x14ac:dyDescent="0.2">
      <c r="E1622" s="50"/>
      <c r="H1622"/>
      <c r="K1622"/>
    </row>
    <row r="1623" spans="5:11" x14ac:dyDescent="0.2">
      <c r="E1623" s="50"/>
      <c r="H1623"/>
      <c r="K1623"/>
    </row>
    <row r="1624" spans="5:11" x14ac:dyDescent="0.2">
      <c r="E1624" s="50"/>
      <c r="H1624"/>
      <c r="K1624"/>
    </row>
    <row r="1625" spans="5:11" x14ac:dyDescent="0.2">
      <c r="E1625" s="50"/>
      <c r="H1625"/>
      <c r="K1625"/>
    </row>
    <row r="1626" spans="5:11" x14ac:dyDescent="0.2">
      <c r="E1626" s="50"/>
      <c r="H1626"/>
      <c r="K1626"/>
    </row>
    <row r="1627" spans="5:11" x14ac:dyDescent="0.2">
      <c r="E1627" s="50"/>
      <c r="H1627"/>
      <c r="K1627"/>
    </row>
    <row r="1628" spans="5:11" x14ac:dyDescent="0.2">
      <c r="E1628" s="50"/>
      <c r="H1628"/>
      <c r="K1628"/>
    </row>
    <row r="1629" spans="5:11" x14ac:dyDescent="0.2">
      <c r="E1629" s="50"/>
      <c r="H1629"/>
      <c r="K1629"/>
    </row>
    <row r="1630" spans="5:11" x14ac:dyDescent="0.2">
      <c r="E1630" s="50"/>
      <c r="H1630"/>
      <c r="K1630"/>
    </row>
    <row r="1631" spans="5:11" x14ac:dyDescent="0.2">
      <c r="E1631" s="50"/>
      <c r="H1631"/>
      <c r="K1631"/>
    </row>
    <row r="1632" spans="5:11" x14ac:dyDescent="0.2">
      <c r="E1632" s="50"/>
      <c r="H1632"/>
      <c r="K1632"/>
    </row>
    <row r="1633" spans="5:11" x14ac:dyDescent="0.2">
      <c r="E1633" s="50"/>
      <c r="H1633"/>
      <c r="K1633"/>
    </row>
    <row r="1634" spans="5:11" x14ac:dyDescent="0.2">
      <c r="E1634" s="50"/>
      <c r="H1634"/>
      <c r="K1634"/>
    </row>
    <row r="1635" spans="5:11" x14ac:dyDescent="0.2">
      <c r="E1635" s="50"/>
      <c r="H1635"/>
      <c r="K1635"/>
    </row>
    <row r="1636" spans="5:11" x14ac:dyDescent="0.2">
      <c r="E1636" s="50"/>
      <c r="H1636"/>
      <c r="K1636"/>
    </row>
    <row r="1637" spans="5:11" x14ac:dyDescent="0.2">
      <c r="E1637" s="50"/>
      <c r="H1637"/>
      <c r="K1637"/>
    </row>
    <row r="1638" spans="5:11" x14ac:dyDescent="0.2">
      <c r="E1638" s="50"/>
      <c r="H1638"/>
      <c r="K1638"/>
    </row>
    <row r="1639" spans="5:11" x14ac:dyDescent="0.2">
      <c r="E1639" s="50"/>
      <c r="H1639"/>
      <c r="K1639"/>
    </row>
    <row r="1640" spans="5:11" x14ac:dyDescent="0.2">
      <c r="E1640" s="50"/>
      <c r="H1640"/>
      <c r="K1640"/>
    </row>
    <row r="1641" spans="5:11" x14ac:dyDescent="0.2">
      <c r="E1641" s="50"/>
      <c r="H1641"/>
      <c r="K1641"/>
    </row>
    <row r="1642" spans="5:11" x14ac:dyDescent="0.2">
      <c r="E1642" s="50"/>
      <c r="H1642"/>
      <c r="K1642"/>
    </row>
    <row r="1643" spans="5:11" x14ac:dyDescent="0.2">
      <c r="E1643" s="50"/>
      <c r="H1643"/>
      <c r="K1643"/>
    </row>
    <row r="1644" spans="5:11" x14ac:dyDescent="0.2">
      <c r="E1644" s="50"/>
      <c r="H1644"/>
      <c r="K1644"/>
    </row>
    <row r="1645" spans="5:11" x14ac:dyDescent="0.2">
      <c r="E1645" s="50"/>
      <c r="H1645"/>
      <c r="K1645"/>
    </row>
    <row r="1646" spans="5:11" x14ac:dyDescent="0.2">
      <c r="E1646" s="50"/>
      <c r="H1646"/>
      <c r="K1646"/>
    </row>
    <row r="1647" spans="5:11" x14ac:dyDescent="0.2">
      <c r="E1647" s="50"/>
      <c r="H1647"/>
      <c r="K1647"/>
    </row>
    <row r="1648" spans="5:11" x14ac:dyDescent="0.2">
      <c r="E1648" s="50"/>
      <c r="H1648"/>
      <c r="K1648"/>
    </row>
    <row r="1649" spans="5:11" x14ac:dyDescent="0.2">
      <c r="E1649" s="50"/>
      <c r="H1649"/>
      <c r="K1649"/>
    </row>
    <row r="1650" spans="5:11" x14ac:dyDescent="0.2">
      <c r="E1650" s="50"/>
      <c r="H1650"/>
      <c r="K1650"/>
    </row>
    <row r="1651" spans="5:11" x14ac:dyDescent="0.2">
      <c r="E1651" s="50"/>
      <c r="H1651"/>
      <c r="K1651"/>
    </row>
    <row r="1652" spans="5:11" x14ac:dyDescent="0.2">
      <c r="E1652" s="50"/>
      <c r="H1652"/>
      <c r="K1652"/>
    </row>
    <row r="1653" spans="5:11" x14ac:dyDescent="0.2">
      <c r="E1653" s="50"/>
      <c r="H1653"/>
      <c r="K1653"/>
    </row>
    <row r="1654" spans="5:11" x14ac:dyDescent="0.2">
      <c r="E1654" s="50"/>
      <c r="H1654"/>
      <c r="K1654"/>
    </row>
    <row r="1655" spans="5:11" x14ac:dyDescent="0.2">
      <c r="E1655" s="50"/>
      <c r="H1655"/>
      <c r="K1655"/>
    </row>
    <row r="1656" spans="5:11" x14ac:dyDescent="0.2">
      <c r="E1656" s="50"/>
      <c r="H1656"/>
      <c r="K1656"/>
    </row>
    <row r="1657" spans="5:11" x14ac:dyDescent="0.2">
      <c r="E1657" s="50"/>
      <c r="H1657"/>
      <c r="K1657"/>
    </row>
    <row r="1658" spans="5:11" x14ac:dyDescent="0.2">
      <c r="E1658" s="50"/>
      <c r="H1658"/>
      <c r="K1658"/>
    </row>
    <row r="1659" spans="5:11" x14ac:dyDescent="0.2">
      <c r="E1659" s="50"/>
      <c r="H1659"/>
      <c r="K1659"/>
    </row>
    <row r="1660" spans="5:11" x14ac:dyDescent="0.2">
      <c r="E1660" s="50"/>
      <c r="H1660"/>
      <c r="K1660"/>
    </row>
    <row r="1661" spans="5:11" x14ac:dyDescent="0.2">
      <c r="E1661" s="50"/>
      <c r="H1661"/>
      <c r="K1661"/>
    </row>
    <row r="1662" spans="5:11" x14ac:dyDescent="0.2">
      <c r="E1662" s="50"/>
      <c r="H1662"/>
      <c r="K1662"/>
    </row>
    <row r="1663" spans="5:11" x14ac:dyDescent="0.2">
      <c r="E1663" s="50"/>
      <c r="H1663"/>
      <c r="K1663"/>
    </row>
    <row r="1664" spans="5:11" x14ac:dyDescent="0.2">
      <c r="E1664" s="50"/>
      <c r="H1664"/>
      <c r="K1664"/>
    </row>
    <row r="1665" spans="5:11" x14ac:dyDescent="0.2">
      <c r="E1665" s="50"/>
      <c r="H1665"/>
      <c r="K1665"/>
    </row>
    <row r="1666" spans="5:11" x14ac:dyDescent="0.2">
      <c r="E1666" s="50"/>
      <c r="H1666"/>
      <c r="K1666"/>
    </row>
    <row r="1667" spans="5:11" x14ac:dyDescent="0.2">
      <c r="E1667" s="50"/>
      <c r="H1667"/>
      <c r="K1667"/>
    </row>
    <row r="1668" spans="5:11" x14ac:dyDescent="0.2">
      <c r="E1668" s="50"/>
      <c r="H1668"/>
      <c r="K1668"/>
    </row>
    <row r="1669" spans="5:11" x14ac:dyDescent="0.2">
      <c r="E1669" s="50"/>
      <c r="H1669"/>
      <c r="K1669"/>
    </row>
    <row r="1670" spans="5:11" x14ac:dyDescent="0.2">
      <c r="E1670" s="50"/>
      <c r="H1670"/>
      <c r="K1670"/>
    </row>
    <row r="1671" spans="5:11" x14ac:dyDescent="0.2">
      <c r="E1671" s="50"/>
      <c r="H1671"/>
      <c r="K1671"/>
    </row>
    <row r="1672" spans="5:11" x14ac:dyDescent="0.2">
      <c r="E1672" s="50"/>
      <c r="H1672"/>
      <c r="K1672"/>
    </row>
    <row r="1673" spans="5:11" x14ac:dyDescent="0.2">
      <c r="E1673" s="50"/>
      <c r="H1673"/>
      <c r="K1673"/>
    </row>
    <row r="1674" spans="5:11" x14ac:dyDescent="0.2">
      <c r="E1674" s="50"/>
      <c r="H1674"/>
      <c r="K1674"/>
    </row>
    <row r="1675" spans="5:11" x14ac:dyDescent="0.2">
      <c r="E1675" s="50"/>
      <c r="H1675"/>
      <c r="K1675"/>
    </row>
    <row r="1676" spans="5:11" x14ac:dyDescent="0.2">
      <c r="E1676" s="50"/>
      <c r="H1676"/>
      <c r="K1676"/>
    </row>
    <row r="1677" spans="5:11" x14ac:dyDescent="0.2">
      <c r="E1677" s="50"/>
      <c r="H1677"/>
      <c r="K1677"/>
    </row>
    <row r="1678" spans="5:11" x14ac:dyDescent="0.2">
      <c r="E1678" s="50"/>
      <c r="H1678"/>
      <c r="K1678"/>
    </row>
    <row r="1679" spans="5:11" x14ac:dyDescent="0.2">
      <c r="E1679" s="50"/>
      <c r="H1679"/>
      <c r="K1679"/>
    </row>
    <row r="1680" spans="5:11" x14ac:dyDescent="0.2">
      <c r="E1680" s="50"/>
      <c r="H1680"/>
      <c r="K1680"/>
    </row>
    <row r="1681" spans="5:11" x14ac:dyDescent="0.2">
      <c r="E1681" s="50"/>
      <c r="H1681"/>
      <c r="K1681"/>
    </row>
    <row r="1682" spans="5:11" x14ac:dyDescent="0.2">
      <c r="E1682" s="50"/>
      <c r="H1682"/>
      <c r="K1682"/>
    </row>
    <row r="1683" spans="5:11" x14ac:dyDescent="0.2">
      <c r="E1683" s="50"/>
      <c r="H1683"/>
      <c r="K1683"/>
    </row>
    <row r="1684" spans="5:11" x14ac:dyDescent="0.2">
      <c r="E1684" s="50"/>
      <c r="H1684"/>
      <c r="K1684"/>
    </row>
    <row r="1685" spans="5:11" x14ac:dyDescent="0.2">
      <c r="E1685" s="50"/>
      <c r="H1685"/>
      <c r="K1685"/>
    </row>
    <row r="1686" spans="5:11" x14ac:dyDescent="0.2">
      <c r="E1686" s="50"/>
      <c r="H1686"/>
      <c r="K1686"/>
    </row>
    <row r="1687" spans="5:11" x14ac:dyDescent="0.2">
      <c r="E1687" s="50"/>
      <c r="H1687"/>
      <c r="K1687"/>
    </row>
    <row r="1688" spans="5:11" x14ac:dyDescent="0.2">
      <c r="E1688" s="50"/>
      <c r="H1688"/>
      <c r="K1688"/>
    </row>
    <row r="1689" spans="5:11" x14ac:dyDescent="0.2">
      <c r="E1689" s="50"/>
      <c r="H1689"/>
      <c r="K1689"/>
    </row>
    <row r="1690" spans="5:11" x14ac:dyDescent="0.2">
      <c r="E1690" s="50"/>
      <c r="H1690"/>
      <c r="K1690"/>
    </row>
    <row r="1691" spans="5:11" x14ac:dyDescent="0.2">
      <c r="E1691" s="50"/>
      <c r="H1691"/>
      <c r="K1691"/>
    </row>
    <row r="1692" spans="5:11" x14ac:dyDescent="0.2">
      <c r="E1692" s="50"/>
      <c r="H1692"/>
      <c r="K1692"/>
    </row>
    <row r="1693" spans="5:11" x14ac:dyDescent="0.2">
      <c r="E1693" s="50"/>
      <c r="H1693"/>
      <c r="K1693"/>
    </row>
    <row r="1694" spans="5:11" x14ac:dyDescent="0.2">
      <c r="E1694" s="50"/>
      <c r="H1694"/>
      <c r="K1694"/>
    </row>
    <row r="1695" spans="5:11" x14ac:dyDescent="0.2">
      <c r="E1695" s="50"/>
      <c r="H1695"/>
      <c r="K1695"/>
    </row>
    <row r="1696" spans="5:11" x14ac:dyDescent="0.2">
      <c r="E1696" s="50"/>
      <c r="H1696"/>
      <c r="K1696"/>
    </row>
    <row r="1697" spans="5:11" x14ac:dyDescent="0.2">
      <c r="E1697" s="50"/>
      <c r="H1697"/>
      <c r="K1697"/>
    </row>
    <row r="1698" spans="5:11" x14ac:dyDescent="0.2">
      <c r="E1698" s="50"/>
      <c r="H1698"/>
      <c r="K1698"/>
    </row>
    <row r="1699" spans="5:11" x14ac:dyDescent="0.2">
      <c r="E1699" s="50"/>
      <c r="H1699"/>
      <c r="K1699"/>
    </row>
    <row r="1700" spans="5:11" x14ac:dyDescent="0.2">
      <c r="E1700" s="50"/>
      <c r="H1700"/>
      <c r="K1700"/>
    </row>
    <row r="1701" spans="5:11" x14ac:dyDescent="0.2">
      <c r="E1701" s="50"/>
      <c r="H1701"/>
      <c r="K1701"/>
    </row>
    <row r="1702" spans="5:11" x14ac:dyDescent="0.2">
      <c r="E1702" s="50"/>
      <c r="H1702"/>
      <c r="K1702"/>
    </row>
    <row r="1703" spans="5:11" x14ac:dyDescent="0.2">
      <c r="E1703" s="50"/>
      <c r="H1703"/>
      <c r="K1703"/>
    </row>
    <row r="1704" spans="5:11" x14ac:dyDescent="0.2">
      <c r="E1704" s="50"/>
      <c r="H1704"/>
      <c r="K1704"/>
    </row>
    <row r="1705" spans="5:11" x14ac:dyDescent="0.2">
      <c r="E1705" s="50"/>
      <c r="H1705"/>
      <c r="K1705"/>
    </row>
    <row r="1706" spans="5:11" x14ac:dyDescent="0.2">
      <c r="E1706" s="50"/>
      <c r="H1706"/>
      <c r="K1706"/>
    </row>
    <row r="1707" spans="5:11" x14ac:dyDescent="0.2">
      <c r="E1707" s="50"/>
      <c r="H1707"/>
      <c r="K1707"/>
    </row>
    <row r="1708" spans="5:11" x14ac:dyDescent="0.2">
      <c r="E1708" s="50"/>
      <c r="H1708"/>
      <c r="K1708"/>
    </row>
    <row r="1709" spans="5:11" x14ac:dyDescent="0.2">
      <c r="E1709" s="50"/>
      <c r="H1709"/>
      <c r="K1709"/>
    </row>
    <row r="1710" spans="5:11" x14ac:dyDescent="0.2">
      <c r="E1710" s="50"/>
      <c r="H1710"/>
      <c r="K1710"/>
    </row>
    <row r="1711" spans="5:11" x14ac:dyDescent="0.2">
      <c r="E1711" s="50"/>
      <c r="H1711"/>
      <c r="K1711"/>
    </row>
    <row r="1712" spans="5:11" x14ac:dyDescent="0.2">
      <c r="E1712" s="50"/>
      <c r="H1712"/>
      <c r="K1712"/>
    </row>
    <row r="1713" spans="5:11" x14ac:dyDescent="0.2">
      <c r="E1713" s="50"/>
      <c r="H1713"/>
      <c r="K1713"/>
    </row>
    <row r="1714" spans="5:11" x14ac:dyDescent="0.2">
      <c r="E1714" s="50"/>
      <c r="H1714"/>
      <c r="K1714"/>
    </row>
    <row r="1715" spans="5:11" x14ac:dyDescent="0.2">
      <c r="E1715" s="50"/>
      <c r="H1715"/>
      <c r="K1715"/>
    </row>
    <row r="1716" spans="5:11" x14ac:dyDescent="0.2">
      <c r="E1716" s="50"/>
      <c r="H1716"/>
      <c r="K1716"/>
    </row>
    <row r="1717" spans="5:11" x14ac:dyDescent="0.2">
      <c r="E1717" s="50"/>
      <c r="H1717"/>
      <c r="K1717"/>
    </row>
    <row r="1718" spans="5:11" x14ac:dyDescent="0.2">
      <c r="E1718" s="50"/>
      <c r="H1718"/>
      <c r="K1718"/>
    </row>
    <row r="1719" spans="5:11" x14ac:dyDescent="0.2">
      <c r="E1719" s="50"/>
      <c r="H1719"/>
      <c r="K1719"/>
    </row>
    <row r="1720" spans="5:11" x14ac:dyDescent="0.2">
      <c r="E1720" s="50"/>
      <c r="H1720"/>
      <c r="K1720"/>
    </row>
    <row r="1721" spans="5:11" x14ac:dyDescent="0.2">
      <c r="E1721" s="50"/>
      <c r="H1721"/>
      <c r="K1721"/>
    </row>
    <row r="1722" spans="5:11" x14ac:dyDescent="0.2">
      <c r="E1722" s="50"/>
      <c r="H1722"/>
      <c r="K1722"/>
    </row>
    <row r="1723" spans="5:11" x14ac:dyDescent="0.2">
      <c r="E1723" s="50"/>
      <c r="H1723"/>
      <c r="K1723"/>
    </row>
    <row r="1724" spans="5:11" x14ac:dyDescent="0.2">
      <c r="E1724" s="50"/>
      <c r="H1724"/>
      <c r="K1724"/>
    </row>
    <row r="1725" spans="5:11" x14ac:dyDescent="0.2">
      <c r="E1725" s="50"/>
      <c r="H1725"/>
      <c r="K1725"/>
    </row>
    <row r="1726" spans="5:11" x14ac:dyDescent="0.2">
      <c r="E1726" s="50"/>
      <c r="H1726"/>
      <c r="K1726"/>
    </row>
    <row r="1727" spans="5:11" x14ac:dyDescent="0.2">
      <c r="E1727" s="50"/>
      <c r="H1727"/>
      <c r="K1727"/>
    </row>
    <row r="1728" spans="5:11" x14ac:dyDescent="0.2">
      <c r="E1728" s="50"/>
      <c r="H1728"/>
      <c r="K1728"/>
    </row>
    <row r="1729" spans="5:11" x14ac:dyDescent="0.2">
      <c r="E1729" s="50"/>
      <c r="H1729"/>
      <c r="K1729"/>
    </row>
    <row r="1730" spans="5:11" x14ac:dyDescent="0.2">
      <c r="E1730" s="50"/>
      <c r="H1730"/>
      <c r="K1730"/>
    </row>
    <row r="1731" spans="5:11" x14ac:dyDescent="0.2">
      <c r="E1731" s="50"/>
      <c r="H1731"/>
      <c r="K1731"/>
    </row>
    <row r="1732" spans="5:11" x14ac:dyDescent="0.2">
      <c r="E1732" s="50"/>
      <c r="H1732"/>
      <c r="K1732"/>
    </row>
    <row r="1733" spans="5:11" x14ac:dyDescent="0.2">
      <c r="E1733" s="50"/>
      <c r="H1733"/>
      <c r="K1733"/>
    </row>
    <row r="1734" spans="5:11" x14ac:dyDescent="0.2">
      <c r="E1734" s="50"/>
      <c r="H1734"/>
      <c r="K1734"/>
    </row>
    <row r="1735" spans="5:11" x14ac:dyDescent="0.2">
      <c r="E1735" s="50"/>
      <c r="H1735"/>
      <c r="K1735"/>
    </row>
    <row r="1736" spans="5:11" x14ac:dyDescent="0.2">
      <c r="E1736" s="50"/>
      <c r="H1736"/>
      <c r="K1736"/>
    </row>
    <row r="1737" spans="5:11" x14ac:dyDescent="0.2">
      <c r="E1737" s="50"/>
      <c r="H1737"/>
      <c r="K1737"/>
    </row>
    <row r="1738" spans="5:11" x14ac:dyDescent="0.2">
      <c r="E1738" s="50"/>
      <c r="H1738"/>
      <c r="K1738"/>
    </row>
    <row r="1739" spans="5:11" x14ac:dyDescent="0.2">
      <c r="E1739" s="50"/>
      <c r="H1739"/>
      <c r="K1739"/>
    </row>
    <row r="1740" spans="5:11" x14ac:dyDescent="0.2">
      <c r="E1740" s="50"/>
      <c r="H1740"/>
      <c r="K1740"/>
    </row>
    <row r="1741" spans="5:11" x14ac:dyDescent="0.2">
      <c r="E1741" s="50"/>
      <c r="H1741"/>
      <c r="K1741"/>
    </row>
    <row r="1742" spans="5:11" x14ac:dyDescent="0.2">
      <c r="E1742" s="50"/>
      <c r="H1742"/>
      <c r="K1742"/>
    </row>
    <row r="1743" spans="5:11" x14ac:dyDescent="0.2">
      <c r="E1743" s="50"/>
      <c r="H1743"/>
      <c r="K1743"/>
    </row>
    <row r="1744" spans="5:11" x14ac:dyDescent="0.2">
      <c r="E1744" s="50"/>
      <c r="H1744"/>
      <c r="K1744"/>
    </row>
    <row r="1745" spans="5:11" x14ac:dyDescent="0.2">
      <c r="E1745" s="50"/>
      <c r="H1745"/>
      <c r="K1745"/>
    </row>
    <row r="1746" spans="5:11" x14ac:dyDescent="0.2">
      <c r="E1746" s="50"/>
      <c r="H1746"/>
      <c r="K1746"/>
    </row>
    <row r="1747" spans="5:11" x14ac:dyDescent="0.2">
      <c r="E1747" s="50"/>
      <c r="H1747"/>
      <c r="K1747"/>
    </row>
    <row r="1748" spans="5:11" x14ac:dyDescent="0.2">
      <c r="E1748" s="50"/>
      <c r="H1748"/>
      <c r="K1748"/>
    </row>
    <row r="1749" spans="5:11" x14ac:dyDescent="0.2">
      <c r="E1749" s="50"/>
      <c r="H1749"/>
      <c r="K1749"/>
    </row>
    <row r="1750" spans="5:11" x14ac:dyDescent="0.2">
      <c r="E1750" s="50"/>
      <c r="H1750"/>
      <c r="K1750"/>
    </row>
    <row r="1751" spans="5:11" x14ac:dyDescent="0.2">
      <c r="E1751" s="50"/>
      <c r="H1751"/>
      <c r="K1751"/>
    </row>
    <row r="1752" spans="5:11" x14ac:dyDescent="0.2">
      <c r="E1752" s="50"/>
      <c r="H1752"/>
      <c r="K1752"/>
    </row>
    <row r="1753" spans="5:11" x14ac:dyDescent="0.2">
      <c r="E1753" s="50"/>
      <c r="H1753"/>
      <c r="K1753"/>
    </row>
    <row r="1754" spans="5:11" x14ac:dyDescent="0.2">
      <c r="E1754" s="50"/>
      <c r="H1754"/>
      <c r="K1754"/>
    </row>
    <row r="1755" spans="5:11" x14ac:dyDescent="0.2">
      <c r="E1755" s="50"/>
      <c r="H1755"/>
      <c r="K1755"/>
    </row>
    <row r="1756" spans="5:11" x14ac:dyDescent="0.2">
      <c r="E1756" s="50"/>
      <c r="H1756"/>
      <c r="K1756"/>
    </row>
    <row r="1757" spans="5:11" x14ac:dyDescent="0.2">
      <c r="E1757" s="50"/>
      <c r="H1757"/>
      <c r="K1757"/>
    </row>
    <row r="1758" spans="5:11" x14ac:dyDescent="0.2">
      <c r="E1758" s="50"/>
      <c r="H1758"/>
      <c r="K1758"/>
    </row>
    <row r="1759" spans="5:11" x14ac:dyDescent="0.2">
      <c r="E1759" s="50"/>
      <c r="H1759"/>
      <c r="K1759"/>
    </row>
    <row r="1760" spans="5:11" x14ac:dyDescent="0.2">
      <c r="E1760" s="50"/>
      <c r="H1760"/>
      <c r="K1760"/>
    </row>
    <row r="1761" spans="5:11" x14ac:dyDescent="0.2">
      <c r="E1761" s="50"/>
      <c r="H1761"/>
      <c r="K1761"/>
    </row>
    <row r="1762" spans="5:11" x14ac:dyDescent="0.2">
      <c r="E1762" s="50"/>
      <c r="H1762"/>
      <c r="K1762"/>
    </row>
    <row r="1763" spans="5:11" x14ac:dyDescent="0.2">
      <c r="E1763" s="50"/>
      <c r="H1763"/>
      <c r="K1763"/>
    </row>
    <row r="1764" spans="5:11" x14ac:dyDescent="0.2">
      <c r="E1764" s="50"/>
      <c r="H1764"/>
      <c r="K1764"/>
    </row>
    <row r="1765" spans="5:11" x14ac:dyDescent="0.2">
      <c r="E1765" s="50"/>
      <c r="H1765"/>
      <c r="K1765"/>
    </row>
    <row r="1766" spans="5:11" x14ac:dyDescent="0.2">
      <c r="E1766" s="50"/>
      <c r="H1766"/>
      <c r="K1766"/>
    </row>
    <row r="1767" spans="5:11" x14ac:dyDescent="0.2">
      <c r="E1767" s="50"/>
      <c r="H1767"/>
      <c r="K1767"/>
    </row>
    <row r="1768" spans="5:11" x14ac:dyDescent="0.2">
      <c r="E1768" s="50"/>
      <c r="H1768"/>
      <c r="K1768"/>
    </row>
    <row r="1769" spans="5:11" x14ac:dyDescent="0.2">
      <c r="E1769" s="50"/>
      <c r="H1769"/>
      <c r="K1769"/>
    </row>
    <row r="1770" spans="5:11" x14ac:dyDescent="0.2">
      <c r="E1770" s="50"/>
      <c r="H1770"/>
      <c r="K1770"/>
    </row>
    <row r="1771" spans="5:11" x14ac:dyDescent="0.2">
      <c r="E1771" s="50"/>
      <c r="H1771"/>
      <c r="K1771"/>
    </row>
    <row r="1772" spans="5:11" x14ac:dyDescent="0.2">
      <c r="E1772" s="50"/>
      <c r="H1772"/>
      <c r="K1772"/>
    </row>
    <row r="1773" spans="5:11" x14ac:dyDescent="0.2">
      <c r="E1773" s="50"/>
      <c r="H1773"/>
      <c r="K1773"/>
    </row>
    <row r="1774" spans="5:11" x14ac:dyDescent="0.2">
      <c r="E1774" s="50"/>
      <c r="H1774"/>
      <c r="K1774"/>
    </row>
    <row r="1775" spans="5:11" x14ac:dyDescent="0.2">
      <c r="E1775" s="50"/>
      <c r="H1775"/>
      <c r="K1775"/>
    </row>
    <row r="1776" spans="5:11" x14ac:dyDescent="0.2">
      <c r="E1776" s="50"/>
      <c r="H1776"/>
      <c r="K1776"/>
    </row>
    <row r="1777" spans="5:11" x14ac:dyDescent="0.2">
      <c r="E1777" s="50"/>
      <c r="H1777"/>
      <c r="K1777"/>
    </row>
    <row r="1778" spans="5:11" x14ac:dyDescent="0.2">
      <c r="E1778" s="50"/>
      <c r="H1778"/>
      <c r="K1778"/>
    </row>
    <row r="1779" spans="5:11" x14ac:dyDescent="0.2">
      <c r="E1779" s="50"/>
      <c r="H1779"/>
      <c r="K1779"/>
    </row>
    <row r="1780" spans="5:11" x14ac:dyDescent="0.2">
      <c r="E1780" s="50"/>
      <c r="H1780"/>
      <c r="K1780"/>
    </row>
    <row r="1781" spans="5:11" x14ac:dyDescent="0.2">
      <c r="E1781" s="50"/>
      <c r="H1781"/>
      <c r="K1781"/>
    </row>
    <row r="1782" spans="5:11" x14ac:dyDescent="0.2">
      <c r="E1782" s="50"/>
      <c r="H1782"/>
      <c r="K1782"/>
    </row>
    <row r="1783" spans="5:11" x14ac:dyDescent="0.2">
      <c r="E1783" s="50"/>
      <c r="H1783"/>
      <c r="K1783"/>
    </row>
    <row r="1784" spans="5:11" x14ac:dyDescent="0.2">
      <c r="E1784" s="50"/>
      <c r="H1784"/>
      <c r="K1784"/>
    </row>
    <row r="1785" spans="5:11" x14ac:dyDescent="0.2">
      <c r="E1785" s="50"/>
      <c r="H1785"/>
      <c r="K1785"/>
    </row>
    <row r="1786" spans="5:11" x14ac:dyDescent="0.2">
      <c r="E1786" s="50"/>
      <c r="H1786"/>
      <c r="K1786"/>
    </row>
    <row r="1787" spans="5:11" x14ac:dyDescent="0.2">
      <c r="E1787" s="50"/>
      <c r="H1787"/>
      <c r="K1787"/>
    </row>
    <row r="1788" spans="5:11" x14ac:dyDescent="0.2">
      <c r="E1788" s="50"/>
      <c r="H1788"/>
      <c r="K1788"/>
    </row>
    <row r="1789" spans="5:11" x14ac:dyDescent="0.2">
      <c r="E1789" s="50"/>
      <c r="H1789"/>
      <c r="K1789"/>
    </row>
    <row r="1790" spans="5:11" x14ac:dyDescent="0.2">
      <c r="E1790" s="50"/>
      <c r="H1790"/>
      <c r="K1790"/>
    </row>
    <row r="1791" spans="5:11" x14ac:dyDescent="0.2">
      <c r="E1791" s="50"/>
      <c r="H1791"/>
      <c r="K1791"/>
    </row>
    <row r="1792" spans="5:11" x14ac:dyDescent="0.2">
      <c r="E1792" s="50"/>
      <c r="H1792"/>
      <c r="K1792"/>
    </row>
    <row r="1793" spans="5:11" x14ac:dyDescent="0.2">
      <c r="E1793" s="50"/>
      <c r="H1793"/>
      <c r="K1793"/>
    </row>
    <row r="1794" spans="5:11" x14ac:dyDescent="0.2">
      <c r="E1794" s="50"/>
      <c r="H1794"/>
      <c r="K1794"/>
    </row>
    <row r="1795" spans="5:11" x14ac:dyDescent="0.2">
      <c r="E1795" s="50"/>
      <c r="H1795"/>
      <c r="K1795"/>
    </row>
    <row r="1796" spans="5:11" x14ac:dyDescent="0.2">
      <c r="E1796" s="50"/>
      <c r="H1796"/>
      <c r="K1796"/>
    </row>
    <row r="1797" spans="5:11" x14ac:dyDescent="0.2">
      <c r="E1797" s="50"/>
      <c r="H1797"/>
      <c r="K1797"/>
    </row>
    <row r="1798" spans="5:11" x14ac:dyDescent="0.2">
      <c r="E1798" s="50"/>
      <c r="H1798"/>
      <c r="K1798"/>
    </row>
    <row r="1799" spans="5:11" x14ac:dyDescent="0.2">
      <c r="E1799" s="50"/>
      <c r="H1799"/>
      <c r="K1799"/>
    </row>
    <row r="1800" spans="5:11" x14ac:dyDescent="0.2">
      <c r="E1800" s="50"/>
      <c r="H1800"/>
      <c r="K1800"/>
    </row>
    <row r="1801" spans="5:11" x14ac:dyDescent="0.2">
      <c r="E1801" s="50"/>
      <c r="H1801"/>
      <c r="K1801"/>
    </row>
    <row r="1802" spans="5:11" x14ac:dyDescent="0.2">
      <c r="E1802" s="50"/>
      <c r="H1802"/>
      <c r="K1802"/>
    </row>
    <row r="1803" spans="5:11" x14ac:dyDescent="0.2">
      <c r="E1803" s="50"/>
      <c r="H1803"/>
      <c r="K1803"/>
    </row>
    <row r="1804" spans="5:11" x14ac:dyDescent="0.2">
      <c r="E1804" s="50"/>
      <c r="H1804"/>
      <c r="K1804"/>
    </row>
    <row r="1805" spans="5:11" x14ac:dyDescent="0.2">
      <c r="E1805" s="50"/>
      <c r="H1805"/>
      <c r="K1805"/>
    </row>
    <row r="1806" spans="5:11" x14ac:dyDescent="0.2">
      <c r="E1806" s="50"/>
      <c r="H1806"/>
      <c r="K1806"/>
    </row>
    <row r="1807" spans="5:11" x14ac:dyDescent="0.2">
      <c r="E1807" s="50"/>
      <c r="H1807"/>
      <c r="K1807"/>
    </row>
    <row r="1808" spans="5:11" x14ac:dyDescent="0.2">
      <c r="E1808" s="50"/>
      <c r="H1808"/>
      <c r="K1808"/>
    </row>
    <row r="1809" spans="5:11" x14ac:dyDescent="0.2">
      <c r="E1809" s="50"/>
      <c r="H1809"/>
      <c r="K1809"/>
    </row>
    <row r="1810" spans="5:11" x14ac:dyDescent="0.2">
      <c r="E1810" s="50"/>
      <c r="H1810"/>
      <c r="K1810"/>
    </row>
    <row r="1811" spans="5:11" x14ac:dyDescent="0.2">
      <c r="E1811" s="50"/>
      <c r="H1811"/>
      <c r="K1811"/>
    </row>
    <row r="1812" spans="5:11" x14ac:dyDescent="0.2">
      <c r="E1812" s="50"/>
      <c r="H1812"/>
      <c r="K1812"/>
    </row>
    <row r="1813" spans="5:11" x14ac:dyDescent="0.2">
      <c r="E1813" s="50"/>
      <c r="H1813"/>
      <c r="K1813"/>
    </row>
    <row r="1814" spans="5:11" x14ac:dyDescent="0.2">
      <c r="E1814" s="50"/>
      <c r="H1814"/>
      <c r="K1814"/>
    </row>
    <row r="1815" spans="5:11" x14ac:dyDescent="0.2">
      <c r="E1815" s="50"/>
      <c r="H1815"/>
      <c r="K1815"/>
    </row>
    <row r="1816" spans="5:11" x14ac:dyDescent="0.2">
      <c r="E1816" s="50"/>
      <c r="H1816"/>
      <c r="K1816"/>
    </row>
    <row r="1817" spans="5:11" x14ac:dyDescent="0.2">
      <c r="E1817" s="50"/>
      <c r="H1817"/>
      <c r="K1817"/>
    </row>
    <row r="1818" spans="5:11" x14ac:dyDescent="0.2">
      <c r="E1818" s="50"/>
      <c r="H1818"/>
      <c r="K1818"/>
    </row>
    <row r="1819" spans="5:11" x14ac:dyDescent="0.2">
      <c r="E1819" s="50"/>
      <c r="H1819"/>
      <c r="K1819"/>
    </row>
    <row r="1820" spans="5:11" x14ac:dyDescent="0.2">
      <c r="E1820" s="50"/>
      <c r="H1820"/>
      <c r="K1820"/>
    </row>
    <row r="1821" spans="5:11" x14ac:dyDescent="0.2">
      <c r="E1821" s="50"/>
      <c r="H1821"/>
      <c r="K1821"/>
    </row>
    <row r="1822" spans="5:11" x14ac:dyDescent="0.2">
      <c r="E1822" s="50"/>
      <c r="H1822"/>
      <c r="K1822"/>
    </row>
    <row r="1823" spans="5:11" x14ac:dyDescent="0.2">
      <c r="E1823" s="50"/>
      <c r="H1823"/>
      <c r="K1823"/>
    </row>
    <row r="1824" spans="5:11" x14ac:dyDescent="0.2">
      <c r="E1824" s="50"/>
      <c r="H1824"/>
      <c r="K1824"/>
    </row>
    <row r="1825" spans="5:11" x14ac:dyDescent="0.2">
      <c r="E1825" s="50"/>
      <c r="H1825"/>
      <c r="K1825"/>
    </row>
    <row r="1826" spans="5:11" x14ac:dyDescent="0.2">
      <c r="E1826" s="50"/>
      <c r="H1826"/>
      <c r="K1826"/>
    </row>
    <row r="1827" spans="5:11" x14ac:dyDescent="0.2">
      <c r="E1827" s="50"/>
      <c r="H1827"/>
      <c r="K1827"/>
    </row>
    <row r="1828" spans="5:11" x14ac:dyDescent="0.2">
      <c r="E1828" s="50"/>
      <c r="H1828"/>
      <c r="K1828"/>
    </row>
    <row r="1829" spans="5:11" x14ac:dyDescent="0.2">
      <c r="E1829" s="50"/>
      <c r="H1829"/>
      <c r="K1829"/>
    </row>
    <row r="1830" spans="5:11" x14ac:dyDescent="0.2">
      <c r="E1830" s="50"/>
      <c r="H1830"/>
      <c r="K1830"/>
    </row>
    <row r="1831" spans="5:11" x14ac:dyDescent="0.2">
      <c r="E1831" s="50"/>
      <c r="H1831"/>
      <c r="K1831"/>
    </row>
    <row r="1832" spans="5:11" x14ac:dyDescent="0.2">
      <c r="E1832" s="50"/>
      <c r="H1832"/>
      <c r="K1832"/>
    </row>
    <row r="1833" spans="5:11" x14ac:dyDescent="0.2">
      <c r="E1833" s="50"/>
      <c r="H1833"/>
      <c r="K1833"/>
    </row>
    <row r="1834" spans="5:11" x14ac:dyDescent="0.2">
      <c r="E1834" s="50"/>
      <c r="H1834"/>
      <c r="K1834"/>
    </row>
    <row r="1835" spans="5:11" x14ac:dyDescent="0.2">
      <c r="E1835" s="50"/>
      <c r="H1835"/>
      <c r="K1835"/>
    </row>
    <row r="1836" spans="5:11" x14ac:dyDescent="0.2">
      <c r="E1836" s="50"/>
      <c r="H1836"/>
      <c r="K1836"/>
    </row>
    <row r="1837" spans="5:11" x14ac:dyDescent="0.2">
      <c r="E1837" s="50"/>
      <c r="H1837"/>
      <c r="K1837"/>
    </row>
    <row r="1838" spans="5:11" x14ac:dyDescent="0.2">
      <c r="E1838" s="50"/>
      <c r="H1838"/>
      <c r="K1838"/>
    </row>
    <row r="1839" spans="5:11" x14ac:dyDescent="0.2">
      <c r="E1839" s="50"/>
      <c r="H1839"/>
      <c r="K1839"/>
    </row>
    <row r="1840" spans="5:11" x14ac:dyDescent="0.2">
      <c r="E1840" s="50"/>
      <c r="H1840"/>
      <c r="K1840"/>
    </row>
    <row r="1841" spans="5:11" x14ac:dyDescent="0.2">
      <c r="E1841" s="50"/>
      <c r="H1841"/>
      <c r="K1841"/>
    </row>
    <row r="1842" spans="5:11" x14ac:dyDescent="0.2">
      <c r="E1842" s="50"/>
      <c r="H1842"/>
      <c r="K1842"/>
    </row>
    <row r="1843" spans="5:11" x14ac:dyDescent="0.2">
      <c r="E1843" s="50"/>
      <c r="H1843"/>
      <c r="K1843"/>
    </row>
    <row r="1844" spans="5:11" x14ac:dyDescent="0.2">
      <c r="E1844" s="50"/>
      <c r="H1844"/>
      <c r="K1844"/>
    </row>
    <row r="1845" spans="5:11" x14ac:dyDescent="0.2">
      <c r="E1845" s="50"/>
      <c r="H1845"/>
      <c r="K1845"/>
    </row>
    <row r="1846" spans="5:11" x14ac:dyDescent="0.2">
      <c r="E1846" s="50"/>
      <c r="H1846"/>
      <c r="K1846"/>
    </row>
    <row r="1847" spans="5:11" x14ac:dyDescent="0.2">
      <c r="E1847" s="50"/>
      <c r="H1847"/>
      <c r="K1847"/>
    </row>
    <row r="1848" spans="5:11" x14ac:dyDescent="0.2">
      <c r="E1848" s="50"/>
      <c r="H1848"/>
      <c r="K1848"/>
    </row>
    <row r="1849" spans="5:11" x14ac:dyDescent="0.2">
      <c r="E1849" s="50"/>
      <c r="H1849"/>
      <c r="K1849"/>
    </row>
    <row r="1850" spans="5:11" x14ac:dyDescent="0.2">
      <c r="E1850" s="50"/>
      <c r="H1850"/>
      <c r="K1850"/>
    </row>
    <row r="1851" spans="5:11" x14ac:dyDescent="0.2">
      <c r="E1851" s="50"/>
      <c r="H1851"/>
      <c r="K1851"/>
    </row>
    <row r="1852" spans="5:11" x14ac:dyDescent="0.2">
      <c r="E1852" s="50"/>
      <c r="H1852"/>
      <c r="K1852"/>
    </row>
    <row r="1853" spans="5:11" x14ac:dyDescent="0.2">
      <c r="E1853" s="50"/>
      <c r="H1853"/>
      <c r="K1853"/>
    </row>
    <row r="1854" spans="5:11" x14ac:dyDescent="0.2">
      <c r="E1854" s="50"/>
      <c r="H1854"/>
      <c r="K1854"/>
    </row>
    <row r="1855" spans="5:11" x14ac:dyDescent="0.2">
      <c r="E1855" s="50"/>
      <c r="H1855"/>
      <c r="K1855"/>
    </row>
    <row r="1856" spans="5:11" x14ac:dyDescent="0.2">
      <c r="E1856" s="50"/>
      <c r="H1856"/>
      <c r="K1856"/>
    </row>
    <row r="1857" spans="5:11" x14ac:dyDescent="0.2">
      <c r="E1857" s="50"/>
      <c r="H1857"/>
      <c r="K1857"/>
    </row>
    <row r="1858" spans="5:11" x14ac:dyDescent="0.2">
      <c r="E1858" s="50"/>
      <c r="H1858"/>
      <c r="K1858"/>
    </row>
    <row r="1859" spans="5:11" x14ac:dyDescent="0.2">
      <c r="E1859" s="50"/>
      <c r="H1859"/>
      <c r="K1859"/>
    </row>
    <row r="1860" spans="5:11" x14ac:dyDescent="0.2">
      <c r="E1860" s="50"/>
      <c r="H1860"/>
      <c r="K1860"/>
    </row>
    <row r="1861" spans="5:11" x14ac:dyDescent="0.2">
      <c r="E1861" s="50"/>
      <c r="H1861"/>
      <c r="K1861"/>
    </row>
    <row r="1862" spans="5:11" x14ac:dyDescent="0.2">
      <c r="E1862" s="50"/>
      <c r="H1862"/>
      <c r="K1862"/>
    </row>
    <row r="1863" spans="5:11" x14ac:dyDescent="0.2">
      <c r="E1863" s="50"/>
      <c r="H1863"/>
      <c r="K1863"/>
    </row>
    <row r="1864" spans="5:11" x14ac:dyDescent="0.2">
      <c r="E1864" s="50"/>
      <c r="H1864"/>
      <c r="K1864"/>
    </row>
    <row r="1865" spans="5:11" x14ac:dyDescent="0.2">
      <c r="E1865" s="50"/>
      <c r="H1865"/>
      <c r="K1865"/>
    </row>
    <row r="1866" spans="5:11" x14ac:dyDescent="0.2">
      <c r="E1866" s="50"/>
      <c r="H1866"/>
      <c r="K1866"/>
    </row>
    <row r="1867" spans="5:11" x14ac:dyDescent="0.2">
      <c r="E1867" s="50"/>
      <c r="H1867"/>
      <c r="K1867"/>
    </row>
    <row r="1868" spans="5:11" x14ac:dyDescent="0.2">
      <c r="E1868" s="50"/>
      <c r="H1868"/>
      <c r="K1868"/>
    </row>
    <row r="1869" spans="5:11" x14ac:dyDescent="0.2">
      <c r="E1869" s="50"/>
      <c r="H1869"/>
      <c r="K1869"/>
    </row>
    <row r="1870" spans="5:11" x14ac:dyDescent="0.2">
      <c r="E1870" s="50"/>
      <c r="H1870"/>
      <c r="K1870"/>
    </row>
    <row r="1871" spans="5:11" x14ac:dyDescent="0.2">
      <c r="E1871" s="50"/>
      <c r="H1871"/>
      <c r="K1871"/>
    </row>
    <row r="1872" spans="5:11" x14ac:dyDescent="0.2">
      <c r="E1872" s="50"/>
      <c r="H1872"/>
      <c r="K1872"/>
    </row>
    <row r="1873" spans="5:11" x14ac:dyDescent="0.2">
      <c r="E1873" s="50"/>
      <c r="H1873"/>
      <c r="K1873"/>
    </row>
    <row r="1874" spans="5:11" x14ac:dyDescent="0.2">
      <c r="E1874" s="50"/>
      <c r="H1874"/>
      <c r="K1874"/>
    </row>
    <row r="1875" spans="5:11" x14ac:dyDescent="0.2">
      <c r="E1875" s="50"/>
      <c r="H1875"/>
      <c r="K1875"/>
    </row>
    <row r="1876" spans="5:11" x14ac:dyDescent="0.2">
      <c r="E1876" s="50"/>
      <c r="H1876"/>
      <c r="K1876"/>
    </row>
    <row r="1877" spans="5:11" x14ac:dyDescent="0.2">
      <c r="E1877" s="50"/>
      <c r="H1877"/>
      <c r="K1877"/>
    </row>
    <row r="1878" spans="5:11" x14ac:dyDescent="0.2">
      <c r="E1878" s="50"/>
      <c r="H1878"/>
      <c r="K1878"/>
    </row>
    <row r="1879" spans="5:11" x14ac:dyDescent="0.2">
      <c r="E1879" s="50"/>
      <c r="H1879"/>
      <c r="K1879"/>
    </row>
    <row r="1880" spans="5:11" x14ac:dyDescent="0.2">
      <c r="E1880" s="50"/>
      <c r="H1880"/>
      <c r="K1880"/>
    </row>
    <row r="1881" spans="5:11" x14ac:dyDescent="0.2">
      <c r="E1881" s="50"/>
      <c r="H1881"/>
      <c r="K1881"/>
    </row>
    <row r="1882" spans="5:11" x14ac:dyDescent="0.2">
      <c r="E1882" s="50"/>
      <c r="H1882"/>
      <c r="K1882"/>
    </row>
    <row r="1883" spans="5:11" x14ac:dyDescent="0.2">
      <c r="E1883" s="50"/>
      <c r="H1883"/>
      <c r="K1883"/>
    </row>
    <row r="1884" spans="5:11" x14ac:dyDescent="0.2">
      <c r="E1884" s="50"/>
      <c r="H1884"/>
      <c r="K1884"/>
    </row>
    <row r="1885" spans="5:11" x14ac:dyDescent="0.2">
      <c r="E1885" s="50"/>
      <c r="H1885"/>
      <c r="K1885"/>
    </row>
    <row r="1886" spans="5:11" x14ac:dyDescent="0.2">
      <c r="E1886" s="50"/>
      <c r="H1886"/>
      <c r="K1886"/>
    </row>
    <row r="1887" spans="5:11" x14ac:dyDescent="0.2">
      <c r="E1887" s="50"/>
      <c r="H1887"/>
      <c r="K1887"/>
    </row>
    <row r="1888" spans="5:11" x14ac:dyDescent="0.2">
      <c r="E1888" s="50"/>
      <c r="H1888"/>
      <c r="K1888"/>
    </row>
    <row r="1889" spans="5:11" x14ac:dyDescent="0.2">
      <c r="E1889" s="50"/>
      <c r="H1889"/>
      <c r="K1889"/>
    </row>
    <row r="1890" spans="5:11" x14ac:dyDescent="0.2">
      <c r="E1890" s="50"/>
      <c r="H1890"/>
      <c r="K1890"/>
    </row>
    <row r="1891" spans="5:11" x14ac:dyDescent="0.2">
      <c r="E1891" s="50"/>
      <c r="H1891"/>
      <c r="K1891"/>
    </row>
    <row r="1892" spans="5:11" x14ac:dyDescent="0.2">
      <c r="E1892" s="50"/>
      <c r="H1892"/>
      <c r="K1892"/>
    </row>
    <row r="1893" spans="5:11" x14ac:dyDescent="0.2">
      <c r="E1893" s="50"/>
      <c r="H1893"/>
      <c r="K1893"/>
    </row>
    <row r="1894" spans="5:11" x14ac:dyDescent="0.2">
      <c r="E1894" s="50"/>
      <c r="H1894"/>
      <c r="K1894"/>
    </row>
    <row r="1895" spans="5:11" x14ac:dyDescent="0.2">
      <c r="E1895" s="50"/>
      <c r="H1895"/>
      <c r="K1895"/>
    </row>
    <row r="1896" spans="5:11" x14ac:dyDescent="0.2">
      <c r="E1896" s="50"/>
      <c r="H1896"/>
      <c r="K1896"/>
    </row>
    <row r="1897" spans="5:11" x14ac:dyDescent="0.2">
      <c r="E1897" s="50"/>
      <c r="H1897"/>
      <c r="K1897"/>
    </row>
    <row r="1898" spans="5:11" x14ac:dyDescent="0.2">
      <c r="E1898" s="50"/>
      <c r="H1898"/>
      <c r="K1898"/>
    </row>
    <row r="1899" spans="5:11" x14ac:dyDescent="0.2">
      <c r="E1899" s="50"/>
      <c r="H1899"/>
      <c r="K1899"/>
    </row>
    <row r="1900" spans="5:11" x14ac:dyDescent="0.2">
      <c r="E1900" s="50"/>
      <c r="H1900"/>
      <c r="K1900"/>
    </row>
    <row r="1901" spans="5:11" x14ac:dyDescent="0.2">
      <c r="E1901" s="50"/>
      <c r="H1901"/>
      <c r="K1901"/>
    </row>
    <row r="1902" spans="5:11" x14ac:dyDescent="0.2">
      <c r="E1902" s="50"/>
      <c r="H1902"/>
      <c r="K1902"/>
    </row>
    <row r="1903" spans="5:11" x14ac:dyDescent="0.2">
      <c r="E1903" s="50"/>
      <c r="H1903"/>
      <c r="K1903"/>
    </row>
    <row r="1904" spans="5:11" x14ac:dyDescent="0.2">
      <c r="E1904" s="50"/>
      <c r="H1904"/>
      <c r="K1904"/>
    </row>
    <row r="1905" spans="5:11" x14ac:dyDescent="0.2">
      <c r="E1905" s="50"/>
      <c r="H1905"/>
      <c r="K1905"/>
    </row>
    <row r="1906" spans="5:11" x14ac:dyDescent="0.2">
      <c r="E1906" s="50"/>
      <c r="H1906"/>
      <c r="K1906"/>
    </row>
    <row r="1907" spans="5:11" x14ac:dyDescent="0.2">
      <c r="E1907" s="50"/>
      <c r="H1907"/>
      <c r="K1907"/>
    </row>
    <row r="1908" spans="5:11" x14ac:dyDescent="0.2">
      <c r="E1908" s="50"/>
      <c r="H1908"/>
      <c r="K1908"/>
    </row>
    <row r="1909" spans="5:11" x14ac:dyDescent="0.2">
      <c r="E1909" s="50"/>
      <c r="H1909"/>
      <c r="K1909"/>
    </row>
    <row r="1910" spans="5:11" x14ac:dyDescent="0.2">
      <c r="E1910" s="50"/>
      <c r="H1910"/>
      <c r="K1910"/>
    </row>
    <row r="1911" spans="5:11" x14ac:dyDescent="0.2">
      <c r="E1911" s="50"/>
      <c r="H1911"/>
      <c r="K1911"/>
    </row>
    <row r="1912" spans="5:11" x14ac:dyDescent="0.2">
      <c r="E1912" s="50"/>
      <c r="H1912"/>
      <c r="K1912"/>
    </row>
    <row r="1913" spans="5:11" x14ac:dyDescent="0.2">
      <c r="E1913" s="50"/>
      <c r="H1913"/>
      <c r="K1913"/>
    </row>
    <row r="1914" spans="5:11" x14ac:dyDescent="0.2">
      <c r="E1914" s="50"/>
      <c r="H1914"/>
      <c r="K1914"/>
    </row>
    <row r="1915" spans="5:11" x14ac:dyDescent="0.2">
      <c r="E1915" s="50"/>
      <c r="H1915"/>
      <c r="K1915"/>
    </row>
    <row r="1916" spans="5:11" x14ac:dyDescent="0.2">
      <c r="E1916" s="50"/>
      <c r="H1916"/>
      <c r="K1916"/>
    </row>
    <row r="1917" spans="5:11" x14ac:dyDescent="0.2">
      <c r="E1917" s="50"/>
      <c r="H1917"/>
      <c r="K1917"/>
    </row>
    <row r="1918" spans="5:11" x14ac:dyDescent="0.2">
      <c r="E1918" s="50"/>
      <c r="H1918"/>
      <c r="K1918"/>
    </row>
    <row r="1919" spans="5:11" x14ac:dyDescent="0.2">
      <c r="E1919" s="50"/>
      <c r="H1919"/>
      <c r="K1919"/>
    </row>
    <row r="1920" spans="5:11" x14ac:dyDescent="0.2">
      <c r="E1920" s="50"/>
      <c r="H1920"/>
      <c r="K1920"/>
    </row>
    <row r="1921" spans="5:11" x14ac:dyDescent="0.2">
      <c r="E1921" s="50"/>
      <c r="H1921"/>
      <c r="K1921"/>
    </row>
    <row r="1922" spans="5:11" x14ac:dyDescent="0.2">
      <c r="E1922" s="50"/>
      <c r="H1922"/>
      <c r="K1922"/>
    </row>
    <row r="1923" spans="5:11" x14ac:dyDescent="0.2">
      <c r="E1923" s="50"/>
      <c r="H1923"/>
      <c r="K1923"/>
    </row>
    <row r="1924" spans="5:11" x14ac:dyDescent="0.2">
      <c r="E1924" s="50"/>
      <c r="H1924"/>
      <c r="K1924"/>
    </row>
    <row r="1925" spans="5:11" x14ac:dyDescent="0.2">
      <c r="E1925" s="50"/>
      <c r="H1925"/>
      <c r="K1925"/>
    </row>
    <row r="1926" spans="5:11" x14ac:dyDescent="0.2">
      <c r="E1926" s="50"/>
      <c r="H1926"/>
      <c r="K1926"/>
    </row>
    <row r="1927" spans="5:11" x14ac:dyDescent="0.2">
      <c r="E1927" s="50"/>
      <c r="H1927"/>
      <c r="K1927"/>
    </row>
    <row r="1928" spans="5:11" x14ac:dyDescent="0.2">
      <c r="E1928" s="50"/>
      <c r="H1928"/>
      <c r="K1928"/>
    </row>
    <row r="1929" spans="5:11" x14ac:dyDescent="0.2">
      <c r="E1929" s="50"/>
      <c r="H1929"/>
      <c r="K1929"/>
    </row>
    <row r="1930" spans="5:11" x14ac:dyDescent="0.2">
      <c r="E1930" s="50"/>
      <c r="H1930"/>
      <c r="K1930"/>
    </row>
    <row r="1931" spans="5:11" x14ac:dyDescent="0.2">
      <c r="E1931" s="50"/>
      <c r="H1931"/>
      <c r="K1931"/>
    </row>
    <row r="1932" spans="5:11" x14ac:dyDescent="0.2">
      <c r="E1932" s="50"/>
      <c r="H1932"/>
      <c r="K1932"/>
    </row>
    <row r="1933" spans="5:11" x14ac:dyDescent="0.2">
      <c r="E1933" s="50"/>
      <c r="H1933"/>
      <c r="K1933"/>
    </row>
    <row r="1934" spans="5:11" x14ac:dyDescent="0.2">
      <c r="E1934" s="50"/>
      <c r="H1934"/>
      <c r="K1934"/>
    </row>
    <row r="1935" spans="5:11" x14ac:dyDescent="0.2">
      <c r="E1935" s="50"/>
      <c r="H1935"/>
      <c r="K1935"/>
    </row>
    <row r="1936" spans="5:11" x14ac:dyDescent="0.2">
      <c r="E1936" s="50"/>
      <c r="H1936"/>
      <c r="K1936"/>
    </row>
    <row r="1937" spans="5:11" x14ac:dyDescent="0.2">
      <c r="E1937" s="50"/>
      <c r="H1937"/>
      <c r="K1937"/>
    </row>
    <row r="1938" spans="5:11" x14ac:dyDescent="0.2">
      <c r="E1938" s="50"/>
      <c r="H1938"/>
      <c r="K1938"/>
    </row>
    <row r="1939" spans="5:11" x14ac:dyDescent="0.2">
      <c r="E1939" s="50"/>
      <c r="H1939"/>
      <c r="K1939"/>
    </row>
    <row r="1940" spans="5:11" x14ac:dyDescent="0.2">
      <c r="E1940" s="50"/>
      <c r="H1940"/>
      <c r="K1940"/>
    </row>
    <row r="1941" spans="5:11" x14ac:dyDescent="0.2">
      <c r="E1941" s="50"/>
      <c r="H1941"/>
      <c r="K1941"/>
    </row>
    <row r="1942" spans="5:11" x14ac:dyDescent="0.2">
      <c r="E1942" s="50"/>
      <c r="H1942"/>
      <c r="K1942"/>
    </row>
    <row r="1943" spans="5:11" x14ac:dyDescent="0.2">
      <c r="E1943" s="50"/>
      <c r="H1943"/>
      <c r="K1943"/>
    </row>
    <row r="1944" spans="5:11" x14ac:dyDescent="0.2">
      <c r="E1944" s="50"/>
      <c r="H1944"/>
      <c r="K1944"/>
    </row>
    <row r="1945" spans="5:11" x14ac:dyDescent="0.2">
      <c r="E1945" s="50"/>
      <c r="H1945"/>
      <c r="K1945"/>
    </row>
    <row r="1946" spans="5:11" x14ac:dyDescent="0.2">
      <c r="E1946" s="50"/>
      <c r="H1946"/>
      <c r="K1946"/>
    </row>
    <row r="1947" spans="5:11" x14ac:dyDescent="0.2">
      <c r="E1947" s="50"/>
      <c r="H1947"/>
      <c r="K1947"/>
    </row>
    <row r="1948" spans="5:11" x14ac:dyDescent="0.2">
      <c r="E1948" s="50"/>
      <c r="H1948"/>
      <c r="K1948"/>
    </row>
    <row r="1949" spans="5:11" x14ac:dyDescent="0.2">
      <c r="E1949" s="50"/>
      <c r="H1949"/>
      <c r="K1949"/>
    </row>
    <row r="1950" spans="5:11" x14ac:dyDescent="0.2">
      <c r="E1950" s="50"/>
      <c r="H1950"/>
      <c r="K1950"/>
    </row>
    <row r="1951" spans="5:11" x14ac:dyDescent="0.2">
      <c r="E1951" s="50"/>
      <c r="H1951"/>
      <c r="K1951"/>
    </row>
    <row r="1952" spans="5:11" x14ac:dyDescent="0.2">
      <c r="E1952" s="50"/>
      <c r="H1952"/>
      <c r="K1952"/>
    </row>
    <row r="1953" spans="5:11" x14ac:dyDescent="0.2">
      <c r="E1953" s="50"/>
      <c r="H1953"/>
      <c r="K1953"/>
    </row>
    <row r="1954" spans="5:11" x14ac:dyDescent="0.2">
      <c r="E1954" s="50"/>
      <c r="H1954"/>
      <c r="K1954"/>
    </row>
    <row r="1955" spans="5:11" x14ac:dyDescent="0.2">
      <c r="E1955" s="50"/>
      <c r="H1955"/>
      <c r="K1955"/>
    </row>
    <row r="1956" spans="5:11" x14ac:dyDescent="0.2">
      <c r="E1956" s="50"/>
      <c r="H1956"/>
      <c r="K1956"/>
    </row>
    <row r="1957" spans="5:11" x14ac:dyDescent="0.2">
      <c r="E1957" s="50"/>
      <c r="H1957"/>
      <c r="K1957"/>
    </row>
    <row r="1958" spans="5:11" x14ac:dyDescent="0.2">
      <c r="E1958" s="50"/>
      <c r="H1958"/>
      <c r="K1958"/>
    </row>
    <row r="1959" spans="5:11" x14ac:dyDescent="0.2">
      <c r="E1959" s="50"/>
      <c r="H1959"/>
      <c r="K1959"/>
    </row>
    <row r="1960" spans="5:11" x14ac:dyDescent="0.2">
      <c r="E1960" s="50"/>
      <c r="H1960"/>
      <c r="K1960"/>
    </row>
    <row r="1961" spans="5:11" x14ac:dyDescent="0.2">
      <c r="E1961" s="50"/>
      <c r="H1961"/>
      <c r="K1961"/>
    </row>
    <row r="1962" spans="5:11" x14ac:dyDescent="0.2">
      <c r="E1962" s="50"/>
      <c r="H1962"/>
      <c r="K1962"/>
    </row>
    <row r="1963" spans="5:11" x14ac:dyDescent="0.2">
      <c r="E1963" s="50"/>
      <c r="H1963"/>
      <c r="K1963"/>
    </row>
    <row r="1964" spans="5:11" x14ac:dyDescent="0.2">
      <c r="E1964" s="50"/>
      <c r="H1964"/>
      <c r="K1964"/>
    </row>
    <row r="1965" spans="5:11" x14ac:dyDescent="0.2">
      <c r="E1965" s="50"/>
      <c r="H1965"/>
      <c r="K1965"/>
    </row>
    <row r="1966" spans="5:11" x14ac:dyDescent="0.2">
      <c r="E1966" s="50"/>
      <c r="H1966"/>
      <c r="K1966"/>
    </row>
    <row r="1967" spans="5:11" x14ac:dyDescent="0.2">
      <c r="E1967" s="50"/>
      <c r="H1967"/>
      <c r="K1967"/>
    </row>
    <row r="1968" spans="5:11" x14ac:dyDescent="0.2">
      <c r="E1968" s="50"/>
      <c r="H1968"/>
      <c r="K1968"/>
    </row>
    <row r="1969" spans="5:11" x14ac:dyDescent="0.2">
      <c r="E1969" s="50"/>
      <c r="H1969"/>
      <c r="K1969"/>
    </row>
    <row r="1970" spans="5:11" x14ac:dyDescent="0.2">
      <c r="E1970" s="50"/>
      <c r="H1970"/>
      <c r="K1970"/>
    </row>
    <row r="1971" spans="5:11" x14ac:dyDescent="0.2">
      <c r="E1971" s="50"/>
      <c r="H1971"/>
      <c r="K1971"/>
    </row>
    <row r="1972" spans="5:11" x14ac:dyDescent="0.2">
      <c r="E1972" s="50"/>
      <c r="H1972"/>
      <c r="K1972"/>
    </row>
    <row r="1973" spans="5:11" x14ac:dyDescent="0.2">
      <c r="E1973" s="50"/>
      <c r="H1973"/>
      <c r="K1973"/>
    </row>
    <row r="1974" spans="5:11" x14ac:dyDescent="0.2">
      <c r="E1974" s="50"/>
      <c r="H1974"/>
      <c r="K1974"/>
    </row>
    <row r="1975" spans="5:11" x14ac:dyDescent="0.2">
      <c r="E1975" s="50"/>
      <c r="H1975"/>
      <c r="K1975"/>
    </row>
    <row r="1976" spans="5:11" x14ac:dyDescent="0.2">
      <c r="E1976" s="50"/>
      <c r="H1976"/>
      <c r="K1976"/>
    </row>
    <row r="1977" spans="5:11" x14ac:dyDescent="0.2">
      <c r="E1977" s="50"/>
      <c r="H1977"/>
      <c r="K1977"/>
    </row>
    <row r="1978" spans="5:11" x14ac:dyDescent="0.2">
      <c r="E1978" s="50"/>
      <c r="H1978"/>
      <c r="K1978"/>
    </row>
    <row r="1979" spans="5:11" x14ac:dyDescent="0.2">
      <c r="E1979" s="50"/>
      <c r="H1979"/>
      <c r="K1979"/>
    </row>
    <row r="1980" spans="5:11" x14ac:dyDescent="0.2">
      <c r="E1980" s="50"/>
      <c r="H1980"/>
      <c r="K1980"/>
    </row>
    <row r="1981" spans="5:11" x14ac:dyDescent="0.2">
      <c r="E1981" s="50"/>
      <c r="H1981"/>
      <c r="K1981"/>
    </row>
    <row r="1982" spans="5:11" x14ac:dyDescent="0.2">
      <c r="E1982" s="50"/>
      <c r="H1982"/>
      <c r="K1982"/>
    </row>
    <row r="1983" spans="5:11" x14ac:dyDescent="0.2">
      <c r="E1983" s="50"/>
      <c r="H1983"/>
      <c r="K1983"/>
    </row>
    <row r="1984" spans="5:11" x14ac:dyDescent="0.2">
      <c r="E1984" s="50"/>
      <c r="H1984"/>
      <c r="K1984"/>
    </row>
    <row r="1985" spans="5:11" x14ac:dyDescent="0.2">
      <c r="E1985" s="50"/>
      <c r="H1985"/>
      <c r="K1985"/>
    </row>
    <row r="1986" spans="5:11" x14ac:dyDescent="0.2">
      <c r="E1986" s="50"/>
      <c r="H1986"/>
      <c r="K1986"/>
    </row>
    <row r="1987" spans="5:11" x14ac:dyDescent="0.2">
      <c r="E1987" s="50"/>
      <c r="H1987"/>
      <c r="K1987"/>
    </row>
    <row r="1988" spans="5:11" x14ac:dyDescent="0.2">
      <c r="E1988" s="50"/>
      <c r="H1988"/>
      <c r="K1988"/>
    </row>
    <row r="1989" spans="5:11" x14ac:dyDescent="0.2">
      <c r="E1989" s="50"/>
      <c r="H1989"/>
      <c r="K1989"/>
    </row>
    <row r="1990" spans="5:11" x14ac:dyDescent="0.2">
      <c r="E1990" s="50"/>
      <c r="H1990"/>
      <c r="K1990"/>
    </row>
    <row r="1991" spans="5:11" x14ac:dyDescent="0.2">
      <c r="E1991" s="50"/>
      <c r="H1991"/>
      <c r="K1991"/>
    </row>
    <row r="1992" spans="5:11" x14ac:dyDescent="0.2">
      <c r="E1992" s="50"/>
      <c r="H1992"/>
      <c r="K1992"/>
    </row>
    <row r="1993" spans="5:11" x14ac:dyDescent="0.2">
      <c r="E1993" s="50"/>
      <c r="H1993"/>
      <c r="K1993"/>
    </row>
    <row r="1994" spans="5:11" x14ac:dyDescent="0.2">
      <c r="E1994" s="50"/>
      <c r="H1994"/>
      <c r="K1994"/>
    </row>
    <row r="1995" spans="5:11" x14ac:dyDescent="0.2">
      <c r="E1995" s="50"/>
      <c r="H1995"/>
      <c r="K1995"/>
    </row>
    <row r="1996" spans="5:11" x14ac:dyDescent="0.2">
      <c r="E1996" s="50"/>
      <c r="H1996"/>
      <c r="K1996"/>
    </row>
    <row r="1997" spans="5:11" x14ac:dyDescent="0.2">
      <c r="E1997" s="50"/>
      <c r="H1997"/>
      <c r="K1997"/>
    </row>
    <row r="1998" spans="5:11" x14ac:dyDescent="0.2">
      <c r="E1998" s="50"/>
      <c r="H1998"/>
      <c r="K1998"/>
    </row>
    <row r="1999" spans="5:11" x14ac:dyDescent="0.2">
      <c r="E1999" s="50"/>
      <c r="H1999"/>
      <c r="K1999"/>
    </row>
    <row r="2000" spans="5:11" x14ac:dyDescent="0.2">
      <c r="E2000" s="50"/>
      <c r="H2000"/>
      <c r="K2000"/>
    </row>
    <row r="2001" spans="5:11" x14ac:dyDescent="0.2">
      <c r="E2001" s="50"/>
      <c r="H2001"/>
      <c r="K2001"/>
    </row>
    <row r="2002" spans="5:11" x14ac:dyDescent="0.2">
      <c r="E2002" s="50"/>
      <c r="H2002"/>
      <c r="K2002"/>
    </row>
    <row r="2003" spans="5:11" x14ac:dyDescent="0.2">
      <c r="E2003" s="50"/>
      <c r="H2003"/>
      <c r="K2003"/>
    </row>
    <row r="2004" spans="5:11" x14ac:dyDescent="0.2">
      <c r="E2004" s="50"/>
      <c r="H2004"/>
      <c r="K2004"/>
    </row>
    <row r="2005" spans="5:11" x14ac:dyDescent="0.2">
      <c r="E2005" s="50"/>
      <c r="H2005"/>
      <c r="K2005"/>
    </row>
    <row r="2006" spans="5:11" x14ac:dyDescent="0.2">
      <c r="E2006" s="50"/>
      <c r="H2006"/>
      <c r="K2006"/>
    </row>
    <row r="2007" spans="5:11" x14ac:dyDescent="0.2">
      <c r="E2007" s="50"/>
      <c r="H2007"/>
      <c r="K2007"/>
    </row>
    <row r="2008" spans="5:11" x14ac:dyDescent="0.2">
      <c r="E2008" s="50"/>
      <c r="H2008"/>
      <c r="K2008"/>
    </row>
    <row r="2009" spans="5:11" x14ac:dyDescent="0.2">
      <c r="E2009" s="50"/>
      <c r="H2009"/>
      <c r="K2009"/>
    </row>
    <row r="2010" spans="5:11" x14ac:dyDescent="0.2">
      <c r="E2010" s="50"/>
      <c r="H2010"/>
      <c r="K2010"/>
    </row>
    <row r="2011" spans="5:11" x14ac:dyDescent="0.2">
      <c r="E2011" s="50"/>
      <c r="H2011"/>
      <c r="K2011"/>
    </row>
    <row r="2012" spans="5:11" x14ac:dyDescent="0.2">
      <c r="E2012" s="50"/>
      <c r="H2012"/>
      <c r="K2012"/>
    </row>
    <row r="2013" spans="5:11" x14ac:dyDescent="0.2">
      <c r="E2013" s="50"/>
      <c r="H2013"/>
      <c r="K2013"/>
    </row>
    <row r="2014" spans="5:11" x14ac:dyDescent="0.2">
      <c r="E2014" s="50"/>
      <c r="H2014"/>
      <c r="K2014"/>
    </row>
    <row r="2015" spans="5:11" x14ac:dyDescent="0.2">
      <c r="E2015" s="50"/>
      <c r="H2015"/>
      <c r="K2015"/>
    </row>
    <row r="2016" spans="5:11" x14ac:dyDescent="0.2">
      <c r="E2016" s="50"/>
      <c r="H2016"/>
      <c r="K2016"/>
    </row>
    <row r="2017" spans="5:11" x14ac:dyDescent="0.2">
      <c r="E2017" s="50"/>
      <c r="H2017"/>
      <c r="K2017"/>
    </row>
    <row r="2018" spans="5:11" x14ac:dyDescent="0.2">
      <c r="E2018" s="50"/>
      <c r="H2018"/>
      <c r="K2018"/>
    </row>
    <row r="2019" spans="5:11" x14ac:dyDescent="0.2">
      <c r="E2019" s="50"/>
      <c r="H2019"/>
      <c r="K2019"/>
    </row>
    <row r="2020" spans="5:11" x14ac:dyDescent="0.2">
      <c r="E2020" s="50"/>
      <c r="H2020"/>
      <c r="K2020"/>
    </row>
    <row r="2021" spans="5:11" x14ac:dyDescent="0.2">
      <c r="E2021" s="50"/>
      <c r="H2021"/>
      <c r="K2021"/>
    </row>
    <row r="2022" spans="5:11" x14ac:dyDescent="0.2">
      <c r="E2022" s="50"/>
      <c r="H2022"/>
      <c r="K2022"/>
    </row>
    <row r="2023" spans="5:11" x14ac:dyDescent="0.2">
      <c r="E2023" s="50"/>
      <c r="H2023"/>
      <c r="K2023"/>
    </row>
    <row r="2024" spans="5:11" x14ac:dyDescent="0.2">
      <c r="E2024" s="50"/>
      <c r="H2024"/>
      <c r="K2024"/>
    </row>
    <row r="2025" spans="5:11" x14ac:dyDescent="0.2">
      <c r="E2025" s="50"/>
      <c r="H2025"/>
      <c r="K2025"/>
    </row>
    <row r="2026" spans="5:11" x14ac:dyDescent="0.2">
      <c r="E2026" s="50"/>
      <c r="H2026"/>
      <c r="K2026"/>
    </row>
    <row r="2027" spans="5:11" x14ac:dyDescent="0.2">
      <c r="E2027" s="50"/>
      <c r="H2027"/>
      <c r="K2027"/>
    </row>
    <row r="2028" spans="5:11" x14ac:dyDescent="0.2">
      <c r="E2028" s="50"/>
      <c r="H2028"/>
      <c r="K2028"/>
    </row>
    <row r="2029" spans="5:11" x14ac:dyDescent="0.2">
      <c r="E2029" s="50"/>
      <c r="H2029"/>
      <c r="K2029"/>
    </row>
    <row r="2030" spans="5:11" x14ac:dyDescent="0.2">
      <c r="E2030" s="50"/>
      <c r="H2030"/>
      <c r="K2030"/>
    </row>
    <row r="2031" spans="5:11" x14ac:dyDescent="0.2">
      <c r="E2031" s="50"/>
      <c r="H2031"/>
      <c r="K2031"/>
    </row>
    <row r="2032" spans="5:11" x14ac:dyDescent="0.2">
      <c r="E2032" s="50"/>
      <c r="H2032"/>
      <c r="K2032"/>
    </row>
    <row r="2033" spans="5:11" x14ac:dyDescent="0.2">
      <c r="E2033" s="50"/>
      <c r="H2033"/>
      <c r="K2033"/>
    </row>
    <row r="2034" spans="5:11" x14ac:dyDescent="0.2">
      <c r="E2034" s="50"/>
      <c r="H2034"/>
      <c r="K2034"/>
    </row>
    <row r="2035" spans="5:11" x14ac:dyDescent="0.2">
      <c r="E2035" s="50"/>
      <c r="H2035"/>
      <c r="K2035"/>
    </row>
    <row r="2036" spans="5:11" x14ac:dyDescent="0.2">
      <c r="E2036" s="50"/>
      <c r="H2036"/>
      <c r="K2036"/>
    </row>
    <row r="2037" spans="5:11" x14ac:dyDescent="0.2">
      <c r="E2037" s="50"/>
      <c r="H2037"/>
      <c r="K2037"/>
    </row>
    <row r="2038" spans="5:11" x14ac:dyDescent="0.2">
      <c r="E2038" s="50"/>
      <c r="H2038"/>
      <c r="K2038"/>
    </row>
    <row r="2039" spans="5:11" x14ac:dyDescent="0.2">
      <c r="E2039" s="50"/>
      <c r="H2039"/>
      <c r="K2039"/>
    </row>
    <row r="2040" spans="5:11" x14ac:dyDescent="0.2">
      <c r="E2040" s="50"/>
      <c r="H2040"/>
      <c r="K2040"/>
    </row>
    <row r="2041" spans="5:11" x14ac:dyDescent="0.2">
      <c r="E2041" s="50"/>
      <c r="H2041"/>
      <c r="K2041"/>
    </row>
    <row r="2042" spans="5:11" x14ac:dyDescent="0.2">
      <c r="E2042" s="50"/>
      <c r="H2042"/>
      <c r="K2042"/>
    </row>
    <row r="2043" spans="5:11" x14ac:dyDescent="0.2">
      <c r="E2043" s="50"/>
      <c r="H2043"/>
      <c r="K2043"/>
    </row>
    <row r="2044" spans="5:11" x14ac:dyDescent="0.2">
      <c r="E2044" s="50"/>
      <c r="H2044"/>
      <c r="K2044"/>
    </row>
    <row r="2045" spans="5:11" x14ac:dyDescent="0.2">
      <c r="E2045" s="50"/>
      <c r="H2045"/>
      <c r="K2045"/>
    </row>
    <row r="2046" spans="5:11" x14ac:dyDescent="0.2">
      <c r="E2046" s="50"/>
      <c r="H2046"/>
      <c r="K2046"/>
    </row>
    <row r="2047" spans="5:11" x14ac:dyDescent="0.2">
      <c r="E2047" s="50"/>
      <c r="H2047"/>
      <c r="K2047"/>
    </row>
    <row r="2048" spans="5:11" x14ac:dyDescent="0.2">
      <c r="E2048" s="50"/>
      <c r="H2048"/>
      <c r="K2048"/>
    </row>
    <row r="2049" spans="5:11" x14ac:dyDescent="0.2">
      <c r="E2049" s="50"/>
      <c r="H2049"/>
      <c r="K2049"/>
    </row>
    <row r="2050" spans="5:11" x14ac:dyDescent="0.2">
      <c r="E2050" s="50"/>
      <c r="H2050"/>
      <c r="K2050"/>
    </row>
    <row r="2051" spans="5:11" x14ac:dyDescent="0.2">
      <c r="E2051" s="50"/>
      <c r="H2051"/>
      <c r="K2051"/>
    </row>
    <row r="2052" spans="5:11" x14ac:dyDescent="0.2">
      <c r="E2052" s="50"/>
      <c r="H2052"/>
      <c r="K2052"/>
    </row>
    <row r="2053" spans="5:11" x14ac:dyDescent="0.2">
      <c r="E2053" s="50"/>
      <c r="H2053"/>
      <c r="K2053"/>
    </row>
    <row r="2054" spans="5:11" x14ac:dyDescent="0.2">
      <c r="E2054" s="50"/>
      <c r="H2054"/>
      <c r="K2054"/>
    </row>
    <row r="2055" spans="5:11" x14ac:dyDescent="0.2">
      <c r="E2055" s="50"/>
      <c r="H2055"/>
      <c r="K2055"/>
    </row>
    <row r="2056" spans="5:11" x14ac:dyDescent="0.2">
      <c r="E2056" s="50"/>
      <c r="H2056"/>
      <c r="K2056"/>
    </row>
    <row r="2057" spans="5:11" x14ac:dyDescent="0.2">
      <c r="E2057" s="50"/>
      <c r="H2057"/>
      <c r="K2057"/>
    </row>
    <row r="2058" spans="5:11" x14ac:dyDescent="0.2">
      <c r="E2058" s="50"/>
      <c r="H2058"/>
      <c r="K2058"/>
    </row>
    <row r="2059" spans="5:11" x14ac:dyDescent="0.2">
      <c r="E2059" s="50"/>
      <c r="H2059"/>
      <c r="K2059"/>
    </row>
    <row r="2060" spans="5:11" x14ac:dyDescent="0.2">
      <c r="E2060" s="50"/>
      <c r="H2060"/>
      <c r="K2060"/>
    </row>
    <row r="2061" spans="5:11" x14ac:dyDescent="0.2">
      <c r="E2061" s="50"/>
      <c r="H2061"/>
      <c r="K2061"/>
    </row>
    <row r="2062" spans="5:11" x14ac:dyDescent="0.2">
      <c r="E2062" s="50"/>
      <c r="H2062"/>
      <c r="K2062"/>
    </row>
    <row r="2063" spans="5:11" x14ac:dyDescent="0.2">
      <c r="E2063" s="50"/>
      <c r="H2063"/>
      <c r="K2063"/>
    </row>
    <row r="2064" spans="5:11" x14ac:dyDescent="0.2">
      <c r="E2064" s="50"/>
      <c r="H2064"/>
      <c r="K2064"/>
    </row>
    <row r="2065" spans="5:11" x14ac:dyDescent="0.2">
      <c r="E2065" s="50"/>
      <c r="H2065"/>
      <c r="K2065"/>
    </row>
    <row r="2066" spans="5:11" x14ac:dyDescent="0.2">
      <c r="E2066" s="50"/>
      <c r="H2066"/>
      <c r="K2066"/>
    </row>
    <row r="2067" spans="5:11" x14ac:dyDescent="0.2">
      <c r="E2067" s="50"/>
      <c r="H2067"/>
      <c r="K2067"/>
    </row>
    <row r="2068" spans="5:11" x14ac:dyDescent="0.2">
      <c r="E2068" s="50"/>
      <c r="H2068"/>
      <c r="K2068"/>
    </row>
    <row r="2069" spans="5:11" x14ac:dyDescent="0.2">
      <c r="E2069" s="50"/>
      <c r="H2069"/>
      <c r="K2069"/>
    </row>
    <row r="2070" spans="5:11" x14ac:dyDescent="0.2">
      <c r="E2070" s="50"/>
      <c r="H2070"/>
      <c r="K2070"/>
    </row>
    <row r="2071" spans="5:11" x14ac:dyDescent="0.2">
      <c r="E2071" s="50"/>
      <c r="H2071"/>
      <c r="K2071"/>
    </row>
    <row r="2072" spans="5:11" x14ac:dyDescent="0.2">
      <c r="E2072" s="50"/>
      <c r="H2072"/>
      <c r="K2072"/>
    </row>
    <row r="2073" spans="5:11" x14ac:dyDescent="0.2">
      <c r="E2073" s="50"/>
      <c r="H2073"/>
      <c r="K2073"/>
    </row>
    <row r="2074" spans="5:11" x14ac:dyDescent="0.2">
      <c r="E2074" s="50"/>
      <c r="H2074"/>
      <c r="K2074"/>
    </row>
    <row r="2075" spans="5:11" x14ac:dyDescent="0.2">
      <c r="E2075" s="50"/>
      <c r="H2075"/>
      <c r="K2075"/>
    </row>
    <row r="2076" spans="5:11" x14ac:dyDescent="0.2">
      <c r="E2076" s="50"/>
      <c r="H2076"/>
      <c r="K2076"/>
    </row>
    <row r="2077" spans="5:11" x14ac:dyDescent="0.2">
      <c r="E2077" s="50"/>
      <c r="H2077"/>
      <c r="K2077"/>
    </row>
    <row r="2078" spans="5:11" x14ac:dyDescent="0.2">
      <c r="E2078" s="50"/>
      <c r="H2078"/>
      <c r="K2078"/>
    </row>
    <row r="2079" spans="5:11" x14ac:dyDescent="0.2">
      <c r="E2079" s="50"/>
      <c r="H2079"/>
      <c r="K2079"/>
    </row>
    <row r="2080" spans="5:11" x14ac:dyDescent="0.2">
      <c r="E2080" s="50"/>
      <c r="H2080"/>
      <c r="K2080"/>
    </row>
    <row r="2081" spans="5:11" x14ac:dyDescent="0.2">
      <c r="E2081" s="50"/>
      <c r="H2081"/>
      <c r="K2081"/>
    </row>
    <row r="2082" spans="5:11" x14ac:dyDescent="0.2">
      <c r="E2082" s="50"/>
      <c r="H2082"/>
      <c r="K2082"/>
    </row>
    <row r="2083" spans="5:11" x14ac:dyDescent="0.2">
      <c r="E2083" s="50"/>
      <c r="H2083"/>
      <c r="K2083"/>
    </row>
    <row r="2084" spans="5:11" x14ac:dyDescent="0.2">
      <c r="E2084" s="50"/>
      <c r="H2084"/>
      <c r="K2084"/>
    </row>
    <row r="2085" spans="5:11" x14ac:dyDescent="0.2">
      <c r="E2085" s="50"/>
      <c r="H2085"/>
      <c r="K2085"/>
    </row>
    <row r="2086" spans="5:11" x14ac:dyDescent="0.2">
      <c r="E2086" s="50"/>
      <c r="H2086"/>
      <c r="K2086"/>
    </row>
    <row r="2087" spans="5:11" x14ac:dyDescent="0.2">
      <c r="E2087" s="50"/>
      <c r="H2087"/>
      <c r="K2087"/>
    </row>
    <row r="2088" spans="5:11" x14ac:dyDescent="0.2">
      <c r="E2088" s="50"/>
      <c r="H2088"/>
      <c r="K2088"/>
    </row>
    <row r="2089" spans="5:11" x14ac:dyDescent="0.2">
      <c r="E2089" s="50"/>
      <c r="H2089"/>
      <c r="K2089"/>
    </row>
    <row r="2090" spans="5:11" x14ac:dyDescent="0.2">
      <c r="E2090" s="50"/>
      <c r="H2090"/>
      <c r="K2090"/>
    </row>
    <row r="2091" spans="5:11" x14ac:dyDescent="0.2">
      <c r="E2091" s="50"/>
      <c r="H2091"/>
      <c r="K2091"/>
    </row>
    <row r="2092" spans="5:11" x14ac:dyDescent="0.2">
      <c r="E2092" s="50"/>
      <c r="H2092"/>
      <c r="K2092"/>
    </row>
    <row r="2093" spans="5:11" x14ac:dyDescent="0.2">
      <c r="E2093" s="50"/>
      <c r="H2093"/>
      <c r="K2093"/>
    </row>
    <row r="2094" spans="5:11" x14ac:dyDescent="0.2">
      <c r="E2094" s="50"/>
      <c r="H2094"/>
      <c r="K2094"/>
    </row>
    <row r="2095" spans="5:11" x14ac:dyDescent="0.2">
      <c r="E2095" s="50"/>
      <c r="H2095"/>
      <c r="K2095"/>
    </row>
    <row r="2096" spans="5:11" x14ac:dyDescent="0.2">
      <c r="E2096" s="50"/>
      <c r="H2096"/>
      <c r="K2096"/>
    </row>
    <row r="2097" spans="5:11" x14ac:dyDescent="0.2">
      <c r="E2097" s="50"/>
      <c r="H2097"/>
      <c r="K2097"/>
    </row>
    <row r="2098" spans="5:11" x14ac:dyDescent="0.2">
      <c r="E2098" s="50"/>
      <c r="H2098"/>
      <c r="K2098"/>
    </row>
    <row r="2099" spans="5:11" x14ac:dyDescent="0.2">
      <c r="E2099" s="50"/>
      <c r="H2099"/>
      <c r="K2099"/>
    </row>
    <row r="2100" spans="5:11" x14ac:dyDescent="0.2">
      <c r="E2100" s="50"/>
      <c r="H2100"/>
      <c r="K2100"/>
    </row>
    <row r="2101" spans="5:11" x14ac:dyDescent="0.2">
      <c r="E2101" s="50"/>
      <c r="H2101"/>
      <c r="K2101"/>
    </row>
    <row r="2102" spans="5:11" x14ac:dyDescent="0.2">
      <c r="E2102" s="50"/>
      <c r="H2102"/>
      <c r="K2102"/>
    </row>
    <row r="2103" spans="5:11" x14ac:dyDescent="0.2">
      <c r="E2103" s="50"/>
      <c r="H2103"/>
      <c r="K2103"/>
    </row>
    <row r="2104" spans="5:11" x14ac:dyDescent="0.2">
      <c r="E2104" s="50"/>
      <c r="H2104"/>
      <c r="K2104"/>
    </row>
    <row r="2105" spans="5:11" x14ac:dyDescent="0.2">
      <c r="E2105" s="50"/>
      <c r="H2105"/>
      <c r="K2105"/>
    </row>
    <row r="2106" spans="5:11" x14ac:dyDescent="0.2">
      <c r="E2106" s="50"/>
      <c r="H2106"/>
      <c r="K2106"/>
    </row>
    <row r="2107" spans="5:11" x14ac:dyDescent="0.2">
      <c r="E2107" s="50"/>
      <c r="H2107"/>
      <c r="K2107"/>
    </row>
    <row r="2108" spans="5:11" x14ac:dyDescent="0.2">
      <c r="E2108" s="50"/>
      <c r="H2108"/>
      <c r="K2108"/>
    </row>
    <row r="2109" spans="5:11" x14ac:dyDescent="0.2">
      <c r="E2109" s="50"/>
      <c r="H2109"/>
      <c r="K2109"/>
    </row>
    <row r="2110" spans="5:11" x14ac:dyDescent="0.2">
      <c r="E2110" s="50"/>
      <c r="H2110"/>
      <c r="K2110"/>
    </row>
    <row r="2111" spans="5:11" x14ac:dyDescent="0.2">
      <c r="E2111" s="50"/>
      <c r="H2111"/>
      <c r="K2111"/>
    </row>
    <row r="2112" spans="5:11" x14ac:dyDescent="0.2">
      <c r="E2112" s="50"/>
      <c r="H2112"/>
      <c r="K2112"/>
    </row>
    <row r="2113" spans="5:11" x14ac:dyDescent="0.2">
      <c r="E2113" s="50"/>
      <c r="H2113"/>
      <c r="K2113"/>
    </row>
    <row r="2114" spans="5:11" x14ac:dyDescent="0.2">
      <c r="E2114" s="50"/>
      <c r="H2114"/>
      <c r="K2114"/>
    </row>
    <row r="2115" spans="5:11" x14ac:dyDescent="0.2">
      <c r="E2115" s="50"/>
      <c r="H2115"/>
      <c r="K2115"/>
    </row>
    <row r="2116" spans="5:11" x14ac:dyDescent="0.2">
      <c r="E2116" s="50"/>
      <c r="H2116"/>
      <c r="K2116"/>
    </row>
    <row r="2117" spans="5:11" x14ac:dyDescent="0.2">
      <c r="E2117" s="50"/>
      <c r="H2117"/>
      <c r="K2117"/>
    </row>
    <row r="2118" spans="5:11" x14ac:dyDescent="0.2">
      <c r="E2118" s="50"/>
      <c r="H2118"/>
      <c r="K2118"/>
    </row>
    <row r="2119" spans="5:11" x14ac:dyDescent="0.2">
      <c r="E2119" s="50"/>
      <c r="H2119"/>
      <c r="K2119"/>
    </row>
    <row r="2120" spans="5:11" x14ac:dyDescent="0.2">
      <c r="E2120" s="50"/>
      <c r="H2120"/>
      <c r="K2120"/>
    </row>
    <row r="2121" spans="5:11" x14ac:dyDescent="0.2">
      <c r="E2121" s="50"/>
      <c r="H2121"/>
      <c r="K2121"/>
    </row>
    <row r="2122" spans="5:11" x14ac:dyDescent="0.2">
      <c r="E2122" s="50"/>
      <c r="H2122"/>
      <c r="K2122"/>
    </row>
    <row r="2123" spans="5:11" x14ac:dyDescent="0.2">
      <c r="E2123" s="50"/>
      <c r="H2123"/>
      <c r="K2123"/>
    </row>
    <row r="2124" spans="5:11" x14ac:dyDescent="0.2">
      <c r="E2124" s="50"/>
      <c r="H2124"/>
      <c r="K2124"/>
    </row>
    <row r="2125" spans="5:11" x14ac:dyDescent="0.2">
      <c r="E2125" s="50"/>
      <c r="H2125"/>
      <c r="K2125"/>
    </row>
    <row r="2126" spans="5:11" x14ac:dyDescent="0.2">
      <c r="E2126" s="50"/>
      <c r="H2126"/>
      <c r="K2126"/>
    </row>
    <row r="2127" spans="5:11" x14ac:dyDescent="0.2">
      <c r="E2127" s="50"/>
      <c r="H2127"/>
      <c r="K2127"/>
    </row>
    <row r="2128" spans="5:11" x14ac:dyDescent="0.2">
      <c r="E2128" s="50"/>
      <c r="H2128"/>
      <c r="K2128"/>
    </row>
    <row r="2129" spans="5:11" x14ac:dyDescent="0.2">
      <c r="E2129" s="50"/>
      <c r="H2129"/>
      <c r="K2129"/>
    </row>
    <row r="2130" spans="5:11" x14ac:dyDescent="0.2">
      <c r="E2130" s="50"/>
      <c r="H2130"/>
      <c r="K2130"/>
    </row>
    <row r="2131" spans="5:11" x14ac:dyDescent="0.2">
      <c r="E2131" s="50"/>
      <c r="H2131"/>
      <c r="K2131"/>
    </row>
    <row r="2132" spans="5:11" x14ac:dyDescent="0.2">
      <c r="E2132" s="50"/>
      <c r="H2132"/>
      <c r="K2132"/>
    </row>
    <row r="2133" spans="5:11" x14ac:dyDescent="0.2">
      <c r="E2133" s="50"/>
      <c r="H2133"/>
      <c r="K2133"/>
    </row>
    <row r="2134" spans="5:11" x14ac:dyDescent="0.2">
      <c r="E2134" s="50"/>
      <c r="H2134"/>
      <c r="K2134"/>
    </row>
    <row r="2135" spans="5:11" x14ac:dyDescent="0.2">
      <c r="E2135" s="50"/>
      <c r="H2135"/>
      <c r="K2135"/>
    </row>
    <row r="2136" spans="5:11" x14ac:dyDescent="0.2">
      <c r="E2136" s="50"/>
      <c r="H2136"/>
      <c r="K2136"/>
    </row>
    <row r="2137" spans="5:11" x14ac:dyDescent="0.2">
      <c r="E2137" s="50"/>
      <c r="H2137"/>
      <c r="K2137"/>
    </row>
    <row r="2138" spans="5:11" x14ac:dyDescent="0.2">
      <c r="E2138" s="50"/>
      <c r="H2138"/>
      <c r="K2138"/>
    </row>
    <row r="2139" spans="5:11" x14ac:dyDescent="0.2">
      <c r="E2139" s="50"/>
      <c r="H2139"/>
      <c r="K2139"/>
    </row>
    <row r="2140" spans="5:11" x14ac:dyDescent="0.2">
      <c r="E2140" s="50"/>
      <c r="H2140"/>
      <c r="K2140"/>
    </row>
    <row r="2141" spans="5:11" x14ac:dyDescent="0.2">
      <c r="E2141" s="50"/>
      <c r="H2141"/>
      <c r="K2141"/>
    </row>
    <row r="2142" spans="5:11" x14ac:dyDescent="0.2">
      <c r="E2142" s="50"/>
      <c r="H2142"/>
      <c r="K2142"/>
    </row>
    <row r="2143" spans="5:11" x14ac:dyDescent="0.2">
      <c r="E2143" s="50"/>
      <c r="H2143"/>
      <c r="K2143"/>
    </row>
    <row r="2144" spans="5:11" x14ac:dyDescent="0.2">
      <c r="E2144" s="50"/>
      <c r="H2144"/>
      <c r="K2144"/>
    </row>
    <row r="2145" spans="5:11" x14ac:dyDescent="0.2">
      <c r="E2145" s="50"/>
      <c r="H2145"/>
      <c r="K2145"/>
    </row>
    <row r="2146" spans="5:11" x14ac:dyDescent="0.2">
      <c r="E2146" s="50"/>
      <c r="H2146"/>
      <c r="K2146"/>
    </row>
    <row r="2147" spans="5:11" x14ac:dyDescent="0.2">
      <c r="E2147" s="50"/>
      <c r="H2147"/>
      <c r="K2147"/>
    </row>
    <row r="2148" spans="5:11" x14ac:dyDescent="0.2">
      <c r="E2148" s="50"/>
      <c r="H2148"/>
      <c r="K2148"/>
    </row>
    <row r="2149" spans="5:11" x14ac:dyDescent="0.2">
      <c r="E2149" s="50"/>
      <c r="H2149"/>
      <c r="K2149"/>
    </row>
    <row r="2150" spans="5:11" x14ac:dyDescent="0.2">
      <c r="E2150" s="50"/>
      <c r="H2150"/>
      <c r="K2150"/>
    </row>
    <row r="2151" spans="5:11" x14ac:dyDescent="0.2">
      <c r="E2151" s="50"/>
      <c r="H2151"/>
      <c r="K2151"/>
    </row>
    <row r="2152" spans="5:11" x14ac:dyDescent="0.2">
      <c r="E2152" s="50"/>
      <c r="H2152"/>
      <c r="K2152"/>
    </row>
    <row r="2153" spans="5:11" x14ac:dyDescent="0.2">
      <c r="E2153" s="50"/>
      <c r="H2153"/>
      <c r="K2153"/>
    </row>
    <row r="2154" spans="5:11" x14ac:dyDescent="0.2">
      <c r="E2154" s="50"/>
      <c r="H2154"/>
      <c r="K2154"/>
    </row>
    <row r="2155" spans="5:11" x14ac:dyDescent="0.2">
      <c r="E2155" s="50"/>
      <c r="H2155"/>
      <c r="K2155"/>
    </row>
    <row r="2156" spans="5:11" x14ac:dyDescent="0.2">
      <c r="E2156" s="50"/>
      <c r="H2156"/>
      <c r="K2156"/>
    </row>
    <row r="2157" spans="5:11" x14ac:dyDescent="0.2">
      <c r="E2157" s="50"/>
      <c r="H2157"/>
      <c r="K2157"/>
    </row>
    <row r="2158" spans="5:11" x14ac:dyDescent="0.2">
      <c r="E2158" s="50"/>
      <c r="H2158"/>
      <c r="K2158"/>
    </row>
    <row r="2159" spans="5:11" x14ac:dyDescent="0.2">
      <c r="E2159" s="50"/>
      <c r="H2159"/>
      <c r="K2159"/>
    </row>
    <row r="2160" spans="5:11" x14ac:dyDescent="0.2">
      <c r="E2160" s="50"/>
      <c r="H2160"/>
      <c r="K2160"/>
    </row>
    <row r="2161" spans="5:11" x14ac:dyDescent="0.2">
      <c r="E2161" s="50"/>
      <c r="H2161"/>
      <c r="K2161"/>
    </row>
    <row r="2162" spans="5:11" x14ac:dyDescent="0.2">
      <c r="E2162" s="50"/>
      <c r="H2162"/>
      <c r="K2162"/>
    </row>
    <row r="2163" spans="5:11" x14ac:dyDescent="0.2">
      <c r="E2163" s="50"/>
      <c r="H2163"/>
      <c r="K2163"/>
    </row>
    <row r="2164" spans="5:11" x14ac:dyDescent="0.2">
      <c r="E2164" s="50"/>
      <c r="H2164"/>
      <c r="K2164"/>
    </row>
    <row r="2165" spans="5:11" x14ac:dyDescent="0.2">
      <c r="E2165" s="50"/>
      <c r="H2165"/>
      <c r="K2165"/>
    </row>
    <row r="2166" spans="5:11" x14ac:dyDescent="0.2">
      <c r="E2166" s="50"/>
      <c r="H2166"/>
      <c r="K2166"/>
    </row>
    <row r="2167" spans="5:11" x14ac:dyDescent="0.2">
      <c r="E2167" s="50"/>
      <c r="H2167"/>
      <c r="K2167"/>
    </row>
    <row r="2168" spans="5:11" x14ac:dyDescent="0.2">
      <c r="E2168" s="50"/>
      <c r="H2168"/>
      <c r="K2168"/>
    </row>
    <row r="2169" spans="5:11" x14ac:dyDescent="0.2">
      <c r="E2169" s="50"/>
      <c r="H2169"/>
      <c r="K2169"/>
    </row>
    <row r="2170" spans="5:11" x14ac:dyDescent="0.2">
      <c r="E2170" s="50"/>
      <c r="H2170"/>
      <c r="K2170"/>
    </row>
    <row r="2171" spans="5:11" x14ac:dyDescent="0.2">
      <c r="E2171" s="50"/>
      <c r="H2171"/>
      <c r="K2171"/>
    </row>
    <row r="2172" spans="5:11" x14ac:dyDescent="0.2">
      <c r="E2172" s="50"/>
      <c r="H2172"/>
      <c r="K2172"/>
    </row>
    <row r="2173" spans="5:11" x14ac:dyDescent="0.2">
      <c r="E2173" s="50"/>
      <c r="H2173"/>
      <c r="K2173"/>
    </row>
    <row r="2174" spans="5:11" x14ac:dyDescent="0.2">
      <c r="E2174" s="50"/>
      <c r="H2174"/>
      <c r="K2174"/>
    </row>
    <row r="2175" spans="5:11" x14ac:dyDescent="0.2">
      <c r="E2175" s="50"/>
      <c r="H2175"/>
      <c r="K2175"/>
    </row>
    <row r="2176" spans="5:11" x14ac:dyDescent="0.2">
      <c r="E2176" s="50"/>
      <c r="H2176"/>
      <c r="K2176"/>
    </row>
    <row r="2177" spans="5:11" x14ac:dyDescent="0.2">
      <c r="E2177" s="50"/>
      <c r="H2177"/>
      <c r="K2177"/>
    </row>
    <row r="2178" spans="5:11" x14ac:dyDescent="0.2">
      <c r="E2178" s="50"/>
      <c r="H2178"/>
      <c r="K2178"/>
    </row>
    <row r="2179" spans="5:11" x14ac:dyDescent="0.2">
      <c r="E2179" s="50"/>
      <c r="H2179"/>
      <c r="K2179"/>
    </row>
    <row r="2180" spans="5:11" x14ac:dyDescent="0.2">
      <c r="E2180" s="50"/>
      <c r="H2180"/>
      <c r="K2180"/>
    </row>
    <row r="2181" spans="5:11" x14ac:dyDescent="0.2">
      <c r="E2181" s="50"/>
      <c r="H2181"/>
      <c r="K2181"/>
    </row>
    <row r="2182" spans="5:11" x14ac:dyDescent="0.2">
      <c r="E2182" s="50"/>
      <c r="H2182"/>
      <c r="K2182"/>
    </row>
    <row r="2183" spans="5:11" x14ac:dyDescent="0.2">
      <c r="E2183" s="50"/>
      <c r="H2183"/>
      <c r="K2183"/>
    </row>
    <row r="2184" spans="5:11" x14ac:dyDescent="0.2">
      <c r="E2184" s="50"/>
      <c r="H2184"/>
      <c r="K2184"/>
    </row>
    <row r="2185" spans="5:11" x14ac:dyDescent="0.2">
      <c r="E2185" s="50"/>
      <c r="H2185"/>
      <c r="K2185"/>
    </row>
    <row r="2186" spans="5:11" x14ac:dyDescent="0.2">
      <c r="E2186" s="50"/>
      <c r="H2186"/>
      <c r="K2186"/>
    </row>
    <row r="2187" spans="5:11" x14ac:dyDescent="0.2">
      <c r="E2187" s="50"/>
      <c r="H2187"/>
      <c r="K2187"/>
    </row>
    <row r="2188" spans="5:11" x14ac:dyDescent="0.2">
      <c r="E2188" s="50"/>
      <c r="H2188"/>
      <c r="K2188"/>
    </row>
    <row r="2189" spans="5:11" x14ac:dyDescent="0.2">
      <c r="E2189" s="50"/>
      <c r="H2189"/>
      <c r="K2189"/>
    </row>
    <row r="2190" spans="5:11" x14ac:dyDescent="0.2">
      <c r="E2190" s="50"/>
      <c r="H2190"/>
      <c r="K2190"/>
    </row>
    <row r="2191" spans="5:11" x14ac:dyDescent="0.2">
      <c r="E2191" s="50"/>
      <c r="H2191"/>
      <c r="K2191"/>
    </row>
    <row r="2192" spans="5:11" x14ac:dyDescent="0.2">
      <c r="E2192" s="50"/>
      <c r="H2192"/>
      <c r="K2192"/>
    </row>
    <row r="2193" spans="5:11" x14ac:dyDescent="0.2">
      <c r="E2193" s="50"/>
      <c r="H2193"/>
      <c r="K2193"/>
    </row>
    <row r="2194" spans="5:11" x14ac:dyDescent="0.2">
      <c r="E2194" s="50"/>
      <c r="H2194"/>
      <c r="K2194"/>
    </row>
    <row r="2195" spans="5:11" x14ac:dyDescent="0.2">
      <c r="E2195" s="50"/>
      <c r="H2195"/>
      <c r="K2195"/>
    </row>
    <row r="2196" spans="5:11" x14ac:dyDescent="0.2">
      <c r="E2196" s="50"/>
      <c r="H2196"/>
      <c r="K2196"/>
    </row>
    <row r="2197" spans="5:11" x14ac:dyDescent="0.2">
      <c r="E2197" s="50"/>
      <c r="H2197"/>
      <c r="K2197"/>
    </row>
    <row r="2198" spans="5:11" x14ac:dyDescent="0.2">
      <c r="E2198" s="50"/>
      <c r="H2198"/>
      <c r="K2198"/>
    </row>
    <row r="2199" spans="5:11" x14ac:dyDescent="0.2">
      <c r="E2199" s="50"/>
      <c r="H2199"/>
      <c r="K2199"/>
    </row>
    <row r="2200" spans="5:11" x14ac:dyDescent="0.2">
      <c r="E2200" s="50"/>
      <c r="H2200"/>
      <c r="K2200"/>
    </row>
    <row r="2201" spans="5:11" x14ac:dyDescent="0.2">
      <c r="E2201" s="50"/>
      <c r="H2201"/>
      <c r="K2201"/>
    </row>
    <row r="2202" spans="5:11" x14ac:dyDescent="0.2">
      <c r="E2202" s="50"/>
      <c r="H2202"/>
      <c r="K2202"/>
    </row>
    <row r="2203" spans="5:11" x14ac:dyDescent="0.2">
      <c r="E2203" s="50"/>
      <c r="H2203"/>
      <c r="K2203"/>
    </row>
    <row r="2204" spans="5:11" x14ac:dyDescent="0.2">
      <c r="E2204" s="50"/>
      <c r="H2204"/>
      <c r="K2204"/>
    </row>
    <row r="2205" spans="5:11" x14ac:dyDescent="0.2">
      <c r="E2205" s="50"/>
      <c r="H2205"/>
      <c r="K2205"/>
    </row>
    <row r="2206" spans="5:11" x14ac:dyDescent="0.2">
      <c r="E2206" s="50"/>
      <c r="H2206"/>
      <c r="K2206"/>
    </row>
    <row r="2207" spans="5:11" x14ac:dyDescent="0.2">
      <c r="E2207" s="50"/>
      <c r="H2207"/>
      <c r="K2207"/>
    </row>
    <row r="2208" spans="5:11" x14ac:dyDescent="0.2">
      <c r="E2208" s="50"/>
      <c r="H2208"/>
      <c r="K2208"/>
    </row>
    <row r="2209" spans="5:11" x14ac:dyDescent="0.2">
      <c r="E2209" s="50"/>
      <c r="H2209"/>
      <c r="K2209"/>
    </row>
    <row r="2210" spans="5:11" x14ac:dyDescent="0.2">
      <c r="E2210" s="50"/>
      <c r="H2210"/>
      <c r="K2210"/>
    </row>
    <row r="2211" spans="5:11" x14ac:dyDescent="0.2">
      <c r="E2211" s="50"/>
      <c r="H2211"/>
      <c r="K2211"/>
    </row>
    <row r="2212" spans="5:11" x14ac:dyDescent="0.2">
      <c r="E2212" s="50"/>
      <c r="H2212"/>
      <c r="K2212"/>
    </row>
    <row r="2213" spans="5:11" x14ac:dyDescent="0.2">
      <c r="E2213" s="50"/>
      <c r="H2213"/>
      <c r="K2213"/>
    </row>
    <row r="2214" spans="5:11" x14ac:dyDescent="0.2">
      <c r="E2214" s="50"/>
      <c r="H2214"/>
      <c r="K2214"/>
    </row>
    <row r="2215" spans="5:11" x14ac:dyDescent="0.2">
      <c r="E2215" s="50"/>
      <c r="H2215"/>
      <c r="K2215"/>
    </row>
    <row r="2216" spans="5:11" x14ac:dyDescent="0.2">
      <c r="E2216" s="50"/>
      <c r="H2216"/>
      <c r="K2216"/>
    </row>
    <row r="2217" spans="5:11" x14ac:dyDescent="0.2">
      <c r="E2217" s="50"/>
      <c r="H2217"/>
      <c r="K2217"/>
    </row>
    <row r="2218" spans="5:11" x14ac:dyDescent="0.2">
      <c r="E2218" s="50"/>
      <c r="H2218"/>
      <c r="K2218"/>
    </row>
    <row r="2219" spans="5:11" x14ac:dyDescent="0.2">
      <c r="E2219" s="50"/>
      <c r="H2219"/>
      <c r="K2219"/>
    </row>
    <row r="2220" spans="5:11" x14ac:dyDescent="0.2">
      <c r="E2220" s="50"/>
      <c r="H2220"/>
      <c r="K2220"/>
    </row>
    <row r="2221" spans="5:11" x14ac:dyDescent="0.2">
      <c r="E2221" s="50"/>
      <c r="H2221"/>
      <c r="K2221"/>
    </row>
    <row r="2222" spans="5:11" x14ac:dyDescent="0.2">
      <c r="E2222" s="50"/>
      <c r="H2222"/>
      <c r="K2222"/>
    </row>
    <row r="2223" spans="5:11" x14ac:dyDescent="0.2">
      <c r="E2223" s="50"/>
      <c r="H2223"/>
      <c r="K2223"/>
    </row>
    <row r="2224" spans="5:11" x14ac:dyDescent="0.2">
      <c r="E2224" s="50"/>
      <c r="H2224"/>
      <c r="K2224"/>
    </row>
    <row r="2225" spans="5:11" x14ac:dyDescent="0.2">
      <c r="E2225" s="50"/>
      <c r="H2225"/>
      <c r="K2225"/>
    </row>
    <row r="2226" spans="5:11" x14ac:dyDescent="0.2">
      <c r="E2226" s="50"/>
      <c r="H2226"/>
      <c r="K2226"/>
    </row>
    <row r="2227" spans="5:11" x14ac:dyDescent="0.2">
      <c r="E2227" s="50"/>
      <c r="H2227"/>
      <c r="K2227"/>
    </row>
    <row r="2228" spans="5:11" x14ac:dyDescent="0.2">
      <c r="E2228" s="50"/>
      <c r="H2228"/>
      <c r="K2228"/>
    </row>
    <row r="2229" spans="5:11" x14ac:dyDescent="0.2">
      <c r="E2229" s="50"/>
      <c r="H2229"/>
      <c r="K2229"/>
    </row>
    <row r="2230" spans="5:11" x14ac:dyDescent="0.2">
      <c r="E2230" s="50"/>
      <c r="H2230"/>
      <c r="K2230"/>
    </row>
    <row r="2231" spans="5:11" x14ac:dyDescent="0.2">
      <c r="E2231" s="50"/>
      <c r="H2231"/>
      <c r="K2231"/>
    </row>
    <row r="2232" spans="5:11" x14ac:dyDescent="0.2">
      <c r="E2232" s="50"/>
      <c r="H2232"/>
      <c r="K2232"/>
    </row>
    <row r="2233" spans="5:11" x14ac:dyDescent="0.2">
      <c r="E2233" s="50"/>
      <c r="H2233"/>
      <c r="K2233"/>
    </row>
    <row r="2234" spans="5:11" x14ac:dyDescent="0.2">
      <c r="E2234" s="50"/>
      <c r="H2234"/>
      <c r="K2234"/>
    </row>
    <row r="2235" spans="5:11" x14ac:dyDescent="0.2">
      <c r="E2235" s="50"/>
      <c r="H2235"/>
      <c r="K2235"/>
    </row>
    <row r="2236" spans="5:11" x14ac:dyDescent="0.2">
      <c r="E2236" s="50"/>
      <c r="H2236"/>
      <c r="K2236"/>
    </row>
    <row r="2237" spans="5:11" x14ac:dyDescent="0.2">
      <c r="E2237" s="50"/>
      <c r="H2237"/>
      <c r="K2237"/>
    </row>
    <row r="2238" spans="5:11" x14ac:dyDescent="0.2">
      <c r="E2238" s="50"/>
      <c r="H2238"/>
      <c r="K2238"/>
    </row>
    <row r="2239" spans="5:11" x14ac:dyDescent="0.2">
      <c r="E2239" s="50"/>
      <c r="H2239"/>
      <c r="K2239"/>
    </row>
    <row r="2240" spans="5:11" x14ac:dyDescent="0.2">
      <c r="E2240" s="50"/>
      <c r="H2240"/>
      <c r="K2240"/>
    </row>
    <row r="2241" spans="5:11" x14ac:dyDescent="0.2">
      <c r="E2241" s="50"/>
      <c r="H2241"/>
      <c r="K2241"/>
    </row>
    <row r="2242" spans="5:11" x14ac:dyDescent="0.2">
      <c r="E2242" s="50"/>
      <c r="H2242"/>
      <c r="K2242"/>
    </row>
    <row r="2243" spans="5:11" x14ac:dyDescent="0.2">
      <c r="E2243" s="50"/>
      <c r="H2243"/>
      <c r="K2243"/>
    </row>
    <row r="2244" spans="5:11" x14ac:dyDescent="0.2">
      <c r="E2244" s="50"/>
      <c r="H2244"/>
      <c r="K2244"/>
    </row>
    <row r="2245" spans="5:11" x14ac:dyDescent="0.2">
      <c r="E2245" s="50"/>
      <c r="H2245"/>
      <c r="K2245"/>
    </row>
    <row r="2246" spans="5:11" x14ac:dyDescent="0.2">
      <c r="E2246" s="50"/>
      <c r="H2246"/>
      <c r="K2246"/>
    </row>
    <row r="2247" spans="5:11" x14ac:dyDescent="0.2">
      <c r="E2247" s="50"/>
      <c r="H2247"/>
      <c r="K2247"/>
    </row>
    <row r="2248" spans="5:11" x14ac:dyDescent="0.2">
      <c r="E2248" s="50"/>
      <c r="H2248"/>
      <c r="K2248"/>
    </row>
    <row r="2249" spans="5:11" x14ac:dyDescent="0.2">
      <c r="E2249" s="50"/>
      <c r="H2249"/>
      <c r="K2249"/>
    </row>
    <row r="2250" spans="5:11" x14ac:dyDescent="0.2">
      <c r="E2250" s="50"/>
      <c r="H2250"/>
      <c r="K2250"/>
    </row>
    <row r="2251" spans="5:11" x14ac:dyDescent="0.2">
      <c r="E2251" s="50"/>
      <c r="H2251"/>
      <c r="K2251"/>
    </row>
    <row r="2252" spans="5:11" x14ac:dyDescent="0.2">
      <c r="E2252" s="50"/>
      <c r="H2252"/>
      <c r="K2252"/>
    </row>
    <row r="2253" spans="5:11" x14ac:dyDescent="0.2">
      <c r="E2253" s="50"/>
      <c r="H2253"/>
      <c r="K2253"/>
    </row>
    <row r="2254" spans="5:11" x14ac:dyDescent="0.2">
      <c r="E2254" s="50"/>
      <c r="H2254"/>
      <c r="K2254"/>
    </row>
    <row r="2255" spans="5:11" x14ac:dyDescent="0.2">
      <c r="E2255" s="50"/>
      <c r="H2255"/>
      <c r="K2255"/>
    </row>
    <row r="2256" spans="5:11" x14ac:dyDescent="0.2">
      <c r="E2256" s="50"/>
      <c r="H2256"/>
      <c r="K2256"/>
    </row>
    <row r="2257" spans="5:11" x14ac:dyDescent="0.2">
      <c r="E2257" s="50"/>
      <c r="H2257"/>
      <c r="K2257"/>
    </row>
    <row r="2258" spans="5:11" x14ac:dyDescent="0.2">
      <c r="E2258" s="50"/>
      <c r="H2258"/>
      <c r="K2258"/>
    </row>
    <row r="2259" spans="5:11" x14ac:dyDescent="0.2">
      <c r="E2259" s="50"/>
      <c r="H2259"/>
      <c r="K2259"/>
    </row>
    <row r="2260" spans="5:11" x14ac:dyDescent="0.2">
      <c r="E2260" s="50"/>
      <c r="H2260"/>
      <c r="K2260"/>
    </row>
    <row r="2261" spans="5:11" x14ac:dyDescent="0.2">
      <c r="E2261" s="50"/>
      <c r="H2261"/>
      <c r="K2261"/>
    </row>
    <row r="2262" spans="5:11" x14ac:dyDescent="0.2">
      <c r="E2262" s="50"/>
      <c r="H2262"/>
      <c r="K2262"/>
    </row>
    <row r="2263" spans="5:11" x14ac:dyDescent="0.2">
      <c r="E2263" s="50"/>
      <c r="H2263"/>
      <c r="K2263"/>
    </row>
    <row r="2264" spans="5:11" x14ac:dyDescent="0.2">
      <c r="E2264" s="50"/>
      <c r="H2264"/>
      <c r="K2264"/>
    </row>
    <row r="2265" spans="5:11" x14ac:dyDescent="0.2">
      <c r="E2265" s="50"/>
      <c r="H2265"/>
      <c r="K2265"/>
    </row>
    <row r="2266" spans="5:11" x14ac:dyDescent="0.2">
      <c r="E2266" s="50"/>
      <c r="H2266"/>
      <c r="K2266"/>
    </row>
    <row r="2267" spans="5:11" x14ac:dyDescent="0.2">
      <c r="E2267" s="50"/>
      <c r="H2267"/>
      <c r="K2267"/>
    </row>
    <row r="2268" spans="5:11" x14ac:dyDescent="0.2">
      <c r="E2268" s="50"/>
      <c r="H2268"/>
      <c r="K2268"/>
    </row>
    <row r="2269" spans="5:11" x14ac:dyDescent="0.2">
      <c r="E2269" s="50"/>
      <c r="H2269"/>
      <c r="K2269"/>
    </row>
    <row r="2270" spans="5:11" x14ac:dyDescent="0.2">
      <c r="E2270" s="50"/>
      <c r="H2270"/>
      <c r="K2270"/>
    </row>
    <row r="2271" spans="5:11" x14ac:dyDescent="0.2">
      <c r="E2271" s="50"/>
      <c r="H2271"/>
      <c r="K2271"/>
    </row>
    <row r="2272" spans="5:11" x14ac:dyDescent="0.2">
      <c r="E2272" s="50"/>
      <c r="H2272"/>
      <c r="K2272"/>
    </row>
    <row r="2273" spans="5:11" x14ac:dyDescent="0.2">
      <c r="E2273" s="50"/>
      <c r="H2273"/>
      <c r="K2273"/>
    </row>
    <row r="2274" spans="5:11" x14ac:dyDescent="0.2">
      <c r="E2274" s="50"/>
      <c r="H2274"/>
      <c r="K2274"/>
    </row>
    <row r="2275" spans="5:11" x14ac:dyDescent="0.2">
      <c r="E2275" s="50"/>
      <c r="H2275"/>
      <c r="K2275"/>
    </row>
    <row r="2276" spans="5:11" x14ac:dyDescent="0.2">
      <c r="E2276" s="50"/>
      <c r="H2276"/>
      <c r="K2276"/>
    </row>
    <row r="2277" spans="5:11" x14ac:dyDescent="0.2">
      <c r="E2277" s="50"/>
      <c r="H2277"/>
      <c r="K2277"/>
    </row>
    <row r="2278" spans="5:11" x14ac:dyDescent="0.2">
      <c r="E2278" s="50"/>
      <c r="H2278"/>
      <c r="K2278"/>
    </row>
    <row r="2279" spans="5:11" x14ac:dyDescent="0.2">
      <c r="E2279" s="50"/>
      <c r="H2279"/>
      <c r="K2279"/>
    </row>
    <row r="2280" spans="5:11" x14ac:dyDescent="0.2">
      <c r="E2280" s="50"/>
      <c r="H2280"/>
      <c r="K2280"/>
    </row>
    <row r="2281" spans="5:11" x14ac:dyDescent="0.2">
      <c r="E2281" s="50"/>
      <c r="H2281"/>
      <c r="K2281"/>
    </row>
    <row r="2282" spans="5:11" x14ac:dyDescent="0.2">
      <c r="E2282" s="50"/>
      <c r="H2282"/>
      <c r="K2282"/>
    </row>
    <row r="2283" spans="5:11" x14ac:dyDescent="0.2">
      <c r="E2283" s="50"/>
      <c r="H2283"/>
      <c r="K2283"/>
    </row>
    <row r="2284" spans="5:11" x14ac:dyDescent="0.2">
      <c r="E2284" s="50"/>
      <c r="H2284"/>
      <c r="K2284"/>
    </row>
    <row r="2285" spans="5:11" x14ac:dyDescent="0.2">
      <c r="E2285" s="50"/>
      <c r="H2285"/>
      <c r="K2285"/>
    </row>
    <row r="2286" spans="5:11" x14ac:dyDescent="0.2">
      <c r="E2286" s="50"/>
      <c r="H2286"/>
      <c r="K2286"/>
    </row>
    <row r="2287" spans="5:11" x14ac:dyDescent="0.2">
      <c r="E2287" s="50"/>
      <c r="H2287"/>
      <c r="K2287"/>
    </row>
    <row r="2288" spans="5:11" x14ac:dyDescent="0.2">
      <c r="E2288" s="50"/>
      <c r="H2288"/>
      <c r="K2288"/>
    </row>
    <row r="2289" spans="5:11" x14ac:dyDescent="0.2">
      <c r="E2289" s="50"/>
      <c r="H2289"/>
      <c r="K2289"/>
    </row>
    <row r="2290" spans="5:11" x14ac:dyDescent="0.2">
      <c r="E2290" s="50"/>
      <c r="H2290"/>
      <c r="K2290"/>
    </row>
    <row r="2291" spans="5:11" x14ac:dyDescent="0.2">
      <c r="E2291" s="50"/>
      <c r="H2291"/>
      <c r="K2291"/>
    </row>
    <row r="2292" spans="5:11" x14ac:dyDescent="0.2">
      <c r="E2292" s="50"/>
      <c r="H2292"/>
      <c r="K2292"/>
    </row>
    <row r="2293" spans="5:11" x14ac:dyDescent="0.2">
      <c r="E2293" s="50"/>
      <c r="H2293"/>
      <c r="K2293"/>
    </row>
    <row r="2294" spans="5:11" x14ac:dyDescent="0.2">
      <c r="E2294" s="50"/>
      <c r="H2294"/>
      <c r="K2294"/>
    </row>
    <row r="2295" spans="5:11" x14ac:dyDescent="0.2">
      <c r="E2295" s="50"/>
      <c r="H2295"/>
      <c r="K2295"/>
    </row>
    <row r="2296" spans="5:11" x14ac:dyDescent="0.2">
      <c r="E2296" s="50"/>
      <c r="H2296"/>
      <c r="K2296"/>
    </row>
    <row r="2297" spans="5:11" x14ac:dyDescent="0.2">
      <c r="E2297" s="50"/>
      <c r="H2297"/>
      <c r="K2297"/>
    </row>
    <row r="2298" spans="5:11" x14ac:dyDescent="0.2">
      <c r="E2298" s="50"/>
      <c r="H2298"/>
      <c r="K2298"/>
    </row>
    <row r="2299" spans="5:11" x14ac:dyDescent="0.2">
      <c r="E2299" s="50"/>
      <c r="H2299"/>
      <c r="K2299"/>
    </row>
    <row r="2300" spans="5:11" x14ac:dyDescent="0.2">
      <c r="E2300" s="50"/>
      <c r="H2300"/>
      <c r="K2300"/>
    </row>
    <row r="2301" spans="5:11" x14ac:dyDescent="0.2">
      <c r="E2301" s="50"/>
      <c r="H2301"/>
      <c r="K2301"/>
    </row>
    <row r="2302" spans="5:11" x14ac:dyDescent="0.2">
      <c r="E2302" s="50"/>
      <c r="H2302"/>
      <c r="K2302"/>
    </row>
    <row r="2303" spans="5:11" x14ac:dyDescent="0.2">
      <c r="E2303" s="50"/>
      <c r="H2303"/>
      <c r="K2303"/>
    </row>
    <row r="2304" spans="5:11" x14ac:dyDescent="0.2">
      <c r="E2304" s="50"/>
      <c r="H2304"/>
      <c r="K2304"/>
    </row>
    <row r="2305" spans="5:11" x14ac:dyDescent="0.2">
      <c r="E2305" s="50"/>
      <c r="H2305"/>
      <c r="K2305"/>
    </row>
    <row r="2306" spans="5:11" x14ac:dyDescent="0.2">
      <c r="E2306" s="50"/>
      <c r="H2306"/>
      <c r="K2306"/>
    </row>
    <row r="2307" spans="5:11" x14ac:dyDescent="0.2">
      <c r="E2307" s="50"/>
      <c r="H2307"/>
      <c r="K2307"/>
    </row>
    <row r="2308" spans="5:11" x14ac:dyDescent="0.2">
      <c r="E2308" s="50"/>
      <c r="H2308"/>
      <c r="K2308"/>
    </row>
    <row r="2309" spans="5:11" x14ac:dyDescent="0.2">
      <c r="E2309" s="50"/>
      <c r="H2309"/>
      <c r="K2309"/>
    </row>
    <row r="2310" spans="5:11" x14ac:dyDescent="0.2">
      <c r="E2310" s="50"/>
      <c r="H2310"/>
      <c r="K2310"/>
    </row>
    <row r="2311" spans="5:11" x14ac:dyDescent="0.2">
      <c r="E2311" s="50"/>
      <c r="H2311"/>
      <c r="K2311"/>
    </row>
    <row r="2312" spans="5:11" x14ac:dyDescent="0.2">
      <c r="E2312" s="50"/>
      <c r="H2312"/>
      <c r="K2312"/>
    </row>
    <row r="2313" spans="5:11" x14ac:dyDescent="0.2">
      <c r="E2313" s="50"/>
      <c r="H2313"/>
      <c r="K2313"/>
    </row>
    <row r="2314" spans="5:11" x14ac:dyDescent="0.2">
      <c r="E2314" s="50"/>
      <c r="H2314"/>
      <c r="K2314"/>
    </row>
    <row r="2315" spans="5:11" x14ac:dyDescent="0.2">
      <c r="E2315" s="50"/>
      <c r="H2315"/>
      <c r="K2315"/>
    </row>
    <row r="2316" spans="5:11" x14ac:dyDescent="0.2">
      <c r="E2316" s="50"/>
      <c r="H2316"/>
      <c r="K2316"/>
    </row>
    <row r="2317" spans="5:11" x14ac:dyDescent="0.2">
      <c r="E2317" s="50"/>
      <c r="H2317"/>
      <c r="K2317"/>
    </row>
    <row r="2318" spans="5:11" x14ac:dyDescent="0.2">
      <c r="E2318" s="50"/>
      <c r="H2318"/>
      <c r="K2318"/>
    </row>
    <row r="2319" spans="5:11" x14ac:dyDescent="0.2">
      <c r="E2319" s="50"/>
      <c r="H2319"/>
      <c r="K2319"/>
    </row>
    <row r="2320" spans="5:11" x14ac:dyDescent="0.2">
      <c r="E2320" s="50"/>
      <c r="H2320"/>
      <c r="K2320"/>
    </row>
    <row r="2321" spans="5:11" x14ac:dyDescent="0.2">
      <c r="E2321" s="50"/>
      <c r="H2321"/>
      <c r="K2321"/>
    </row>
    <row r="2322" spans="5:11" x14ac:dyDescent="0.2">
      <c r="E2322" s="50"/>
      <c r="H2322"/>
      <c r="K2322"/>
    </row>
    <row r="2323" spans="5:11" x14ac:dyDescent="0.2">
      <c r="E2323" s="50"/>
      <c r="H2323"/>
      <c r="K2323"/>
    </row>
    <row r="2324" spans="5:11" x14ac:dyDescent="0.2">
      <c r="E2324" s="50"/>
      <c r="H2324"/>
      <c r="K2324"/>
    </row>
    <row r="2325" spans="5:11" x14ac:dyDescent="0.2">
      <c r="E2325" s="50"/>
      <c r="H2325"/>
      <c r="K2325"/>
    </row>
    <row r="2326" spans="5:11" x14ac:dyDescent="0.2">
      <c r="E2326" s="50"/>
      <c r="H2326"/>
      <c r="K2326"/>
    </row>
    <row r="2327" spans="5:11" x14ac:dyDescent="0.2">
      <c r="E2327" s="50"/>
      <c r="H2327"/>
      <c r="K2327"/>
    </row>
    <row r="2328" spans="5:11" x14ac:dyDescent="0.2">
      <c r="E2328" s="50"/>
      <c r="H2328"/>
      <c r="K2328"/>
    </row>
    <row r="2329" spans="5:11" x14ac:dyDescent="0.2">
      <c r="E2329" s="50"/>
      <c r="H2329"/>
      <c r="K2329"/>
    </row>
    <row r="2330" spans="5:11" x14ac:dyDescent="0.2">
      <c r="E2330" s="50"/>
      <c r="H2330"/>
      <c r="K2330"/>
    </row>
    <row r="2331" spans="5:11" x14ac:dyDescent="0.2">
      <c r="E2331" s="50"/>
      <c r="H2331"/>
      <c r="K2331"/>
    </row>
    <row r="2332" spans="5:11" x14ac:dyDescent="0.2">
      <c r="E2332" s="50"/>
      <c r="H2332"/>
      <c r="K2332"/>
    </row>
    <row r="2333" spans="5:11" x14ac:dyDescent="0.2">
      <c r="E2333" s="50"/>
      <c r="H2333"/>
      <c r="K2333"/>
    </row>
    <row r="2334" spans="5:11" x14ac:dyDescent="0.2">
      <c r="E2334" s="50"/>
      <c r="H2334"/>
      <c r="K2334"/>
    </row>
    <row r="2335" spans="5:11" x14ac:dyDescent="0.2">
      <c r="E2335" s="50"/>
      <c r="H2335"/>
      <c r="K2335"/>
    </row>
    <row r="2336" spans="5:11" x14ac:dyDescent="0.2">
      <c r="E2336" s="50"/>
      <c r="H2336"/>
      <c r="K2336"/>
    </row>
    <row r="2337" spans="5:11" x14ac:dyDescent="0.2">
      <c r="E2337" s="50"/>
      <c r="H2337"/>
      <c r="K2337"/>
    </row>
    <row r="2338" spans="5:11" x14ac:dyDescent="0.2">
      <c r="E2338" s="50"/>
      <c r="H2338"/>
      <c r="K2338"/>
    </row>
    <row r="2339" spans="5:11" x14ac:dyDescent="0.2">
      <c r="E2339" s="50"/>
      <c r="H2339"/>
      <c r="K2339"/>
    </row>
    <row r="2340" spans="5:11" x14ac:dyDescent="0.2">
      <c r="E2340" s="50"/>
      <c r="H2340"/>
      <c r="K2340"/>
    </row>
    <row r="2341" spans="5:11" x14ac:dyDescent="0.2">
      <c r="E2341" s="50"/>
      <c r="H2341"/>
      <c r="K2341"/>
    </row>
    <row r="2342" spans="5:11" x14ac:dyDescent="0.2">
      <c r="E2342" s="50"/>
      <c r="H2342"/>
      <c r="K2342"/>
    </row>
    <row r="2343" spans="5:11" x14ac:dyDescent="0.2">
      <c r="E2343" s="50"/>
      <c r="H2343"/>
      <c r="K2343"/>
    </row>
    <row r="2344" spans="5:11" x14ac:dyDescent="0.2">
      <c r="E2344" s="50"/>
      <c r="H2344"/>
      <c r="K2344"/>
    </row>
    <row r="2345" spans="5:11" x14ac:dyDescent="0.2">
      <c r="E2345" s="50"/>
      <c r="H2345"/>
      <c r="K2345"/>
    </row>
    <row r="2346" spans="5:11" x14ac:dyDescent="0.2">
      <c r="E2346" s="50"/>
      <c r="H2346"/>
      <c r="K2346"/>
    </row>
    <row r="2347" spans="5:11" x14ac:dyDescent="0.2">
      <c r="E2347" s="50"/>
      <c r="H2347"/>
      <c r="K2347"/>
    </row>
    <row r="2348" spans="5:11" x14ac:dyDescent="0.2">
      <c r="E2348" s="50"/>
      <c r="H2348"/>
      <c r="K2348"/>
    </row>
    <row r="2349" spans="5:11" x14ac:dyDescent="0.2">
      <c r="E2349" s="50"/>
      <c r="H2349"/>
      <c r="K2349"/>
    </row>
    <row r="2350" spans="5:11" x14ac:dyDescent="0.2">
      <c r="E2350" s="50"/>
      <c r="H2350"/>
      <c r="K2350"/>
    </row>
    <row r="2351" spans="5:11" x14ac:dyDescent="0.2">
      <c r="E2351" s="50"/>
      <c r="H2351"/>
      <c r="K2351"/>
    </row>
    <row r="2352" spans="5:11" x14ac:dyDescent="0.2">
      <c r="E2352" s="50"/>
      <c r="H2352"/>
      <c r="K2352"/>
    </row>
    <row r="2353" spans="5:11" x14ac:dyDescent="0.2">
      <c r="E2353" s="50"/>
      <c r="H2353"/>
      <c r="K2353"/>
    </row>
    <row r="2354" spans="5:11" x14ac:dyDescent="0.2">
      <c r="E2354" s="50"/>
      <c r="H2354"/>
      <c r="K2354"/>
    </row>
    <row r="2355" spans="5:11" x14ac:dyDescent="0.2">
      <c r="E2355" s="50"/>
      <c r="H2355"/>
      <c r="K2355"/>
    </row>
    <row r="2356" spans="5:11" x14ac:dyDescent="0.2">
      <c r="E2356" s="50"/>
      <c r="H2356"/>
      <c r="K2356"/>
    </row>
    <row r="2357" spans="5:11" x14ac:dyDescent="0.2">
      <c r="E2357" s="50"/>
      <c r="H2357"/>
      <c r="K2357"/>
    </row>
    <row r="2358" spans="5:11" x14ac:dyDescent="0.2">
      <c r="E2358" s="50"/>
      <c r="H2358"/>
      <c r="K2358"/>
    </row>
    <row r="2359" spans="5:11" x14ac:dyDescent="0.2">
      <c r="E2359" s="50"/>
      <c r="H2359"/>
      <c r="K2359"/>
    </row>
    <row r="2360" spans="5:11" x14ac:dyDescent="0.2">
      <c r="E2360" s="50"/>
      <c r="H2360"/>
      <c r="K2360"/>
    </row>
    <row r="2361" spans="5:11" x14ac:dyDescent="0.2">
      <c r="E2361" s="50"/>
      <c r="H2361"/>
      <c r="K2361"/>
    </row>
    <row r="2362" spans="5:11" x14ac:dyDescent="0.2">
      <c r="E2362" s="50"/>
      <c r="H2362"/>
      <c r="K2362"/>
    </row>
    <row r="2363" spans="5:11" x14ac:dyDescent="0.2">
      <c r="E2363" s="50"/>
      <c r="H2363"/>
      <c r="K2363"/>
    </row>
    <row r="2364" spans="5:11" x14ac:dyDescent="0.2">
      <c r="E2364" s="50"/>
      <c r="H2364"/>
      <c r="K2364"/>
    </row>
    <row r="2365" spans="5:11" x14ac:dyDescent="0.2">
      <c r="E2365" s="50"/>
      <c r="H2365"/>
      <c r="K2365"/>
    </row>
    <row r="2366" spans="5:11" x14ac:dyDescent="0.2">
      <c r="E2366" s="50"/>
      <c r="H2366"/>
      <c r="K2366"/>
    </row>
    <row r="2367" spans="5:11" x14ac:dyDescent="0.2">
      <c r="E2367" s="50"/>
      <c r="H2367"/>
      <c r="K2367"/>
    </row>
    <row r="2368" spans="5:11" x14ac:dyDescent="0.2">
      <c r="E2368" s="50"/>
      <c r="H2368"/>
      <c r="K2368"/>
    </row>
    <row r="2369" spans="5:11" x14ac:dyDescent="0.2">
      <c r="E2369" s="50"/>
      <c r="H2369"/>
      <c r="K2369"/>
    </row>
    <row r="2370" spans="5:11" x14ac:dyDescent="0.2">
      <c r="E2370" s="50"/>
      <c r="H2370"/>
      <c r="K2370"/>
    </row>
    <row r="2371" spans="5:11" x14ac:dyDescent="0.2">
      <c r="E2371" s="50"/>
      <c r="H2371"/>
      <c r="K2371"/>
    </row>
    <row r="2372" spans="5:11" x14ac:dyDescent="0.2">
      <c r="E2372" s="50"/>
      <c r="H2372"/>
      <c r="K2372"/>
    </row>
    <row r="2373" spans="5:11" x14ac:dyDescent="0.2">
      <c r="E2373" s="50"/>
      <c r="H2373"/>
      <c r="K2373"/>
    </row>
    <row r="2374" spans="5:11" x14ac:dyDescent="0.2">
      <c r="E2374" s="50"/>
      <c r="H2374"/>
      <c r="K2374"/>
    </row>
    <row r="2375" spans="5:11" x14ac:dyDescent="0.2">
      <c r="E2375" s="50"/>
      <c r="H2375"/>
      <c r="K2375"/>
    </row>
    <row r="2376" spans="5:11" x14ac:dyDescent="0.2">
      <c r="E2376" s="50"/>
      <c r="H2376"/>
      <c r="K2376"/>
    </row>
    <row r="2377" spans="5:11" x14ac:dyDescent="0.2">
      <c r="E2377" s="50"/>
      <c r="H2377"/>
      <c r="K2377"/>
    </row>
    <row r="2378" spans="5:11" x14ac:dyDescent="0.2">
      <c r="E2378" s="50"/>
      <c r="H2378"/>
      <c r="K2378"/>
    </row>
    <row r="2379" spans="5:11" x14ac:dyDescent="0.2">
      <c r="E2379" s="50"/>
      <c r="H2379"/>
      <c r="K2379"/>
    </row>
    <row r="2380" spans="5:11" x14ac:dyDescent="0.2">
      <c r="E2380" s="50"/>
      <c r="H2380"/>
      <c r="K2380"/>
    </row>
    <row r="2381" spans="5:11" x14ac:dyDescent="0.2">
      <c r="E2381" s="50"/>
      <c r="H2381"/>
      <c r="K2381"/>
    </row>
    <row r="2382" spans="5:11" x14ac:dyDescent="0.2">
      <c r="E2382" s="50"/>
      <c r="H2382"/>
      <c r="K2382"/>
    </row>
    <row r="2383" spans="5:11" x14ac:dyDescent="0.2">
      <c r="E2383" s="50"/>
      <c r="H2383"/>
      <c r="K2383"/>
    </row>
    <row r="2384" spans="5:11" x14ac:dyDescent="0.2">
      <c r="E2384" s="50"/>
      <c r="H2384"/>
      <c r="K2384"/>
    </row>
    <row r="2385" spans="5:11" x14ac:dyDescent="0.2">
      <c r="E2385" s="50"/>
      <c r="H2385"/>
      <c r="K2385"/>
    </row>
    <row r="2386" spans="5:11" x14ac:dyDescent="0.2">
      <c r="E2386" s="50"/>
      <c r="H2386"/>
      <c r="K2386"/>
    </row>
    <row r="2387" spans="5:11" x14ac:dyDescent="0.2">
      <c r="E2387" s="50"/>
      <c r="H2387"/>
      <c r="K2387"/>
    </row>
    <row r="2388" spans="5:11" x14ac:dyDescent="0.2">
      <c r="E2388" s="50"/>
      <c r="H2388"/>
      <c r="K2388"/>
    </row>
    <row r="2389" spans="5:11" x14ac:dyDescent="0.2">
      <c r="E2389" s="50"/>
      <c r="H2389"/>
      <c r="K2389"/>
    </row>
    <row r="2390" spans="5:11" x14ac:dyDescent="0.2">
      <c r="E2390" s="50"/>
      <c r="H2390"/>
      <c r="K2390"/>
    </row>
    <row r="2391" spans="5:11" x14ac:dyDescent="0.2">
      <c r="E2391" s="50"/>
      <c r="H2391"/>
      <c r="K2391"/>
    </row>
    <row r="2392" spans="5:11" x14ac:dyDescent="0.2">
      <c r="E2392" s="50"/>
      <c r="H2392"/>
      <c r="K2392"/>
    </row>
    <row r="2393" spans="5:11" x14ac:dyDescent="0.2">
      <c r="E2393" s="50"/>
      <c r="H2393"/>
      <c r="K2393"/>
    </row>
    <row r="2394" spans="5:11" x14ac:dyDescent="0.2">
      <c r="E2394" s="50"/>
      <c r="H2394"/>
      <c r="K2394"/>
    </row>
    <row r="2395" spans="5:11" x14ac:dyDescent="0.2">
      <c r="E2395" s="50"/>
      <c r="H2395"/>
      <c r="K2395"/>
    </row>
    <row r="2396" spans="5:11" x14ac:dyDescent="0.2">
      <c r="E2396" s="50"/>
      <c r="H2396"/>
      <c r="K2396"/>
    </row>
    <row r="2397" spans="5:11" x14ac:dyDescent="0.2">
      <c r="E2397" s="50"/>
      <c r="H2397"/>
      <c r="K2397"/>
    </row>
    <row r="2398" spans="5:11" x14ac:dyDescent="0.2">
      <c r="E2398" s="50"/>
      <c r="H2398"/>
      <c r="K2398"/>
    </row>
    <row r="2399" spans="5:11" x14ac:dyDescent="0.2">
      <c r="E2399" s="50"/>
      <c r="H2399"/>
      <c r="K2399"/>
    </row>
    <row r="2400" spans="5:11" x14ac:dyDescent="0.2">
      <c r="E2400" s="50"/>
      <c r="H2400"/>
      <c r="K2400"/>
    </row>
    <row r="2401" spans="5:11" x14ac:dyDescent="0.2">
      <c r="E2401" s="50"/>
      <c r="H2401"/>
      <c r="K2401"/>
    </row>
    <row r="2402" spans="5:11" x14ac:dyDescent="0.2">
      <c r="E2402" s="50"/>
      <c r="H2402"/>
      <c r="K2402"/>
    </row>
    <row r="2403" spans="5:11" x14ac:dyDescent="0.2">
      <c r="E2403" s="50"/>
      <c r="H2403"/>
      <c r="K2403"/>
    </row>
    <row r="2404" spans="5:11" x14ac:dyDescent="0.2">
      <c r="E2404" s="50"/>
      <c r="H2404"/>
      <c r="K2404"/>
    </row>
    <row r="2405" spans="5:11" x14ac:dyDescent="0.2">
      <c r="E2405" s="50"/>
      <c r="H2405"/>
      <c r="K2405"/>
    </row>
    <row r="2406" spans="5:11" x14ac:dyDescent="0.2">
      <c r="E2406" s="50"/>
      <c r="H2406"/>
      <c r="K2406"/>
    </row>
    <row r="2407" spans="5:11" x14ac:dyDescent="0.2">
      <c r="E2407" s="50"/>
      <c r="H2407"/>
      <c r="K2407"/>
    </row>
    <row r="2408" spans="5:11" x14ac:dyDescent="0.2">
      <c r="E2408" s="50"/>
      <c r="H2408"/>
      <c r="K2408"/>
    </row>
    <row r="2409" spans="5:11" x14ac:dyDescent="0.2">
      <c r="E2409" s="50"/>
      <c r="H2409"/>
      <c r="K2409"/>
    </row>
    <row r="2410" spans="5:11" x14ac:dyDescent="0.2">
      <c r="E2410" s="50"/>
      <c r="H2410"/>
      <c r="K2410"/>
    </row>
    <row r="2411" spans="5:11" x14ac:dyDescent="0.2">
      <c r="E2411" s="50"/>
      <c r="H2411"/>
      <c r="K2411"/>
    </row>
    <row r="2412" spans="5:11" x14ac:dyDescent="0.2">
      <c r="E2412" s="50"/>
      <c r="H2412"/>
      <c r="K2412"/>
    </row>
    <row r="2413" spans="5:11" x14ac:dyDescent="0.2">
      <c r="E2413" s="50"/>
      <c r="H2413"/>
      <c r="K2413"/>
    </row>
    <row r="2414" spans="5:11" x14ac:dyDescent="0.2">
      <c r="E2414" s="50"/>
      <c r="H2414"/>
      <c r="K2414"/>
    </row>
    <row r="2415" spans="5:11" x14ac:dyDescent="0.2">
      <c r="E2415" s="50"/>
      <c r="H2415"/>
      <c r="K2415"/>
    </row>
    <row r="2416" spans="5:11" x14ac:dyDescent="0.2">
      <c r="E2416" s="50"/>
      <c r="H2416"/>
      <c r="K2416"/>
    </row>
    <row r="2417" spans="5:11" x14ac:dyDescent="0.2">
      <c r="E2417" s="50"/>
      <c r="H2417"/>
      <c r="K2417"/>
    </row>
    <row r="2418" spans="5:11" x14ac:dyDescent="0.2">
      <c r="E2418" s="50"/>
      <c r="H2418"/>
      <c r="K2418"/>
    </row>
    <row r="2419" spans="5:11" x14ac:dyDescent="0.2">
      <c r="E2419" s="50"/>
      <c r="H2419"/>
      <c r="K2419"/>
    </row>
    <row r="2420" spans="5:11" x14ac:dyDescent="0.2">
      <c r="E2420" s="50"/>
      <c r="H2420"/>
      <c r="K2420"/>
    </row>
    <row r="2421" spans="5:11" x14ac:dyDescent="0.2">
      <c r="E2421" s="50"/>
      <c r="H2421"/>
      <c r="K2421"/>
    </row>
    <row r="2422" spans="5:11" x14ac:dyDescent="0.2">
      <c r="E2422" s="50"/>
      <c r="H2422"/>
      <c r="K2422"/>
    </row>
    <row r="2423" spans="5:11" x14ac:dyDescent="0.2">
      <c r="E2423" s="50"/>
      <c r="H2423"/>
      <c r="K2423"/>
    </row>
    <row r="2424" spans="5:11" x14ac:dyDescent="0.2">
      <c r="E2424" s="50"/>
      <c r="H2424"/>
      <c r="K2424"/>
    </row>
    <row r="2425" spans="5:11" x14ac:dyDescent="0.2">
      <c r="E2425" s="50"/>
      <c r="H2425"/>
      <c r="K2425"/>
    </row>
    <row r="2426" spans="5:11" x14ac:dyDescent="0.2">
      <c r="E2426" s="50"/>
      <c r="H2426"/>
      <c r="K2426"/>
    </row>
    <row r="2427" spans="5:11" x14ac:dyDescent="0.2">
      <c r="E2427" s="50"/>
      <c r="H2427"/>
      <c r="K2427"/>
    </row>
    <row r="2428" spans="5:11" x14ac:dyDescent="0.2">
      <c r="E2428" s="50"/>
      <c r="H2428"/>
      <c r="K2428"/>
    </row>
    <row r="2429" spans="5:11" x14ac:dyDescent="0.2">
      <c r="E2429" s="50"/>
      <c r="H2429"/>
      <c r="K2429"/>
    </row>
    <row r="2430" spans="5:11" x14ac:dyDescent="0.2">
      <c r="E2430" s="50"/>
      <c r="H2430"/>
      <c r="K2430"/>
    </row>
    <row r="2431" spans="5:11" x14ac:dyDescent="0.2">
      <c r="E2431" s="50"/>
      <c r="H2431"/>
      <c r="K2431"/>
    </row>
    <row r="2432" spans="5:11" x14ac:dyDescent="0.2">
      <c r="E2432" s="50"/>
      <c r="H2432"/>
      <c r="K2432"/>
    </row>
    <row r="2433" spans="5:11" x14ac:dyDescent="0.2">
      <c r="E2433" s="50"/>
      <c r="H2433"/>
      <c r="K2433"/>
    </row>
    <row r="2434" spans="5:11" x14ac:dyDescent="0.2">
      <c r="E2434" s="50"/>
      <c r="H2434"/>
      <c r="K2434"/>
    </row>
    <row r="2435" spans="5:11" x14ac:dyDescent="0.2">
      <c r="E2435" s="50"/>
      <c r="H2435"/>
      <c r="K2435"/>
    </row>
    <row r="2436" spans="5:11" x14ac:dyDescent="0.2">
      <c r="E2436" s="50"/>
      <c r="H2436"/>
      <c r="K2436"/>
    </row>
    <row r="2437" spans="5:11" x14ac:dyDescent="0.2">
      <c r="E2437" s="50"/>
      <c r="H2437"/>
      <c r="K2437"/>
    </row>
    <row r="2438" spans="5:11" x14ac:dyDescent="0.2">
      <c r="E2438" s="50"/>
      <c r="H2438"/>
      <c r="K2438"/>
    </row>
    <row r="2439" spans="5:11" x14ac:dyDescent="0.2">
      <c r="E2439" s="50"/>
      <c r="H2439"/>
      <c r="K2439"/>
    </row>
    <row r="2440" spans="5:11" x14ac:dyDescent="0.2">
      <c r="E2440" s="50"/>
      <c r="H2440"/>
      <c r="K2440"/>
    </row>
    <row r="2441" spans="5:11" x14ac:dyDescent="0.2">
      <c r="E2441" s="50"/>
      <c r="H2441"/>
      <c r="K2441"/>
    </row>
    <row r="2442" spans="5:11" x14ac:dyDescent="0.2">
      <c r="E2442" s="50"/>
      <c r="H2442"/>
      <c r="K2442"/>
    </row>
    <row r="2443" spans="5:11" x14ac:dyDescent="0.2">
      <c r="E2443" s="50"/>
      <c r="H2443"/>
      <c r="K2443"/>
    </row>
    <row r="2444" spans="5:11" x14ac:dyDescent="0.2">
      <c r="E2444" s="50"/>
      <c r="H2444"/>
      <c r="K2444"/>
    </row>
    <row r="2445" spans="5:11" x14ac:dyDescent="0.2">
      <c r="E2445" s="50"/>
      <c r="H2445"/>
      <c r="K2445"/>
    </row>
    <row r="2446" spans="5:11" x14ac:dyDescent="0.2">
      <c r="E2446" s="50"/>
      <c r="H2446"/>
      <c r="K2446"/>
    </row>
    <row r="2447" spans="5:11" x14ac:dyDescent="0.2">
      <c r="E2447" s="50"/>
      <c r="H2447"/>
      <c r="K2447"/>
    </row>
    <row r="2448" spans="5:11" x14ac:dyDescent="0.2">
      <c r="E2448" s="50"/>
      <c r="H2448"/>
      <c r="K2448"/>
    </row>
    <row r="2449" spans="5:11" x14ac:dyDescent="0.2">
      <c r="E2449" s="50"/>
      <c r="H2449"/>
      <c r="K2449"/>
    </row>
    <row r="2450" spans="5:11" x14ac:dyDescent="0.2">
      <c r="E2450" s="50"/>
      <c r="H2450"/>
      <c r="K2450"/>
    </row>
    <row r="2451" spans="5:11" x14ac:dyDescent="0.2">
      <c r="E2451" s="50"/>
      <c r="H2451"/>
      <c r="K2451"/>
    </row>
    <row r="2452" spans="5:11" x14ac:dyDescent="0.2">
      <c r="E2452" s="50"/>
      <c r="H2452"/>
      <c r="K2452"/>
    </row>
    <row r="2453" spans="5:11" x14ac:dyDescent="0.2">
      <c r="E2453" s="50"/>
      <c r="H2453"/>
      <c r="K2453"/>
    </row>
    <row r="2454" spans="5:11" x14ac:dyDescent="0.2">
      <c r="E2454" s="50"/>
      <c r="H2454"/>
      <c r="K2454"/>
    </row>
    <row r="2455" spans="5:11" x14ac:dyDescent="0.2">
      <c r="E2455" s="50"/>
      <c r="H2455"/>
      <c r="K2455"/>
    </row>
    <row r="2456" spans="5:11" x14ac:dyDescent="0.2">
      <c r="E2456" s="50"/>
      <c r="H2456"/>
      <c r="K2456"/>
    </row>
    <row r="2457" spans="5:11" x14ac:dyDescent="0.2">
      <c r="E2457" s="50"/>
      <c r="H2457"/>
      <c r="K2457"/>
    </row>
    <row r="2458" spans="5:11" x14ac:dyDescent="0.2">
      <c r="E2458" s="50"/>
      <c r="H2458"/>
      <c r="K2458"/>
    </row>
    <row r="2459" spans="5:11" x14ac:dyDescent="0.2">
      <c r="E2459" s="50"/>
      <c r="H2459"/>
      <c r="K2459"/>
    </row>
    <row r="2460" spans="5:11" x14ac:dyDescent="0.2">
      <c r="E2460" s="50"/>
      <c r="H2460"/>
      <c r="K2460"/>
    </row>
    <row r="2461" spans="5:11" x14ac:dyDescent="0.2">
      <c r="E2461" s="50"/>
      <c r="H2461"/>
      <c r="K2461"/>
    </row>
    <row r="2462" spans="5:11" x14ac:dyDescent="0.2">
      <c r="E2462" s="50"/>
      <c r="H2462"/>
      <c r="K2462"/>
    </row>
    <row r="2463" spans="5:11" x14ac:dyDescent="0.2">
      <c r="E2463" s="50"/>
      <c r="H2463"/>
      <c r="K2463"/>
    </row>
    <row r="2464" spans="5:11" x14ac:dyDescent="0.2">
      <c r="E2464" s="50"/>
      <c r="H2464"/>
      <c r="K2464"/>
    </row>
    <row r="2465" spans="5:11" x14ac:dyDescent="0.2">
      <c r="E2465" s="50"/>
      <c r="H2465"/>
      <c r="K2465"/>
    </row>
    <row r="2466" spans="5:11" x14ac:dyDescent="0.2">
      <c r="E2466" s="50"/>
      <c r="H2466"/>
      <c r="K2466"/>
    </row>
    <row r="2467" spans="5:11" x14ac:dyDescent="0.2">
      <c r="E2467" s="50"/>
      <c r="H2467"/>
      <c r="K2467"/>
    </row>
    <row r="2468" spans="5:11" x14ac:dyDescent="0.2">
      <c r="E2468" s="50"/>
      <c r="H2468"/>
      <c r="K2468"/>
    </row>
    <row r="2469" spans="5:11" x14ac:dyDescent="0.2">
      <c r="E2469" s="50"/>
      <c r="H2469"/>
      <c r="K2469"/>
    </row>
    <row r="2470" spans="5:11" x14ac:dyDescent="0.2">
      <c r="E2470" s="50"/>
      <c r="H2470"/>
      <c r="K2470"/>
    </row>
    <row r="2471" spans="5:11" x14ac:dyDescent="0.2">
      <c r="E2471" s="50"/>
      <c r="H2471"/>
      <c r="K2471"/>
    </row>
    <row r="2472" spans="5:11" x14ac:dyDescent="0.2">
      <c r="E2472" s="50"/>
      <c r="H2472"/>
      <c r="K2472"/>
    </row>
    <row r="2473" spans="5:11" x14ac:dyDescent="0.2">
      <c r="E2473" s="50"/>
      <c r="H2473"/>
      <c r="K2473"/>
    </row>
    <row r="2474" spans="5:11" x14ac:dyDescent="0.2">
      <c r="E2474" s="50"/>
      <c r="H2474"/>
      <c r="K2474"/>
    </row>
    <row r="2475" spans="5:11" x14ac:dyDescent="0.2">
      <c r="E2475" s="50"/>
      <c r="H2475"/>
      <c r="K2475"/>
    </row>
    <row r="2476" spans="5:11" x14ac:dyDescent="0.2">
      <c r="E2476" s="50"/>
      <c r="H2476"/>
      <c r="K2476"/>
    </row>
    <row r="2477" spans="5:11" x14ac:dyDescent="0.2">
      <c r="E2477" s="50"/>
      <c r="H2477"/>
      <c r="K2477"/>
    </row>
    <row r="2478" spans="5:11" x14ac:dyDescent="0.2">
      <c r="E2478" s="50"/>
      <c r="H2478"/>
      <c r="K2478"/>
    </row>
    <row r="2479" spans="5:11" x14ac:dyDescent="0.2">
      <c r="E2479" s="50"/>
      <c r="H2479"/>
      <c r="K2479"/>
    </row>
    <row r="2480" spans="5:11" x14ac:dyDescent="0.2">
      <c r="E2480" s="50"/>
      <c r="H2480"/>
      <c r="K2480"/>
    </row>
    <row r="2481" spans="5:11" x14ac:dyDescent="0.2">
      <c r="E2481" s="50"/>
      <c r="H2481"/>
      <c r="K2481"/>
    </row>
    <row r="2482" spans="5:11" x14ac:dyDescent="0.2">
      <c r="E2482" s="50"/>
      <c r="H2482"/>
      <c r="K2482"/>
    </row>
    <row r="2483" spans="5:11" x14ac:dyDescent="0.2">
      <c r="E2483" s="50"/>
      <c r="H2483"/>
      <c r="K2483"/>
    </row>
    <row r="2484" spans="5:11" x14ac:dyDescent="0.2">
      <c r="E2484" s="50"/>
      <c r="H2484"/>
      <c r="K2484"/>
    </row>
    <row r="2485" spans="5:11" x14ac:dyDescent="0.2">
      <c r="E2485" s="50"/>
      <c r="H2485"/>
      <c r="K2485"/>
    </row>
    <row r="2486" spans="5:11" x14ac:dyDescent="0.2">
      <c r="E2486" s="50"/>
      <c r="H2486"/>
      <c r="K2486"/>
    </row>
    <row r="2487" spans="5:11" x14ac:dyDescent="0.2">
      <c r="E2487" s="50"/>
      <c r="H2487"/>
      <c r="K2487"/>
    </row>
    <row r="2488" spans="5:11" x14ac:dyDescent="0.2">
      <c r="E2488" s="50"/>
      <c r="H2488"/>
      <c r="K2488"/>
    </row>
    <row r="2489" spans="5:11" x14ac:dyDescent="0.2">
      <c r="E2489" s="50"/>
      <c r="H2489"/>
      <c r="K2489"/>
    </row>
    <row r="2490" spans="5:11" x14ac:dyDescent="0.2">
      <c r="E2490" s="50"/>
      <c r="H2490"/>
      <c r="K2490"/>
    </row>
    <row r="2491" spans="5:11" x14ac:dyDescent="0.2">
      <c r="E2491" s="50"/>
      <c r="H2491"/>
      <c r="K2491"/>
    </row>
    <row r="2492" spans="5:11" x14ac:dyDescent="0.2">
      <c r="E2492" s="50"/>
      <c r="H2492"/>
      <c r="K2492"/>
    </row>
    <row r="2493" spans="5:11" x14ac:dyDescent="0.2">
      <c r="E2493" s="50"/>
      <c r="H2493"/>
      <c r="K2493"/>
    </row>
    <row r="2494" spans="5:11" x14ac:dyDescent="0.2">
      <c r="E2494" s="50"/>
      <c r="H2494"/>
      <c r="K2494"/>
    </row>
    <row r="2495" spans="5:11" x14ac:dyDescent="0.2">
      <c r="E2495" s="50"/>
      <c r="H2495"/>
      <c r="K2495"/>
    </row>
    <row r="2496" spans="5:11" x14ac:dyDescent="0.2">
      <c r="E2496" s="50"/>
      <c r="H2496"/>
      <c r="K2496"/>
    </row>
    <row r="2497" spans="5:11" x14ac:dyDescent="0.2">
      <c r="E2497" s="50"/>
      <c r="H2497"/>
      <c r="K2497"/>
    </row>
    <row r="2498" spans="5:11" x14ac:dyDescent="0.2">
      <c r="E2498" s="50"/>
      <c r="H2498"/>
      <c r="K2498"/>
    </row>
    <row r="2499" spans="5:11" x14ac:dyDescent="0.2">
      <c r="E2499" s="50"/>
      <c r="H2499"/>
      <c r="K2499"/>
    </row>
    <row r="2500" spans="5:11" x14ac:dyDescent="0.2">
      <c r="E2500" s="50"/>
      <c r="H2500"/>
      <c r="K2500"/>
    </row>
    <row r="2501" spans="5:11" x14ac:dyDescent="0.2">
      <c r="E2501" s="50"/>
      <c r="H2501"/>
      <c r="K2501"/>
    </row>
    <row r="2502" spans="5:11" x14ac:dyDescent="0.2">
      <c r="E2502" s="50"/>
      <c r="H2502"/>
      <c r="K2502"/>
    </row>
    <row r="2503" spans="5:11" x14ac:dyDescent="0.2">
      <c r="E2503" s="50"/>
      <c r="H2503"/>
      <c r="K2503"/>
    </row>
    <row r="2504" spans="5:11" x14ac:dyDescent="0.2">
      <c r="E2504" s="50"/>
      <c r="H2504"/>
      <c r="K2504"/>
    </row>
    <row r="2505" spans="5:11" x14ac:dyDescent="0.2">
      <c r="E2505" s="50"/>
      <c r="H2505"/>
      <c r="K2505"/>
    </row>
    <row r="2506" spans="5:11" x14ac:dyDescent="0.2">
      <c r="E2506" s="50"/>
      <c r="H2506"/>
      <c r="K2506"/>
    </row>
    <row r="2507" spans="5:11" x14ac:dyDescent="0.2">
      <c r="E2507" s="50"/>
      <c r="H2507"/>
      <c r="K2507"/>
    </row>
    <row r="2508" spans="5:11" x14ac:dyDescent="0.2">
      <c r="E2508" s="50"/>
      <c r="H2508"/>
      <c r="K2508"/>
    </row>
    <row r="2509" spans="5:11" x14ac:dyDescent="0.2">
      <c r="E2509" s="50"/>
      <c r="H2509"/>
      <c r="K2509"/>
    </row>
    <row r="2510" spans="5:11" x14ac:dyDescent="0.2">
      <c r="E2510" s="50"/>
      <c r="H2510"/>
      <c r="K2510"/>
    </row>
    <row r="2511" spans="5:11" x14ac:dyDescent="0.2">
      <c r="E2511" s="50"/>
      <c r="H2511"/>
      <c r="K2511"/>
    </row>
    <row r="2512" spans="5:11" x14ac:dyDescent="0.2">
      <c r="E2512" s="50"/>
      <c r="H2512"/>
      <c r="K2512"/>
    </row>
    <row r="2513" spans="5:11" x14ac:dyDescent="0.2">
      <c r="E2513" s="50"/>
      <c r="H2513"/>
      <c r="K2513"/>
    </row>
    <row r="2514" spans="5:11" x14ac:dyDescent="0.2">
      <c r="E2514" s="50"/>
      <c r="H2514"/>
      <c r="K2514"/>
    </row>
    <row r="2515" spans="5:11" x14ac:dyDescent="0.2">
      <c r="E2515" s="50"/>
      <c r="H2515"/>
      <c r="K2515"/>
    </row>
    <row r="2516" spans="5:11" x14ac:dyDescent="0.2">
      <c r="E2516" s="50"/>
      <c r="H2516"/>
      <c r="K2516"/>
    </row>
    <row r="2517" spans="5:11" x14ac:dyDescent="0.2">
      <c r="E2517" s="50"/>
      <c r="H2517"/>
      <c r="K2517"/>
    </row>
    <row r="2518" spans="5:11" x14ac:dyDescent="0.2">
      <c r="E2518" s="50"/>
      <c r="H2518"/>
      <c r="K2518"/>
    </row>
    <row r="2519" spans="5:11" x14ac:dyDescent="0.2">
      <c r="E2519" s="50"/>
      <c r="H2519"/>
      <c r="K2519"/>
    </row>
    <row r="2520" spans="5:11" x14ac:dyDescent="0.2">
      <c r="E2520" s="50"/>
      <c r="H2520"/>
      <c r="K2520"/>
    </row>
    <row r="2521" spans="5:11" x14ac:dyDescent="0.2">
      <c r="E2521" s="50"/>
      <c r="H2521"/>
      <c r="K2521"/>
    </row>
    <row r="2522" spans="5:11" x14ac:dyDescent="0.2">
      <c r="E2522" s="50"/>
      <c r="H2522"/>
      <c r="K2522"/>
    </row>
    <row r="2523" spans="5:11" x14ac:dyDescent="0.2">
      <c r="E2523" s="50"/>
      <c r="H2523"/>
      <c r="K2523"/>
    </row>
    <row r="2524" spans="5:11" x14ac:dyDescent="0.2">
      <c r="E2524" s="50"/>
      <c r="H2524"/>
      <c r="K2524"/>
    </row>
    <row r="2525" spans="5:11" x14ac:dyDescent="0.2">
      <c r="E2525" s="50"/>
      <c r="H2525"/>
      <c r="K2525"/>
    </row>
    <row r="2526" spans="5:11" x14ac:dyDescent="0.2">
      <c r="E2526" s="50"/>
      <c r="H2526"/>
      <c r="K2526"/>
    </row>
    <row r="2527" spans="5:11" x14ac:dyDescent="0.2">
      <c r="E2527" s="50"/>
      <c r="H2527"/>
      <c r="K2527"/>
    </row>
    <row r="2528" spans="5:11" x14ac:dyDescent="0.2">
      <c r="E2528" s="50"/>
      <c r="H2528"/>
      <c r="K2528"/>
    </row>
    <row r="2529" spans="5:11" x14ac:dyDescent="0.2">
      <c r="E2529" s="50"/>
      <c r="H2529"/>
      <c r="K2529"/>
    </row>
    <row r="2530" spans="5:11" x14ac:dyDescent="0.2">
      <c r="E2530" s="50"/>
      <c r="H2530"/>
      <c r="K2530"/>
    </row>
    <row r="2531" spans="5:11" x14ac:dyDescent="0.2">
      <c r="E2531" s="50"/>
      <c r="H2531"/>
      <c r="K2531"/>
    </row>
    <row r="2532" spans="5:11" x14ac:dyDescent="0.2">
      <c r="E2532" s="50"/>
      <c r="H2532"/>
      <c r="K2532"/>
    </row>
    <row r="2533" spans="5:11" x14ac:dyDescent="0.2">
      <c r="E2533" s="50"/>
      <c r="H2533"/>
      <c r="K2533"/>
    </row>
    <row r="2534" spans="5:11" x14ac:dyDescent="0.2">
      <c r="E2534" s="50"/>
      <c r="H2534"/>
      <c r="K2534"/>
    </row>
    <row r="2535" spans="5:11" x14ac:dyDescent="0.2">
      <c r="E2535" s="50"/>
      <c r="H2535"/>
      <c r="K2535"/>
    </row>
    <row r="2536" spans="5:11" x14ac:dyDescent="0.2">
      <c r="E2536" s="50"/>
      <c r="H2536"/>
      <c r="K2536"/>
    </row>
    <row r="2537" spans="5:11" x14ac:dyDescent="0.2">
      <c r="E2537" s="50"/>
      <c r="H2537"/>
      <c r="K2537"/>
    </row>
    <row r="2538" spans="5:11" x14ac:dyDescent="0.2">
      <c r="E2538" s="50"/>
      <c r="H2538"/>
      <c r="K2538"/>
    </row>
    <row r="2539" spans="5:11" x14ac:dyDescent="0.2">
      <c r="E2539" s="50"/>
      <c r="H2539"/>
      <c r="K2539"/>
    </row>
    <row r="2540" spans="5:11" x14ac:dyDescent="0.2">
      <c r="E2540" s="50"/>
      <c r="H2540"/>
      <c r="K2540"/>
    </row>
    <row r="2541" spans="5:11" x14ac:dyDescent="0.2">
      <c r="E2541" s="50"/>
      <c r="H2541"/>
      <c r="K2541"/>
    </row>
    <row r="2542" spans="5:11" x14ac:dyDescent="0.2">
      <c r="E2542" s="50"/>
      <c r="H2542"/>
      <c r="K2542"/>
    </row>
    <row r="2543" spans="5:11" x14ac:dyDescent="0.2">
      <c r="E2543" s="50"/>
      <c r="H2543"/>
      <c r="K2543"/>
    </row>
    <row r="2544" spans="5:11" x14ac:dyDescent="0.2">
      <c r="E2544" s="50"/>
      <c r="H2544"/>
      <c r="K2544"/>
    </row>
    <row r="2545" spans="5:11" x14ac:dyDescent="0.2">
      <c r="E2545" s="50"/>
      <c r="H2545"/>
      <c r="K2545"/>
    </row>
    <row r="2546" spans="5:11" x14ac:dyDescent="0.2">
      <c r="E2546" s="50"/>
      <c r="H2546"/>
      <c r="K2546"/>
    </row>
    <row r="2547" spans="5:11" x14ac:dyDescent="0.2">
      <c r="E2547" s="50"/>
      <c r="H2547"/>
      <c r="K2547"/>
    </row>
    <row r="2548" spans="5:11" x14ac:dyDescent="0.2">
      <c r="E2548" s="50"/>
      <c r="H2548"/>
      <c r="K2548"/>
    </row>
    <row r="2549" spans="5:11" x14ac:dyDescent="0.2">
      <c r="E2549" s="50"/>
      <c r="H2549"/>
      <c r="K2549"/>
    </row>
    <row r="2550" spans="5:11" x14ac:dyDescent="0.2">
      <c r="E2550" s="50"/>
      <c r="H2550"/>
      <c r="K2550"/>
    </row>
    <row r="2551" spans="5:11" x14ac:dyDescent="0.2">
      <c r="E2551" s="50"/>
      <c r="H2551"/>
      <c r="K2551"/>
    </row>
    <row r="2552" spans="5:11" x14ac:dyDescent="0.2">
      <c r="E2552" s="50"/>
      <c r="H2552"/>
      <c r="K2552"/>
    </row>
    <row r="2553" spans="5:11" x14ac:dyDescent="0.2">
      <c r="E2553" s="50"/>
      <c r="H2553"/>
      <c r="K2553"/>
    </row>
    <row r="2554" spans="5:11" x14ac:dyDescent="0.2">
      <c r="E2554" s="50"/>
      <c r="H2554"/>
      <c r="K2554"/>
    </row>
    <row r="2555" spans="5:11" x14ac:dyDescent="0.2">
      <c r="E2555" s="50"/>
      <c r="H2555"/>
      <c r="K2555"/>
    </row>
    <row r="2556" spans="5:11" x14ac:dyDescent="0.2">
      <c r="E2556" s="50"/>
      <c r="H2556"/>
      <c r="K2556"/>
    </row>
    <row r="2557" spans="5:11" x14ac:dyDescent="0.2">
      <c r="E2557" s="50"/>
      <c r="H2557"/>
      <c r="K2557"/>
    </row>
    <row r="2558" spans="5:11" x14ac:dyDescent="0.2">
      <c r="E2558" s="50"/>
      <c r="H2558"/>
      <c r="K2558"/>
    </row>
    <row r="2559" spans="5:11" x14ac:dyDescent="0.2">
      <c r="E2559" s="50"/>
      <c r="H2559"/>
      <c r="K2559"/>
    </row>
    <row r="2560" spans="5:11" x14ac:dyDescent="0.2">
      <c r="E2560" s="50"/>
      <c r="H2560"/>
      <c r="K2560"/>
    </row>
    <row r="2561" spans="5:11" x14ac:dyDescent="0.2">
      <c r="E2561" s="50"/>
      <c r="H2561"/>
      <c r="K2561"/>
    </row>
    <row r="2562" spans="5:11" x14ac:dyDescent="0.2">
      <c r="E2562" s="50"/>
      <c r="H2562"/>
      <c r="K2562"/>
    </row>
    <row r="2563" spans="5:11" x14ac:dyDescent="0.2">
      <c r="E2563" s="50"/>
      <c r="H2563"/>
      <c r="K2563"/>
    </row>
    <row r="2564" spans="5:11" x14ac:dyDescent="0.2">
      <c r="E2564" s="50"/>
      <c r="H2564"/>
      <c r="K2564"/>
    </row>
    <row r="2565" spans="5:11" x14ac:dyDescent="0.2">
      <c r="E2565" s="50"/>
      <c r="H2565"/>
      <c r="K2565"/>
    </row>
    <row r="2566" spans="5:11" x14ac:dyDescent="0.2">
      <c r="E2566" s="50"/>
      <c r="H2566"/>
      <c r="K2566"/>
    </row>
    <row r="2567" spans="5:11" x14ac:dyDescent="0.2">
      <c r="E2567" s="50"/>
      <c r="H2567"/>
      <c r="K2567"/>
    </row>
    <row r="2568" spans="5:11" x14ac:dyDescent="0.2">
      <c r="E2568" s="50"/>
      <c r="H2568"/>
      <c r="K2568"/>
    </row>
    <row r="2569" spans="5:11" x14ac:dyDescent="0.2">
      <c r="E2569" s="50"/>
      <c r="H2569"/>
      <c r="K2569"/>
    </row>
    <row r="2570" spans="5:11" x14ac:dyDescent="0.2">
      <c r="E2570" s="50"/>
      <c r="H2570"/>
      <c r="K2570"/>
    </row>
    <row r="2571" spans="5:11" x14ac:dyDescent="0.2">
      <c r="E2571" s="50"/>
      <c r="H2571"/>
      <c r="K2571"/>
    </row>
    <row r="2572" spans="5:11" x14ac:dyDescent="0.2">
      <c r="E2572" s="50"/>
      <c r="H2572"/>
      <c r="K2572"/>
    </row>
    <row r="2573" spans="5:11" x14ac:dyDescent="0.2">
      <c r="E2573" s="50"/>
      <c r="H2573"/>
      <c r="K2573"/>
    </row>
    <row r="2574" spans="5:11" x14ac:dyDescent="0.2">
      <c r="E2574" s="50"/>
      <c r="H2574"/>
      <c r="K2574"/>
    </row>
    <row r="2575" spans="5:11" x14ac:dyDescent="0.2">
      <c r="E2575" s="50"/>
      <c r="H2575"/>
      <c r="K2575"/>
    </row>
    <row r="2576" spans="5:11" x14ac:dyDescent="0.2">
      <c r="E2576" s="50"/>
      <c r="H2576"/>
      <c r="K2576"/>
    </row>
    <row r="2577" spans="5:11" x14ac:dyDescent="0.2">
      <c r="E2577" s="50"/>
      <c r="H2577"/>
      <c r="K2577"/>
    </row>
    <row r="2578" spans="5:11" x14ac:dyDescent="0.2">
      <c r="E2578" s="50"/>
      <c r="H2578"/>
      <c r="K2578"/>
    </row>
    <row r="2579" spans="5:11" x14ac:dyDescent="0.2">
      <c r="E2579" s="50"/>
      <c r="H2579"/>
      <c r="K2579"/>
    </row>
    <row r="2580" spans="5:11" x14ac:dyDescent="0.2">
      <c r="E2580" s="50"/>
      <c r="H2580"/>
      <c r="K2580"/>
    </row>
    <row r="2581" spans="5:11" x14ac:dyDescent="0.2">
      <c r="E2581" s="50"/>
      <c r="H2581"/>
      <c r="K2581"/>
    </row>
    <row r="2582" spans="5:11" x14ac:dyDescent="0.2">
      <c r="E2582" s="50"/>
      <c r="H2582"/>
      <c r="K2582"/>
    </row>
    <row r="2583" spans="5:11" x14ac:dyDescent="0.2">
      <c r="E2583" s="50"/>
      <c r="H2583"/>
      <c r="K2583"/>
    </row>
    <row r="2584" spans="5:11" x14ac:dyDescent="0.2">
      <c r="E2584" s="50"/>
      <c r="H2584"/>
      <c r="K2584"/>
    </row>
    <row r="2585" spans="5:11" x14ac:dyDescent="0.2">
      <c r="E2585" s="50"/>
      <c r="H2585"/>
      <c r="K2585"/>
    </row>
    <row r="2586" spans="5:11" x14ac:dyDescent="0.2">
      <c r="E2586" s="50"/>
      <c r="H2586"/>
      <c r="K2586"/>
    </row>
    <row r="2587" spans="5:11" x14ac:dyDescent="0.2">
      <c r="E2587" s="50"/>
      <c r="H2587"/>
      <c r="K2587"/>
    </row>
    <row r="2588" spans="5:11" x14ac:dyDescent="0.2">
      <c r="E2588" s="50"/>
      <c r="H2588"/>
      <c r="K2588"/>
    </row>
    <row r="2589" spans="5:11" x14ac:dyDescent="0.2">
      <c r="E2589" s="50"/>
      <c r="H2589"/>
      <c r="K2589"/>
    </row>
    <row r="2590" spans="5:11" x14ac:dyDescent="0.2">
      <c r="E2590" s="50"/>
      <c r="H2590"/>
      <c r="K2590"/>
    </row>
    <row r="2591" spans="5:11" x14ac:dyDescent="0.2">
      <c r="E2591" s="50"/>
      <c r="H2591"/>
      <c r="K2591"/>
    </row>
    <row r="2592" spans="5:11" x14ac:dyDescent="0.2">
      <c r="E2592" s="50"/>
      <c r="H2592"/>
      <c r="K2592"/>
    </row>
    <row r="2593" spans="5:11" x14ac:dyDescent="0.2">
      <c r="E2593" s="50"/>
      <c r="H2593"/>
      <c r="K2593"/>
    </row>
    <row r="2594" spans="5:11" x14ac:dyDescent="0.2">
      <c r="E2594" s="50"/>
      <c r="H2594"/>
      <c r="K2594"/>
    </row>
    <row r="2595" spans="5:11" x14ac:dyDescent="0.2">
      <c r="E2595" s="50"/>
      <c r="H2595"/>
      <c r="K2595"/>
    </row>
    <row r="2596" spans="5:11" x14ac:dyDescent="0.2">
      <c r="E2596" s="50"/>
      <c r="H2596"/>
      <c r="K2596"/>
    </row>
    <row r="2597" spans="5:11" x14ac:dyDescent="0.2">
      <c r="E2597" s="50"/>
      <c r="H2597"/>
      <c r="K2597"/>
    </row>
    <row r="2598" spans="5:11" x14ac:dyDescent="0.2">
      <c r="E2598" s="50"/>
      <c r="H2598"/>
      <c r="K2598"/>
    </row>
    <row r="2599" spans="5:11" x14ac:dyDescent="0.2">
      <c r="E2599" s="50"/>
      <c r="H2599"/>
      <c r="K2599"/>
    </row>
    <row r="2600" spans="5:11" x14ac:dyDescent="0.2">
      <c r="E2600" s="50"/>
      <c r="H2600"/>
      <c r="K2600"/>
    </row>
    <row r="2601" spans="5:11" x14ac:dyDescent="0.2">
      <c r="E2601" s="50"/>
      <c r="H2601"/>
      <c r="K2601"/>
    </row>
    <row r="2602" spans="5:11" x14ac:dyDescent="0.2">
      <c r="E2602" s="50"/>
      <c r="H2602"/>
      <c r="K2602"/>
    </row>
    <row r="2603" spans="5:11" x14ac:dyDescent="0.2">
      <c r="E2603" s="50"/>
      <c r="H2603"/>
      <c r="K2603"/>
    </row>
    <row r="2604" spans="5:11" x14ac:dyDescent="0.2">
      <c r="E2604" s="50"/>
      <c r="H2604"/>
      <c r="K2604"/>
    </row>
    <row r="2605" spans="5:11" x14ac:dyDescent="0.2">
      <c r="E2605" s="50"/>
      <c r="H2605"/>
      <c r="K2605"/>
    </row>
    <row r="2606" spans="5:11" x14ac:dyDescent="0.2">
      <c r="E2606" s="50"/>
      <c r="H2606"/>
      <c r="K2606"/>
    </row>
    <row r="2607" spans="5:11" x14ac:dyDescent="0.2">
      <c r="E2607" s="50"/>
      <c r="H2607"/>
      <c r="K2607"/>
    </row>
    <row r="2608" spans="5:11" x14ac:dyDescent="0.2">
      <c r="E2608" s="50"/>
      <c r="H2608"/>
      <c r="K2608"/>
    </row>
    <row r="2609" spans="5:11" x14ac:dyDescent="0.2">
      <c r="E2609" s="50"/>
      <c r="H2609"/>
      <c r="K2609"/>
    </row>
    <row r="2610" spans="5:11" x14ac:dyDescent="0.2">
      <c r="E2610" s="50"/>
      <c r="H2610"/>
      <c r="K2610"/>
    </row>
    <row r="2611" spans="5:11" x14ac:dyDescent="0.2">
      <c r="E2611" s="50"/>
      <c r="H2611"/>
      <c r="K2611"/>
    </row>
    <row r="2612" spans="5:11" x14ac:dyDescent="0.2">
      <c r="E2612" s="50"/>
      <c r="H2612"/>
      <c r="K2612"/>
    </row>
    <row r="2613" spans="5:11" x14ac:dyDescent="0.2">
      <c r="E2613" s="50"/>
      <c r="H2613"/>
      <c r="K2613"/>
    </row>
    <row r="2614" spans="5:11" x14ac:dyDescent="0.2">
      <c r="E2614" s="50"/>
      <c r="H2614"/>
      <c r="K2614"/>
    </row>
    <row r="2615" spans="5:11" x14ac:dyDescent="0.2">
      <c r="E2615" s="50"/>
      <c r="H2615"/>
      <c r="K2615"/>
    </row>
    <row r="2616" spans="5:11" x14ac:dyDescent="0.2">
      <c r="E2616" s="50"/>
      <c r="H2616"/>
      <c r="K2616"/>
    </row>
    <row r="2617" spans="5:11" x14ac:dyDescent="0.2">
      <c r="E2617" s="50"/>
      <c r="H2617"/>
      <c r="K2617"/>
    </row>
    <row r="2618" spans="5:11" x14ac:dyDescent="0.2">
      <c r="E2618" s="50"/>
      <c r="H2618"/>
      <c r="K2618"/>
    </row>
    <row r="2619" spans="5:11" x14ac:dyDescent="0.2">
      <c r="E2619" s="50"/>
      <c r="H2619"/>
      <c r="K2619"/>
    </row>
    <row r="2620" spans="5:11" x14ac:dyDescent="0.2">
      <c r="E2620" s="50"/>
      <c r="H2620"/>
      <c r="K2620"/>
    </row>
    <row r="2621" spans="5:11" x14ac:dyDescent="0.2">
      <c r="E2621" s="50"/>
      <c r="H2621"/>
      <c r="K2621"/>
    </row>
    <row r="2622" spans="5:11" x14ac:dyDescent="0.2">
      <c r="E2622" s="50"/>
      <c r="H2622"/>
      <c r="K2622"/>
    </row>
    <row r="2623" spans="5:11" x14ac:dyDescent="0.2">
      <c r="E2623" s="50"/>
      <c r="H2623"/>
      <c r="K2623"/>
    </row>
    <row r="2624" spans="5:11" x14ac:dyDescent="0.2">
      <c r="E2624" s="50"/>
      <c r="H2624"/>
      <c r="K2624"/>
    </row>
    <row r="2625" spans="5:11" x14ac:dyDescent="0.2">
      <c r="E2625" s="50"/>
      <c r="H2625"/>
      <c r="K2625"/>
    </row>
    <row r="2626" spans="5:11" x14ac:dyDescent="0.2">
      <c r="E2626" s="50"/>
      <c r="H2626"/>
      <c r="K2626"/>
    </row>
    <row r="2627" spans="5:11" x14ac:dyDescent="0.2">
      <c r="E2627" s="50"/>
      <c r="H2627"/>
      <c r="K2627"/>
    </row>
    <row r="2628" spans="5:11" x14ac:dyDescent="0.2">
      <c r="E2628" s="50"/>
      <c r="H2628"/>
      <c r="K2628"/>
    </row>
    <row r="2629" spans="5:11" x14ac:dyDescent="0.2">
      <c r="E2629" s="50"/>
      <c r="H2629"/>
      <c r="K2629"/>
    </row>
    <row r="2630" spans="5:11" x14ac:dyDescent="0.2">
      <c r="E2630" s="50"/>
      <c r="H2630"/>
      <c r="K2630"/>
    </row>
    <row r="2631" spans="5:11" x14ac:dyDescent="0.2">
      <c r="E2631" s="50"/>
      <c r="H2631"/>
      <c r="K2631"/>
    </row>
    <row r="2632" spans="5:11" x14ac:dyDescent="0.2">
      <c r="E2632" s="50"/>
      <c r="H2632"/>
      <c r="K2632"/>
    </row>
    <row r="2633" spans="5:11" x14ac:dyDescent="0.2">
      <c r="E2633" s="50"/>
      <c r="H2633"/>
      <c r="K2633"/>
    </row>
    <row r="2634" spans="5:11" x14ac:dyDescent="0.2">
      <c r="E2634" s="50"/>
      <c r="H2634"/>
      <c r="K2634"/>
    </row>
    <row r="2635" spans="5:11" x14ac:dyDescent="0.2">
      <c r="E2635" s="50"/>
      <c r="H2635"/>
      <c r="K2635"/>
    </row>
    <row r="2636" spans="5:11" x14ac:dyDescent="0.2">
      <c r="E2636" s="50"/>
      <c r="H2636"/>
      <c r="K2636"/>
    </row>
    <row r="2637" spans="5:11" x14ac:dyDescent="0.2">
      <c r="E2637" s="50"/>
      <c r="H2637"/>
      <c r="K2637"/>
    </row>
    <row r="2638" spans="5:11" x14ac:dyDescent="0.2">
      <c r="E2638" s="50"/>
      <c r="H2638"/>
      <c r="K2638"/>
    </row>
    <row r="2639" spans="5:11" x14ac:dyDescent="0.2">
      <c r="E2639" s="50"/>
      <c r="H2639"/>
      <c r="K2639"/>
    </row>
    <row r="2640" spans="5:11" x14ac:dyDescent="0.2">
      <c r="E2640" s="50"/>
      <c r="H2640"/>
      <c r="K2640"/>
    </row>
    <row r="2641" spans="5:11" x14ac:dyDescent="0.2">
      <c r="E2641" s="50"/>
      <c r="H2641"/>
      <c r="K2641"/>
    </row>
    <row r="2642" spans="5:11" x14ac:dyDescent="0.2">
      <c r="E2642" s="50"/>
      <c r="H2642"/>
      <c r="K2642"/>
    </row>
    <row r="2643" spans="5:11" x14ac:dyDescent="0.2">
      <c r="E2643" s="50"/>
      <c r="H2643"/>
      <c r="K2643"/>
    </row>
    <row r="2644" spans="5:11" x14ac:dyDescent="0.2">
      <c r="E2644" s="50"/>
      <c r="H2644"/>
      <c r="K2644"/>
    </row>
    <row r="2645" spans="5:11" x14ac:dyDescent="0.2">
      <c r="E2645" s="50"/>
      <c r="H2645"/>
      <c r="K2645"/>
    </row>
    <row r="2646" spans="5:11" x14ac:dyDescent="0.2">
      <c r="E2646" s="50"/>
      <c r="H2646"/>
      <c r="K2646"/>
    </row>
    <row r="2647" spans="5:11" x14ac:dyDescent="0.2">
      <c r="E2647" s="50"/>
      <c r="H2647"/>
      <c r="K2647"/>
    </row>
    <row r="2648" spans="5:11" x14ac:dyDescent="0.2">
      <c r="E2648" s="50"/>
      <c r="H2648"/>
      <c r="K2648"/>
    </row>
    <row r="2649" spans="5:11" x14ac:dyDescent="0.2">
      <c r="E2649" s="50"/>
      <c r="H2649"/>
      <c r="K2649"/>
    </row>
    <row r="2650" spans="5:11" x14ac:dyDescent="0.2">
      <c r="E2650" s="50"/>
      <c r="H2650"/>
      <c r="K2650"/>
    </row>
    <row r="2651" spans="5:11" x14ac:dyDescent="0.2">
      <c r="E2651" s="50"/>
      <c r="H2651"/>
      <c r="K2651"/>
    </row>
    <row r="2652" spans="5:11" x14ac:dyDescent="0.2">
      <c r="E2652" s="50"/>
      <c r="H2652"/>
      <c r="K2652"/>
    </row>
    <row r="2653" spans="5:11" x14ac:dyDescent="0.2">
      <c r="E2653" s="50"/>
      <c r="H2653"/>
      <c r="K2653"/>
    </row>
    <row r="2654" spans="5:11" x14ac:dyDescent="0.2">
      <c r="E2654" s="50"/>
      <c r="H2654"/>
      <c r="K2654"/>
    </row>
    <row r="2655" spans="5:11" x14ac:dyDescent="0.2">
      <c r="E2655" s="50"/>
      <c r="H2655"/>
      <c r="K2655"/>
    </row>
    <row r="2656" spans="5:11" x14ac:dyDescent="0.2">
      <c r="E2656" s="50"/>
      <c r="H2656"/>
      <c r="K2656"/>
    </row>
    <row r="2657" spans="5:11" x14ac:dyDescent="0.2">
      <c r="E2657" s="50"/>
      <c r="H2657"/>
      <c r="K2657"/>
    </row>
    <row r="2658" spans="5:11" x14ac:dyDescent="0.2">
      <c r="E2658" s="50"/>
      <c r="H2658"/>
      <c r="K2658"/>
    </row>
    <row r="2659" spans="5:11" x14ac:dyDescent="0.2">
      <c r="E2659" s="50"/>
      <c r="H2659"/>
      <c r="K2659"/>
    </row>
    <row r="2660" spans="5:11" x14ac:dyDescent="0.2">
      <c r="E2660" s="50"/>
      <c r="H2660"/>
      <c r="K2660"/>
    </row>
    <row r="2661" spans="5:11" x14ac:dyDescent="0.2">
      <c r="E2661" s="50"/>
      <c r="H2661"/>
      <c r="K2661"/>
    </row>
    <row r="2662" spans="5:11" x14ac:dyDescent="0.2">
      <c r="E2662" s="50"/>
      <c r="H2662"/>
      <c r="K2662"/>
    </row>
    <row r="2663" spans="5:11" x14ac:dyDescent="0.2">
      <c r="E2663" s="50"/>
      <c r="H2663"/>
      <c r="K2663"/>
    </row>
    <row r="2664" spans="5:11" x14ac:dyDescent="0.2">
      <c r="E2664" s="50"/>
      <c r="H2664"/>
      <c r="K2664"/>
    </row>
    <row r="2665" spans="5:11" x14ac:dyDescent="0.2">
      <c r="E2665" s="50"/>
      <c r="H2665"/>
      <c r="K2665"/>
    </row>
    <row r="2666" spans="5:11" x14ac:dyDescent="0.2">
      <c r="E2666" s="50"/>
      <c r="H2666"/>
      <c r="K2666"/>
    </row>
    <row r="2667" spans="5:11" x14ac:dyDescent="0.2">
      <c r="E2667" s="50"/>
      <c r="H2667"/>
      <c r="K2667"/>
    </row>
    <row r="2668" spans="5:11" x14ac:dyDescent="0.2">
      <c r="E2668" s="50"/>
      <c r="H2668"/>
      <c r="K2668"/>
    </row>
    <row r="2669" spans="5:11" x14ac:dyDescent="0.2">
      <c r="E2669" s="50"/>
      <c r="H2669"/>
      <c r="K2669"/>
    </row>
    <row r="2670" spans="5:11" x14ac:dyDescent="0.2">
      <c r="E2670" s="50"/>
      <c r="H2670"/>
      <c r="K2670"/>
    </row>
    <row r="2671" spans="5:11" x14ac:dyDescent="0.2">
      <c r="E2671" s="50"/>
      <c r="H2671"/>
      <c r="K2671"/>
    </row>
    <row r="2672" spans="5:11" x14ac:dyDescent="0.2">
      <c r="E2672" s="50"/>
      <c r="H2672"/>
      <c r="K2672"/>
    </row>
    <row r="2673" spans="5:11" x14ac:dyDescent="0.2">
      <c r="E2673" s="50"/>
      <c r="H2673"/>
      <c r="K2673"/>
    </row>
    <row r="2674" spans="5:11" x14ac:dyDescent="0.2">
      <c r="E2674" s="50"/>
      <c r="H2674"/>
      <c r="K2674"/>
    </row>
    <row r="2675" spans="5:11" x14ac:dyDescent="0.2">
      <c r="E2675" s="50"/>
      <c r="H2675"/>
      <c r="K2675"/>
    </row>
    <row r="2676" spans="5:11" x14ac:dyDescent="0.2">
      <c r="E2676" s="50"/>
      <c r="H2676"/>
      <c r="K2676"/>
    </row>
    <row r="2677" spans="5:11" x14ac:dyDescent="0.2">
      <c r="E2677" s="50"/>
      <c r="H2677"/>
      <c r="K2677"/>
    </row>
    <row r="2678" spans="5:11" x14ac:dyDescent="0.2">
      <c r="E2678" s="50"/>
      <c r="H2678"/>
      <c r="K2678"/>
    </row>
    <row r="2679" spans="5:11" x14ac:dyDescent="0.2">
      <c r="E2679" s="50"/>
      <c r="H2679"/>
      <c r="K2679"/>
    </row>
    <row r="2680" spans="5:11" x14ac:dyDescent="0.2">
      <c r="E2680" s="50"/>
      <c r="H2680"/>
      <c r="K2680"/>
    </row>
    <row r="2681" spans="5:11" x14ac:dyDescent="0.2">
      <c r="E2681" s="50"/>
      <c r="H2681"/>
      <c r="K2681"/>
    </row>
    <row r="2682" spans="5:11" x14ac:dyDescent="0.2">
      <c r="E2682" s="50"/>
      <c r="H2682"/>
      <c r="K2682"/>
    </row>
    <row r="2683" spans="5:11" x14ac:dyDescent="0.2">
      <c r="E2683" s="50"/>
      <c r="H2683"/>
      <c r="K2683"/>
    </row>
    <row r="2684" spans="5:11" x14ac:dyDescent="0.2">
      <c r="E2684" s="50"/>
      <c r="H2684"/>
      <c r="K2684"/>
    </row>
    <row r="2685" spans="5:11" x14ac:dyDescent="0.2">
      <c r="E2685" s="50"/>
      <c r="H2685"/>
      <c r="K2685"/>
    </row>
    <row r="2686" spans="5:11" x14ac:dyDescent="0.2">
      <c r="E2686" s="50"/>
      <c r="H2686"/>
      <c r="K2686"/>
    </row>
    <row r="2687" spans="5:11" x14ac:dyDescent="0.2">
      <c r="E2687" s="50"/>
      <c r="H2687"/>
      <c r="K2687"/>
    </row>
    <row r="2688" spans="5:11" x14ac:dyDescent="0.2">
      <c r="E2688" s="50"/>
      <c r="H2688"/>
      <c r="K2688"/>
    </row>
    <row r="2689" spans="5:11" x14ac:dyDescent="0.2">
      <c r="E2689" s="50"/>
      <c r="H2689"/>
      <c r="K2689"/>
    </row>
    <row r="2690" spans="5:11" x14ac:dyDescent="0.2">
      <c r="E2690" s="50"/>
      <c r="H2690"/>
      <c r="K2690"/>
    </row>
    <row r="2691" spans="5:11" x14ac:dyDescent="0.2">
      <c r="E2691" s="50"/>
      <c r="H2691"/>
      <c r="K2691"/>
    </row>
    <row r="2692" spans="5:11" x14ac:dyDescent="0.2">
      <c r="E2692" s="50"/>
      <c r="H2692"/>
      <c r="K2692"/>
    </row>
    <row r="2693" spans="5:11" x14ac:dyDescent="0.2">
      <c r="E2693" s="50"/>
      <c r="H2693"/>
      <c r="K2693"/>
    </row>
    <row r="2694" spans="5:11" x14ac:dyDescent="0.2">
      <c r="E2694" s="50"/>
      <c r="H2694"/>
      <c r="K2694"/>
    </row>
    <row r="2695" spans="5:11" x14ac:dyDescent="0.2">
      <c r="E2695" s="50"/>
      <c r="H2695"/>
      <c r="K2695"/>
    </row>
    <row r="2696" spans="5:11" x14ac:dyDescent="0.2">
      <c r="E2696" s="50"/>
      <c r="H2696"/>
      <c r="K2696"/>
    </row>
    <row r="2697" spans="5:11" x14ac:dyDescent="0.2">
      <c r="E2697" s="50"/>
      <c r="H2697"/>
      <c r="K2697"/>
    </row>
    <row r="2698" spans="5:11" x14ac:dyDescent="0.2">
      <c r="E2698" s="50"/>
      <c r="H2698"/>
      <c r="K2698"/>
    </row>
    <row r="2699" spans="5:11" x14ac:dyDescent="0.2">
      <c r="E2699" s="50"/>
      <c r="H2699"/>
      <c r="K2699"/>
    </row>
    <row r="2700" spans="5:11" x14ac:dyDescent="0.2">
      <c r="E2700" s="50"/>
      <c r="H2700"/>
      <c r="K2700"/>
    </row>
    <row r="2701" spans="5:11" x14ac:dyDescent="0.2">
      <c r="E2701" s="50"/>
      <c r="H2701"/>
      <c r="K2701"/>
    </row>
    <row r="2702" spans="5:11" x14ac:dyDescent="0.2">
      <c r="E2702" s="50"/>
      <c r="H2702"/>
      <c r="K2702"/>
    </row>
    <row r="2703" spans="5:11" x14ac:dyDescent="0.2">
      <c r="E2703" s="50"/>
      <c r="H2703"/>
      <c r="K2703"/>
    </row>
    <row r="2704" spans="5:11" x14ac:dyDescent="0.2">
      <c r="E2704" s="50"/>
      <c r="H2704"/>
      <c r="K2704"/>
    </row>
    <row r="2705" spans="5:11" x14ac:dyDescent="0.2">
      <c r="E2705" s="50"/>
      <c r="H2705"/>
      <c r="K2705"/>
    </row>
    <row r="2706" spans="5:11" x14ac:dyDescent="0.2">
      <c r="E2706" s="50"/>
      <c r="H2706"/>
      <c r="K2706"/>
    </row>
    <row r="2707" spans="5:11" x14ac:dyDescent="0.2">
      <c r="E2707" s="50"/>
      <c r="H2707"/>
      <c r="K2707"/>
    </row>
    <row r="2708" spans="5:11" x14ac:dyDescent="0.2">
      <c r="E2708" s="50"/>
      <c r="H2708"/>
      <c r="K2708"/>
    </row>
    <row r="2709" spans="5:11" x14ac:dyDescent="0.2">
      <c r="E2709" s="50"/>
      <c r="H2709"/>
      <c r="K2709"/>
    </row>
    <row r="2710" spans="5:11" x14ac:dyDescent="0.2">
      <c r="E2710" s="50"/>
      <c r="H2710"/>
      <c r="K2710"/>
    </row>
    <row r="2711" spans="5:11" x14ac:dyDescent="0.2">
      <c r="E2711" s="50"/>
      <c r="H2711"/>
      <c r="K2711"/>
    </row>
    <row r="2712" spans="5:11" x14ac:dyDescent="0.2">
      <c r="E2712" s="50"/>
      <c r="H2712"/>
      <c r="K2712"/>
    </row>
    <row r="2713" spans="5:11" x14ac:dyDescent="0.2">
      <c r="E2713" s="50"/>
      <c r="H2713"/>
      <c r="K2713"/>
    </row>
    <row r="2714" spans="5:11" x14ac:dyDescent="0.2">
      <c r="E2714" s="50"/>
      <c r="H2714"/>
      <c r="K2714"/>
    </row>
    <row r="2715" spans="5:11" x14ac:dyDescent="0.2">
      <c r="E2715" s="50"/>
      <c r="H2715"/>
      <c r="K2715"/>
    </row>
    <row r="2716" spans="5:11" x14ac:dyDescent="0.2">
      <c r="E2716" s="50"/>
      <c r="H2716"/>
      <c r="K2716"/>
    </row>
    <row r="2717" spans="5:11" x14ac:dyDescent="0.2">
      <c r="E2717" s="50"/>
      <c r="H2717"/>
      <c r="K2717"/>
    </row>
    <row r="2718" spans="5:11" x14ac:dyDescent="0.2">
      <c r="E2718" s="50"/>
      <c r="H2718"/>
      <c r="K2718"/>
    </row>
    <row r="2719" spans="5:11" x14ac:dyDescent="0.2">
      <c r="E2719" s="50"/>
      <c r="H2719"/>
      <c r="K2719"/>
    </row>
    <row r="2720" spans="5:11" x14ac:dyDescent="0.2">
      <c r="E2720" s="50"/>
      <c r="H2720"/>
      <c r="K2720"/>
    </row>
    <row r="2721" spans="5:11" x14ac:dyDescent="0.2">
      <c r="E2721" s="50"/>
      <c r="H2721"/>
      <c r="K2721"/>
    </row>
    <row r="2722" spans="5:11" x14ac:dyDescent="0.2">
      <c r="E2722" s="50"/>
      <c r="H2722"/>
      <c r="K2722"/>
    </row>
    <row r="2723" spans="5:11" x14ac:dyDescent="0.2">
      <c r="E2723" s="50"/>
      <c r="H2723"/>
      <c r="K2723"/>
    </row>
    <row r="2724" spans="5:11" x14ac:dyDescent="0.2">
      <c r="E2724" s="50"/>
      <c r="H2724"/>
      <c r="K2724"/>
    </row>
    <row r="2725" spans="5:11" x14ac:dyDescent="0.2">
      <c r="E2725" s="50"/>
      <c r="H2725"/>
      <c r="K2725"/>
    </row>
    <row r="2726" spans="5:11" x14ac:dyDescent="0.2">
      <c r="E2726" s="50"/>
      <c r="H2726"/>
      <c r="K2726"/>
    </row>
    <row r="2727" spans="5:11" x14ac:dyDescent="0.2">
      <c r="E2727" s="50"/>
      <c r="H2727"/>
      <c r="K2727"/>
    </row>
    <row r="2728" spans="5:11" x14ac:dyDescent="0.2">
      <c r="E2728" s="50"/>
      <c r="H2728"/>
      <c r="K2728"/>
    </row>
    <row r="2729" spans="5:11" x14ac:dyDescent="0.2">
      <c r="E2729" s="50"/>
      <c r="H2729"/>
      <c r="K2729"/>
    </row>
    <row r="2730" spans="5:11" x14ac:dyDescent="0.2">
      <c r="E2730" s="50"/>
      <c r="H2730"/>
      <c r="K2730"/>
    </row>
    <row r="2731" spans="5:11" x14ac:dyDescent="0.2">
      <c r="E2731" s="50"/>
      <c r="H2731"/>
      <c r="K2731"/>
    </row>
    <row r="2732" spans="5:11" x14ac:dyDescent="0.2">
      <c r="E2732" s="50"/>
      <c r="H2732"/>
      <c r="K2732"/>
    </row>
    <row r="2733" spans="5:11" x14ac:dyDescent="0.2">
      <c r="E2733" s="50"/>
      <c r="H2733"/>
      <c r="K2733"/>
    </row>
    <row r="2734" spans="5:11" x14ac:dyDescent="0.2">
      <c r="E2734" s="50"/>
      <c r="H2734"/>
      <c r="K2734"/>
    </row>
    <row r="2735" spans="5:11" x14ac:dyDescent="0.2">
      <c r="E2735" s="50"/>
      <c r="H2735"/>
      <c r="K2735"/>
    </row>
    <row r="2736" spans="5:11" x14ac:dyDescent="0.2">
      <c r="E2736" s="50"/>
      <c r="H2736"/>
      <c r="K2736"/>
    </row>
    <row r="2737" spans="5:11" x14ac:dyDescent="0.2">
      <c r="E2737" s="50"/>
      <c r="H2737"/>
      <c r="K2737"/>
    </row>
    <row r="2738" spans="5:11" x14ac:dyDescent="0.2">
      <c r="E2738" s="50"/>
      <c r="H2738"/>
      <c r="K2738"/>
    </row>
    <row r="2739" spans="5:11" x14ac:dyDescent="0.2">
      <c r="E2739" s="50"/>
      <c r="H2739"/>
      <c r="K2739"/>
    </row>
    <row r="2740" spans="5:11" x14ac:dyDescent="0.2">
      <c r="E2740" s="50"/>
      <c r="H2740"/>
      <c r="K2740"/>
    </row>
    <row r="2741" spans="5:11" x14ac:dyDescent="0.2">
      <c r="E2741" s="50"/>
      <c r="H2741"/>
      <c r="K2741"/>
    </row>
    <row r="2742" spans="5:11" x14ac:dyDescent="0.2">
      <c r="E2742" s="50"/>
      <c r="H2742"/>
      <c r="K2742"/>
    </row>
    <row r="2743" spans="5:11" x14ac:dyDescent="0.2">
      <c r="E2743" s="50"/>
      <c r="H2743"/>
      <c r="K2743"/>
    </row>
    <row r="2744" spans="5:11" x14ac:dyDescent="0.2">
      <c r="E2744" s="50"/>
      <c r="H2744"/>
      <c r="K2744"/>
    </row>
    <row r="2745" spans="5:11" x14ac:dyDescent="0.2">
      <c r="E2745" s="50"/>
      <c r="H2745"/>
      <c r="K2745"/>
    </row>
    <row r="2746" spans="5:11" x14ac:dyDescent="0.2">
      <c r="E2746" s="50"/>
      <c r="H2746"/>
      <c r="K2746"/>
    </row>
    <row r="2747" spans="5:11" x14ac:dyDescent="0.2">
      <c r="E2747" s="50"/>
      <c r="H2747"/>
      <c r="K2747"/>
    </row>
    <row r="2748" spans="5:11" x14ac:dyDescent="0.2">
      <c r="E2748" s="50"/>
      <c r="H2748"/>
      <c r="K2748"/>
    </row>
    <row r="2749" spans="5:11" x14ac:dyDescent="0.2">
      <c r="E2749" s="50"/>
      <c r="H2749"/>
      <c r="K2749"/>
    </row>
    <row r="2750" spans="5:11" x14ac:dyDescent="0.2">
      <c r="E2750" s="50"/>
      <c r="H2750"/>
      <c r="K2750"/>
    </row>
    <row r="2751" spans="5:11" x14ac:dyDescent="0.2">
      <c r="E2751" s="50"/>
      <c r="H2751"/>
      <c r="K2751"/>
    </row>
    <row r="2752" spans="5:11" x14ac:dyDescent="0.2">
      <c r="E2752" s="50"/>
      <c r="H2752"/>
      <c r="K2752"/>
    </row>
    <row r="2753" spans="5:11" x14ac:dyDescent="0.2">
      <c r="E2753" s="50"/>
      <c r="H2753"/>
      <c r="K2753"/>
    </row>
    <row r="2754" spans="5:11" x14ac:dyDescent="0.2">
      <c r="E2754" s="50"/>
      <c r="H2754"/>
      <c r="K2754"/>
    </row>
    <row r="2755" spans="5:11" x14ac:dyDescent="0.2">
      <c r="E2755" s="50"/>
      <c r="H2755"/>
      <c r="K2755"/>
    </row>
    <row r="2756" spans="5:11" x14ac:dyDescent="0.2">
      <c r="E2756" s="50"/>
      <c r="H2756"/>
      <c r="K2756"/>
    </row>
    <row r="2757" spans="5:11" x14ac:dyDescent="0.2">
      <c r="E2757" s="50"/>
      <c r="F2757" s="41"/>
      <c r="H2757"/>
      <c r="K2757"/>
    </row>
    <row r="2758" spans="5:11" x14ac:dyDescent="0.2">
      <c r="E2758" s="50"/>
      <c r="H2758"/>
      <c r="K2758"/>
    </row>
    <row r="2759" spans="5:11" x14ac:dyDescent="0.2">
      <c r="E2759" s="50"/>
      <c r="H2759"/>
      <c r="K2759"/>
    </row>
    <row r="2760" spans="5:11" x14ac:dyDescent="0.2">
      <c r="E2760" s="50"/>
      <c r="H2760"/>
      <c r="K2760"/>
    </row>
    <row r="2761" spans="5:11" x14ac:dyDescent="0.2">
      <c r="E2761" s="50"/>
      <c r="H2761"/>
      <c r="K2761"/>
    </row>
    <row r="2762" spans="5:11" x14ac:dyDescent="0.2">
      <c r="E2762" s="50"/>
      <c r="H2762"/>
      <c r="K2762"/>
    </row>
    <row r="2763" spans="5:11" x14ac:dyDescent="0.2">
      <c r="E2763" s="50"/>
      <c r="H2763"/>
      <c r="K2763"/>
    </row>
    <row r="2764" spans="5:11" x14ac:dyDescent="0.2">
      <c r="E2764" s="50"/>
      <c r="H2764"/>
      <c r="K2764"/>
    </row>
    <row r="2765" spans="5:11" x14ac:dyDescent="0.2">
      <c r="E2765" s="50"/>
      <c r="H2765"/>
      <c r="K2765"/>
    </row>
    <row r="2766" spans="5:11" x14ac:dyDescent="0.2">
      <c r="E2766" s="50"/>
      <c r="H2766"/>
      <c r="K2766"/>
    </row>
    <row r="2767" spans="5:11" x14ac:dyDescent="0.2">
      <c r="E2767" s="50"/>
      <c r="H2767"/>
      <c r="K2767"/>
    </row>
    <row r="2768" spans="5:11" x14ac:dyDescent="0.2">
      <c r="E2768" s="50"/>
      <c r="H2768"/>
      <c r="K2768"/>
    </row>
    <row r="2769" spans="1:11" x14ac:dyDescent="0.2">
      <c r="E2769" s="50"/>
      <c r="H2769"/>
      <c r="K2769"/>
    </row>
    <row r="2770" spans="1:11" x14ac:dyDescent="0.2">
      <c r="E2770" s="50"/>
      <c r="H2770"/>
      <c r="K2770"/>
    </row>
    <row r="2771" spans="1:11" x14ac:dyDescent="0.2">
      <c r="E2771" s="50"/>
      <c r="H2771"/>
      <c r="K2771"/>
    </row>
    <row r="2772" spans="1:11" x14ac:dyDescent="0.2">
      <c r="E2772" s="50"/>
      <c r="H2772"/>
      <c r="K2772"/>
    </row>
    <row r="2773" spans="1:11" x14ac:dyDescent="0.2">
      <c r="E2773" s="50"/>
      <c r="H2773"/>
      <c r="K2773"/>
    </row>
    <row r="2774" spans="1:11" x14ac:dyDescent="0.2">
      <c r="E2774" s="50"/>
      <c r="H2774"/>
      <c r="K2774"/>
    </row>
    <row r="2775" spans="1:11" x14ac:dyDescent="0.2">
      <c r="E2775" s="50"/>
      <c r="H2775"/>
      <c r="K2775"/>
    </row>
    <row r="2776" spans="1:11" x14ac:dyDescent="0.2">
      <c r="E2776" s="50"/>
      <c r="H2776"/>
      <c r="K2776"/>
    </row>
    <row r="2777" spans="1:11" x14ac:dyDescent="0.2">
      <c r="E2777" s="50"/>
      <c r="H2777"/>
      <c r="K2777"/>
    </row>
    <row r="2778" spans="1:11" x14ac:dyDescent="0.2">
      <c r="E2778" s="50"/>
      <c r="H2778"/>
      <c r="K2778"/>
    </row>
    <row r="2779" spans="1:11" x14ac:dyDescent="0.2">
      <c r="E2779" s="50"/>
      <c r="H2779"/>
      <c r="K2779"/>
    </row>
    <row r="2780" spans="1:11" x14ac:dyDescent="0.2">
      <c r="E2780" s="50"/>
      <c r="H2780"/>
      <c r="K2780"/>
    </row>
    <row r="2781" spans="1:11" x14ac:dyDescent="0.2">
      <c r="E2781" s="50"/>
      <c r="H2781"/>
      <c r="K2781"/>
    </row>
    <row r="2782" spans="1:11" x14ac:dyDescent="0.2">
      <c r="A2782" s="43"/>
      <c r="B2782" s="43"/>
      <c r="C2782" s="43"/>
      <c r="D2782" s="28" t="s">
        <v>55</v>
      </c>
      <c r="E2782" s="53" t="s">
        <v>43</v>
      </c>
      <c r="G2782" s="29"/>
      <c r="H2782"/>
    </row>
    <row r="2783" spans="1:11" ht="12" customHeight="1" x14ac:dyDescent="0.2">
      <c r="A2783" s="45" t="s">
        <v>0</v>
      </c>
      <c r="D2783" s="27" t="s">
        <v>17</v>
      </c>
      <c r="E2783" s="31">
        <v>44531</v>
      </c>
      <c r="G2783" s="26" t="s">
        <v>12</v>
      </c>
      <c r="H2783" s="31">
        <v>44531</v>
      </c>
      <c r="I2783" s="12" t="s">
        <v>53</v>
      </c>
    </row>
    <row r="2784" spans="1:11" x14ac:dyDescent="0.2">
      <c r="A2784" s="46" t="s">
        <v>41</v>
      </c>
      <c r="D2784" s="27" t="s">
        <v>17</v>
      </c>
      <c r="E2784" s="31">
        <v>44532</v>
      </c>
      <c r="G2784" s="26" t="s">
        <v>20</v>
      </c>
      <c r="H2784" s="31">
        <v>44532</v>
      </c>
      <c r="I2784" s="12" t="s">
        <v>53</v>
      </c>
    </row>
    <row r="2785" spans="4:9" x14ac:dyDescent="0.2">
      <c r="D2785" s="27" t="s">
        <v>17</v>
      </c>
      <c r="E2785" s="31">
        <v>44533</v>
      </c>
      <c r="G2785" s="26" t="s">
        <v>21</v>
      </c>
      <c r="H2785" s="31">
        <v>44533</v>
      </c>
      <c r="I2785" s="12" t="s">
        <v>53</v>
      </c>
    </row>
    <row r="2786" spans="4:9" x14ac:dyDescent="0.2">
      <c r="D2786" s="27" t="s">
        <v>17</v>
      </c>
      <c r="E2786" s="31">
        <v>44534</v>
      </c>
      <c r="G2786" s="26" t="s">
        <v>19</v>
      </c>
      <c r="H2786" s="31">
        <v>44536</v>
      </c>
      <c r="I2786" s="12" t="s">
        <v>53</v>
      </c>
    </row>
    <row r="2787" spans="4:9" x14ac:dyDescent="0.2">
      <c r="D2787" s="27" t="s">
        <v>17</v>
      </c>
      <c r="E2787" s="31">
        <v>44535</v>
      </c>
      <c r="G2787" s="26" t="s">
        <v>14</v>
      </c>
      <c r="H2787" s="31">
        <v>44536</v>
      </c>
      <c r="I2787" s="12" t="s">
        <v>53</v>
      </c>
    </row>
    <row r="2788" spans="4:9" x14ac:dyDescent="0.2">
      <c r="D2788" s="27" t="s">
        <v>17</v>
      </c>
      <c r="E2788" s="31">
        <v>44536</v>
      </c>
      <c r="G2788" s="26" t="s">
        <v>15</v>
      </c>
      <c r="H2788" s="31">
        <v>44536</v>
      </c>
      <c r="I2788" s="12" t="s">
        <v>53</v>
      </c>
    </row>
    <row r="2789" spans="4:9" x14ac:dyDescent="0.2">
      <c r="D2789" s="27" t="s">
        <v>17</v>
      </c>
      <c r="E2789" s="31">
        <v>44537</v>
      </c>
      <c r="G2789" s="26" t="s">
        <v>16</v>
      </c>
      <c r="H2789" s="31">
        <v>44537</v>
      </c>
      <c r="I2789" s="12" t="s">
        <v>53</v>
      </c>
    </row>
    <row r="2790" spans="4:9" x14ac:dyDescent="0.2">
      <c r="D2790" s="27" t="s">
        <v>17</v>
      </c>
      <c r="E2790" s="31">
        <v>44538</v>
      </c>
      <c r="G2790" s="26" t="s">
        <v>25</v>
      </c>
      <c r="H2790" s="31">
        <v>44538</v>
      </c>
      <c r="I2790" s="12" t="s">
        <v>53</v>
      </c>
    </row>
    <row r="2791" spans="4:9" x14ac:dyDescent="0.2">
      <c r="D2791" s="27" t="s">
        <v>17</v>
      </c>
      <c r="E2791" s="31">
        <v>44539</v>
      </c>
      <c r="G2791" s="26" t="s">
        <v>26</v>
      </c>
      <c r="H2791" s="31">
        <v>44539</v>
      </c>
      <c r="I2791" s="12" t="s">
        <v>53</v>
      </c>
    </row>
    <row r="2792" spans="4:9" x14ac:dyDescent="0.2">
      <c r="D2792" s="27" t="s">
        <v>17</v>
      </c>
      <c r="E2792" s="31">
        <v>44540</v>
      </c>
      <c r="G2792" s="26" t="s">
        <v>36</v>
      </c>
      <c r="H2792" s="31">
        <v>44540</v>
      </c>
      <c r="I2792" s="12" t="s">
        <v>53</v>
      </c>
    </row>
    <row r="2793" spans="4:9" x14ac:dyDescent="0.2">
      <c r="D2793" s="27" t="s">
        <v>17</v>
      </c>
      <c r="E2793" s="31">
        <v>44541</v>
      </c>
      <c r="G2793" s="26" t="s">
        <v>31</v>
      </c>
      <c r="H2793" s="31">
        <v>44543</v>
      </c>
      <c r="I2793" s="12" t="s">
        <v>53</v>
      </c>
    </row>
    <row r="2794" spans="4:9" x14ac:dyDescent="0.2">
      <c r="D2794" s="27" t="s">
        <v>17</v>
      </c>
      <c r="E2794" s="31">
        <v>44542</v>
      </c>
      <c r="G2794" s="26" t="s">
        <v>29</v>
      </c>
      <c r="H2794" s="31">
        <v>44543</v>
      </c>
      <c r="I2794" s="12" t="s">
        <v>53</v>
      </c>
    </row>
    <row r="2795" spans="4:9" x14ac:dyDescent="0.2">
      <c r="D2795" s="27" t="s">
        <v>17</v>
      </c>
      <c r="E2795" s="31">
        <v>44543</v>
      </c>
      <c r="G2795" s="26" t="s">
        <v>32</v>
      </c>
      <c r="H2795" s="31">
        <v>44543</v>
      </c>
      <c r="I2795" s="12" t="s">
        <v>53</v>
      </c>
    </row>
    <row r="2796" spans="4:9" x14ac:dyDescent="0.2">
      <c r="D2796" s="27" t="s">
        <v>17</v>
      </c>
      <c r="E2796" s="31">
        <v>44544</v>
      </c>
      <c r="G2796" s="26" t="s">
        <v>33</v>
      </c>
      <c r="H2796" s="31">
        <v>44544</v>
      </c>
      <c r="I2796" s="12" t="s">
        <v>53</v>
      </c>
    </row>
    <row r="2797" spans="4:9" x14ac:dyDescent="0.2">
      <c r="D2797" s="27" t="s">
        <v>17</v>
      </c>
      <c r="E2797" s="31">
        <v>44545</v>
      </c>
      <c r="G2797" s="26" t="s">
        <v>34</v>
      </c>
      <c r="H2797" s="31">
        <v>44545</v>
      </c>
      <c r="I2797" s="12" t="s">
        <v>53</v>
      </c>
    </row>
    <row r="2798" spans="4:9" x14ac:dyDescent="0.2">
      <c r="D2798" s="27" t="s">
        <v>17</v>
      </c>
      <c r="E2798" s="31">
        <v>44546</v>
      </c>
      <c r="G2798" s="26" t="s">
        <v>7</v>
      </c>
      <c r="H2798" s="31">
        <v>44546</v>
      </c>
      <c r="I2798" s="12" t="s">
        <v>53</v>
      </c>
    </row>
    <row r="2799" spans="4:9" x14ac:dyDescent="0.2">
      <c r="D2799" s="27" t="s">
        <v>17</v>
      </c>
      <c r="E2799" s="31">
        <v>44547</v>
      </c>
      <c r="G2799" s="26" t="s">
        <v>8</v>
      </c>
      <c r="H2799" s="31">
        <v>44547</v>
      </c>
      <c r="I2799" s="12" t="s">
        <v>53</v>
      </c>
    </row>
    <row r="2800" spans="4:9" x14ac:dyDescent="0.2">
      <c r="D2800" s="27" t="s">
        <v>17</v>
      </c>
      <c r="E2800" s="31">
        <v>44548</v>
      </c>
      <c r="G2800" s="26" t="s">
        <v>9</v>
      </c>
      <c r="H2800" s="31">
        <v>44550</v>
      </c>
      <c r="I2800" s="12" t="s">
        <v>53</v>
      </c>
    </row>
    <row r="2801" spans="4:9" x14ac:dyDescent="0.2">
      <c r="D2801" s="27" t="s">
        <v>17</v>
      </c>
      <c r="E2801" s="31">
        <v>44549</v>
      </c>
      <c r="G2801" s="26" t="s">
        <v>52</v>
      </c>
      <c r="H2801" s="31">
        <v>44550</v>
      </c>
      <c r="I2801" s="12" t="s">
        <v>53</v>
      </c>
    </row>
    <row r="2802" spans="4:9" x14ac:dyDescent="0.2">
      <c r="D2802" s="27" t="s">
        <v>17</v>
      </c>
      <c r="E2802" s="31">
        <v>44550</v>
      </c>
      <c r="G2802" s="26" t="s">
        <v>30</v>
      </c>
      <c r="H2802" s="31">
        <v>44550</v>
      </c>
      <c r="I2802" s="12" t="s">
        <v>53</v>
      </c>
    </row>
    <row r="2803" spans="4:9" x14ac:dyDescent="0.2">
      <c r="D2803" s="27" t="s">
        <v>17</v>
      </c>
      <c r="E2803" s="31">
        <v>44551</v>
      </c>
      <c r="G2803" s="26" t="s">
        <v>51</v>
      </c>
      <c r="H2803" s="31">
        <v>44551</v>
      </c>
      <c r="I2803" s="12" t="s">
        <v>53</v>
      </c>
    </row>
    <row r="2804" spans="4:9" x14ac:dyDescent="0.2">
      <c r="D2804" s="27" t="s">
        <v>17</v>
      </c>
      <c r="E2804" s="31">
        <v>44552</v>
      </c>
      <c r="G2804" s="26" t="s">
        <v>38</v>
      </c>
      <c r="H2804" s="31">
        <v>44552</v>
      </c>
      <c r="I2804" s="12" t="s">
        <v>53</v>
      </c>
    </row>
    <row r="2805" spans="4:9" x14ac:dyDescent="0.2">
      <c r="D2805" s="27" t="s">
        <v>17</v>
      </c>
      <c r="E2805" s="31">
        <v>44553</v>
      </c>
      <c r="G2805" s="26" t="s">
        <v>39</v>
      </c>
      <c r="H2805" s="31">
        <v>44553</v>
      </c>
      <c r="I2805" s="12" t="s">
        <v>53</v>
      </c>
    </row>
    <row r="2806" spans="4:9" x14ac:dyDescent="0.2">
      <c r="D2806" s="27" t="s">
        <v>17</v>
      </c>
      <c r="E2806" s="31">
        <v>44554</v>
      </c>
      <c r="G2806" s="26" t="s">
        <v>27</v>
      </c>
      <c r="H2806" s="31">
        <v>44554</v>
      </c>
      <c r="I2806" s="12" t="s">
        <v>53</v>
      </c>
    </row>
    <row r="2807" spans="4:9" x14ac:dyDescent="0.2">
      <c r="D2807" s="27" t="s">
        <v>17</v>
      </c>
      <c r="E2807" s="31">
        <v>44555</v>
      </c>
      <c r="G2807" s="26" t="s">
        <v>28</v>
      </c>
      <c r="H2807" s="31">
        <v>44557</v>
      </c>
      <c r="I2807" s="12" t="s">
        <v>53</v>
      </c>
    </row>
    <row r="2808" spans="4:9" x14ac:dyDescent="0.2">
      <c r="D2808" s="27" t="s">
        <v>17</v>
      </c>
      <c r="E2808" s="31">
        <v>44556</v>
      </c>
      <c r="G2808" s="26" t="s">
        <v>18</v>
      </c>
      <c r="H2808" s="31">
        <v>44557</v>
      </c>
      <c r="I2808" s="12" t="s">
        <v>53</v>
      </c>
    </row>
    <row r="2809" spans="4:9" x14ac:dyDescent="0.2">
      <c r="D2809" s="27" t="s">
        <v>17</v>
      </c>
      <c r="E2809" s="31">
        <v>44557</v>
      </c>
      <c r="G2809" s="26" t="s">
        <v>6</v>
      </c>
      <c r="H2809" s="31">
        <v>44557</v>
      </c>
      <c r="I2809" s="12" t="s">
        <v>53</v>
      </c>
    </row>
    <row r="2810" spans="4:9" x14ac:dyDescent="0.2">
      <c r="D2810" s="27" t="s">
        <v>17</v>
      </c>
      <c r="E2810" s="31">
        <v>44558</v>
      </c>
      <c r="G2810" s="26" t="s">
        <v>22</v>
      </c>
      <c r="H2810" s="31">
        <v>44558</v>
      </c>
      <c r="I2810" s="12" t="s">
        <v>53</v>
      </c>
    </row>
    <row r="2811" spans="4:9" x14ac:dyDescent="0.2">
      <c r="D2811" s="27" t="s">
        <v>17</v>
      </c>
      <c r="E2811" s="31">
        <v>44559</v>
      </c>
      <c r="G2811" s="26" t="s">
        <v>45</v>
      </c>
      <c r="H2811" s="31">
        <v>44559</v>
      </c>
      <c r="I2811" s="12" t="s">
        <v>53</v>
      </c>
    </row>
    <row r="2812" spans="4:9" x14ac:dyDescent="0.2">
      <c r="D2812" s="27" t="s">
        <v>17</v>
      </c>
      <c r="E2812" s="31">
        <v>44560</v>
      </c>
      <c r="G2812" s="26" t="s">
        <v>13</v>
      </c>
      <c r="H2812" s="31">
        <v>44560</v>
      </c>
      <c r="I2812" s="12" t="s">
        <v>53</v>
      </c>
    </row>
    <row r="2813" spans="4:9" x14ac:dyDescent="0.2">
      <c r="D2813" s="27" t="s">
        <v>17</v>
      </c>
      <c r="E2813" s="31">
        <v>44561</v>
      </c>
      <c r="G2813" s="26"/>
      <c r="H2813" s="31">
        <v>44561</v>
      </c>
      <c r="I2813" s="12" t="s">
        <v>53</v>
      </c>
    </row>
    <row r="2814" spans="4:9" x14ac:dyDescent="0.2">
      <c r="D2814" s="27" t="s">
        <v>44</v>
      </c>
      <c r="E2814" s="76">
        <v>44534</v>
      </c>
      <c r="G2814" s="26" t="s">
        <v>1</v>
      </c>
      <c r="H2814" s="76">
        <v>44534</v>
      </c>
      <c r="I2814" s="12"/>
    </row>
    <row r="2815" spans="4:9" x14ac:dyDescent="0.2">
      <c r="D2815" s="27" t="s">
        <v>44</v>
      </c>
      <c r="E2815" s="76">
        <v>44535</v>
      </c>
      <c r="G2815" s="26" t="s">
        <v>10</v>
      </c>
      <c r="H2815" s="76">
        <v>44535</v>
      </c>
    </row>
    <row r="2816" spans="4:9" x14ac:dyDescent="0.2">
      <c r="D2816" s="27" t="s">
        <v>44</v>
      </c>
      <c r="E2816" s="76">
        <v>44541</v>
      </c>
      <c r="G2816" s="26" t="s">
        <v>11</v>
      </c>
      <c r="H2816" s="76">
        <v>44541</v>
      </c>
    </row>
    <row r="2817" spans="4:9" x14ac:dyDescent="0.2">
      <c r="D2817" s="27" t="s">
        <v>44</v>
      </c>
      <c r="E2817" s="76">
        <v>44542</v>
      </c>
      <c r="G2817" s="26" t="s">
        <v>23</v>
      </c>
      <c r="H2817" s="76">
        <v>44542</v>
      </c>
    </row>
    <row r="2818" spans="4:9" x14ac:dyDescent="0.2">
      <c r="D2818" s="27" t="s">
        <v>44</v>
      </c>
      <c r="E2818" s="76">
        <v>44548</v>
      </c>
      <c r="G2818" s="26" t="s">
        <v>4</v>
      </c>
      <c r="H2818" s="76">
        <v>44548</v>
      </c>
    </row>
    <row r="2819" spans="4:9" x14ac:dyDescent="0.2">
      <c r="D2819" s="27" t="s">
        <v>44</v>
      </c>
      <c r="E2819" s="76">
        <v>44549</v>
      </c>
      <c r="G2819" s="26" t="s">
        <v>24</v>
      </c>
      <c r="H2819" s="76">
        <v>44549</v>
      </c>
    </row>
    <row r="2820" spans="4:9" x14ac:dyDescent="0.2">
      <c r="D2820" s="27" t="s">
        <v>44</v>
      </c>
      <c r="E2820" s="76">
        <v>44555</v>
      </c>
      <c r="G2820" s="26" t="s">
        <v>37</v>
      </c>
      <c r="H2820" s="76">
        <v>44555</v>
      </c>
    </row>
    <row r="2821" spans="4:9" x14ac:dyDescent="0.2">
      <c r="D2821" s="27" t="s">
        <v>44</v>
      </c>
      <c r="E2821" s="76">
        <v>44556</v>
      </c>
      <c r="G2821" s="26"/>
      <c r="H2821" s="76">
        <v>44556</v>
      </c>
    </row>
    <row r="2822" spans="4:9" x14ac:dyDescent="0.2">
      <c r="D2822" s="27" t="s">
        <v>44</v>
      </c>
      <c r="E2822" s="50"/>
      <c r="H2822" s="50"/>
    </row>
    <row r="2823" spans="4:9" x14ac:dyDescent="0.2">
      <c r="D2823" s="27"/>
      <c r="E2823" s="50"/>
      <c r="H2823" s="50"/>
    </row>
    <row r="2824" spans="4:9" x14ac:dyDescent="0.2">
      <c r="D2824" s="27"/>
      <c r="E2824" s="50"/>
      <c r="H2824" s="50"/>
    </row>
    <row r="2825" spans="4:9" x14ac:dyDescent="0.2">
      <c r="D2825" s="27"/>
      <c r="H2825" s="35"/>
    </row>
    <row r="2830" spans="4:9" x14ac:dyDescent="0.2">
      <c r="I2830" s="30"/>
    </row>
    <row r="2831" spans="4:9" x14ac:dyDescent="0.2">
      <c r="I2831" s="30"/>
    </row>
    <row r="2832" spans="4:9" x14ac:dyDescent="0.2">
      <c r="I2832" s="30"/>
    </row>
    <row r="2833" spans="9:9" x14ac:dyDescent="0.2">
      <c r="I2833" s="30"/>
    </row>
    <row r="2834" spans="9:9" x14ac:dyDescent="0.2">
      <c r="I2834" s="30"/>
    </row>
    <row r="2835" spans="9:9" x14ac:dyDescent="0.2">
      <c r="I2835" s="30"/>
    </row>
    <row r="2836" spans="9:9" x14ac:dyDescent="0.2">
      <c r="I2836" s="30"/>
    </row>
    <row r="2837" spans="9:9" x14ac:dyDescent="0.2">
      <c r="I2837" s="30"/>
    </row>
    <row r="2838" spans="9:9" x14ac:dyDescent="0.2">
      <c r="I2838" s="30"/>
    </row>
    <row r="2839" spans="9:9" x14ac:dyDescent="0.2">
      <c r="I2839" s="30"/>
    </row>
    <row r="2840" spans="9:9" x14ac:dyDescent="0.2">
      <c r="I2840" s="30"/>
    </row>
    <row r="2841" spans="9:9" x14ac:dyDescent="0.2">
      <c r="I2841" s="30"/>
    </row>
    <row r="2842" spans="9:9" x14ac:dyDescent="0.2">
      <c r="I2842" s="30"/>
    </row>
    <row r="2843" spans="9:9" x14ac:dyDescent="0.2">
      <c r="I2843" s="30"/>
    </row>
    <row r="2844" spans="9:9" x14ac:dyDescent="0.2">
      <c r="I2844" s="30"/>
    </row>
    <row r="2845" spans="9:9" x14ac:dyDescent="0.2">
      <c r="I2845" s="30"/>
    </row>
    <row r="2846" spans="9:9" x14ac:dyDescent="0.2">
      <c r="I2846" s="30"/>
    </row>
    <row r="2847" spans="9:9" x14ac:dyDescent="0.2">
      <c r="I2847" s="30"/>
    </row>
    <row r="2848" spans="9:9" x14ac:dyDescent="0.2">
      <c r="I2848" s="30"/>
    </row>
    <row r="2849" spans="9:9" x14ac:dyDescent="0.2">
      <c r="I2849" s="30"/>
    </row>
    <row r="2850" spans="9:9" x14ac:dyDescent="0.2">
      <c r="I2850" s="30"/>
    </row>
    <row r="2851" spans="9:9" x14ac:dyDescent="0.2">
      <c r="I2851" s="30"/>
    </row>
    <row r="2852" spans="9:9" x14ac:dyDescent="0.2">
      <c r="I2852" s="30"/>
    </row>
    <row r="2853" spans="9:9" x14ac:dyDescent="0.2">
      <c r="I2853" s="30"/>
    </row>
    <row r="2854" spans="9:9" x14ac:dyDescent="0.2">
      <c r="I2854" s="30"/>
    </row>
    <row r="2855" spans="9:9" x14ac:dyDescent="0.2">
      <c r="I2855" s="30"/>
    </row>
    <row r="2856" spans="9:9" x14ac:dyDescent="0.2">
      <c r="I2856" s="30"/>
    </row>
    <row r="2857" spans="9:9" x14ac:dyDescent="0.2">
      <c r="I2857" s="30"/>
    </row>
    <row r="2858" spans="9:9" x14ac:dyDescent="0.2">
      <c r="I2858" s="30"/>
    </row>
    <row r="2859" spans="9:9" x14ac:dyDescent="0.2">
      <c r="I2859" s="30"/>
    </row>
    <row r="2860" spans="9:9" x14ac:dyDescent="0.2">
      <c r="I2860" s="30"/>
    </row>
  </sheetData>
  <autoFilter ref="A1:H71" xr:uid="{00000000-0009-0000-0000-000000000000}"/>
  <pageMargins left="0.78740157499999996" right="0.78740157499999996" top="0.984251969" bottom="0.984251969" header="0.49212598499999999" footer="0.49212598499999999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F50"/>
  <sheetViews>
    <sheetView zoomScale="75" zoomScaleNormal="75" workbookViewId="0">
      <pane xSplit="1" ySplit="4" topLeftCell="B5" activePane="bottomRight" state="frozen"/>
      <selection activeCell="H2829" sqref="H2829"/>
      <selection pane="topRight" activeCell="H2829" sqref="H2829"/>
      <selection pane="bottomLeft" activeCell="H2829" sqref="H2829"/>
      <selection pane="bottomRight" activeCell="C18" sqref="C18"/>
    </sheetView>
  </sheetViews>
  <sheetFormatPr defaultColWidth="15.7109375" defaultRowHeight="12.75" x14ac:dyDescent="0.2"/>
  <cols>
    <col min="1" max="1" width="15.7109375" customWidth="1"/>
    <col min="2" max="12" width="15.7109375" style="1" customWidth="1"/>
    <col min="13" max="24" width="15.7109375" customWidth="1"/>
  </cols>
  <sheetData>
    <row r="1" spans="1:23" s="2" customFormat="1" x14ac:dyDescent="0.2">
      <c r="B1" s="2" t="str">
        <f>IF(B5=1,"Domingo",IF(B5=2,"Segunda",IF(B5=3,"Terça",IF(B5=4,"Quarta",IF(B5=5,"Quinta",IF(B5=6,"Sexta",IF(B5=7,"Sábado",0)))))))</f>
        <v>Quarta</v>
      </c>
      <c r="C1" s="2" t="str">
        <f t="shared" ref="C1:V1" si="0">IF(C5=1,"Domingo",IF(C5=2,"Segunda",IF(C5=3,"Terça",IF(C5=4,"Quarta",IF(C5=5,"Quinta",IF(C5=6,"Sexta",IF(C5=7,"Sábado",0)))))))</f>
        <v>Quinta</v>
      </c>
      <c r="D1" s="2" t="str">
        <f t="shared" si="0"/>
        <v>Sexta</v>
      </c>
      <c r="E1" s="2" t="str">
        <f t="shared" si="0"/>
        <v>Segunda</v>
      </c>
      <c r="F1" s="2" t="str">
        <f t="shared" si="0"/>
        <v>Terça</v>
      </c>
      <c r="G1" s="2" t="str">
        <f t="shared" si="0"/>
        <v>Quarta</v>
      </c>
      <c r="H1" s="2" t="str">
        <f t="shared" si="0"/>
        <v>Quinta</v>
      </c>
      <c r="I1" s="2" t="str">
        <f t="shared" si="0"/>
        <v>Sexta</v>
      </c>
      <c r="J1" s="2" t="str">
        <f t="shared" si="0"/>
        <v>Segunda</v>
      </c>
      <c r="K1" s="2" t="str">
        <f t="shared" si="0"/>
        <v>Terça</v>
      </c>
      <c r="L1" s="2" t="str">
        <f t="shared" si="0"/>
        <v>Quarta</v>
      </c>
      <c r="M1" s="2" t="str">
        <f t="shared" si="0"/>
        <v>Quinta</v>
      </c>
      <c r="N1" s="2" t="str">
        <f t="shared" si="0"/>
        <v>Sexta</v>
      </c>
      <c r="O1" s="2" t="str">
        <f t="shared" si="0"/>
        <v>Segunda</v>
      </c>
      <c r="P1" s="2" t="str">
        <f t="shared" si="0"/>
        <v>Terça</v>
      </c>
      <c r="Q1" s="2" t="str">
        <f t="shared" si="0"/>
        <v>Quarta</v>
      </c>
      <c r="R1" s="2" t="str">
        <f t="shared" si="0"/>
        <v>Quinta</v>
      </c>
      <c r="S1" s="2" t="str">
        <f t="shared" si="0"/>
        <v>Sexta</v>
      </c>
      <c r="T1" s="2" t="str">
        <f t="shared" si="0"/>
        <v>Segunda</v>
      </c>
      <c r="U1" s="2" t="str">
        <f t="shared" si="0"/>
        <v>Terça</v>
      </c>
      <c r="V1" s="2" t="str">
        <f t="shared" si="0"/>
        <v>Quarta</v>
      </c>
      <c r="W1" s="2" t="str">
        <f>IF(W5=1,"Domingo",IF(W5=2,"Segunda",IF(W5=3,"Terça",IF(W5=4,"Quarta",IF(W5=5,"Quinta",IF(W5=6,"Sexta",IF(W5=7,"Sábado",0)))))))</f>
        <v>Quinta</v>
      </c>
    </row>
    <row r="2" spans="1:23" s="3" customFormat="1" x14ac:dyDescent="0.2">
      <c r="A2" s="4" t="s">
        <v>2</v>
      </c>
      <c r="B2" s="3">
        <f t="shared" ref="B2:V2" si="1">B29</f>
        <v>44531</v>
      </c>
      <c r="C2" s="3">
        <f t="shared" si="1"/>
        <v>44532</v>
      </c>
      <c r="D2" s="3">
        <f t="shared" si="1"/>
        <v>44533</v>
      </c>
      <c r="E2" s="3">
        <f t="shared" si="1"/>
        <v>44536</v>
      </c>
      <c r="F2" s="3">
        <f t="shared" si="1"/>
        <v>44537</v>
      </c>
      <c r="G2" s="3">
        <f t="shared" si="1"/>
        <v>44538</v>
      </c>
      <c r="H2" s="3">
        <f t="shared" si="1"/>
        <v>44539</v>
      </c>
      <c r="I2" s="3">
        <f t="shared" si="1"/>
        <v>44540</v>
      </c>
      <c r="J2" s="3">
        <f t="shared" si="1"/>
        <v>44543</v>
      </c>
      <c r="K2" s="3">
        <f t="shared" si="1"/>
        <v>44544</v>
      </c>
      <c r="L2" s="3">
        <f t="shared" si="1"/>
        <v>44545</v>
      </c>
      <c r="M2" s="3">
        <f t="shared" si="1"/>
        <v>44546</v>
      </c>
      <c r="N2" s="3">
        <f t="shared" si="1"/>
        <v>44547</v>
      </c>
      <c r="O2" s="3">
        <f t="shared" si="1"/>
        <v>44550</v>
      </c>
      <c r="P2" s="3">
        <f t="shared" si="1"/>
        <v>44551</v>
      </c>
      <c r="Q2" s="3">
        <f t="shared" si="1"/>
        <v>44552</v>
      </c>
      <c r="R2" s="3">
        <f t="shared" si="1"/>
        <v>44553</v>
      </c>
      <c r="S2" s="3">
        <f t="shared" si="1"/>
        <v>44554</v>
      </c>
      <c r="T2" s="3">
        <f t="shared" si="1"/>
        <v>44557</v>
      </c>
      <c r="U2" s="3">
        <f t="shared" si="1"/>
        <v>44558</v>
      </c>
      <c r="V2" s="3">
        <f t="shared" si="1"/>
        <v>44559</v>
      </c>
      <c r="W2" s="3">
        <f>W29</f>
        <v>44560</v>
      </c>
    </row>
    <row r="3" spans="1:23" ht="3.75" customHeight="1" thickBo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23" ht="14.25" thickTop="1" thickBot="1" x14ac:dyDescent="0.25">
      <c r="A4" s="7" t="s">
        <v>40</v>
      </c>
      <c r="B4" s="8">
        <f>Fluxo_11_21!U38</f>
        <v>-242393.87199999997</v>
      </c>
      <c r="C4" s="8">
        <f>B38</f>
        <v>-243413.87199999997</v>
      </c>
      <c r="D4" s="8">
        <f>C38</f>
        <v>-344913.87199999997</v>
      </c>
      <c r="E4" s="8">
        <f>D38</f>
        <v>-348504.51199999999</v>
      </c>
      <c r="F4" s="8">
        <f>E38</f>
        <v>-359194.62199999997</v>
      </c>
      <c r="G4" s="8">
        <f>F38</f>
        <v>-366194.62199999997</v>
      </c>
      <c r="H4" s="8">
        <f t="shared" ref="H4:U4" si="2">G38</f>
        <v>-367698.88199999998</v>
      </c>
      <c r="I4" s="8">
        <f t="shared" si="2"/>
        <v>-372198.88199999998</v>
      </c>
      <c r="J4" s="8">
        <f t="shared" si="2"/>
        <v>-375198.88199999998</v>
      </c>
      <c r="K4" s="8">
        <f t="shared" si="2"/>
        <v>-396880.68199999997</v>
      </c>
      <c r="L4" s="8">
        <f t="shared" si="2"/>
        <v>-400270.68199999997</v>
      </c>
      <c r="M4" s="8">
        <f t="shared" si="2"/>
        <v>-410586.152</v>
      </c>
      <c r="N4" s="8">
        <f t="shared" si="2"/>
        <v>-416836.152</v>
      </c>
      <c r="O4" s="8">
        <f t="shared" si="2"/>
        <v>-472179.57199999999</v>
      </c>
      <c r="P4" s="8">
        <f t="shared" si="2"/>
        <v>-493965.48199999996</v>
      </c>
      <c r="Q4" s="8">
        <f t="shared" si="2"/>
        <v>-495909.66199999995</v>
      </c>
      <c r="R4" s="8">
        <f t="shared" si="2"/>
        <v>-502409.66199999995</v>
      </c>
      <c r="S4" s="8">
        <f t="shared" si="2"/>
        <v>-506909.66199999995</v>
      </c>
      <c r="T4" s="8">
        <f t="shared" si="2"/>
        <v>-507409.66199999995</v>
      </c>
      <c r="U4" s="8">
        <f t="shared" si="2"/>
        <v>-512904.66199999995</v>
      </c>
      <c r="V4" s="8">
        <f>U38</f>
        <v>-524638.05199999991</v>
      </c>
      <c r="W4" s="8">
        <f>V38</f>
        <v>-528042.39199999988</v>
      </c>
    </row>
    <row r="5" spans="1:23" ht="6.95" customHeight="1" thickTop="1" x14ac:dyDescent="0.2">
      <c r="A5" s="9"/>
      <c r="B5" s="10">
        <f t="shared" ref="B5:V5" si="3">WEEKDAY(B2)</f>
        <v>4</v>
      </c>
      <c r="C5" s="10">
        <f t="shared" si="3"/>
        <v>5</v>
      </c>
      <c r="D5" s="10">
        <f t="shared" si="3"/>
        <v>6</v>
      </c>
      <c r="E5" s="10">
        <f t="shared" si="3"/>
        <v>2</v>
      </c>
      <c r="F5" s="10">
        <f t="shared" si="3"/>
        <v>3</v>
      </c>
      <c r="G5" s="10">
        <f t="shared" si="3"/>
        <v>4</v>
      </c>
      <c r="H5" s="10">
        <f t="shared" si="3"/>
        <v>5</v>
      </c>
      <c r="I5" s="10">
        <f t="shared" si="3"/>
        <v>6</v>
      </c>
      <c r="J5" s="10">
        <f t="shared" si="3"/>
        <v>2</v>
      </c>
      <c r="K5" s="10">
        <f t="shared" si="3"/>
        <v>3</v>
      </c>
      <c r="L5" s="10">
        <f t="shared" si="3"/>
        <v>4</v>
      </c>
      <c r="M5" s="10">
        <f t="shared" si="3"/>
        <v>5</v>
      </c>
      <c r="N5" s="10">
        <f t="shared" si="3"/>
        <v>6</v>
      </c>
      <c r="O5" s="10">
        <f t="shared" si="3"/>
        <v>2</v>
      </c>
      <c r="P5" s="10">
        <f t="shared" si="3"/>
        <v>3</v>
      </c>
      <c r="Q5" s="10">
        <f t="shared" si="3"/>
        <v>4</v>
      </c>
      <c r="R5" s="10">
        <f t="shared" si="3"/>
        <v>5</v>
      </c>
      <c r="S5" s="10">
        <f t="shared" si="3"/>
        <v>6</v>
      </c>
      <c r="T5" s="10">
        <f t="shared" si="3"/>
        <v>2</v>
      </c>
      <c r="U5" s="10">
        <f t="shared" si="3"/>
        <v>3</v>
      </c>
      <c r="V5" s="10">
        <f t="shared" si="3"/>
        <v>4</v>
      </c>
      <c r="W5" s="10">
        <f>WEEKDAY(W2)</f>
        <v>5</v>
      </c>
    </row>
    <row r="6" spans="1:23" x14ac:dyDescent="0.2">
      <c r="A6" s="20" t="s">
        <v>3</v>
      </c>
      <c r="B6" s="23">
        <f t="shared" ref="B6:V6" si="4">SUM(B7:B26)</f>
        <v>0</v>
      </c>
      <c r="C6" s="23">
        <f t="shared" si="4"/>
        <v>0</v>
      </c>
      <c r="D6" s="23">
        <f t="shared" si="4"/>
        <v>0</v>
      </c>
      <c r="E6" s="23">
        <f t="shared" si="4"/>
        <v>0</v>
      </c>
      <c r="F6" s="23">
        <f t="shared" si="4"/>
        <v>0</v>
      </c>
      <c r="G6" s="23">
        <f t="shared" si="4"/>
        <v>0</v>
      </c>
      <c r="H6" s="23">
        <f t="shared" si="4"/>
        <v>0</v>
      </c>
      <c r="I6" s="23">
        <f t="shared" si="4"/>
        <v>0</v>
      </c>
      <c r="J6" s="23">
        <f t="shared" si="4"/>
        <v>0</v>
      </c>
      <c r="K6" s="23">
        <f t="shared" si="4"/>
        <v>0</v>
      </c>
      <c r="L6" s="23">
        <f t="shared" si="4"/>
        <v>0</v>
      </c>
      <c r="M6" s="23">
        <f t="shared" si="4"/>
        <v>0</v>
      </c>
      <c r="N6" s="23">
        <f t="shared" si="4"/>
        <v>0</v>
      </c>
      <c r="O6" s="23">
        <f t="shared" si="4"/>
        <v>0</v>
      </c>
      <c r="P6" s="23">
        <f t="shared" si="4"/>
        <v>0</v>
      </c>
      <c r="Q6" s="23">
        <f t="shared" si="4"/>
        <v>0</v>
      </c>
      <c r="R6" s="23">
        <f t="shared" si="4"/>
        <v>0</v>
      </c>
      <c r="S6" s="23">
        <f t="shared" si="4"/>
        <v>0</v>
      </c>
      <c r="T6" s="23">
        <f t="shared" si="4"/>
        <v>0</v>
      </c>
      <c r="U6" s="23">
        <f t="shared" si="4"/>
        <v>0</v>
      </c>
      <c r="V6" s="23">
        <f t="shared" si="4"/>
        <v>0</v>
      </c>
      <c r="W6" s="23">
        <f>SUM(W7:W26)</f>
        <v>0</v>
      </c>
    </row>
    <row r="7" spans="1:23" x14ac:dyDescent="0.2">
      <c r="A7" t="s">
        <v>137</v>
      </c>
      <c r="D7" s="70"/>
      <c r="E7" s="71"/>
      <c r="F7" s="71"/>
      <c r="G7" s="71"/>
      <c r="H7" s="71"/>
      <c r="I7" s="71"/>
      <c r="J7" s="71"/>
      <c r="K7" s="71"/>
      <c r="L7" s="15"/>
      <c r="M7" s="15"/>
      <c r="N7" s="15"/>
      <c r="O7" s="15"/>
      <c r="P7" s="15"/>
      <c r="Q7" s="71"/>
      <c r="R7" s="15"/>
      <c r="S7" s="15"/>
      <c r="T7" s="15"/>
      <c r="V7" s="15"/>
    </row>
    <row r="8" spans="1:23" x14ac:dyDescent="0.2">
      <c r="A8" t="s">
        <v>60</v>
      </c>
      <c r="B8" s="72"/>
      <c r="D8" s="72"/>
      <c r="E8" s="71"/>
      <c r="F8" s="71"/>
      <c r="G8" s="71"/>
      <c r="I8" s="71"/>
      <c r="J8" s="71"/>
      <c r="K8" s="72"/>
      <c r="M8" s="73"/>
      <c r="N8" s="1"/>
      <c r="O8" s="17"/>
      <c r="P8" s="1"/>
      <c r="Q8" s="17"/>
      <c r="R8" s="34"/>
      <c r="S8" s="17"/>
      <c r="T8" s="15"/>
      <c r="U8" s="1"/>
    </row>
    <row r="9" spans="1:23" x14ac:dyDescent="0.2">
      <c r="A9" t="s">
        <v>79</v>
      </c>
      <c r="B9" s="72"/>
      <c r="C9" s="73"/>
      <c r="D9" s="72"/>
      <c r="E9" s="72"/>
      <c r="F9" s="72"/>
      <c r="G9" s="72"/>
      <c r="H9" s="72"/>
      <c r="J9" s="72"/>
      <c r="K9" s="72"/>
      <c r="M9" s="18"/>
      <c r="N9" s="1"/>
      <c r="O9" s="32"/>
      <c r="Q9" s="15"/>
      <c r="R9" s="15"/>
      <c r="S9" s="15"/>
      <c r="T9" s="1"/>
    </row>
    <row r="10" spans="1:23" x14ac:dyDescent="0.2">
      <c r="A10" t="s">
        <v>138</v>
      </c>
      <c r="B10" s="72"/>
      <c r="C10" s="73"/>
      <c r="D10" s="72"/>
      <c r="E10" s="72"/>
      <c r="F10" s="72"/>
      <c r="G10" s="71"/>
      <c r="H10" s="71"/>
      <c r="I10" s="71"/>
      <c r="J10" s="71"/>
      <c r="K10" s="71"/>
      <c r="L10" s="15"/>
      <c r="M10" s="15"/>
      <c r="N10" s="15"/>
      <c r="P10" s="15"/>
      <c r="Q10" s="71"/>
      <c r="R10" s="15"/>
      <c r="S10" s="15"/>
      <c r="T10" s="15"/>
      <c r="V10" s="15"/>
    </row>
    <row r="11" spans="1:23" x14ac:dyDescent="0.2">
      <c r="A11" t="s">
        <v>61</v>
      </c>
      <c r="B11" s="74"/>
      <c r="C11" s="72"/>
      <c r="D11" s="73"/>
      <c r="E11" s="71"/>
      <c r="F11" s="71"/>
      <c r="G11" s="71"/>
      <c r="H11" s="71"/>
      <c r="I11" s="71"/>
      <c r="J11" s="71"/>
      <c r="K11" s="71"/>
      <c r="L11" s="15"/>
      <c r="M11" s="15"/>
      <c r="N11" s="15"/>
      <c r="O11" s="15"/>
      <c r="P11" s="15"/>
      <c r="Q11" s="14"/>
      <c r="R11" s="15"/>
    </row>
    <row r="12" spans="1:23" x14ac:dyDescent="0.2">
      <c r="A12" t="s">
        <v>58</v>
      </c>
      <c r="B12" s="72"/>
      <c r="C12" s="73"/>
      <c r="D12" s="73"/>
      <c r="E12" s="71"/>
      <c r="F12" s="71"/>
      <c r="G12" s="71"/>
      <c r="H12" s="71"/>
      <c r="I12" s="71"/>
      <c r="J12" s="72"/>
      <c r="K12" s="72"/>
      <c r="L12" s="15"/>
      <c r="N12" s="15"/>
      <c r="O12" s="71"/>
      <c r="P12" s="15"/>
    </row>
    <row r="13" spans="1:23" x14ac:dyDescent="0.2">
      <c r="A13" t="s">
        <v>59</v>
      </c>
      <c r="B13" s="71"/>
      <c r="C13" s="71"/>
      <c r="D13" s="71"/>
      <c r="E13" s="71"/>
      <c r="F13" s="73"/>
      <c r="G13" s="71"/>
      <c r="H13" s="71"/>
      <c r="I13" s="71"/>
      <c r="J13" s="71"/>
      <c r="K13" s="71"/>
      <c r="L13" s="15"/>
      <c r="M13" s="15"/>
      <c r="N13" s="15"/>
      <c r="O13" s="71"/>
      <c r="P13" s="15"/>
      <c r="Q13" s="15"/>
      <c r="R13" s="15"/>
      <c r="S13" s="15"/>
      <c r="T13" s="15"/>
      <c r="V13" s="15"/>
    </row>
    <row r="14" spans="1:23" x14ac:dyDescent="0.2">
      <c r="A14" t="s">
        <v>139</v>
      </c>
      <c r="B14"/>
      <c r="C14"/>
      <c r="D14" s="71"/>
      <c r="E14" s="71"/>
      <c r="F14" s="71"/>
      <c r="G14" s="71"/>
      <c r="H14" s="71"/>
      <c r="I14" s="71"/>
      <c r="J14" s="71"/>
      <c r="K14" s="71"/>
      <c r="L14" s="15"/>
      <c r="M14" s="15"/>
      <c r="N14" s="15"/>
      <c r="O14" s="15"/>
      <c r="P14" s="15"/>
      <c r="Q14" s="15"/>
      <c r="R14" s="15"/>
      <c r="V14" s="15"/>
    </row>
    <row r="15" spans="1:23" x14ac:dyDescent="0.2">
      <c r="A15" t="s">
        <v>140</v>
      </c>
      <c r="B15"/>
      <c r="C15"/>
      <c r="D15" s="72"/>
      <c r="E15" s="72"/>
      <c r="F15" s="72"/>
      <c r="G15" s="72"/>
      <c r="H15" s="72"/>
      <c r="I15" s="72"/>
      <c r="J15" s="71"/>
      <c r="K15" s="71"/>
      <c r="L15" s="15"/>
      <c r="M15" s="15"/>
      <c r="N15" s="15"/>
      <c r="O15" s="15"/>
      <c r="P15" s="15"/>
      <c r="Q15" s="15"/>
      <c r="R15" s="15"/>
      <c r="S15" s="15"/>
      <c r="T15" s="15"/>
    </row>
    <row r="16" spans="1:23" x14ac:dyDescent="0.2">
      <c r="B16"/>
      <c r="C16"/>
      <c r="D16" s="73"/>
      <c r="E16" s="71"/>
      <c r="F16" s="71"/>
      <c r="G16" s="71"/>
      <c r="H16" s="71"/>
      <c r="I16" s="71"/>
      <c r="J16" s="71"/>
      <c r="K16" s="71"/>
      <c r="L16" s="71"/>
      <c r="M16" s="15"/>
      <c r="N16" s="15"/>
      <c r="O16" s="15"/>
      <c r="P16" s="15"/>
      <c r="Q16" s="15"/>
      <c r="R16" s="71"/>
      <c r="S16" s="15"/>
      <c r="T16" s="15"/>
    </row>
    <row r="17" spans="1:32" x14ac:dyDescent="0.2">
      <c r="B17"/>
      <c r="C17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32" x14ac:dyDescent="0.2">
      <c r="D18" s="13"/>
      <c r="E18" s="16"/>
      <c r="F18" s="15"/>
      <c r="G18" s="15"/>
      <c r="I18" s="15"/>
      <c r="J18" s="15"/>
      <c r="M18" s="15"/>
      <c r="N18" s="15"/>
      <c r="O18" s="17"/>
      <c r="P18" s="19"/>
      <c r="R18" s="15"/>
      <c r="S18" s="15"/>
      <c r="T18" s="19"/>
    </row>
    <row r="19" spans="1:32" x14ac:dyDescent="0.2">
      <c r="B19" s="15"/>
      <c r="C19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</row>
    <row r="20" spans="1:32" x14ac:dyDescent="0.2">
      <c r="A20" s="12"/>
      <c r="B20" s="15"/>
      <c r="C2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 spans="1:32" x14ac:dyDescent="0.2">
      <c r="A21" s="12"/>
      <c r="B21" s="15"/>
      <c r="C2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32" x14ac:dyDescent="0.2">
      <c r="B22"/>
      <c r="C22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spans="1:32" x14ac:dyDescent="0.2">
      <c r="D23" s="13"/>
      <c r="E23" s="16"/>
      <c r="F23" s="15"/>
      <c r="G23" s="15"/>
      <c r="I23" s="15"/>
      <c r="J23" s="15"/>
      <c r="M23" s="15"/>
      <c r="N23" s="15"/>
      <c r="O23" s="17"/>
      <c r="P23" s="19"/>
      <c r="R23" s="15"/>
      <c r="S23" s="15"/>
      <c r="T23" s="19"/>
    </row>
    <row r="24" spans="1:32" x14ac:dyDescent="0.2">
      <c r="D24" s="13"/>
      <c r="E24" s="16"/>
      <c r="F24" s="15"/>
      <c r="G24" s="15"/>
      <c r="I24" s="15"/>
      <c r="J24" s="15"/>
      <c r="M24" s="15"/>
      <c r="N24" s="15"/>
      <c r="O24" s="48"/>
      <c r="P24" s="19"/>
      <c r="R24" s="15"/>
      <c r="S24" s="15"/>
      <c r="T24" s="19"/>
    </row>
    <row r="25" spans="1:32" x14ac:dyDescent="0.2">
      <c r="A25" s="12"/>
      <c r="D25" s="13"/>
      <c r="E25" s="47"/>
      <c r="F25" s="15"/>
      <c r="G25" s="15"/>
      <c r="I25" s="15"/>
      <c r="J25" s="15"/>
      <c r="M25" s="15"/>
      <c r="N25" s="15"/>
      <c r="O25" s="17"/>
      <c r="P25" s="19"/>
      <c r="R25" s="15"/>
      <c r="S25" s="15"/>
      <c r="T25" s="19"/>
    </row>
    <row r="26" spans="1:32" x14ac:dyDescent="0.2">
      <c r="A26" s="12"/>
      <c r="B26"/>
      <c r="C26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32" x14ac:dyDescent="0.2">
      <c r="A27" s="21" t="s">
        <v>54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spans="1:32" x14ac:dyDescent="0.2">
      <c r="A28" s="80" t="s">
        <v>62</v>
      </c>
      <c r="B28" s="80" t="s">
        <v>42</v>
      </c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2"/>
    </row>
    <row r="29" spans="1:32" x14ac:dyDescent="0.2">
      <c r="A29" s="80" t="s">
        <v>50</v>
      </c>
      <c r="B29" s="83">
        <v>44531</v>
      </c>
      <c r="C29" s="84">
        <v>44532</v>
      </c>
      <c r="D29" s="84">
        <v>44533</v>
      </c>
      <c r="E29" s="84">
        <v>44536</v>
      </c>
      <c r="F29" s="84">
        <v>44537</v>
      </c>
      <c r="G29" s="84">
        <v>44538</v>
      </c>
      <c r="H29" s="84">
        <v>44539</v>
      </c>
      <c r="I29" s="84">
        <v>44540</v>
      </c>
      <c r="J29" s="84">
        <v>44543</v>
      </c>
      <c r="K29" s="84">
        <v>44544</v>
      </c>
      <c r="L29" s="84">
        <v>44545</v>
      </c>
      <c r="M29" s="84">
        <v>44546</v>
      </c>
      <c r="N29" s="84">
        <v>44547</v>
      </c>
      <c r="O29" s="84">
        <v>44550</v>
      </c>
      <c r="P29" s="84">
        <v>44551</v>
      </c>
      <c r="Q29" s="84">
        <v>44552</v>
      </c>
      <c r="R29" s="84">
        <v>44553</v>
      </c>
      <c r="S29" s="84">
        <v>44554</v>
      </c>
      <c r="T29" s="84">
        <v>44557</v>
      </c>
      <c r="U29" s="84">
        <v>44558</v>
      </c>
      <c r="V29" s="84">
        <v>44559</v>
      </c>
      <c r="W29" s="84">
        <v>44560</v>
      </c>
      <c r="X29" s="85" t="s">
        <v>71</v>
      </c>
    </row>
    <row r="30" spans="1:32" s="11" customFormat="1" x14ac:dyDescent="0.2">
      <c r="A30" s="86" t="s">
        <v>63</v>
      </c>
      <c r="B30" s="86">
        <v>1020</v>
      </c>
      <c r="C30" s="87">
        <v>4500</v>
      </c>
      <c r="D30" s="87"/>
      <c r="E30" s="87"/>
      <c r="F30" s="87"/>
      <c r="G30" s="87"/>
      <c r="H30" s="87">
        <v>4500</v>
      </c>
      <c r="I30" s="87">
        <v>3000</v>
      </c>
      <c r="J30" s="87"/>
      <c r="K30" s="87"/>
      <c r="L30" s="87">
        <v>2573.42</v>
      </c>
      <c r="M30" s="87">
        <v>4500</v>
      </c>
      <c r="N30" s="87">
        <v>246.8</v>
      </c>
      <c r="O30" s="87"/>
      <c r="P30" s="87"/>
      <c r="Q30" s="87"/>
      <c r="R30" s="87">
        <v>4500</v>
      </c>
      <c r="S30" s="87"/>
      <c r="T30" s="87">
        <v>3500</v>
      </c>
      <c r="U30" s="87"/>
      <c r="V30" s="87">
        <v>404.34</v>
      </c>
      <c r="W30" s="87"/>
      <c r="X30" s="85">
        <v>28744.559999999998</v>
      </c>
      <c r="Y30"/>
      <c r="Z30"/>
      <c r="AA30"/>
      <c r="AB30"/>
      <c r="AC30"/>
      <c r="AD30"/>
      <c r="AE30"/>
      <c r="AF30"/>
    </row>
    <row r="31" spans="1:32" s="11" customFormat="1" x14ac:dyDescent="0.2">
      <c r="A31" s="88" t="s">
        <v>67</v>
      </c>
      <c r="B31" s="88"/>
      <c r="C31">
        <v>7000</v>
      </c>
      <c r="D31"/>
      <c r="E31"/>
      <c r="F31">
        <v>1000</v>
      </c>
      <c r="G31"/>
      <c r="H31"/>
      <c r="I31"/>
      <c r="J31">
        <v>14028.3</v>
      </c>
      <c r="K31">
        <v>3390</v>
      </c>
      <c r="L31"/>
      <c r="M31">
        <v>1750</v>
      </c>
      <c r="N31">
        <v>4000</v>
      </c>
      <c r="O31">
        <v>2800</v>
      </c>
      <c r="P31">
        <v>444.18</v>
      </c>
      <c r="Q31"/>
      <c r="R31"/>
      <c r="S31"/>
      <c r="T31"/>
      <c r="U31"/>
      <c r="V31">
        <v>2500</v>
      </c>
      <c r="W31"/>
      <c r="X31" s="89">
        <v>36912.480000000003</v>
      </c>
      <c r="Y31"/>
      <c r="Z31"/>
      <c r="AA31"/>
      <c r="AB31"/>
      <c r="AC31"/>
      <c r="AD31"/>
      <c r="AE31"/>
      <c r="AF31"/>
    </row>
    <row r="32" spans="1:32" s="11" customFormat="1" x14ac:dyDescent="0.2">
      <c r="A32" s="88" t="s">
        <v>68</v>
      </c>
      <c r="B32" s="88"/>
      <c r="C32"/>
      <c r="D32"/>
      <c r="E32"/>
      <c r="F32"/>
      <c r="G32"/>
      <c r="H32"/>
      <c r="I32"/>
      <c r="J32"/>
      <c r="K32"/>
      <c r="L32">
        <v>1843</v>
      </c>
      <c r="M32"/>
      <c r="N32"/>
      <c r="O32"/>
      <c r="P32"/>
      <c r="Q32"/>
      <c r="R32"/>
      <c r="S32">
        <v>500</v>
      </c>
      <c r="T32"/>
      <c r="U32"/>
      <c r="V32"/>
      <c r="W32"/>
      <c r="X32" s="89">
        <v>2343</v>
      </c>
      <c r="Y32"/>
      <c r="Z32"/>
      <c r="AA32"/>
      <c r="AB32"/>
      <c r="AC32"/>
      <c r="AD32"/>
      <c r="AE32"/>
      <c r="AF32"/>
    </row>
    <row r="33" spans="1:32" s="11" customFormat="1" x14ac:dyDescent="0.2">
      <c r="A33" s="88" t="s">
        <v>64</v>
      </c>
      <c r="B33" s="88"/>
      <c r="C33"/>
      <c r="D33"/>
      <c r="E33"/>
      <c r="F33"/>
      <c r="G33"/>
      <c r="H33"/>
      <c r="I33"/>
      <c r="J33"/>
      <c r="K33"/>
      <c r="L33">
        <v>3594.05</v>
      </c>
      <c r="M33"/>
      <c r="N33"/>
      <c r="O33"/>
      <c r="P33"/>
      <c r="Q33"/>
      <c r="R33"/>
      <c r="S33"/>
      <c r="T33"/>
      <c r="U33"/>
      <c r="V33"/>
      <c r="W33"/>
      <c r="X33" s="89">
        <v>3594.05</v>
      </c>
      <c r="Y33"/>
      <c r="Z33"/>
      <c r="AA33"/>
      <c r="AB33"/>
      <c r="AC33"/>
      <c r="AD33"/>
      <c r="AE33"/>
      <c r="AF33"/>
    </row>
    <row r="34" spans="1:32" s="11" customFormat="1" x14ac:dyDescent="0.2">
      <c r="A34" s="88" t="s">
        <v>91</v>
      </c>
      <c r="B34" s="88"/>
      <c r="C34">
        <v>90000</v>
      </c>
      <c r="D34">
        <v>3590.64</v>
      </c>
      <c r="E34">
        <v>10690.11</v>
      </c>
      <c r="F34">
        <v>6000</v>
      </c>
      <c r="G34">
        <v>1504.26</v>
      </c>
      <c r="H34"/>
      <c r="I34"/>
      <c r="J34">
        <v>7653.5</v>
      </c>
      <c r="K34"/>
      <c r="L34">
        <v>2305</v>
      </c>
      <c r="M34"/>
      <c r="N34">
        <v>51096.62</v>
      </c>
      <c r="O34">
        <v>18985.91</v>
      </c>
      <c r="P34">
        <v>1500</v>
      </c>
      <c r="Q34">
        <v>6500</v>
      </c>
      <c r="R34"/>
      <c r="S34"/>
      <c r="T34">
        <v>1995</v>
      </c>
      <c r="U34">
        <v>11733.39</v>
      </c>
      <c r="V34">
        <v>500</v>
      </c>
      <c r="W34">
        <v>2412.66</v>
      </c>
      <c r="X34" s="89">
        <v>216467.09</v>
      </c>
      <c r="Y34"/>
      <c r="Z34"/>
      <c r="AA34"/>
      <c r="AB34"/>
      <c r="AC34"/>
      <c r="AD34"/>
      <c r="AE34"/>
      <c r="AF34"/>
    </row>
    <row r="35" spans="1:32" s="11" customFormat="1" x14ac:dyDescent="0.2">
      <c r="A35" s="90" t="s">
        <v>71</v>
      </c>
      <c r="B35" s="90">
        <v>1020</v>
      </c>
      <c r="C35" s="91">
        <v>101500</v>
      </c>
      <c r="D35" s="91">
        <v>3590.64</v>
      </c>
      <c r="E35" s="91">
        <v>10690.11</v>
      </c>
      <c r="F35" s="91">
        <v>7000</v>
      </c>
      <c r="G35" s="91">
        <v>1504.26</v>
      </c>
      <c r="H35" s="91">
        <v>4500</v>
      </c>
      <c r="I35" s="91">
        <v>3000</v>
      </c>
      <c r="J35" s="91">
        <v>21681.8</v>
      </c>
      <c r="K35" s="91">
        <v>3390</v>
      </c>
      <c r="L35" s="91">
        <v>10315.470000000001</v>
      </c>
      <c r="M35" s="91">
        <v>6250</v>
      </c>
      <c r="N35" s="91">
        <v>55343.420000000006</v>
      </c>
      <c r="O35" s="91">
        <v>21785.91</v>
      </c>
      <c r="P35" s="91">
        <v>1944.18</v>
      </c>
      <c r="Q35" s="91">
        <v>6500</v>
      </c>
      <c r="R35" s="91">
        <v>4500</v>
      </c>
      <c r="S35" s="91">
        <v>500</v>
      </c>
      <c r="T35" s="91">
        <v>5495</v>
      </c>
      <c r="U35" s="91">
        <v>11733.39</v>
      </c>
      <c r="V35" s="91">
        <v>3404.34</v>
      </c>
      <c r="W35" s="91">
        <v>2412.66</v>
      </c>
      <c r="X35" s="92">
        <v>288061.18</v>
      </c>
      <c r="Y35"/>
      <c r="Z35"/>
      <c r="AA35"/>
      <c r="AB35"/>
      <c r="AC35"/>
      <c r="AD35"/>
      <c r="AE35"/>
      <c r="AF35"/>
    </row>
    <row r="36" spans="1:32" s="11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2" s="1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2" s="25" customFormat="1" ht="13.5" thickBot="1" x14ac:dyDescent="0.25">
      <c r="A38" s="24"/>
      <c r="B38" s="24">
        <f>B4+B6-GETPIVOTDATA("Valor",$A$28,"Pagto.",DATE(2021,12,1))</f>
        <v>-243413.87199999997</v>
      </c>
      <c r="C38" s="24">
        <f>C4+C6-GETPIVOTDATA("Valor",$A$28,"Pagto.",DATE(2021,12,2))</f>
        <v>-344913.87199999997</v>
      </c>
      <c r="D38" s="24">
        <f>D4+D6-GETPIVOTDATA("Valor",$A$28,"Pagto.",DATE(2021,12,3))</f>
        <v>-348504.51199999999</v>
      </c>
      <c r="E38" s="24">
        <f>E4+E6-GETPIVOTDATA("Valor",$A$28,"Pagto.",DATE(2021,12,6))</f>
        <v>-359194.62199999997</v>
      </c>
      <c r="F38" s="24">
        <f>F4+F6-GETPIVOTDATA("Valor",$A$28,"Pagto.",DATE(2021,12,7))</f>
        <v>-366194.62199999997</v>
      </c>
      <c r="G38" s="24">
        <f>G4+G6-GETPIVOTDATA("Valor",$A$28,"Pagto.",DATE(2021,12,8))</f>
        <v>-367698.88199999998</v>
      </c>
      <c r="H38" s="24">
        <f>H4+H6-GETPIVOTDATA("Valor",$A$28,"Pagto.",DATE(2021,12,9))</f>
        <v>-372198.88199999998</v>
      </c>
      <c r="I38" s="24">
        <f>I4+I6-GETPIVOTDATA("Valor",$A$28,"Pagto.",DATE(2021,12,10))</f>
        <v>-375198.88199999998</v>
      </c>
      <c r="J38" s="24">
        <f>J4+J6-GETPIVOTDATA("Valor",$A$28,"Pagto.",DATE(2021,12,13))</f>
        <v>-396880.68199999997</v>
      </c>
      <c r="K38" s="24">
        <f>K4+K6-GETPIVOTDATA("Valor",$A$28,"Pagto.",DATE(2021,12,14))</f>
        <v>-400270.68199999997</v>
      </c>
      <c r="L38" s="24">
        <f>L4+L6-GETPIVOTDATA("Valor",$A$28,"Pagto.",DATE(2021,12,15))</f>
        <v>-410586.152</v>
      </c>
      <c r="M38" s="24">
        <f>M4+M6-GETPIVOTDATA("Valor",$A$28,"Pagto.",DATE(2021,12,16))</f>
        <v>-416836.152</v>
      </c>
      <c r="N38" s="24">
        <f>N4+N6-GETPIVOTDATA("Valor",$A$28,"Pagto.",DATE(2021,12,17))</f>
        <v>-472179.57199999999</v>
      </c>
      <c r="O38" s="24">
        <f>O4+O6-GETPIVOTDATA("Valor",$A$28,"Pagto.",DATE(2021,12,20))</f>
        <v>-493965.48199999996</v>
      </c>
      <c r="P38" s="24">
        <f>P4+P6-GETPIVOTDATA("Valor",$A$28,"Pagto.",DATE(2021,12,21))</f>
        <v>-495909.66199999995</v>
      </c>
      <c r="Q38" s="24">
        <f>Q4+Q6-GETPIVOTDATA("Valor",$A$28,"Pagto.",DATE(2021,12,22))</f>
        <v>-502409.66199999995</v>
      </c>
      <c r="R38" s="24">
        <f>R4+R6-GETPIVOTDATA("Valor",$A$28,"Pagto.",DATE(2021,12,23))</f>
        <v>-506909.66199999995</v>
      </c>
      <c r="S38" s="24">
        <f>S4+S6-GETPIVOTDATA("Valor",$A$28,"Pagto.",DATE(2021,12,24))</f>
        <v>-507409.66199999995</v>
      </c>
      <c r="T38" s="24">
        <f>T4+T6-GETPIVOTDATA("Valor",$A$28,"Pagto.",DATE(2021,12,27))</f>
        <v>-512904.66199999995</v>
      </c>
      <c r="U38" s="24">
        <f>U4+U6-GETPIVOTDATA("Valor",$A$28,"Pagto.",DATE(2021,12,28))</f>
        <v>-524638.05199999991</v>
      </c>
      <c r="V38" s="24">
        <f>V4+V6-GETPIVOTDATA("Valor",$A$28,"Pagto.",DATE(2021,12,29))</f>
        <v>-528042.39199999988</v>
      </c>
      <c r="W38" s="24">
        <f>W4+W6-GETPIVOTDATA("Valor",$A$28,"Pagto.",DATE(2021,12,30))</f>
        <v>-530455.05199999991</v>
      </c>
    </row>
    <row r="39" spans="1:32" ht="13.5" thickTop="1" x14ac:dyDescent="0.2">
      <c r="B39"/>
      <c r="C39"/>
      <c r="D39"/>
      <c r="E39"/>
      <c r="F39"/>
      <c r="G39"/>
      <c r="H39"/>
      <c r="I39"/>
      <c r="J39"/>
      <c r="K39"/>
      <c r="L39"/>
    </row>
    <row r="40" spans="1:32" x14ac:dyDescent="0.2">
      <c r="B40"/>
      <c r="C40"/>
      <c r="D40"/>
      <c r="E40"/>
      <c r="F40"/>
      <c r="G40"/>
      <c r="H40"/>
      <c r="I40"/>
    </row>
    <row r="41" spans="1:32" x14ac:dyDescent="0.2">
      <c r="B41"/>
      <c r="C41"/>
      <c r="D41"/>
      <c r="E41"/>
      <c r="F41"/>
      <c r="G41"/>
      <c r="H41"/>
      <c r="I41"/>
    </row>
    <row r="42" spans="1:32" x14ac:dyDescent="0.2">
      <c r="B42"/>
      <c r="C42"/>
      <c r="D42"/>
      <c r="E42"/>
      <c r="F42"/>
      <c r="G42"/>
      <c r="H42"/>
      <c r="I42"/>
    </row>
    <row r="43" spans="1:32" x14ac:dyDescent="0.2">
      <c r="B43"/>
      <c r="C43"/>
      <c r="D43"/>
      <c r="E43"/>
      <c r="F43"/>
      <c r="G43"/>
      <c r="H43"/>
      <c r="I43"/>
    </row>
    <row r="44" spans="1:32" x14ac:dyDescent="0.2">
      <c r="B44"/>
      <c r="C44"/>
      <c r="D44"/>
      <c r="E44"/>
      <c r="F44"/>
      <c r="G44"/>
      <c r="H44"/>
      <c r="I44"/>
    </row>
    <row r="45" spans="1:32" x14ac:dyDescent="0.2">
      <c r="B45"/>
      <c r="C45"/>
      <c r="D45"/>
      <c r="E45"/>
      <c r="F45"/>
      <c r="G45"/>
      <c r="H45"/>
      <c r="I45"/>
    </row>
    <row r="46" spans="1:32" x14ac:dyDescent="0.2">
      <c r="B46"/>
      <c r="C46"/>
      <c r="D46"/>
      <c r="E46"/>
      <c r="F46"/>
      <c r="G46"/>
      <c r="H46"/>
      <c r="I46"/>
    </row>
    <row r="47" spans="1:32" x14ac:dyDescent="0.2">
      <c r="B47"/>
      <c r="C47"/>
      <c r="D47"/>
      <c r="E47"/>
      <c r="F47"/>
      <c r="G47"/>
      <c r="H47"/>
      <c r="I47"/>
    </row>
    <row r="48" spans="1:32" x14ac:dyDescent="0.2">
      <c r="B48"/>
      <c r="C48"/>
      <c r="D48"/>
      <c r="E48"/>
      <c r="F48"/>
      <c r="G48"/>
      <c r="H48"/>
      <c r="I48"/>
    </row>
    <row r="49" spans="2:9" x14ac:dyDescent="0.2">
      <c r="B49"/>
      <c r="C49"/>
      <c r="D49"/>
      <c r="E49"/>
      <c r="F49"/>
      <c r="G49"/>
      <c r="H49"/>
      <c r="I49"/>
    </row>
    <row r="50" spans="2:9" x14ac:dyDescent="0.2">
      <c r="B50"/>
      <c r="C50"/>
      <c r="D50"/>
      <c r="E50"/>
      <c r="F50"/>
      <c r="G50"/>
      <c r="H50"/>
      <c r="I50"/>
    </row>
  </sheetData>
  <conditionalFormatting sqref="A36 A4:XFD4 A38:XFD38">
    <cfRule type="cellIs" dxfId="35" priority="3" stopIfTrue="1" operator="lessThan">
      <formula>0</formula>
    </cfRule>
  </conditionalFormatting>
  <conditionalFormatting sqref="A1:XFD1">
    <cfRule type="cellIs" dxfId="34" priority="1" stopIfTrue="1" operator="equal">
      <formula>"Sábado"</formula>
    </cfRule>
    <cfRule type="cellIs" dxfId="33" priority="2" stopIfTrue="1" operator="equal">
      <formula>"Domingo"</formula>
    </cfRule>
  </conditionalFormatting>
  <pageMargins left="0.74791666666666667" right="0.74791666666666667" top="0.98402777777777783" bottom="0.98402777777777783" header="0.51180555555555562" footer="0.51180555555555562"/>
  <pageSetup paperSize="9" firstPageNumber="0" orientation="landscape" horizontalDpi="300" verticalDpi="300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K2945"/>
  <sheetViews>
    <sheetView topLeftCell="B1" zoomScale="90" workbookViewId="0">
      <pane ySplit="1" topLeftCell="A50" activePane="bottomLeft" state="frozen"/>
      <selection activeCell="H2829" sqref="H2829"/>
      <selection pane="bottomLeft" activeCell="D60" sqref="D60"/>
    </sheetView>
  </sheetViews>
  <sheetFormatPr defaultRowHeight="12.75" x14ac:dyDescent="0.2"/>
  <cols>
    <col min="1" max="1" width="7.140625" customWidth="1"/>
    <col min="2" max="2" width="5.7109375" customWidth="1"/>
    <col min="3" max="3" width="16.7109375" bestFit="1" customWidth="1"/>
    <col min="4" max="4" width="75" bestFit="1" customWidth="1"/>
    <col min="5" max="5" width="12.5703125" style="49" customWidth="1"/>
    <col min="6" max="6" width="17.42578125" style="40" customWidth="1"/>
    <col min="7" max="7" width="24.85546875" customWidth="1"/>
    <col min="8" max="8" width="15.28515625" style="75" customWidth="1"/>
    <col min="9" max="9" width="21.7109375" bestFit="1" customWidth="1"/>
    <col min="10" max="10" width="19" customWidth="1"/>
    <col min="11" max="11" width="18.28515625" style="1" customWidth="1"/>
    <col min="12" max="12" width="17.28515625" customWidth="1"/>
    <col min="13" max="13" width="14.140625" customWidth="1"/>
    <col min="14" max="14" width="19.140625" customWidth="1"/>
  </cols>
  <sheetData>
    <row r="1" spans="1:11" s="36" customFormat="1" x14ac:dyDescent="0.2">
      <c r="A1" s="36">
        <v>0</v>
      </c>
      <c r="B1" s="36" t="s">
        <v>5</v>
      </c>
      <c r="C1" s="36" t="s">
        <v>46</v>
      </c>
      <c r="D1" s="36" t="s">
        <v>47</v>
      </c>
      <c r="E1" s="51" t="s">
        <v>48</v>
      </c>
      <c r="F1" s="38" t="s">
        <v>49</v>
      </c>
      <c r="G1" s="36" t="s">
        <v>50</v>
      </c>
      <c r="H1" s="33" t="s">
        <v>42</v>
      </c>
      <c r="K1" s="37"/>
    </row>
    <row r="2" spans="1:11" ht="13.5" customHeight="1" x14ac:dyDescent="0.2">
      <c r="C2" s="12" t="s">
        <v>199</v>
      </c>
      <c r="D2" s="57" t="s">
        <v>365</v>
      </c>
      <c r="E2" s="60">
        <v>44501</v>
      </c>
      <c r="F2" s="58">
        <f>2193.19</f>
        <v>2193.19</v>
      </c>
      <c r="G2" s="12" t="s">
        <v>1676</v>
      </c>
      <c r="H2" s="61">
        <f t="shared" ref="H2:H32" si="0">VLOOKUP(E2,$E$2868:$H$2997,4,FALSE)</f>
        <v>44501</v>
      </c>
    </row>
    <row r="3" spans="1:11" ht="13.5" customHeight="1" x14ac:dyDescent="0.2">
      <c r="C3" s="12" t="s">
        <v>74</v>
      </c>
      <c r="D3" s="57" t="s">
        <v>1451</v>
      </c>
      <c r="E3" s="60">
        <v>44502</v>
      </c>
      <c r="F3" s="58">
        <f>10279.79</f>
        <v>10279.790000000001</v>
      </c>
      <c r="G3" s="12" t="s">
        <v>1689</v>
      </c>
      <c r="H3" s="61">
        <f t="shared" si="0"/>
        <v>44503</v>
      </c>
    </row>
    <row r="4" spans="1:11" ht="13.5" customHeight="1" x14ac:dyDescent="0.2">
      <c r="C4" s="12" t="s">
        <v>80</v>
      </c>
      <c r="D4" s="57" t="s">
        <v>236</v>
      </c>
      <c r="E4" s="60">
        <v>44503</v>
      </c>
      <c r="F4" s="58">
        <v>200</v>
      </c>
      <c r="G4" s="12" t="s">
        <v>1689</v>
      </c>
      <c r="H4" s="61">
        <f t="shared" si="0"/>
        <v>44503</v>
      </c>
    </row>
    <row r="5" spans="1:11" ht="13.5" customHeight="1" x14ac:dyDescent="0.2">
      <c r="C5" s="12" t="s">
        <v>192</v>
      </c>
      <c r="D5" s="57" t="s">
        <v>1591</v>
      </c>
      <c r="E5" s="60">
        <v>44504</v>
      </c>
      <c r="F5" s="58">
        <v>569.29999999999995</v>
      </c>
      <c r="G5" s="12" t="s">
        <v>1689</v>
      </c>
      <c r="H5" s="61">
        <f t="shared" si="0"/>
        <v>44504</v>
      </c>
    </row>
    <row r="6" spans="1:11" ht="13.5" customHeight="1" x14ac:dyDescent="0.2">
      <c r="C6" s="12" t="s">
        <v>97</v>
      </c>
      <c r="D6" s="57" t="s">
        <v>274</v>
      </c>
      <c r="E6" s="60">
        <v>44504</v>
      </c>
      <c r="F6" s="58">
        <v>2262.9899999999998</v>
      </c>
      <c r="G6" s="12" t="s">
        <v>1689</v>
      </c>
      <c r="H6" s="61">
        <f t="shared" si="0"/>
        <v>44504</v>
      </c>
    </row>
    <row r="7" spans="1:11" ht="13.5" customHeight="1" x14ac:dyDescent="0.2">
      <c r="C7" s="12" t="s">
        <v>131</v>
      </c>
      <c r="D7" s="57" t="s">
        <v>1590</v>
      </c>
      <c r="E7" s="60">
        <v>44504</v>
      </c>
      <c r="F7" s="58">
        <v>404.41</v>
      </c>
      <c r="G7" s="12" t="s">
        <v>1688</v>
      </c>
      <c r="H7" s="61">
        <f t="shared" si="0"/>
        <v>44504</v>
      </c>
    </row>
    <row r="8" spans="1:11" ht="13.5" customHeight="1" x14ac:dyDescent="0.2">
      <c r="C8" s="12" t="s">
        <v>84</v>
      </c>
      <c r="D8" s="57" t="s">
        <v>937</v>
      </c>
      <c r="E8" s="60">
        <v>44505</v>
      </c>
      <c r="F8" s="58">
        <v>3000</v>
      </c>
      <c r="G8" s="12" t="s">
        <v>1689</v>
      </c>
      <c r="H8" s="61">
        <f t="shared" si="0"/>
        <v>44505</v>
      </c>
    </row>
    <row r="9" spans="1:11" ht="13.5" customHeight="1" x14ac:dyDescent="0.2">
      <c r="C9" s="12" t="s">
        <v>83</v>
      </c>
      <c r="D9" s="57" t="s">
        <v>1670</v>
      </c>
      <c r="E9" s="60">
        <v>44505</v>
      </c>
      <c r="F9" s="58">
        <v>300</v>
      </c>
      <c r="G9" s="12" t="s">
        <v>1689</v>
      </c>
      <c r="H9" s="61">
        <f t="shared" si="0"/>
        <v>44505</v>
      </c>
    </row>
    <row r="10" spans="1:11" ht="13.5" customHeight="1" x14ac:dyDescent="0.2">
      <c r="C10" s="12" t="s">
        <v>83</v>
      </c>
      <c r="D10" s="57" t="s">
        <v>549</v>
      </c>
      <c r="E10" s="60">
        <v>44505</v>
      </c>
      <c r="F10" s="58">
        <v>3000</v>
      </c>
      <c r="G10" s="12" t="s">
        <v>1689</v>
      </c>
      <c r="H10" s="61">
        <f t="shared" si="0"/>
        <v>44505</v>
      </c>
    </row>
    <row r="11" spans="1:11" ht="13.5" customHeight="1" x14ac:dyDescent="0.2">
      <c r="C11" s="12" t="s">
        <v>56</v>
      </c>
      <c r="D11" s="57" t="s">
        <v>140</v>
      </c>
      <c r="E11" s="60">
        <v>44505</v>
      </c>
      <c r="F11" s="58">
        <v>8594</v>
      </c>
      <c r="G11" s="12" t="s">
        <v>1689</v>
      </c>
      <c r="H11" s="61">
        <f t="shared" si="0"/>
        <v>44505</v>
      </c>
    </row>
    <row r="12" spans="1:11" ht="13.5" customHeight="1" x14ac:dyDescent="0.2">
      <c r="C12" s="12" t="s">
        <v>56</v>
      </c>
      <c r="D12" s="57" t="s">
        <v>79</v>
      </c>
      <c r="E12" s="60">
        <v>44505</v>
      </c>
      <c r="F12" s="58">
        <v>14345</v>
      </c>
      <c r="G12" s="12" t="s">
        <v>1689</v>
      </c>
      <c r="H12" s="61">
        <f t="shared" si="0"/>
        <v>44505</v>
      </c>
    </row>
    <row r="13" spans="1:11" ht="13.5" customHeight="1" x14ac:dyDescent="0.2">
      <c r="C13" s="98" t="s">
        <v>192</v>
      </c>
      <c r="D13" s="99" t="s">
        <v>1656</v>
      </c>
      <c r="E13" s="100">
        <v>44505</v>
      </c>
      <c r="F13" s="101">
        <v>356.93</v>
      </c>
      <c r="G13" s="98" t="s">
        <v>1689</v>
      </c>
      <c r="H13" s="61">
        <f t="shared" si="0"/>
        <v>44505</v>
      </c>
    </row>
    <row r="14" spans="1:11" ht="13.5" customHeight="1" x14ac:dyDescent="0.2">
      <c r="C14" s="98" t="s">
        <v>170</v>
      </c>
      <c r="D14" s="99" t="s">
        <v>1492</v>
      </c>
      <c r="E14" s="100">
        <v>44505</v>
      </c>
      <c r="F14" s="101">
        <v>940.68</v>
      </c>
      <c r="G14" s="98" t="s">
        <v>1676</v>
      </c>
      <c r="H14" s="61">
        <f t="shared" si="0"/>
        <v>44505</v>
      </c>
    </row>
    <row r="15" spans="1:11" ht="13.5" customHeight="1" x14ac:dyDescent="0.2">
      <c r="C15" s="98" t="s">
        <v>84</v>
      </c>
      <c r="D15" s="99" t="s">
        <v>284</v>
      </c>
      <c r="E15" s="100">
        <v>44505</v>
      </c>
      <c r="F15" s="101">
        <v>285</v>
      </c>
      <c r="G15" s="98" t="s">
        <v>1689</v>
      </c>
      <c r="H15" s="61">
        <f t="shared" si="0"/>
        <v>44505</v>
      </c>
    </row>
    <row r="16" spans="1:11" ht="13.5" customHeight="1" x14ac:dyDescent="0.2">
      <c r="C16" s="98" t="s">
        <v>56</v>
      </c>
      <c r="D16" s="99" t="s">
        <v>1571</v>
      </c>
      <c r="E16" s="100">
        <v>44506</v>
      </c>
      <c r="F16" s="101">
        <f>4218+470</f>
        <v>4688</v>
      </c>
      <c r="G16" s="98" t="s">
        <v>1689</v>
      </c>
      <c r="H16" s="61">
        <f t="shared" si="0"/>
        <v>44508</v>
      </c>
    </row>
    <row r="17" spans="3:8" ht="13.5" customHeight="1" x14ac:dyDescent="0.2">
      <c r="C17" s="165" t="s">
        <v>97</v>
      </c>
      <c r="D17" s="166" t="s">
        <v>1638</v>
      </c>
      <c r="E17" s="167">
        <v>44506</v>
      </c>
      <c r="F17" s="168">
        <f>12064.5+527.24</f>
        <v>12591.74</v>
      </c>
      <c r="G17" s="165" t="s">
        <v>1689</v>
      </c>
      <c r="H17" s="61">
        <f t="shared" si="0"/>
        <v>44508</v>
      </c>
    </row>
    <row r="18" spans="3:8" ht="13.5" customHeight="1" x14ac:dyDescent="0.2">
      <c r="C18" s="165" t="s">
        <v>89</v>
      </c>
      <c r="D18" s="166" t="s">
        <v>1647</v>
      </c>
      <c r="E18" s="167">
        <v>44506</v>
      </c>
      <c r="F18" s="168">
        <v>3812.48</v>
      </c>
      <c r="G18" s="165" t="s">
        <v>64</v>
      </c>
      <c r="H18" s="61">
        <f t="shared" si="0"/>
        <v>44508</v>
      </c>
    </row>
    <row r="19" spans="3:8" ht="13.5" customHeight="1" x14ac:dyDescent="0.2">
      <c r="C19" s="165" t="s">
        <v>97</v>
      </c>
      <c r="D19" s="166" t="s">
        <v>275</v>
      </c>
      <c r="E19" s="167">
        <v>44506</v>
      </c>
      <c r="F19" s="168">
        <v>2175.1</v>
      </c>
      <c r="G19" s="165" t="s">
        <v>1689</v>
      </c>
      <c r="H19" s="61">
        <f t="shared" si="0"/>
        <v>44508</v>
      </c>
    </row>
    <row r="20" spans="3:8" ht="13.5" customHeight="1" x14ac:dyDescent="0.2">
      <c r="C20" t="s">
        <v>88</v>
      </c>
      <c r="D20" s="56" t="s">
        <v>1618</v>
      </c>
      <c r="E20" s="52">
        <v>44506</v>
      </c>
      <c r="F20" s="55">
        <v>701</v>
      </c>
      <c r="G20" t="s">
        <v>1689</v>
      </c>
      <c r="H20" s="61">
        <f t="shared" si="0"/>
        <v>44508</v>
      </c>
    </row>
    <row r="21" spans="3:8" ht="13.5" customHeight="1" x14ac:dyDescent="0.2">
      <c r="C21" t="s">
        <v>56</v>
      </c>
      <c r="D21" s="56" t="s">
        <v>56</v>
      </c>
      <c r="E21" s="52">
        <v>44506</v>
      </c>
      <c r="F21" s="55">
        <v>6251</v>
      </c>
      <c r="G21" t="s">
        <v>1676</v>
      </c>
      <c r="H21" s="61">
        <f t="shared" si="0"/>
        <v>44508</v>
      </c>
    </row>
    <row r="22" spans="3:8" ht="13.5" customHeight="1" x14ac:dyDescent="0.2">
      <c r="C22" t="s">
        <v>56</v>
      </c>
      <c r="D22" s="56" t="s">
        <v>56</v>
      </c>
      <c r="E22" s="52">
        <v>44506</v>
      </c>
      <c r="F22" s="55">
        <f>88123-4218-14345-8594-5052</f>
        <v>55914</v>
      </c>
      <c r="G22" t="s">
        <v>1689</v>
      </c>
      <c r="H22" s="61">
        <f t="shared" si="0"/>
        <v>44508</v>
      </c>
    </row>
    <row r="23" spans="3:8" ht="13.5" customHeight="1" x14ac:dyDescent="0.2">
      <c r="C23" t="s">
        <v>56</v>
      </c>
      <c r="D23" s="56" t="s">
        <v>197</v>
      </c>
      <c r="E23" s="52">
        <v>44506</v>
      </c>
      <c r="F23" s="55">
        <v>2800</v>
      </c>
      <c r="G23" t="s">
        <v>1689</v>
      </c>
      <c r="H23" s="61">
        <f t="shared" si="0"/>
        <v>44508</v>
      </c>
    </row>
    <row r="24" spans="3:8" ht="13.5" customHeight="1" x14ac:dyDescent="0.2">
      <c r="C24" t="s">
        <v>56</v>
      </c>
      <c r="D24" s="56" t="s">
        <v>196</v>
      </c>
      <c r="E24" s="52">
        <v>44506</v>
      </c>
      <c r="F24" s="55">
        <f>693.62+738.04</f>
        <v>1431.6599999999999</v>
      </c>
      <c r="G24" t="s">
        <v>1689</v>
      </c>
      <c r="H24" s="61">
        <f t="shared" si="0"/>
        <v>44508</v>
      </c>
    </row>
    <row r="25" spans="3:8" ht="13.5" customHeight="1" x14ac:dyDescent="0.2">
      <c r="C25" t="s">
        <v>88</v>
      </c>
      <c r="D25" s="56" t="s">
        <v>1564</v>
      </c>
      <c r="E25" s="52">
        <v>44506</v>
      </c>
      <c r="F25" s="55">
        <v>690</v>
      </c>
      <c r="G25" t="s">
        <v>1689</v>
      </c>
      <c r="H25" s="61">
        <f t="shared" si="0"/>
        <v>44508</v>
      </c>
    </row>
    <row r="26" spans="3:8" ht="13.5" customHeight="1" x14ac:dyDescent="0.2">
      <c r="C26" t="s">
        <v>56</v>
      </c>
      <c r="D26" s="56" t="s">
        <v>1671</v>
      </c>
      <c r="E26" s="52">
        <v>44506</v>
      </c>
      <c r="F26" s="55">
        <f>2848+2204</f>
        <v>5052</v>
      </c>
      <c r="G26" t="s">
        <v>1689</v>
      </c>
      <c r="H26" s="61">
        <f t="shared" si="0"/>
        <v>44508</v>
      </c>
    </row>
    <row r="27" spans="3:8" ht="13.5" customHeight="1" x14ac:dyDescent="0.2">
      <c r="C27" t="s">
        <v>135</v>
      </c>
      <c r="D27" s="56" t="s">
        <v>1522</v>
      </c>
      <c r="E27" s="52">
        <v>44506</v>
      </c>
      <c r="F27" s="55">
        <v>3135</v>
      </c>
      <c r="G27" t="s">
        <v>1676</v>
      </c>
      <c r="H27" s="61">
        <f t="shared" si="0"/>
        <v>44508</v>
      </c>
    </row>
    <row r="28" spans="3:8" ht="13.5" customHeight="1" x14ac:dyDescent="0.2">
      <c r="C28" t="s">
        <v>159</v>
      </c>
      <c r="D28" s="56" t="s">
        <v>191</v>
      </c>
      <c r="E28" s="52">
        <v>44506</v>
      </c>
      <c r="F28" s="55">
        <v>675</v>
      </c>
      <c r="G28" t="s">
        <v>1689</v>
      </c>
      <c r="H28" s="61">
        <f t="shared" si="0"/>
        <v>44508</v>
      </c>
    </row>
    <row r="29" spans="3:8" ht="13.5" customHeight="1" x14ac:dyDescent="0.2">
      <c r="C29" t="s">
        <v>77</v>
      </c>
      <c r="D29" s="56" t="s">
        <v>1646</v>
      </c>
      <c r="E29" s="52">
        <v>44506</v>
      </c>
      <c r="F29" s="55">
        <v>235.89</v>
      </c>
      <c r="G29" t="s">
        <v>1689</v>
      </c>
      <c r="H29" s="61">
        <f t="shared" si="0"/>
        <v>44508</v>
      </c>
    </row>
    <row r="30" spans="3:8" ht="13.5" customHeight="1" x14ac:dyDescent="0.2">
      <c r="C30" t="s">
        <v>72</v>
      </c>
      <c r="D30" s="56" t="s">
        <v>1566</v>
      </c>
      <c r="E30" s="52">
        <v>44506</v>
      </c>
      <c r="F30" s="55">
        <v>1943.25</v>
      </c>
      <c r="G30" t="s">
        <v>1688</v>
      </c>
      <c r="H30" s="61">
        <f t="shared" si="0"/>
        <v>44508</v>
      </c>
    </row>
    <row r="31" spans="3:8" ht="13.5" customHeight="1" x14ac:dyDescent="0.2">
      <c r="C31" t="s">
        <v>88</v>
      </c>
      <c r="D31" s="56" t="s">
        <v>1418</v>
      </c>
      <c r="E31" s="52">
        <v>44506</v>
      </c>
      <c r="F31" s="55">
        <v>4000</v>
      </c>
      <c r="G31" t="s">
        <v>1689</v>
      </c>
      <c r="H31" s="61">
        <f t="shared" si="0"/>
        <v>44508</v>
      </c>
    </row>
    <row r="32" spans="3:8" ht="13.5" customHeight="1" x14ac:dyDescent="0.2">
      <c r="C32" t="s">
        <v>96</v>
      </c>
      <c r="D32" s="56" t="s">
        <v>1382</v>
      </c>
      <c r="E32" s="52">
        <v>44507</v>
      </c>
      <c r="F32" s="55">
        <v>304.95999999999998</v>
      </c>
      <c r="G32" t="s">
        <v>1689</v>
      </c>
      <c r="H32" s="61">
        <f t="shared" si="0"/>
        <v>44508</v>
      </c>
    </row>
    <row r="33" spans="3:8" ht="13.5" customHeight="1" x14ac:dyDescent="0.2">
      <c r="C33" t="s">
        <v>96</v>
      </c>
      <c r="D33" s="56" t="s">
        <v>1547</v>
      </c>
      <c r="E33" s="52">
        <v>44507</v>
      </c>
      <c r="F33" s="55">
        <v>1504.26</v>
      </c>
      <c r="G33" t="s">
        <v>1689</v>
      </c>
      <c r="H33" s="61">
        <f t="shared" ref="H33:H65" si="1">VLOOKUP(E33,$E$2868:$H$2997,4,FALSE)</f>
        <v>44508</v>
      </c>
    </row>
    <row r="34" spans="3:8" ht="13.5" customHeight="1" x14ac:dyDescent="0.2">
      <c r="C34" t="s">
        <v>164</v>
      </c>
      <c r="D34" s="56" t="s">
        <v>1380</v>
      </c>
      <c r="E34" s="52">
        <v>44508</v>
      </c>
      <c r="F34" s="55">
        <v>473.91</v>
      </c>
      <c r="G34" t="s">
        <v>1676</v>
      </c>
      <c r="H34" s="61">
        <f t="shared" si="1"/>
        <v>44508</v>
      </c>
    </row>
    <row r="35" spans="3:8" ht="13.5" customHeight="1" x14ac:dyDescent="0.2">
      <c r="C35" t="s">
        <v>164</v>
      </c>
      <c r="D35" s="56" t="s">
        <v>1265</v>
      </c>
      <c r="E35" s="52">
        <v>44508</v>
      </c>
      <c r="F35" s="55">
        <v>40</v>
      </c>
      <c r="G35" t="s">
        <v>1676</v>
      </c>
      <c r="H35" s="61">
        <f t="shared" si="1"/>
        <v>44508</v>
      </c>
    </row>
    <row r="36" spans="3:8" ht="13.5" customHeight="1" x14ac:dyDescent="0.2">
      <c r="C36" t="s">
        <v>76</v>
      </c>
      <c r="D36" s="56" t="s">
        <v>1657</v>
      </c>
      <c r="E36" s="52">
        <v>44508</v>
      </c>
      <c r="F36" s="55">
        <v>5962</v>
      </c>
      <c r="G36" t="s">
        <v>1689</v>
      </c>
      <c r="H36" s="61">
        <f t="shared" si="1"/>
        <v>44508</v>
      </c>
    </row>
    <row r="37" spans="3:8" ht="13.5" customHeight="1" x14ac:dyDescent="0.2">
      <c r="C37" t="s">
        <v>159</v>
      </c>
      <c r="D37" s="56" t="s">
        <v>191</v>
      </c>
      <c r="E37" s="52">
        <v>44508</v>
      </c>
      <c r="F37" s="55">
        <v>900</v>
      </c>
      <c r="G37" t="s">
        <v>1689</v>
      </c>
      <c r="H37" s="61">
        <f t="shared" si="1"/>
        <v>44508</v>
      </c>
    </row>
    <row r="38" spans="3:8" ht="13.5" customHeight="1" x14ac:dyDescent="0.2">
      <c r="C38" t="s">
        <v>1493</v>
      </c>
      <c r="D38" s="56" t="s">
        <v>1606</v>
      </c>
      <c r="E38" s="52">
        <v>44509</v>
      </c>
      <c r="F38" s="55">
        <v>966.9</v>
      </c>
      <c r="G38" t="s">
        <v>1689</v>
      </c>
      <c r="H38" s="61">
        <f t="shared" si="1"/>
        <v>44509</v>
      </c>
    </row>
    <row r="39" spans="3:8" ht="13.5" customHeight="1" x14ac:dyDescent="0.2">
      <c r="C39" t="s">
        <v>229</v>
      </c>
      <c r="D39" s="56" t="s">
        <v>1516</v>
      </c>
      <c r="E39" s="52">
        <v>44509</v>
      </c>
      <c r="F39" s="55">
        <v>950</v>
      </c>
      <c r="G39" t="s">
        <v>1689</v>
      </c>
      <c r="H39" s="61">
        <f t="shared" si="1"/>
        <v>44509</v>
      </c>
    </row>
    <row r="40" spans="3:8" ht="13.5" customHeight="1" x14ac:dyDescent="0.2">
      <c r="C40" t="s">
        <v>88</v>
      </c>
      <c r="D40" s="56" t="s">
        <v>1593</v>
      </c>
      <c r="E40" s="52">
        <v>44509</v>
      </c>
      <c r="F40" s="55">
        <v>1450</v>
      </c>
      <c r="G40" t="s">
        <v>1689</v>
      </c>
      <c r="H40" s="61">
        <f t="shared" si="1"/>
        <v>44509</v>
      </c>
    </row>
    <row r="41" spans="3:8" ht="13.5" customHeight="1" x14ac:dyDescent="0.2">
      <c r="C41" t="s">
        <v>135</v>
      </c>
      <c r="D41" s="56" t="s">
        <v>1601</v>
      </c>
      <c r="E41" s="52">
        <v>44510</v>
      </c>
      <c r="F41" s="55">
        <v>737.84</v>
      </c>
      <c r="G41" t="s">
        <v>1689</v>
      </c>
      <c r="H41" s="61">
        <f t="shared" si="1"/>
        <v>44510</v>
      </c>
    </row>
    <row r="42" spans="3:8" ht="13.5" customHeight="1" x14ac:dyDescent="0.2">
      <c r="C42" t="s">
        <v>164</v>
      </c>
      <c r="D42" s="56" t="s">
        <v>1589</v>
      </c>
      <c r="E42" s="52">
        <v>44510</v>
      </c>
      <c r="F42" s="55">
        <v>220</v>
      </c>
      <c r="G42" t="s">
        <v>1676</v>
      </c>
      <c r="H42" s="61">
        <f t="shared" si="1"/>
        <v>44510</v>
      </c>
    </row>
    <row r="43" spans="3:8" ht="13.5" customHeight="1" x14ac:dyDescent="0.2">
      <c r="C43" t="s">
        <v>89</v>
      </c>
      <c r="D43" s="56" t="s">
        <v>1538</v>
      </c>
      <c r="E43" s="52">
        <v>44510</v>
      </c>
      <c r="F43" s="55">
        <v>2576.79</v>
      </c>
      <c r="G43" t="s">
        <v>1689</v>
      </c>
      <c r="H43" s="61">
        <f t="shared" si="1"/>
        <v>44510</v>
      </c>
    </row>
    <row r="44" spans="3:8" ht="13.5" customHeight="1" x14ac:dyDescent="0.2">
      <c r="C44" t="s">
        <v>72</v>
      </c>
      <c r="D44" s="56" t="s">
        <v>65</v>
      </c>
      <c r="E44" s="52">
        <v>44510</v>
      </c>
      <c r="F44" s="55">
        <v>3000</v>
      </c>
      <c r="G44" t="s">
        <v>1688</v>
      </c>
      <c r="H44" s="61">
        <f t="shared" si="1"/>
        <v>44510</v>
      </c>
    </row>
    <row r="45" spans="3:8" ht="13.5" customHeight="1" x14ac:dyDescent="0.2">
      <c r="C45" t="s">
        <v>77</v>
      </c>
      <c r="D45" s="56" t="s">
        <v>1635</v>
      </c>
      <c r="E45" s="52">
        <v>44511</v>
      </c>
      <c r="F45" s="55">
        <f>189.16+42.98+1278.98</f>
        <v>1511.12</v>
      </c>
      <c r="G45" t="s">
        <v>1676</v>
      </c>
      <c r="H45" s="61">
        <f t="shared" si="1"/>
        <v>44511</v>
      </c>
    </row>
    <row r="46" spans="3:8" ht="13.5" customHeight="1" x14ac:dyDescent="0.2">
      <c r="C46" t="s">
        <v>159</v>
      </c>
      <c r="D46" s="56" t="s">
        <v>1607</v>
      </c>
      <c r="E46" s="52">
        <v>44511</v>
      </c>
      <c r="F46" s="55">
        <v>214.8</v>
      </c>
      <c r="G46" t="s">
        <v>1689</v>
      </c>
      <c r="H46" s="61">
        <f t="shared" si="1"/>
        <v>44511</v>
      </c>
    </row>
    <row r="47" spans="3:8" ht="13.5" customHeight="1" x14ac:dyDescent="0.2">
      <c r="C47" t="s">
        <v>164</v>
      </c>
      <c r="D47" s="56" t="s">
        <v>1553</v>
      </c>
      <c r="E47" s="52">
        <v>44511</v>
      </c>
      <c r="F47" s="55">
        <v>473.91</v>
      </c>
      <c r="G47" t="s">
        <v>1676</v>
      </c>
      <c r="H47" s="61">
        <f t="shared" si="1"/>
        <v>44511</v>
      </c>
    </row>
    <row r="48" spans="3:8" ht="13.5" customHeight="1" x14ac:dyDescent="0.2">
      <c r="C48" t="s">
        <v>88</v>
      </c>
      <c r="D48" s="56" t="s">
        <v>1458</v>
      </c>
      <c r="E48" s="52">
        <v>44511</v>
      </c>
      <c r="F48" s="55">
        <v>4053.5</v>
      </c>
      <c r="G48" t="s">
        <v>1689</v>
      </c>
      <c r="H48" s="61">
        <f t="shared" si="1"/>
        <v>44511</v>
      </c>
    </row>
    <row r="49" spans="3:8" ht="13.5" customHeight="1" x14ac:dyDescent="0.2">
      <c r="C49" t="s">
        <v>72</v>
      </c>
      <c r="D49" t="s">
        <v>1707</v>
      </c>
      <c r="E49" s="52">
        <v>44511</v>
      </c>
      <c r="F49" s="55">
        <v>2500</v>
      </c>
      <c r="G49" t="s">
        <v>1688</v>
      </c>
      <c r="H49" s="61">
        <f t="shared" si="1"/>
        <v>44511</v>
      </c>
    </row>
    <row r="50" spans="3:8" ht="13.5" customHeight="1" x14ac:dyDescent="0.2">
      <c r="C50" t="s">
        <v>72</v>
      </c>
      <c r="D50" t="s">
        <v>1763</v>
      </c>
      <c r="E50" s="52">
        <v>44511</v>
      </c>
      <c r="F50" s="55">
        <v>2000</v>
      </c>
      <c r="G50" t="s">
        <v>1688</v>
      </c>
      <c r="H50" s="61">
        <f t="shared" si="1"/>
        <v>44511</v>
      </c>
    </row>
    <row r="51" spans="3:8" ht="13.5" customHeight="1" x14ac:dyDescent="0.2">
      <c r="C51" s="98" t="s">
        <v>192</v>
      </c>
      <c r="D51" s="99" t="s">
        <v>1623</v>
      </c>
      <c r="E51" s="100">
        <v>44512</v>
      </c>
      <c r="F51" s="101">
        <v>1877.25</v>
      </c>
      <c r="G51" s="98" t="s">
        <v>1689</v>
      </c>
      <c r="H51" s="61">
        <f t="shared" si="1"/>
        <v>44512</v>
      </c>
    </row>
    <row r="52" spans="3:8" ht="13.5" customHeight="1" x14ac:dyDescent="0.2">
      <c r="C52" t="s">
        <v>72</v>
      </c>
      <c r="D52" s="56" t="s">
        <v>1735</v>
      </c>
      <c r="E52" s="52">
        <v>44512</v>
      </c>
      <c r="F52" s="55">
        <v>1299.44</v>
      </c>
      <c r="G52" t="s">
        <v>1688</v>
      </c>
      <c r="H52" s="61">
        <f t="shared" si="1"/>
        <v>44512</v>
      </c>
    </row>
    <row r="53" spans="3:8" ht="13.5" customHeight="1" x14ac:dyDescent="0.2">
      <c r="C53" t="s">
        <v>171</v>
      </c>
      <c r="D53" s="56" t="s">
        <v>1674</v>
      </c>
      <c r="E53" s="52">
        <v>44512</v>
      </c>
      <c r="F53" s="55">
        <v>120</v>
      </c>
      <c r="G53" t="s">
        <v>1676</v>
      </c>
      <c r="H53" s="61">
        <f t="shared" si="1"/>
        <v>44512</v>
      </c>
    </row>
    <row r="54" spans="3:8" ht="13.5" customHeight="1" x14ac:dyDescent="0.2">
      <c r="C54" t="s">
        <v>131</v>
      </c>
      <c r="D54" s="56" t="s">
        <v>1600</v>
      </c>
      <c r="E54" s="52">
        <v>44512</v>
      </c>
      <c r="F54" s="55">
        <v>2600</v>
      </c>
      <c r="G54" t="s">
        <v>1689</v>
      </c>
      <c r="H54" s="61">
        <f t="shared" si="1"/>
        <v>44512</v>
      </c>
    </row>
    <row r="55" spans="3:8" ht="13.5" customHeight="1" x14ac:dyDescent="0.2">
      <c r="C55" t="s">
        <v>159</v>
      </c>
      <c r="D55" s="56" t="s">
        <v>1587</v>
      </c>
      <c r="E55" s="52">
        <v>44512</v>
      </c>
      <c r="F55" s="55">
        <v>589.79999999999995</v>
      </c>
      <c r="G55" t="s">
        <v>1689</v>
      </c>
      <c r="H55" s="61">
        <f t="shared" si="1"/>
        <v>44512</v>
      </c>
    </row>
    <row r="56" spans="3:8" ht="13.5" customHeight="1" x14ac:dyDescent="0.2">
      <c r="C56" t="s">
        <v>149</v>
      </c>
      <c r="D56" s="56" t="s">
        <v>1665</v>
      </c>
      <c r="E56" s="52">
        <v>44512</v>
      </c>
      <c r="F56" s="55">
        <v>742</v>
      </c>
      <c r="G56" t="s">
        <v>1676</v>
      </c>
      <c r="H56" s="61">
        <f t="shared" si="1"/>
        <v>44512</v>
      </c>
    </row>
    <row r="57" spans="3:8" ht="13.5" customHeight="1" x14ac:dyDescent="0.2">
      <c r="C57" t="s">
        <v>83</v>
      </c>
      <c r="D57" s="56" t="s">
        <v>87</v>
      </c>
      <c r="E57" s="52">
        <v>44512</v>
      </c>
      <c r="F57" s="55">
        <v>2100</v>
      </c>
      <c r="G57" t="s">
        <v>1689</v>
      </c>
      <c r="H57" s="61">
        <f t="shared" si="1"/>
        <v>44512</v>
      </c>
    </row>
    <row r="58" spans="3:8" ht="13.5" customHeight="1" x14ac:dyDescent="0.2">
      <c r="C58" t="s">
        <v>131</v>
      </c>
      <c r="D58" s="56" t="s">
        <v>1584</v>
      </c>
      <c r="E58" s="52">
        <v>44513</v>
      </c>
      <c r="F58" s="55">
        <v>404.34</v>
      </c>
      <c r="G58" t="s">
        <v>1688</v>
      </c>
      <c r="H58" s="61">
        <f t="shared" si="1"/>
        <v>44516</v>
      </c>
    </row>
    <row r="59" spans="3:8" ht="13.5" customHeight="1" x14ac:dyDescent="0.2">
      <c r="C59" t="s">
        <v>97</v>
      </c>
      <c r="D59" s="56" t="s">
        <v>276</v>
      </c>
      <c r="E59" s="52">
        <v>44513</v>
      </c>
      <c r="F59" s="55">
        <v>14028.3</v>
      </c>
      <c r="G59" t="s">
        <v>1676</v>
      </c>
      <c r="H59" s="61">
        <f t="shared" si="1"/>
        <v>44516</v>
      </c>
    </row>
    <row r="60" spans="3:8" ht="13.5" customHeight="1" x14ac:dyDescent="0.2">
      <c r="C60" s="149" t="s">
        <v>96</v>
      </c>
      <c r="D60" s="127" t="s">
        <v>1799</v>
      </c>
      <c r="E60" s="150">
        <v>44514</v>
      </c>
      <c r="F60" s="151">
        <v>3390</v>
      </c>
      <c r="G60" s="149" t="s">
        <v>1676</v>
      </c>
      <c r="H60" s="61">
        <f t="shared" si="1"/>
        <v>44516</v>
      </c>
    </row>
    <row r="61" spans="3:8" ht="13.5" customHeight="1" x14ac:dyDescent="0.2">
      <c r="C61" t="s">
        <v>135</v>
      </c>
      <c r="D61" s="56" t="s">
        <v>1365</v>
      </c>
      <c r="E61" s="52">
        <v>44515</v>
      </c>
      <c r="F61" s="55">
        <v>1100</v>
      </c>
      <c r="G61" t="s">
        <v>1689</v>
      </c>
      <c r="H61" s="61">
        <f t="shared" si="1"/>
        <v>44516</v>
      </c>
    </row>
    <row r="62" spans="3:8" ht="13.5" customHeight="1" x14ac:dyDescent="0.2">
      <c r="C62" t="s">
        <v>88</v>
      </c>
      <c r="D62" s="56" t="s">
        <v>1574</v>
      </c>
      <c r="E62" s="52">
        <v>44515</v>
      </c>
      <c r="F62" s="55">
        <v>2164</v>
      </c>
      <c r="G62" t="s">
        <v>1689</v>
      </c>
      <c r="H62" s="61">
        <f t="shared" si="1"/>
        <v>44516</v>
      </c>
    </row>
    <row r="63" spans="3:8" ht="13.5" customHeight="1" x14ac:dyDescent="0.2">
      <c r="C63" t="s">
        <v>89</v>
      </c>
      <c r="D63" s="56" t="s">
        <v>212</v>
      </c>
      <c r="E63" s="52">
        <v>44515</v>
      </c>
      <c r="F63" s="55">
        <v>92.25</v>
      </c>
      <c r="G63" t="s">
        <v>1676</v>
      </c>
      <c r="H63" s="61">
        <f t="shared" si="1"/>
        <v>44516</v>
      </c>
    </row>
    <row r="64" spans="3:8" ht="13.5" customHeight="1" x14ac:dyDescent="0.2">
      <c r="C64" t="s">
        <v>89</v>
      </c>
      <c r="D64" s="56" t="s">
        <v>212</v>
      </c>
      <c r="E64" s="52">
        <v>44515</v>
      </c>
      <c r="F64" s="55">
        <v>2711.76</v>
      </c>
      <c r="G64" t="s">
        <v>1689</v>
      </c>
      <c r="H64" s="61">
        <f t="shared" si="1"/>
        <v>44516</v>
      </c>
    </row>
    <row r="65" spans="3:8" ht="13.5" customHeight="1" x14ac:dyDescent="0.2">
      <c r="C65" t="s">
        <v>72</v>
      </c>
      <c r="D65" s="56" t="s">
        <v>1736</v>
      </c>
      <c r="E65" s="52">
        <v>44515</v>
      </c>
      <c r="F65" s="55">
        <v>1286.71</v>
      </c>
      <c r="G65" t="s">
        <v>1688</v>
      </c>
      <c r="H65" s="61">
        <f t="shared" si="1"/>
        <v>44516</v>
      </c>
    </row>
    <row r="66" spans="3:8" ht="13.5" customHeight="1" x14ac:dyDescent="0.2">
      <c r="C66" t="s">
        <v>159</v>
      </c>
      <c r="D66" s="56" t="s">
        <v>191</v>
      </c>
      <c r="E66" s="52">
        <v>44515</v>
      </c>
      <c r="F66" s="55">
        <v>562.5</v>
      </c>
      <c r="G66" t="s">
        <v>1689</v>
      </c>
      <c r="H66" s="61">
        <f t="shared" ref="H66:H98" si="2">VLOOKUP(E66,$E$2868:$H$2997,4,FALSE)</f>
        <v>44516</v>
      </c>
    </row>
    <row r="67" spans="3:8" ht="13.5" customHeight="1" x14ac:dyDescent="0.2">
      <c r="C67" t="s">
        <v>86</v>
      </c>
      <c r="D67" s="56" t="s">
        <v>85</v>
      </c>
      <c r="E67" s="52">
        <v>44515</v>
      </c>
      <c r="F67" s="41">
        <v>84</v>
      </c>
      <c r="G67" t="s">
        <v>1689</v>
      </c>
      <c r="H67" s="61">
        <f t="shared" si="2"/>
        <v>44516</v>
      </c>
    </row>
    <row r="68" spans="3:8" ht="13.5" customHeight="1" x14ac:dyDescent="0.2">
      <c r="C68" t="s">
        <v>86</v>
      </c>
      <c r="D68" s="56" t="s">
        <v>85</v>
      </c>
      <c r="E68" s="52">
        <v>44515</v>
      </c>
      <c r="F68" s="55">
        <v>1476.38</v>
      </c>
      <c r="G68" t="s">
        <v>68</v>
      </c>
      <c r="H68" s="61">
        <f t="shared" si="2"/>
        <v>44516</v>
      </c>
    </row>
    <row r="69" spans="3:8" ht="13.5" customHeight="1" x14ac:dyDescent="0.2">
      <c r="C69" s="98" t="s">
        <v>76</v>
      </c>
      <c r="D69" s="99" t="s">
        <v>1668</v>
      </c>
      <c r="E69" s="100">
        <v>44516</v>
      </c>
      <c r="F69" s="101">
        <v>2610</v>
      </c>
      <c r="G69" s="98" t="s">
        <v>1676</v>
      </c>
      <c r="H69" s="61">
        <f t="shared" si="2"/>
        <v>44516</v>
      </c>
    </row>
    <row r="70" spans="3:8" ht="13.5" customHeight="1" x14ac:dyDescent="0.2">
      <c r="C70" t="s">
        <v>159</v>
      </c>
      <c r="D70" s="56" t="s">
        <v>357</v>
      </c>
      <c r="E70" s="52">
        <v>44516</v>
      </c>
      <c r="F70" s="55">
        <v>684.86</v>
      </c>
      <c r="G70" t="s">
        <v>1689</v>
      </c>
      <c r="H70" s="61">
        <f t="shared" si="2"/>
        <v>44516</v>
      </c>
    </row>
    <row r="71" spans="3:8" ht="13.5" customHeight="1" x14ac:dyDescent="0.2">
      <c r="C71" t="s">
        <v>159</v>
      </c>
      <c r="D71" s="56" t="s">
        <v>1614</v>
      </c>
      <c r="E71" s="52">
        <v>44516</v>
      </c>
      <c r="F71" s="55">
        <v>1125</v>
      </c>
      <c r="G71" t="s">
        <v>1689</v>
      </c>
      <c r="H71" s="61">
        <f t="shared" si="2"/>
        <v>44516</v>
      </c>
    </row>
    <row r="72" spans="3:8" ht="13.5" customHeight="1" x14ac:dyDescent="0.2">
      <c r="C72" t="s">
        <v>96</v>
      </c>
      <c r="D72" s="56" t="s">
        <v>1613</v>
      </c>
      <c r="E72" s="52">
        <v>44516</v>
      </c>
      <c r="F72" s="55">
        <v>304.95999999999998</v>
      </c>
      <c r="G72" t="s">
        <v>1689</v>
      </c>
      <c r="H72" s="61">
        <f t="shared" si="2"/>
        <v>44516</v>
      </c>
    </row>
    <row r="73" spans="3:8" ht="13.5" customHeight="1" x14ac:dyDescent="0.2">
      <c r="C73" t="s">
        <v>159</v>
      </c>
      <c r="D73" s="56" t="s">
        <v>1608</v>
      </c>
      <c r="E73" s="52">
        <v>44516</v>
      </c>
      <c r="F73" s="55">
        <v>606.27</v>
      </c>
      <c r="G73" t="s">
        <v>1689</v>
      </c>
      <c r="H73" s="61">
        <f t="shared" si="2"/>
        <v>44516</v>
      </c>
    </row>
    <row r="74" spans="3:8" ht="13.5" customHeight="1" x14ac:dyDescent="0.2">
      <c r="C74" t="s">
        <v>75</v>
      </c>
      <c r="D74" s="56" t="s">
        <v>259</v>
      </c>
      <c r="E74" s="52">
        <v>44516</v>
      </c>
      <c r="F74" s="55">
        <v>1750</v>
      </c>
      <c r="G74" t="s">
        <v>1676</v>
      </c>
      <c r="H74" s="61">
        <f t="shared" si="2"/>
        <v>44516</v>
      </c>
    </row>
    <row r="75" spans="3:8" ht="13.5" customHeight="1" x14ac:dyDescent="0.2">
      <c r="C75" t="s">
        <v>187</v>
      </c>
      <c r="D75" s="56" t="s">
        <v>1064</v>
      </c>
      <c r="E75" s="52">
        <v>44516</v>
      </c>
      <c r="F75" s="55">
        <v>235</v>
      </c>
      <c r="G75" t="s">
        <v>1689</v>
      </c>
      <c r="H75" s="61">
        <f t="shared" si="2"/>
        <v>44516</v>
      </c>
    </row>
    <row r="76" spans="3:8" ht="13.5" customHeight="1" x14ac:dyDescent="0.2">
      <c r="C76" t="s">
        <v>243</v>
      </c>
      <c r="D76" s="56" t="s">
        <v>1636</v>
      </c>
      <c r="E76" s="52">
        <v>44516</v>
      </c>
      <c r="F76" s="55">
        <v>1250</v>
      </c>
      <c r="G76" t="s">
        <v>1689</v>
      </c>
      <c r="H76" s="61">
        <f t="shared" si="2"/>
        <v>44516</v>
      </c>
    </row>
    <row r="77" spans="3:8" ht="13.5" customHeight="1" x14ac:dyDescent="0.2">
      <c r="C77" t="s">
        <v>171</v>
      </c>
      <c r="D77" s="56" t="s">
        <v>172</v>
      </c>
      <c r="E77" s="52">
        <v>44516</v>
      </c>
      <c r="F77" s="55">
        <v>80.239999999999995</v>
      </c>
      <c r="G77" t="s">
        <v>1676</v>
      </c>
      <c r="H77" s="61">
        <f t="shared" si="2"/>
        <v>44516</v>
      </c>
    </row>
    <row r="78" spans="3:8" ht="13.5" customHeight="1" x14ac:dyDescent="0.2">
      <c r="C78" t="s">
        <v>76</v>
      </c>
      <c r="D78" s="56" t="s">
        <v>1672</v>
      </c>
      <c r="E78" s="52">
        <v>44517</v>
      </c>
      <c r="F78" s="55">
        <v>2704</v>
      </c>
      <c r="G78" t="s">
        <v>1689</v>
      </c>
      <c r="H78" s="61">
        <f t="shared" si="2"/>
        <v>44517</v>
      </c>
    </row>
    <row r="79" spans="3:8" ht="13.5" customHeight="1" x14ac:dyDescent="0.2">
      <c r="C79" t="s">
        <v>83</v>
      </c>
      <c r="D79" s="56" t="s">
        <v>1595</v>
      </c>
      <c r="E79" s="52">
        <v>44517</v>
      </c>
      <c r="F79" s="55">
        <v>2679</v>
      </c>
      <c r="G79" t="s">
        <v>1689</v>
      </c>
      <c r="H79" s="61">
        <f t="shared" si="2"/>
        <v>44517</v>
      </c>
    </row>
    <row r="80" spans="3:8" ht="13.5" customHeight="1" x14ac:dyDescent="0.2">
      <c r="C80" t="s">
        <v>164</v>
      </c>
      <c r="D80" s="56" t="s">
        <v>1337</v>
      </c>
      <c r="E80" s="52">
        <v>44517</v>
      </c>
      <c r="F80" s="55">
        <v>757.35</v>
      </c>
      <c r="G80" t="s">
        <v>1676</v>
      </c>
      <c r="H80" s="61">
        <f t="shared" si="2"/>
        <v>44517</v>
      </c>
    </row>
    <row r="81" spans="3:8" ht="13.5" customHeight="1" x14ac:dyDescent="0.2">
      <c r="C81" t="s">
        <v>135</v>
      </c>
      <c r="D81" s="56" t="s">
        <v>1222</v>
      </c>
      <c r="E81" s="52">
        <v>44517</v>
      </c>
      <c r="F81" s="55">
        <v>1612.5</v>
      </c>
      <c r="G81" t="s">
        <v>1676</v>
      </c>
      <c r="H81" s="61">
        <f t="shared" si="2"/>
        <v>44517</v>
      </c>
    </row>
    <row r="82" spans="3:8" ht="13.5" customHeight="1" x14ac:dyDescent="0.2">
      <c r="C82" t="s">
        <v>96</v>
      </c>
      <c r="D82" s="56" t="s">
        <v>147</v>
      </c>
      <c r="E82" s="52">
        <v>44517</v>
      </c>
      <c r="F82" s="55">
        <v>1500</v>
      </c>
      <c r="G82" t="s">
        <v>1689</v>
      </c>
      <c r="H82" s="61">
        <f t="shared" si="2"/>
        <v>44517</v>
      </c>
    </row>
    <row r="83" spans="3:8" ht="13.5" customHeight="1" x14ac:dyDescent="0.2">
      <c r="C83" t="s">
        <v>97</v>
      </c>
      <c r="D83" s="56" t="s">
        <v>1217</v>
      </c>
      <c r="E83" s="52">
        <v>44517</v>
      </c>
      <c r="F83" s="55">
        <v>695.57</v>
      </c>
      <c r="G83" t="s">
        <v>1689</v>
      </c>
      <c r="H83" s="61">
        <f t="shared" si="2"/>
        <v>44517</v>
      </c>
    </row>
    <row r="84" spans="3:8" ht="13.5" customHeight="1" x14ac:dyDescent="0.2">
      <c r="C84" t="s">
        <v>97</v>
      </c>
      <c r="D84" s="56" t="s">
        <v>1218</v>
      </c>
      <c r="E84" s="52">
        <v>44517</v>
      </c>
      <c r="F84" s="55">
        <v>401.05</v>
      </c>
      <c r="G84" t="s">
        <v>1689</v>
      </c>
      <c r="H84" s="61">
        <f t="shared" si="2"/>
        <v>44517</v>
      </c>
    </row>
    <row r="85" spans="3:8" ht="13.5" customHeight="1" x14ac:dyDescent="0.2">
      <c r="C85" t="s">
        <v>97</v>
      </c>
      <c r="D85" s="56" t="s">
        <v>1452</v>
      </c>
      <c r="E85" s="52">
        <v>44517</v>
      </c>
      <c r="F85" s="55">
        <v>695.57</v>
      </c>
      <c r="G85" t="s">
        <v>1689</v>
      </c>
      <c r="H85" s="61">
        <f t="shared" si="2"/>
        <v>44517</v>
      </c>
    </row>
    <row r="86" spans="3:8" ht="13.5" customHeight="1" x14ac:dyDescent="0.2">
      <c r="C86" t="s">
        <v>97</v>
      </c>
      <c r="D86" s="56" t="s">
        <v>1453</v>
      </c>
      <c r="E86" s="52">
        <v>44518</v>
      </c>
      <c r="F86" s="55">
        <v>401.05</v>
      </c>
      <c r="G86" t="s">
        <v>1689</v>
      </c>
      <c r="H86" s="61">
        <f t="shared" si="2"/>
        <v>44518</v>
      </c>
    </row>
    <row r="87" spans="3:8" ht="13.5" customHeight="1" x14ac:dyDescent="0.2">
      <c r="C87" t="s">
        <v>89</v>
      </c>
      <c r="D87" s="56" t="s">
        <v>90</v>
      </c>
      <c r="E87" s="52">
        <v>44518</v>
      </c>
      <c r="F87" s="55">
        <v>3696.06</v>
      </c>
      <c r="G87" t="s">
        <v>64</v>
      </c>
      <c r="H87" s="61">
        <f t="shared" si="2"/>
        <v>44518</v>
      </c>
    </row>
    <row r="88" spans="3:8" ht="13.5" customHeight="1" x14ac:dyDescent="0.2">
      <c r="C88" t="s">
        <v>96</v>
      </c>
      <c r="D88" s="56" t="s">
        <v>1643</v>
      </c>
      <c r="E88" s="52">
        <v>44518</v>
      </c>
      <c r="F88" s="55">
        <v>1500</v>
      </c>
      <c r="G88" t="s">
        <v>1689</v>
      </c>
      <c r="H88" s="61">
        <f t="shared" si="2"/>
        <v>44518</v>
      </c>
    </row>
    <row r="89" spans="3:8" ht="13.5" customHeight="1" x14ac:dyDescent="0.2">
      <c r="C89" t="s">
        <v>75</v>
      </c>
      <c r="D89" s="56" t="s">
        <v>1392</v>
      </c>
      <c r="E89" s="52">
        <v>44518</v>
      </c>
      <c r="F89" s="55">
        <v>1820</v>
      </c>
      <c r="G89" t="s">
        <v>1689</v>
      </c>
      <c r="H89" s="61">
        <f t="shared" si="2"/>
        <v>44518</v>
      </c>
    </row>
    <row r="90" spans="3:8" ht="13.5" customHeight="1" x14ac:dyDescent="0.2">
      <c r="C90" t="s">
        <v>89</v>
      </c>
      <c r="D90" s="56" t="s">
        <v>1407</v>
      </c>
      <c r="E90" s="52">
        <v>44518</v>
      </c>
      <c r="F90" s="55">
        <v>88.65</v>
      </c>
      <c r="G90" t="s">
        <v>64</v>
      </c>
      <c r="H90" s="61">
        <f t="shared" si="2"/>
        <v>44518</v>
      </c>
    </row>
    <row r="91" spans="3:8" ht="13.5" customHeight="1" x14ac:dyDescent="0.2">
      <c r="C91" t="s">
        <v>72</v>
      </c>
      <c r="D91" t="s">
        <v>1707</v>
      </c>
      <c r="E91" s="52">
        <v>44518</v>
      </c>
      <c r="F91" s="55">
        <v>2500</v>
      </c>
      <c r="G91" t="s">
        <v>1688</v>
      </c>
      <c r="H91" s="61">
        <f t="shared" si="2"/>
        <v>44518</v>
      </c>
    </row>
    <row r="92" spans="3:8" ht="13.5" customHeight="1" x14ac:dyDescent="0.2">
      <c r="C92" t="s">
        <v>72</v>
      </c>
      <c r="D92" t="s">
        <v>1763</v>
      </c>
      <c r="E92" s="52">
        <v>44518</v>
      </c>
      <c r="F92" s="55">
        <v>2000</v>
      </c>
      <c r="G92" t="s">
        <v>1688</v>
      </c>
      <c r="H92" s="61">
        <f t="shared" si="2"/>
        <v>44518</v>
      </c>
    </row>
    <row r="93" spans="3:8" ht="13.5" customHeight="1" x14ac:dyDescent="0.2">
      <c r="C93" t="s">
        <v>170</v>
      </c>
      <c r="D93" s="56" t="s">
        <v>845</v>
      </c>
      <c r="E93" s="52">
        <v>44519</v>
      </c>
      <c r="F93" s="55">
        <v>105.8</v>
      </c>
      <c r="G93" t="s">
        <v>1676</v>
      </c>
      <c r="H93" s="61">
        <f t="shared" si="2"/>
        <v>44519</v>
      </c>
    </row>
    <row r="94" spans="3:8" ht="13.5" customHeight="1" x14ac:dyDescent="0.2">
      <c r="C94" t="s">
        <v>159</v>
      </c>
      <c r="D94" s="56" t="s">
        <v>1608</v>
      </c>
      <c r="E94" s="52">
        <v>44519</v>
      </c>
      <c r="F94" s="55">
        <v>720.47</v>
      </c>
      <c r="G94" t="s">
        <v>1689</v>
      </c>
      <c r="H94" s="61">
        <f t="shared" si="2"/>
        <v>44519</v>
      </c>
    </row>
    <row r="95" spans="3:8" ht="13.5" customHeight="1" x14ac:dyDescent="0.2">
      <c r="C95" t="s">
        <v>74</v>
      </c>
      <c r="D95" s="56" t="s">
        <v>69</v>
      </c>
      <c r="E95" s="52">
        <v>44519</v>
      </c>
      <c r="F95" s="55">
        <v>2000</v>
      </c>
      <c r="G95" t="s">
        <v>1676</v>
      </c>
      <c r="H95" s="61">
        <f t="shared" si="2"/>
        <v>44519</v>
      </c>
    </row>
    <row r="96" spans="3:8" ht="13.5" customHeight="1" x14ac:dyDescent="0.2">
      <c r="C96" t="s">
        <v>74</v>
      </c>
      <c r="D96" s="56" t="s">
        <v>69</v>
      </c>
      <c r="E96" s="52">
        <v>44519</v>
      </c>
      <c r="F96" s="55">
        <v>7000</v>
      </c>
      <c r="G96" t="s">
        <v>1689</v>
      </c>
      <c r="H96" s="61">
        <f t="shared" si="2"/>
        <v>44519</v>
      </c>
    </row>
    <row r="97" spans="3:8" ht="13.5" customHeight="1" x14ac:dyDescent="0.2">
      <c r="C97" t="s">
        <v>131</v>
      </c>
      <c r="D97" s="56" t="s">
        <v>1737</v>
      </c>
      <c r="E97" s="52">
        <v>44519</v>
      </c>
      <c r="F97" s="55">
        <v>246.8</v>
      </c>
      <c r="G97" t="s">
        <v>1688</v>
      </c>
      <c r="H97" s="61">
        <f t="shared" si="2"/>
        <v>44519</v>
      </c>
    </row>
    <row r="98" spans="3:8" ht="13.5" customHeight="1" x14ac:dyDescent="0.2">
      <c r="C98" t="s">
        <v>153</v>
      </c>
      <c r="D98" s="56" t="s">
        <v>1562</v>
      </c>
      <c r="E98" s="52">
        <v>44519</v>
      </c>
      <c r="F98" s="55">
        <v>1111.29</v>
      </c>
      <c r="G98" t="s">
        <v>1689</v>
      </c>
      <c r="H98" s="61">
        <f t="shared" si="2"/>
        <v>44519</v>
      </c>
    </row>
    <row r="99" spans="3:8" ht="13.5" customHeight="1" x14ac:dyDescent="0.2">
      <c r="C99" t="s">
        <v>84</v>
      </c>
      <c r="D99" s="56" t="s">
        <v>1664</v>
      </c>
      <c r="E99" s="52">
        <v>44520</v>
      </c>
      <c r="F99" s="55">
        <v>2700</v>
      </c>
      <c r="G99" t="s">
        <v>1689</v>
      </c>
      <c r="H99" s="61">
        <f t="shared" ref="H99:H107" si="3">VLOOKUP(E99,$E$2868:$H$2997,4,FALSE)</f>
        <v>44522</v>
      </c>
    </row>
    <row r="100" spans="3:8" ht="13.5" customHeight="1" x14ac:dyDescent="0.2">
      <c r="C100" t="s">
        <v>135</v>
      </c>
      <c r="D100" s="56" t="s">
        <v>209</v>
      </c>
      <c r="E100" s="52">
        <v>44520</v>
      </c>
      <c r="F100" s="55">
        <v>220</v>
      </c>
      <c r="G100" t="s">
        <v>1676</v>
      </c>
      <c r="H100" s="61">
        <f t="shared" si="3"/>
        <v>44522</v>
      </c>
    </row>
    <row r="101" spans="3:8" ht="13.5" customHeight="1" x14ac:dyDescent="0.2">
      <c r="C101" t="s">
        <v>76</v>
      </c>
      <c r="D101" s="56" t="s">
        <v>1662</v>
      </c>
      <c r="E101" s="52">
        <v>44520</v>
      </c>
      <c r="F101" s="55">
        <v>900.62</v>
      </c>
      <c r="G101" t="s">
        <v>1689</v>
      </c>
      <c r="H101" s="61">
        <f t="shared" si="3"/>
        <v>44522</v>
      </c>
    </row>
    <row r="102" spans="3:8" ht="13.5" customHeight="1" x14ac:dyDescent="0.2">
      <c r="C102" t="s">
        <v>56</v>
      </c>
      <c r="D102" s="56" t="s">
        <v>1515</v>
      </c>
      <c r="E102" s="52">
        <v>44520</v>
      </c>
      <c r="F102" s="55">
        <v>1000</v>
      </c>
      <c r="G102" t="s">
        <v>1689</v>
      </c>
      <c r="H102" s="61">
        <f t="shared" si="3"/>
        <v>44522</v>
      </c>
    </row>
    <row r="103" spans="3:8" ht="13.5" customHeight="1" x14ac:dyDescent="0.2">
      <c r="C103" t="s">
        <v>164</v>
      </c>
      <c r="D103" s="56" t="s">
        <v>1461</v>
      </c>
      <c r="E103" s="52">
        <v>44520</v>
      </c>
      <c r="F103" s="55">
        <v>220</v>
      </c>
      <c r="G103" t="s">
        <v>1676</v>
      </c>
      <c r="H103" s="61">
        <f t="shared" si="3"/>
        <v>44522</v>
      </c>
    </row>
    <row r="104" spans="3:8" ht="13.5" customHeight="1" x14ac:dyDescent="0.2">
      <c r="C104" t="s">
        <v>164</v>
      </c>
      <c r="D104" s="56" t="s">
        <v>1404</v>
      </c>
      <c r="E104" s="52">
        <v>44520</v>
      </c>
      <c r="F104" s="55">
        <v>220</v>
      </c>
      <c r="G104" t="s">
        <v>1676</v>
      </c>
      <c r="H104" s="61">
        <f t="shared" si="3"/>
        <v>44522</v>
      </c>
    </row>
    <row r="105" spans="3:8" ht="13.5" customHeight="1" x14ac:dyDescent="0.2">
      <c r="C105" t="s">
        <v>584</v>
      </c>
      <c r="D105" s="56" t="s">
        <v>1138</v>
      </c>
      <c r="E105" s="52">
        <v>44520</v>
      </c>
      <c r="F105" s="55">
        <v>3200</v>
      </c>
      <c r="G105" t="s">
        <v>1689</v>
      </c>
      <c r="H105" s="61">
        <f t="shared" si="3"/>
        <v>44522</v>
      </c>
    </row>
    <row r="106" spans="3:8" ht="13.5" customHeight="1" x14ac:dyDescent="0.2">
      <c r="C106" t="s">
        <v>96</v>
      </c>
      <c r="D106" s="56" t="s">
        <v>1263</v>
      </c>
      <c r="E106" s="52">
        <v>44520</v>
      </c>
      <c r="F106" s="55">
        <v>823.81</v>
      </c>
      <c r="G106" t="s">
        <v>1689</v>
      </c>
      <c r="H106" s="61">
        <f t="shared" si="3"/>
        <v>44522</v>
      </c>
    </row>
    <row r="107" spans="3:8" ht="13.5" customHeight="1" x14ac:dyDescent="0.2">
      <c r="C107" t="s">
        <v>96</v>
      </c>
      <c r="D107" s="56" t="s">
        <v>1559</v>
      </c>
      <c r="E107" s="52">
        <v>44521</v>
      </c>
      <c r="F107" s="55">
        <v>1500</v>
      </c>
      <c r="G107" t="s">
        <v>1689</v>
      </c>
      <c r="H107" s="61">
        <f t="shared" si="3"/>
        <v>44522</v>
      </c>
    </row>
    <row r="108" spans="3:8" ht="13.5" customHeight="1" x14ac:dyDescent="0.2">
      <c r="C108" t="s">
        <v>82</v>
      </c>
      <c r="D108" t="s">
        <v>1642</v>
      </c>
      <c r="E108" s="52">
        <v>44521</v>
      </c>
      <c r="F108" s="55">
        <v>1124.6199999999999</v>
      </c>
      <c r="G108" t="s">
        <v>1676</v>
      </c>
      <c r="H108" s="61">
        <f t="shared" ref="H108:H142" si="4">VLOOKUP(E108,$E$2868:$H$2997,4,FALSE)</f>
        <v>44522</v>
      </c>
    </row>
    <row r="109" spans="3:8" ht="13.5" customHeight="1" x14ac:dyDescent="0.2">
      <c r="C109" t="s">
        <v>75</v>
      </c>
      <c r="D109" s="56" t="s">
        <v>1030</v>
      </c>
      <c r="E109" s="52">
        <v>44521</v>
      </c>
      <c r="F109" s="55">
        <v>2500</v>
      </c>
      <c r="G109" t="s">
        <v>1689</v>
      </c>
      <c r="H109" s="61">
        <f t="shared" si="4"/>
        <v>44522</v>
      </c>
    </row>
    <row r="110" spans="3:8" ht="13.5" customHeight="1" x14ac:dyDescent="0.2">
      <c r="C110" t="s">
        <v>74</v>
      </c>
      <c r="D110" s="56" t="s">
        <v>1644</v>
      </c>
      <c r="E110" s="52">
        <v>44521</v>
      </c>
      <c r="F110" s="55">
        <v>800</v>
      </c>
      <c r="G110" t="s">
        <v>1676</v>
      </c>
      <c r="H110" s="61">
        <f t="shared" si="4"/>
        <v>44522</v>
      </c>
    </row>
    <row r="111" spans="3:8" ht="13.5" customHeight="1" x14ac:dyDescent="0.2">
      <c r="C111" t="s">
        <v>74</v>
      </c>
      <c r="D111" s="56" t="s">
        <v>1663</v>
      </c>
      <c r="E111" s="52">
        <v>44521</v>
      </c>
      <c r="F111" s="55">
        <v>9497.41</v>
      </c>
      <c r="G111" t="s">
        <v>1689</v>
      </c>
      <c r="H111" s="61">
        <f t="shared" si="4"/>
        <v>44522</v>
      </c>
    </row>
    <row r="112" spans="3:8" ht="13.5" customHeight="1" x14ac:dyDescent="0.2">
      <c r="C112" t="s">
        <v>135</v>
      </c>
      <c r="D112" s="56" t="s">
        <v>1648</v>
      </c>
      <c r="E112" s="52">
        <v>44522</v>
      </c>
      <c r="F112" s="55">
        <v>705.99</v>
      </c>
      <c r="G112" t="s">
        <v>1689</v>
      </c>
      <c r="H112" s="61">
        <f t="shared" si="4"/>
        <v>44522</v>
      </c>
    </row>
    <row r="113" spans="3:8" ht="13.5" customHeight="1" x14ac:dyDescent="0.2">
      <c r="C113" t="s">
        <v>96</v>
      </c>
      <c r="D113" s="56" t="s">
        <v>1543</v>
      </c>
      <c r="E113" s="52">
        <v>44522</v>
      </c>
      <c r="F113" s="55">
        <v>3000</v>
      </c>
      <c r="G113" t="s">
        <v>1689</v>
      </c>
      <c r="H113" s="61">
        <f t="shared" si="4"/>
        <v>44522</v>
      </c>
    </row>
    <row r="114" spans="3:8" ht="13.5" customHeight="1" x14ac:dyDescent="0.2">
      <c r="C114" t="s">
        <v>170</v>
      </c>
      <c r="D114" s="56" t="s">
        <v>1026</v>
      </c>
      <c r="E114" s="52">
        <v>44522</v>
      </c>
      <c r="F114" s="55">
        <v>2500</v>
      </c>
      <c r="G114" t="s">
        <v>1676</v>
      </c>
      <c r="H114" s="61">
        <f t="shared" si="4"/>
        <v>44522</v>
      </c>
    </row>
    <row r="115" spans="3:8" ht="13.5" customHeight="1" x14ac:dyDescent="0.2">
      <c r="C115" t="s">
        <v>72</v>
      </c>
      <c r="D115" s="56" t="s">
        <v>1738</v>
      </c>
      <c r="E115" s="52">
        <v>44522</v>
      </c>
      <c r="F115" s="55">
        <v>1286.71</v>
      </c>
      <c r="G115" t="s">
        <v>1688</v>
      </c>
      <c r="H115" s="61">
        <f t="shared" si="4"/>
        <v>44522</v>
      </c>
    </row>
    <row r="116" spans="3:8" ht="13.5" customHeight="1" x14ac:dyDescent="0.2">
      <c r="C116" s="98" t="s">
        <v>192</v>
      </c>
      <c r="D116" s="99" t="s">
        <v>1645</v>
      </c>
      <c r="E116" s="100">
        <v>44522</v>
      </c>
      <c r="F116" s="101">
        <v>1395.53</v>
      </c>
      <c r="G116" s="98" t="s">
        <v>1689</v>
      </c>
      <c r="H116" s="61">
        <f t="shared" si="4"/>
        <v>44522</v>
      </c>
    </row>
    <row r="117" spans="3:8" ht="13.5" customHeight="1" x14ac:dyDescent="0.2">
      <c r="C117" t="s">
        <v>72</v>
      </c>
      <c r="D117" s="56" t="s">
        <v>1740</v>
      </c>
      <c r="E117" s="52">
        <v>44523</v>
      </c>
      <c r="F117" s="55">
        <v>1020.5</v>
      </c>
      <c r="G117" t="s">
        <v>1688</v>
      </c>
      <c r="H117" s="61">
        <f t="shared" si="4"/>
        <v>44523</v>
      </c>
    </row>
    <row r="118" spans="3:8" ht="13.5" customHeight="1" x14ac:dyDescent="0.2">
      <c r="C118" t="s">
        <v>96</v>
      </c>
      <c r="D118" s="56" t="s">
        <v>544</v>
      </c>
      <c r="E118" s="52">
        <v>44523</v>
      </c>
      <c r="F118" s="55">
        <v>500</v>
      </c>
      <c r="G118" t="s">
        <v>68</v>
      </c>
      <c r="H118" s="61">
        <f t="shared" si="4"/>
        <v>44523</v>
      </c>
    </row>
    <row r="119" spans="3:8" ht="13.5" customHeight="1" x14ac:dyDescent="0.2">
      <c r="C119" t="s">
        <v>96</v>
      </c>
      <c r="D119" s="127" t="s">
        <v>1373</v>
      </c>
      <c r="E119" s="52">
        <v>44524</v>
      </c>
      <c r="F119" s="55">
        <v>1643</v>
      </c>
      <c r="G119" t="s">
        <v>1689</v>
      </c>
      <c r="H119" s="61">
        <f t="shared" si="4"/>
        <v>44524</v>
      </c>
    </row>
    <row r="120" spans="3:8" ht="13.5" customHeight="1" x14ac:dyDescent="0.2">
      <c r="C120" t="s">
        <v>96</v>
      </c>
      <c r="D120" s="56" t="s">
        <v>1257</v>
      </c>
      <c r="E120" s="52">
        <v>44524</v>
      </c>
      <c r="F120" s="55">
        <f>444.18+444.18</f>
        <v>888.36</v>
      </c>
      <c r="G120" t="s">
        <v>1676</v>
      </c>
      <c r="H120" s="61">
        <f t="shared" si="4"/>
        <v>44524</v>
      </c>
    </row>
    <row r="121" spans="3:8" ht="13.5" customHeight="1" x14ac:dyDescent="0.2">
      <c r="C121" t="s">
        <v>149</v>
      </c>
      <c r="D121" s="56" t="s">
        <v>1673</v>
      </c>
      <c r="E121" s="52">
        <v>44525</v>
      </c>
      <c r="F121" s="55">
        <v>318.68</v>
      </c>
      <c r="G121" t="s">
        <v>1676</v>
      </c>
      <c r="H121" s="61">
        <f t="shared" si="4"/>
        <v>44525</v>
      </c>
    </row>
    <row r="122" spans="3:8" ht="13.5" customHeight="1" x14ac:dyDescent="0.2">
      <c r="C122" t="s">
        <v>149</v>
      </c>
      <c r="D122" s="56" t="s">
        <v>1616</v>
      </c>
      <c r="E122" s="52">
        <v>44525</v>
      </c>
      <c r="F122" s="55">
        <f>318.68+318.68</f>
        <v>637.36</v>
      </c>
      <c r="G122" t="s">
        <v>1676</v>
      </c>
      <c r="H122" s="61">
        <f t="shared" si="4"/>
        <v>44525</v>
      </c>
    </row>
    <row r="123" spans="3:8" ht="13.5" customHeight="1" x14ac:dyDescent="0.2">
      <c r="C123" t="s">
        <v>149</v>
      </c>
      <c r="D123" s="56" t="s">
        <v>327</v>
      </c>
      <c r="E123" s="52">
        <v>44525</v>
      </c>
      <c r="F123" s="55">
        <v>120</v>
      </c>
      <c r="G123" t="s">
        <v>1676</v>
      </c>
      <c r="H123" s="61">
        <f t="shared" si="4"/>
        <v>44525</v>
      </c>
    </row>
    <row r="124" spans="3:8" ht="13.5" customHeight="1" x14ac:dyDescent="0.2">
      <c r="C124" t="s">
        <v>135</v>
      </c>
      <c r="D124" s="56" t="s">
        <v>409</v>
      </c>
      <c r="E124" s="52">
        <v>44525</v>
      </c>
      <c r="F124" s="55">
        <v>3250</v>
      </c>
      <c r="G124" t="s">
        <v>1689</v>
      </c>
      <c r="H124" s="61">
        <f t="shared" si="4"/>
        <v>44525</v>
      </c>
    </row>
    <row r="125" spans="3:8" ht="13.5" customHeight="1" x14ac:dyDescent="0.2">
      <c r="C125" t="s">
        <v>74</v>
      </c>
      <c r="D125" s="56" t="s">
        <v>1462</v>
      </c>
      <c r="E125" s="52">
        <v>44525</v>
      </c>
      <c r="F125" s="55">
        <v>1500</v>
      </c>
      <c r="G125" t="s">
        <v>1676</v>
      </c>
      <c r="H125" s="61">
        <f t="shared" si="4"/>
        <v>44525</v>
      </c>
    </row>
    <row r="126" spans="3:8" ht="13.5" customHeight="1" x14ac:dyDescent="0.2">
      <c r="C126" t="s">
        <v>72</v>
      </c>
      <c r="D126" t="s">
        <v>1707</v>
      </c>
      <c r="E126" s="52">
        <v>44525</v>
      </c>
      <c r="F126" s="55">
        <v>2500</v>
      </c>
      <c r="G126" t="s">
        <v>1688</v>
      </c>
      <c r="H126" s="61">
        <f t="shared" si="4"/>
        <v>44525</v>
      </c>
    </row>
    <row r="127" spans="3:8" ht="13.5" customHeight="1" x14ac:dyDescent="0.2">
      <c r="C127" t="s">
        <v>72</v>
      </c>
      <c r="D127" t="s">
        <v>1763</v>
      </c>
      <c r="E127" s="52">
        <v>44525</v>
      </c>
      <c r="F127" s="55">
        <v>2000</v>
      </c>
      <c r="G127" t="s">
        <v>1688</v>
      </c>
      <c r="H127" s="61">
        <f t="shared" si="4"/>
        <v>44525</v>
      </c>
    </row>
    <row r="128" spans="3:8" ht="13.5" customHeight="1" x14ac:dyDescent="0.2">
      <c r="C128" s="95" t="s">
        <v>89</v>
      </c>
      <c r="D128" s="96" t="s">
        <v>1741</v>
      </c>
      <c r="E128" s="97">
        <v>44525</v>
      </c>
      <c r="F128" s="54">
        <v>3337.71</v>
      </c>
      <c r="G128" s="95" t="s">
        <v>64</v>
      </c>
      <c r="H128" s="61">
        <f t="shared" si="4"/>
        <v>44525</v>
      </c>
    </row>
    <row r="129" spans="3:8" ht="13.5" customHeight="1" x14ac:dyDescent="0.2">
      <c r="C129" t="s">
        <v>72</v>
      </c>
      <c r="D129" s="56" t="s">
        <v>65</v>
      </c>
      <c r="E129" s="52">
        <v>44525</v>
      </c>
      <c r="F129" s="55">
        <v>3500</v>
      </c>
      <c r="G129" t="s">
        <v>1688</v>
      </c>
      <c r="H129" s="61">
        <f t="shared" si="4"/>
        <v>44525</v>
      </c>
    </row>
    <row r="130" spans="3:8" ht="13.5" customHeight="1" x14ac:dyDescent="0.2">
      <c r="C130" t="s">
        <v>159</v>
      </c>
      <c r="D130" s="56" t="s">
        <v>357</v>
      </c>
      <c r="E130" s="52">
        <v>44525</v>
      </c>
      <c r="F130" s="55">
        <v>696.98</v>
      </c>
      <c r="G130" t="s">
        <v>1689</v>
      </c>
      <c r="H130" s="61">
        <f t="shared" si="4"/>
        <v>44525</v>
      </c>
    </row>
    <row r="131" spans="3:8" ht="13.5" customHeight="1" x14ac:dyDescent="0.2">
      <c r="C131" t="s">
        <v>1511</v>
      </c>
      <c r="D131" s="56" t="s">
        <v>1661</v>
      </c>
      <c r="E131" s="52">
        <v>44526</v>
      </c>
      <c r="F131" s="55">
        <v>240</v>
      </c>
      <c r="G131" t="s">
        <v>1689</v>
      </c>
      <c r="H131" s="61">
        <f t="shared" si="4"/>
        <v>44526</v>
      </c>
    </row>
    <row r="132" spans="3:8" ht="13.5" customHeight="1" x14ac:dyDescent="0.2">
      <c r="C132" t="s">
        <v>86</v>
      </c>
      <c r="D132" s="56" t="s">
        <v>1540</v>
      </c>
      <c r="E132" s="52">
        <v>44526</v>
      </c>
      <c r="F132" s="55">
        <v>2810.99</v>
      </c>
      <c r="G132" t="s">
        <v>1689</v>
      </c>
      <c r="H132" s="61">
        <f t="shared" si="4"/>
        <v>44526</v>
      </c>
    </row>
    <row r="133" spans="3:8" ht="13.5" customHeight="1" x14ac:dyDescent="0.2">
      <c r="C133" t="s">
        <v>96</v>
      </c>
      <c r="D133" s="56" t="s">
        <v>1242</v>
      </c>
      <c r="E133" s="52">
        <v>44526</v>
      </c>
      <c r="F133" s="55">
        <v>1758.2</v>
      </c>
      <c r="G133" t="s">
        <v>1689</v>
      </c>
      <c r="H133" s="61">
        <f t="shared" si="4"/>
        <v>44526</v>
      </c>
    </row>
    <row r="134" spans="3:8" ht="13.5" customHeight="1" x14ac:dyDescent="0.2">
      <c r="C134" s="98" t="s">
        <v>192</v>
      </c>
      <c r="D134" s="99" t="s">
        <v>1798</v>
      </c>
      <c r="E134" s="100">
        <v>44527</v>
      </c>
      <c r="F134" s="101">
        <v>616.76</v>
      </c>
      <c r="G134" s="98" t="s">
        <v>1689</v>
      </c>
      <c r="H134" s="61">
        <f t="shared" si="4"/>
        <v>44529</v>
      </c>
    </row>
    <row r="135" spans="3:8" ht="13.5" customHeight="1" x14ac:dyDescent="0.2">
      <c r="C135" t="s">
        <v>135</v>
      </c>
      <c r="D135" s="56" t="s">
        <v>1221</v>
      </c>
      <c r="E135" s="52">
        <v>44527</v>
      </c>
      <c r="F135" s="55">
        <v>1612.5</v>
      </c>
      <c r="G135" t="s">
        <v>1676</v>
      </c>
      <c r="H135" s="61">
        <f t="shared" si="4"/>
        <v>44529</v>
      </c>
    </row>
    <row r="136" spans="3:8" ht="13.5" customHeight="1" x14ac:dyDescent="0.2">
      <c r="C136" t="s">
        <v>56</v>
      </c>
      <c r="D136" s="56" t="s">
        <v>278</v>
      </c>
      <c r="E136" s="52">
        <v>44527</v>
      </c>
      <c r="F136" s="55">
        <v>4000</v>
      </c>
      <c r="G136" t="s">
        <v>1676</v>
      </c>
      <c r="H136" s="61">
        <f t="shared" si="4"/>
        <v>44529</v>
      </c>
    </row>
    <row r="137" spans="3:8" ht="13.5" customHeight="1" x14ac:dyDescent="0.2">
      <c r="C137" t="s">
        <v>56</v>
      </c>
      <c r="D137" s="56" t="s">
        <v>278</v>
      </c>
      <c r="E137" s="52">
        <v>44528</v>
      </c>
      <c r="F137" s="55">
        <v>50000</v>
      </c>
      <c r="G137" t="s">
        <v>1689</v>
      </c>
      <c r="H137" s="61">
        <f t="shared" si="4"/>
        <v>44529</v>
      </c>
    </row>
    <row r="138" spans="3:8" ht="13.5" customHeight="1" x14ac:dyDescent="0.2">
      <c r="C138" t="s">
        <v>84</v>
      </c>
      <c r="D138" s="56" t="s">
        <v>1659</v>
      </c>
      <c r="E138" s="52">
        <v>44528</v>
      </c>
      <c r="F138" s="55">
        <v>937.5</v>
      </c>
      <c r="G138" t="s">
        <v>1689</v>
      </c>
      <c r="H138" s="61">
        <f t="shared" si="4"/>
        <v>44529</v>
      </c>
    </row>
    <row r="139" spans="3:8" ht="13.5" customHeight="1" x14ac:dyDescent="0.2">
      <c r="C139" t="s">
        <v>159</v>
      </c>
      <c r="D139" s="56" t="s">
        <v>1658</v>
      </c>
      <c r="E139" s="52">
        <v>44528</v>
      </c>
      <c r="F139" s="55">
        <v>675</v>
      </c>
      <c r="G139" t="s">
        <v>1689</v>
      </c>
      <c r="H139" s="61">
        <f t="shared" si="4"/>
        <v>44529</v>
      </c>
    </row>
    <row r="140" spans="3:8" ht="13.5" customHeight="1" x14ac:dyDescent="0.2">
      <c r="C140" t="s">
        <v>622</v>
      </c>
      <c r="D140" s="56" t="s">
        <v>1669</v>
      </c>
      <c r="E140" s="52">
        <v>44528</v>
      </c>
      <c r="F140" s="55">
        <v>3410</v>
      </c>
      <c r="G140" t="s">
        <v>1689</v>
      </c>
      <c r="H140" s="61">
        <f t="shared" si="4"/>
        <v>44529</v>
      </c>
    </row>
    <row r="141" spans="3:8" ht="13.5" customHeight="1" x14ac:dyDescent="0.2">
      <c r="C141" t="s">
        <v>159</v>
      </c>
      <c r="D141" s="56" t="s">
        <v>586</v>
      </c>
      <c r="E141" s="52">
        <v>44529</v>
      </c>
      <c r="F141" s="55">
        <v>675</v>
      </c>
      <c r="G141" t="s">
        <v>1689</v>
      </c>
      <c r="H141" s="61">
        <f t="shared" si="4"/>
        <v>44529</v>
      </c>
    </row>
    <row r="142" spans="3:8" ht="13.5" customHeight="1" x14ac:dyDescent="0.2">
      <c r="C142" t="s">
        <v>83</v>
      </c>
      <c r="D142" s="56" t="s">
        <v>1594</v>
      </c>
      <c r="E142" s="52">
        <v>44529</v>
      </c>
      <c r="F142" s="55">
        <v>2379.5</v>
      </c>
      <c r="G142" t="s">
        <v>1689</v>
      </c>
      <c r="H142" s="61">
        <f t="shared" si="4"/>
        <v>44529</v>
      </c>
    </row>
    <row r="143" spans="3:8" ht="13.5" customHeight="1" x14ac:dyDescent="0.2">
      <c r="C143" t="s">
        <v>96</v>
      </c>
      <c r="D143" s="56" t="s">
        <v>1483</v>
      </c>
      <c r="E143" s="52">
        <v>44529</v>
      </c>
      <c r="F143" s="55">
        <v>1100</v>
      </c>
      <c r="G143" t="s">
        <v>1689</v>
      </c>
      <c r="H143" s="61">
        <f t="shared" ref="H143:H156" si="5">VLOOKUP(E143,$E$2868:$H$2997,4,FALSE)</f>
        <v>44529</v>
      </c>
    </row>
    <row r="144" spans="3:8" ht="13.5" customHeight="1" x14ac:dyDescent="0.2">
      <c r="C144" t="s">
        <v>149</v>
      </c>
      <c r="D144" s="56" t="s">
        <v>1288</v>
      </c>
      <c r="E144" s="52">
        <v>44529</v>
      </c>
      <c r="F144" s="55">
        <v>500</v>
      </c>
      <c r="G144" t="s">
        <v>1689</v>
      </c>
      <c r="H144" s="61">
        <f t="shared" si="5"/>
        <v>44529</v>
      </c>
    </row>
    <row r="145" spans="3:8" ht="13.5" customHeight="1" x14ac:dyDescent="0.2">
      <c r="C145" t="s">
        <v>96</v>
      </c>
      <c r="D145" s="56" t="s">
        <v>254</v>
      </c>
      <c r="E145" s="52">
        <v>44529</v>
      </c>
      <c r="F145" s="55">
        <v>500</v>
      </c>
      <c r="G145" t="s">
        <v>1689</v>
      </c>
      <c r="H145" s="61">
        <f t="shared" si="5"/>
        <v>44529</v>
      </c>
    </row>
    <row r="146" spans="3:8" ht="13.5" customHeight="1" x14ac:dyDescent="0.2">
      <c r="C146" t="s">
        <v>96</v>
      </c>
      <c r="D146" s="56" t="s">
        <v>1506</v>
      </c>
      <c r="E146" s="52">
        <v>44529</v>
      </c>
      <c r="F146" s="55">
        <v>2578</v>
      </c>
      <c r="G146" t="s">
        <v>1689</v>
      </c>
      <c r="H146" s="61">
        <f t="shared" si="5"/>
        <v>44529</v>
      </c>
    </row>
    <row r="147" spans="3:8" ht="13.5" customHeight="1" x14ac:dyDescent="0.2">
      <c r="C147" t="s">
        <v>88</v>
      </c>
      <c r="D147" s="56" t="s">
        <v>1619</v>
      </c>
      <c r="E147" s="52">
        <v>44529</v>
      </c>
      <c r="F147" s="55">
        <v>701</v>
      </c>
      <c r="G147" t="s">
        <v>1689</v>
      </c>
      <c r="H147" s="61">
        <f t="shared" si="5"/>
        <v>44529</v>
      </c>
    </row>
    <row r="148" spans="3:8" ht="13.5" customHeight="1" x14ac:dyDescent="0.2">
      <c r="C148" t="s">
        <v>243</v>
      </c>
      <c r="D148" s="56" t="s">
        <v>1636</v>
      </c>
      <c r="E148" s="52">
        <v>44530</v>
      </c>
      <c r="F148" s="55">
        <v>1250</v>
      </c>
      <c r="G148" t="s">
        <v>1689</v>
      </c>
      <c r="H148" s="61">
        <f t="shared" si="5"/>
        <v>44530</v>
      </c>
    </row>
    <row r="149" spans="3:8" ht="13.5" customHeight="1" x14ac:dyDescent="0.2">
      <c r="C149" t="s">
        <v>131</v>
      </c>
      <c r="D149" s="56" t="s">
        <v>1291</v>
      </c>
      <c r="E149" s="52">
        <v>44530</v>
      </c>
      <c r="F149" s="55">
        <v>404.34</v>
      </c>
      <c r="G149" t="s">
        <v>1688</v>
      </c>
      <c r="H149" s="61">
        <f t="shared" si="5"/>
        <v>44530</v>
      </c>
    </row>
    <row r="150" spans="3:8" ht="13.5" customHeight="1" x14ac:dyDescent="0.2">
      <c r="C150" t="s">
        <v>72</v>
      </c>
      <c r="D150" s="56" t="s">
        <v>782</v>
      </c>
      <c r="E150" s="52">
        <v>44530</v>
      </c>
      <c r="F150" s="55">
        <v>236.8</v>
      </c>
      <c r="G150" t="s">
        <v>1689</v>
      </c>
      <c r="H150" s="61">
        <f t="shared" si="5"/>
        <v>44530</v>
      </c>
    </row>
    <row r="151" spans="3:8" ht="13.5" customHeight="1" x14ac:dyDescent="0.2">
      <c r="C151" t="s">
        <v>73</v>
      </c>
      <c r="D151" s="56" t="s">
        <v>1514</v>
      </c>
      <c r="E151" s="52">
        <v>44530</v>
      </c>
      <c r="F151" s="55">
        <v>180.85</v>
      </c>
      <c r="G151" t="s">
        <v>1689</v>
      </c>
      <c r="H151" s="61">
        <f t="shared" si="5"/>
        <v>44530</v>
      </c>
    </row>
    <row r="152" spans="3:8" ht="13.5" customHeight="1" x14ac:dyDescent="0.2">
      <c r="C152" t="s">
        <v>72</v>
      </c>
      <c r="D152" s="56" t="s">
        <v>1666</v>
      </c>
      <c r="E152" s="52">
        <v>44530</v>
      </c>
      <c r="F152" s="55">
        <v>1958.72</v>
      </c>
      <c r="G152" t="s">
        <v>1689</v>
      </c>
      <c r="H152" s="61">
        <f t="shared" si="5"/>
        <v>44530</v>
      </c>
    </row>
    <row r="153" spans="3:8" ht="13.5" customHeight="1" x14ac:dyDescent="0.2">
      <c r="C153" t="s">
        <v>97</v>
      </c>
      <c r="D153" s="56" t="s">
        <v>1269</v>
      </c>
      <c r="E153" s="52">
        <v>44530</v>
      </c>
      <c r="F153" s="55">
        <v>10295.89</v>
      </c>
      <c r="G153" t="s">
        <v>1689</v>
      </c>
      <c r="H153" s="61">
        <f t="shared" si="5"/>
        <v>44530</v>
      </c>
    </row>
    <row r="154" spans="3:8" ht="13.5" customHeight="1" x14ac:dyDescent="0.2">
      <c r="C154" t="s">
        <v>97</v>
      </c>
      <c r="D154" s="56" t="s">
        <v>69</v>
      </c>
      <c r="E154" s="52">
        <v>44530</v>
      </c>
      <c r="F154" s="55">
        <v>1270.6300000000001</v>
      </c>
      <c r="G154" t="s">
        <v>1689</v>
      </c>
      <c r="H154" s="61">
        <f t="shared" si="5"/>
        <v>44530</v>
      </c>
    </row>
    <row r="155" spans="3:8" ht="13.5" customHeight="1" x14ac:dyDescent="0.2">
      <c r="C155" t="s">
        <v>97</v>
      </c>
      <c r="D155" s="56" t="s">
        <v>1075</v>
      </c>
      <c r="E155" s="52">
        <v>44530</v>
      </c>
      <c r="F155" s="55">
        <v>615.77</v>
      </c>
      <c r="G155" t="s">
        <v>1689</v>
      </c>
      <c r="H155" s="61">
        <f t="shared" si="5"/>
        <v>44530</v>
      </c>
    </row>
    <row r="156" spans="3:8" ht="13.5" customHeight="1" x14ac:dyDescent="0.2">
      <c r="C156" t="s">
        <v>97</v>
      </c>
      <c r="D156" s="56" t="s">
        <v>348</v>
      </c>
      <c r="E156" s="52">
        <v>44530</v>
      </c>
      <c r="F156" s="55">
        <v>526.26</v>
      </c>
      <c r="G156" t="s">
        <v>1689</v>
      </c>
      <c r="H156" s="61">
        <f t="shared" si="5"/>
        <v>44530</v>
      </c>
    </row>
    <row r="157" spans="3:8" ht="13.5" customHeight="1" x14ac:dyDescent="0.2">
      <c r="D157" s="56"/>
      <c r="E157" s="52"/>
      <c r="F157" s="55"/>
      <c r="H157" s="61"/>
    </row>
    <row r="158" spans="3:8" ht="13.5" customHeight="1" x14ac:dyDescent="0.2">
      <c r="D158" s="57"/>
      <c r="E158" s="3"/>
      <c r="F158" s="58"/>
      <c r="G158" s="12"/>
      <c r="H158" s="61"/>
    </row>
    <row r="159" spans="3:8" ht="13.5" customHeight="1" x14ac:dyDescent="0.2">
      <c r="D159" s="57"/>
      <c r="E159" s="3"/>
      <c r="F159" s="58"/>
      <c r="G159" s="62"/>
      <c r="H159" s="61"/>
    </row>
    <row r="160" spans="3:8" ht="13.5" customHeight="1" x14ac:dyDescent="0.2">
      <c r="D160" s="57"/>
      <c r="E160" s="3"/>
      <c r="F160" s="58"/>
      <c r="G160" s="12"/>
      <c r="H160" s="61"/>
    </row>
    <row r="161" spans="4:8" ht="13.5" customHeight="1" x14ac:dyDescent="0.2">
      <c r="D161" s="57"/>
      <c r="E161" s="3"/>
      <c r="F161" s="58"/>
      <c r="G161" s="12"/>
      <c r="H161" s="61"/>
    </row>
    <row r="162" spans="4:8" ht="13.5" customHeight="1" x14ac:dyDescent="0.2">
      <c r="D162" s="56"/>
      <c r="E162" s="3"/>
      <c r="F162" s="15"/>
      <c r="H162" s="61"/>
    </row>
    <row r="163" spans="4:8" ht="13.5" customHeight="1" x14ac:dyDescent="0.2">
      <c r="D163" s="57"/>
      <c r="E163" s="52"/>
      <c r="F163" s="41"/>
      <c r="H163" s="61"/>
    </row>
    <row r="164" spans="4:8" ht="13.5" customHeight="1" x14ac:dyDescent="0.2">
      <c r="E164" s="52"/>
      <c r="F164" s="41"/>
      <c r="H164" s="61"/>
    </row>
    <row r="165" spans="4:8" ht="13.5" customHeight="1" x14ac:dyDescent="0.2">
      <c r="E165" s="52"/>
      <c r="F165" s="41"/>
      <c r="H165" s="61"/>
    </row>
    <row r="166" spans="4:8" ht="13.5" customHeight="1" x14ac:dyDescent="0.2">
      <c r="E166" s="52"/>
      <c r="F166" s="41"/>
      <c r="H166" s="61"/>
    </row>
    <row r="167" spans="4:8" ht="13.5" customHeight="1" x14ac:dyDescent="0.2">
      <c r="E167" s="52"/>
      <c r="F167" s="41"/>
      <c r="H167" s="61"/>
    </row>
    <row r="168" spans="4:8" ht="13.5" customHeight="1" x14ac:dyDescent="0.2">
      <c r="E168" s="52"/>
      <c r="F168" s="41"/>
      <c r="H168" s="61"/>
    </row>
    <row r="169" spans="4:8" ht="13.5" customHeight="1" x14ac:dyDescent="0.2">
      <c r="E169" s="52"/>
      <c r="F169" s="41"/>
      <c r="H169" s="61"/>
    </row>
    <row r="170" spans="4:8" ht="13.5" customHeight="1" x14ac:dyDescent="0.2">
      <c r="E170" s="52"/>
      <c r="F170" s="41"/>
      <c r="H170" s="61"/>
    </row>
    <row r="171" spans="4:8" ht="13.5" customHeight="1" x14ac:dyDescent="0.2">
      <c r="E171" s="52"/>
      <c r="F171" s="41"/>
      <c r="H171" s="61"/>
    </row>
    <row r="172" spans="4:8" ht="13.5" customHeight="1" x14ac:dyDescent="0.2">
      <c r="E172" s="52"/>
      <c r="F172" s="41"/>
      <c r="H172" s="61"/>
    </row>
    <row r="173" spans="4:8" ht="13.5" customHeight="1" x14ac:dyDescent="0.2">
      <c r="E173" s="52"/>
      <c r="F173" s="41"/>
      <c r="H173" s="61"/>
    </row>
    <row r="174" spans="4:8" ht="13.5" customHeight="1" x14ac:dyDescent="0.2">
      <c r="E174" s="52"/>
      <c r="F174" s="41"/>
      <c r="H174" s="61"/>
    </row>
    <row r="175" spans="4:8" ht="13.5" customHeight="1" x14ac:dyDescent="0.2">
      <c r="E175" s="52"/>
      <c r="F175" s="41"/>
      <c r="H175" s="61"/>
    </row>
    <row r="176" spans="4:8" ht="13.5" customHeight="1" x14ac:dyDescent="0.2">
      <c r="E176" s="52"/>
      <c r="F176" s="41"/>
      <c r="H176" s="61"/>
    </row>
    <row r="177" spans="5:8" ht="13.5" customHeight="1" x14ac:dyDescent="0.2">
      <c r="E177" s="52"/>
      <c r="F177" s="41"/>
      <c r="H177" s="61"/>
    </row>
    <row r="178" spans="5:8" ht="13.5" customHeight="1" x14ac:dyDescent="0.2">
      <c r="E178" s="52"/>
      <c r="F178" s="41"/>
      <c r="H178" s="61"/>
    </row>
    <row r="179" spans="5:8" ht="13.5" customHeight="1" x14ac:dyDescent="0.2">
      <c r="E179" s="52"/>
      <c r="F179" s="41"/>
      <c r="H179" s="61"/>
    </row>
    <row r="180" spans="5:8" ht="13.5" customHeight="1" x14ac:dyDescent="0.2">
      <c r="E180" s="52"/>
      <c r="F180" s="41"/>
      <c r="H180" s="61"/>
    </row>
    <row r="181" spans="5:8" ht="13.5" customHeight="1" x14ac:dyDescent="0.2">
      <c r="E181" s="52"/>
      <c r="F181" s="41"/>
      <c r="H181" s="61"/>
    </row>
    <row r="182" spans="5:8" ht="13.5" customHeight="1" x14ac:dyDescent="0.2">
      <c r="E182" s="52"/>
      <c r="F182" s="41"/>
      <c r="H182" s="61"/>
    </row>
    <row r="183" spans="5:8" ht="13.5" customHeight="1" x14ac:dyDescent="0.2">
      <c r="E183" s="52"/>
      <c r="F183" s="41"/>
      <c r="H183" s="61"/>
    </row>
    <row r="184" spans="5:8" ht="13.5" customHeight="1" x14ac:dyDescent="0.2">
      <c r="E184" s="52"/>
      <c r="F184" s="41"/>
      <c r="H184" s="61"/>
    </row>
    <row r="185" spans="5:8" ht="13.5" customHeight="1" x14ac:dyDescent="0.2">
      <c r="E185" s="52"/>
      <c r="F185" s="41"/>
      <c r="H185" s="61"/>
    </row>
    <row r="186" spans="5:8" ht="13.5" customHeight="1" x14ac:dyDescent="0.2">
      <c r="E186" s="52"/>
      <c r="F186" s="41"/>
      <c r="H186" s="61"/>
    </row>
    <row r="187" spans="5:8" ht="13.5" customHeight="1" x14ac:dyDescent="0.2">
      <c r="E187" s="52"/>
      <c r="F187" s="41"/>
      <c r="H187" s="61"/>
    </row>
    <row r="188" spans="5:8" ht="13.5" customHeight="1" x14ac:dyDescent="0.2">
      <c r="E188" s="52"/>
      <c r="F188" s="41"/>
      <c r="H188" s="61"/>
    </row>
    <row r="189" spans="5:8" ht="13.5" customHeight="1" x14ac:dyDescent="0.2">
      <c r="E189" s="52"/>
      <c r="F189" s="41"/>
      <c r="H189" s="61"/>
    </row>
    <row r="190" spans="5:8" ht="13.5" customHeight="1" x14ac:dyDescent="0.2">
      <c r="E190" s="52"/>
      <c r="F190" s="41"/>
      <c r="H190" s="61"/>
    </row>
    <row r="191" spans="5:8" ht="13.5" customHeight="1" x14ac:dyDescent="0.2">
      <c r="E191" s="52"/>
      <c r="F191" s="41"/>
      <c r="H191" s="61"/>
    </row>
    <row r="192" spans="5:8" ht="13.5" customHeight="1" x14ac:dyDescent="0.2">
      <c r="E192" s="52"/>
      <c r="F192" s="41"/>
      <c r="H192" s="61"/>
    </row>
    <row r="193" spans="5:8" ht="13.5" customHeight="1" x14ac:dyDescent="0.2">
      <c r="E193" s="52"/>
      <c r="F193" s="41"/>
      <c r="H193" s="61"/>
    </row>
    <row r="194" spans="5:8" ht="13.5" customHeight="1" x14ac:dyDescent="0.2">
      <c r="E194" s="52"/>
      <c r="F194" s="41"/>
      <c r="H194" s="61"/>
    </row>
    <row r="195" spans="5:8" ht="13.5" customHeight="1" x14ac:dyDescent="0.2">
      <c r="E195" s="52"/>
      <c r="F195" s="41"/>
      <c r="H195" s="61"/>
    </row>
    <row r="196" spans="5:8" ht="13.5" customHeight="1" x14ac:dyDescent="0.2">
      <c r="E196" s="52"/>
      <c r="F196" s="41"/>
      <c r="H196" s="61"/>
    </row>
    <row r="197" spans="5:8" ht="13.5" customHeight="1" x14ac:dyDescent="0.2">
      <c r="E197" s="52"/>
      <c r="F197" s="41"/>
      <c r="H197" s="61"/>
    </row>
    <row r="198" spans="5:8" ht="13.5" customHeight="1" x14ac:dyDescent="0.2">
      <c r="E198" s="52"/>
      <c r="F198" s="41"/>
      <c r="H198" s="61"/>
    </row>
    <row r="199" spans="5:8" ht="13.5" customHeight="1" x14ac:dyDescent="0.2">
      <c r="E199" s="52"/>
      <c r="F199" s="41"/>
      <c r="H199" s="61"/>
    </row>
    <row r="200" spans="5:8" ht="13.5" customHeight="1" x14ac:dyDescent="0.2">
      <c r="E200" s="52"/>
      <c r="F200" s="41"/>
      <c r="H200" s="61"/>
    </row>
    <row r="201" spans="5:8" ht="13.5" customHeight="1" x14ac:dyDescent="0.2">
      <c r="E201" s="52"/>
      <c r="F201" s="41"/>
      <c r="H201" s="61"/>
    </row>
    <row r="202" spans="5:8" ht="13.5" customHeight="1" x14ac:dyDescent="0.2">
      <c r="E202" s="52"/>
      <c r="H202" s="61"/>
    </row>
    <row r="203" spans="5:8" ht="13.5" customHeight="1" x14ac:dyDescent="0.2">
      <c r="E203" s="52"/>
      <c r="H203" s="61"/>
    </row>
    <row r="204" spans="5:8" ht="13.5" customHeight="1" x14ac:dyDescent="0.2">
      <c r="E204" s="52"/>
      <c r="H204" s="61"/>
    </row>
    <row r="205" spans="5:8" ht="13.5" customHeight="1" x14ac:dyDescent="0.2">
      <c r="E205" s="52"/>
      <c r="H205" s="61"/>
    </row>
    <row r="206" spans="5:8" ht="13.5" customHeight="1" x14ac:dyDescent="0.2">
      <c r="E206" s="52"/>
      <c r="H206" s="61"/>
    </row>
    <row r="207" spans="5:8" ht="13.5" customHeight="1" x14ac:dyDescent="0.2">
      <c r="E207" s="52"/>
      <c r="H207" s="61"/>
    </row>
    <row r="208" spans="5:8" ht="13.5" customHeight="1" x14ac:dyDescent="0.2">
      <c r="E208" s="52"/>
      <c r="H208" s="61"/>
    </row>
    <row r="209" spans="5:11" ht="13.5" customHeight="1" x14ac:dyDescent="0.2">
      <c r="E209" s="52"/>
      <c r="H209" s="61"/>
    </row>
    <row r="210" spans="5:11" ht="13.5" customHeight="1" x14ac:dyDescent="0.2">
      <c r="E210" s="52"/>
      <c r="H210" s="61"/>
      <c r="K210"/>
    </row>
    <row r="211" spans="5:11" ht="13.5" customHeight="1" x14ac:dyDescent="0.2">
      <c r="E211" s="52"/>
      <c r="H211" s="61"/>
      <c r="K211"/>
    </row>
    <row r="212" spans="5:11" ht="13.5" customHeight="1" x14ac:dyDescent="0.2">
      <c r="E212" s="52"/>
      <c r="H212" s="61"/>
      <c r="K212"/>
    </row>
    <row r="213" spans="5:11" ht="13.5" customHeight="1" x14ac:dyDescent="0.2">
      <c r="E213" s="52"/>
      <c r="H213" s="61"/>
      <c r="K213"/>
    </row>
    <row r="214" spans="5:11" ht="13.5" customHeight="1" x14ac:dyDescent="0.2">
      <c r="E214" s="52"/>
      <c r="H214" s="61"/>
      <c r="K214"/>
    </row>
    <row r="215" spans="5:11" ht="13.5" customHeight="1" x14ac:dyDescent="0.2">
      <c r="E215" s="52"/>
      <c r="H215" s="61"/>
      <c r="K215"/>
    </row>
    <row r="216" spans="5:11" ht="13.5" customHeight="1" x14ac:dyDescent="0.2">
      <c r="E216" s="52"/>
      <c r="H216" s="61"/>
      <c r="K216"/>
    </row>
    <row r="217" spans="5:11" ht="13.5" customHeight="1" x14ac:dyDescent="0.2">
      <c r="E217" s="52"/>
      <c r="H217" s="61"/>
      <c r="K217"/>
    </row>
    <row r="218" spans="5:11" ht="13.5" customHeight="1" x14ac:dyDescent="0.2">
      <c r="E218" s="52"/>
      <c r="H218" s="61"/>
      <c r="K218"/>
    </row>
    <row r="219" spans="5:11" ht="13.5" customHeight="1" x14ac:dyDescent="0.2">
      <c r="E219" s="52"/>
      <c r="H219" s="61"/>
      <c r="K219"/>
    </row>
    <row r="220" spans="5:11" ht="13.5" customHeight="1" x14ac:dyDescent="0.2">
      <c r="E220" s="52"/>
      <c r="H220" s="61"/>
      <c r="K220"/>
    </row>
    <row r="221" spans="5:11" ht="13.5" customHeight="1" x14ac:dyDescent="0.2">
      <c r="E221" s="52"/>
      <c r="H221" s="61"/>
      <c r="K221"/>
    </row>
    <row r="222" spans="5:11" ht="13.5" customHeight="1" x14ac:dyDescent="0.2">
      <c r="E222" s="52"/>
      <c r="H222" s="61"/>
      <c r="K222"/>
    </row>
    <row r="223" spans="5:11" ht="13.5" customHeight="1" x14ac:dyDescent="0.2">
      <c r="E223" s="52"/>
      <c r="H223" s="61"/>
      <c r="K223"/>
    </row>
    <row r="224" spans="5:11" ht="13.5" customHeight="1" x14ac:dyDescent="0.2">
      <c r="E224" s="52"/>
      <c r="H224" s="61"/>
      <c r="K224"/>
    </row>
    <row r="225" spans="5:11" ht="13.5" customHeight="1" x14ac:dyDescent="0.2">
      <c r="E225" s="52"/>
      <c r="H225" s="61"/>
      <c r="K225"/>
    </row>
    <row r="226" spans="5:11" ht="13.5" customHeight="1" x14ac:dyDescent="0.2">
      <c r="E226" s="52"/>
      <c r="H226" s="61"/>
      <c r="K226"/>
    </row>
    <row r="227" spans="5:11" ht="13.5" customHeight="1" x14ac:dyDescent="0.2">
      <c r="E227" s="52"/>
      <c r="H227" s="61"/>
      <c r="K227"/>
    </row>
    <row r="228" spans="5:11" ht="13.5" customHeight="1" x14ac:dyDescent="0.2">
      <c r="E228" s="52"/>
      <c r="H228" s="61"/>
      <c r="K228"/>
    </row>
    <row r="229" spans="5:11" ht="13.5" customHeight="1" x14ac:dyDescent="0.2">
      <c r="E229" s="52"/>
      <c r="H229" s="61"/>
      <c r="K229"/>
    </row>
    <row r="230" spans="5:11" ht="13.5" customHeight="1" x14ac:dyDescent="0.2">
      <c r="E230" s="52"/>
      <c r="H230" s="61"/>
      <c r="K230"/>
    </row>
    <row r="231" spans="5:11" ht="13.5" customHeight="1" x14ac:dyDescent="0.2">
      <c r="E231" s="52"/>
      <c r="H231" s="61"/>
      <c r="K231"/>
    </row>
    <row r="232" spans="5:11" ht="13.5" customHeight="1" x14ac:dyDescent="0.2">
      <c r="E232" s="52"/>
      <c r="H232" s="61"/>
      <c r="K232"/>
    </row>
    <row r="233" spans="5:11" ht="13.5" customHeight="1" x14ac:dyDescent="0.2">
      <c r="E233" s="52"/>
      <c r="H233" s="61"/>
      <c r="K233"/>
    </row>
    <row r="234" spans="5:11" ht="13.5" customHeight="1" x14ac:dyDescent="0.2">
      <c r="E234" s="52"/>
      <c r="H234" s="61"/>
      <c r="K234"/>
    </row>
    <row r="235" spans="5:11" ht="13.5" customHeight="1" x14ac:dyDescent="0.2">
      <c r="E235" s="52"/>
      <c r="H235" s="61"/>
      <c r="K235"/>
    </row>
    <row r="236" spans="5:11" ht="13.5" customHeight="1" x14ac:dyDescent="0.2">
      <c r="E236" s="52"/>
      <c r="H236" s="61"/>
      <c r="K236"/>
    </row>
    <row r="237" spans="5:11" ht="13.5" customHeight="1" x14ac:dyDescent="0.2">
      <c r="E237" s="52"/>
      <c r="H237" s="61"/>
      <c r="K237"/>
    </row>
    <row r="238" spans="5:11" ht="13.5" customHeight="1" x14ac:dyDescent="0.2">
      <c r="E238" s="52"/>
      <c r="H238" s="61"/>
      <c r="K238"/>
    </row>
    <row r="239" spans="5:11" ht="13.5" customHeight="1" x14ac:dyDescent="0.2">
      <c r="E239" s="52"/>
      <c r="H239" s="61"/>
      <c r="K239"/>
    </row>
    <row r="240" spans="5:11" ht="13.5" customHeight="1" x14ac:dyDescent="0.2">
      <c r="E240" s="52"/>
      <c r="H240" s="61"/>
      <c r="K240"/>
    </row>
    <row r="241" spans="5:11" ht="13.5" customHeight="1" x14ac:dyDescent="0.2">
      <c r="E241" s="52"/>
      <c r="H241" s="61"/>
      <c r="K241"/>
    </row>
    <row r="242" spans="5:11" ht="13.5" customHeight="1" x14ac:dyDescent="0.2">
      <c r="E242" s="52"/>
      <c r="H242" s="61"/>
      <c r="K242"/>
    </row>
    <row r="243" spans="5:11" ht="13.5" customHeight="1" x14ac:dyDescent="0.2">
      <c r="E243" s="52"/>
      <c r="H243" s="61"/>
      <c r="K243"/>
    </row>
    <row r="244" spans="5:11" ht="13.5" customHeight="1" x14ac:dyDescent="0.2">
      <c r="E244" s="52"/>
      <c r="H244" s="61"/>
      <c r="K244"/>
    </row>
    <row r="245" spans="5:11" ht="13.5" customHeight="1" x14ac:dyDescent="0.2">
      <c r="E245" s="52"/>
      <c r="H245" s="61"/>
      <c r="K245"/>
    </row>
    <row r="246" spans="5:11" ht="13.5" customHeight="1" x14ac:dyDescent="0.2">
      <c r="E246" s="52"/>
      <c r="H246" s="61"/>
      <c r="K246"/>
    </row>
    <row r="247" spans="5:11" ht="13.5" customHeight="1" x14ac:dyDescent="0.2">
      <c r="E247" s="52"/>
      <c r="H247" s="61"/>
      <c r="K247"/>
    </row>
    <row r="248" spans="5:11" ht="13.5" customHeight="1" x14ac:dyDescent="0.2">
      <c r="E248" s="52"/>
      <c r="H248" s="61"/>
      <c r="K248"/>
    </row>
    <row r="249" spans="5:11" ht="13.5" customHeight="1" x14ac:dyDescent="0.2">
      <c r="E249" s="52"/>
      <c r="H249" s="61"/>
      <c r="K249"/>
    </row>
    <row r="250" spans="5:11" ht="13.5" customHeight="1" x14ac:dyDescent="0.2">
      <c r="E250" s="52"/>
      <c r="H250" s="61"/>
      <c r="K250"/>
    </row>
    <row r="251" spans="5:11" ht="13.5" customHeight="1" x14ac:dyDescent="0.2">
      <c r="E251" s="52"/>
      <c r="H251" s="61"/>
      <c r="K251"/>
    </row>
    <row r="252" spans="5:11" ht="13.5" customHeight="1" x14ac:dyDescent="0.2">
      <c r="E252" s="52"/>
      <c r="H252" s="61"/>
      <c r="K252"/>
    </row>
    <row r="253" spans="5:11" ht="13.5" customHeight="1" x14ac:dyDescent="0.2">
      <c r="E253" s="52"/>
      <c r="H253" s="61"/>
      <c r="K253"/>
    </row>
    <row r="254" spans="5:11" ht="13.5" customHeight="1" x14ac:dyDescent="0.2">
      <c r="E254" s="52"/>
      <c r="H254" s="61"/>
      <c r="K254"/>
    </row>
    <row r="255" spans="5:11" ht="13.5" customHeight="1" x14ac:dyDescent="0.2">
      <c r="E255" s="52"/>
      <c r="H255" s="61"/>
      <c r="K255"/>
    </row>
    <row r="256" spans="5:11" ht="13.5" customHeight="1" x14ac:dyDescent="0.2">
      <c r="E256" s="52"/>
      <c r="H256" s="61"/>
      <c r="K256"/>
    </row>
    <row r="257" spans="5:11" ht="13.5" customHeight="1" x14ac:dyDescent="0.2">
      <c r="E257" s="52"/>
      <c r="H257" s="61"/>
      <c r="K257"/>
    </row>
    <row r="258" spans="5:11" ht="13.5" customHeight="1" x14ac:dyDescent="0.2">
      <c r="E258" s="52"/>
      <c r="H258" s="61"/>
      <c r="K258"/>
    </row>
    <row r="259" spans="5:11" ht="13.5" customHeight="1" x14ac:dyDescent="0.2">
      <c r="E259" s="52"/>
      <c r="H259" s="61"/>
      <c r="K259"/>
    </row>
    <row r="260" spans="5:11" ht="13.5" customHeight="1" x14ac:dyDescent="0.2">
      <c r="E260" s="52"/>
      <c r="H260" s="61"/>
      <c r="K260"/>
    </row>
    <row r="261" spans="5:11" ht="13.5" customHeight="1" x14ac:dyDescent="0.2">
      <c r="E261" s="52"/>
      <c r="H261" s="61"/>
      <c r="K261"/>
    </row>
    <row r="262" spans="5:11" ht="13.5" customHeight="1" x14ac:dyDescent="0.2">
      <c r="E262" s="52"/>
      <c r="H262" s="61"/>
      <c r="K262"/>
    </row>
    <row r="263" spans="5:11" ht="13.5" customHeight="1" x14ac:dyDescent="0.2">
      <c r="E263" s="52"/>
      <c r="H263" s="61"/>
      <c r="K263"/>
    </row>
    <row r="264" spans="5:11" ht="13.5" customHeight="1" x14ac:dyDescent="0.2">
      <c r="E264" s="52"/>
      <c r="H264" s="61"/>
      <c r="K264"/>
    </row>
    <row r="265" spans="5:11" ht="13.5" customHeight="1" x14ac:dyDescent="0.2">
      <c r="E265" s="52"/>
      <c r="H265" s="61"/>
      <c r="K265"/>
    </row>
    <row r="266" spans="5:11" ht="13.5" customHeight="1" x14ac:dyDescent="0.2">
      <c r="E266" s="52"/>
      <c r="H266" s="61"/>
      <c r="K266"/>
    </row>
    <row r="267" spans="5:11" ht="13.5" customHeight="1" x14ac:dyDescent="0.2">
      <c r="E267" s="52"/>
      <c r="H267" s="61"/>
      <c r="K267"/>
    </row>
    <row r="268" spans="5:11" ht="13.5" customHeight="1" x14ac:dyDescent="0.2">
      <c r="E268" s="52"/>
      <c r="H268" s="61"/>
      <c r="K268"/>
    </row>
    <row r="269" spans="5:11" ht="13.5" customHeight="1" x14ac:dyDescent="0.2">
      <c r="E269" s="52"/>
      <c r="H269" s="61"/>
      <c r="K269"/>
    </row>
    <row r="270" spans="5:11" ht="13.5" customHeight="1" x14ac:dyDescent="0.2">
      <c r="E270" s="52"/>
      <c r="H270" s="61"/>
      <c r="K270"/>
    </row>
    <row r="271" spans="5:11" ht="13.5" customHeight="1" x14ac:dyDescent="0.2">
      <c r="E271" s="52"/>
      <c r="H271" s="61"/>
      <c r="K271"/>
    </row>
    <row r="272" spans="5:11" ht="13.5" customHeight="1" x14ac:dyDescent="0.2">
      <c r="E272" s="52"/>
      <c r="H272" s="61"/>
      <c r="K272"/>
    </row>
    <row r="273" spans="5:11" ht="13.5" customHeight="1" x14ac:dyDescent="0.2">
      <c r="E273" s="52"/>
      <c r="H273" s="61"/>
      <c r="K273"/>
    </row>
    <row r="274" spans="5:11" ht="13.5" customHeight="1" x14ac:dyDescent="0.2">
      <c r="E274" s="52"/>
      <c r="H274" s="61"/>
      <c r="K274"/>
    </row>
    <row r="275" spans="5:11" ht="13.5" customHeight="1" x14ac:dyDescent="0.2">
      <c r="E275" s="52"/>
      <c r="H275" s="61"/>
      <c r="K275"/>
    </row>
    <row r="276" spans="5:11" ht="13.5" customHeight="1" x14ac:dyDescent="0.2">
      <c r="E276" s="52"/>
      <c r="H276" s="61"/>
      <c r="K276"/>
    </row>
    <row r="277" spans="5:11" ht="13.5" customHeight="1" x14ac:dyDescent="0.2">
      <c r="E277" s="52"/>
      <c r="H277" s="61"/>
      <c r="K277"/>
    </row>
    <row r="278" spans="5:11" ht="13.5" customHeight="1" x14ac:dyDescent="0.2">
      <c r="E278" s="52"/>
      <c r="H278" s="61"/>
      <c r="K278"/>
    </row>
    <row r="279" spans="5:11" ht="13.5" customHeight="1" x14ac:dyDescent="0.2">
      <c r="E279" s="52"/>
      <c r="H279" s="61"/>
      <c r="K279"/>
    </row>
    <row r="280" spans="5:11" ht="13.5" customHeight="1" x14ac:dyDescent="0.2">
      <c r="E280" s="52"/>
      <c r="H280" s="61"/>
      <c r="K280"/>
    </row>
    <row r="281" spans="5:11" ht="13.5" customHeight="1" x14ac:dyDescent="0.2">
      <c r="E281" s="52"/>
      <c r="H281" s="61"/>
      <c r="K281"/>
    </row>
    <row r="282" spans="5:11" ht="13.5" customHeight="1" x14ac:dyDescent="0.2">
      <c r="E282" s="52"/>
      <c r="H282" s="61"/>
      <c r="K282"/>
    </row>
    <row r="283" spans="5:11" ht="13.5" customHeight="1" x14ac:dyDescent="0.2">
      <c r="E283" s="52"/>
      <c r="H283" s="61"/>
      <c r="K283"/>
    </row>
    <row r="284" spans="5:11" ht="13.5" customHeight="1" x14ac:dyDescent="0.2">
      <c r="E284" s="52"/>
      <c r="H284" s="61"/>
      <c r="K284"/>
    </row>
    <row r="285" spans="5:11" ht="13.5" customHeight="1" x14ac:dyDescent="0.2">
      <c r="E285" s="52"/>
      <c r="H285" s="61"/>
      <c r="K285"/>
    </row>
    <row r="286" spans="5:11" ht="13.5" customHeight="1" x14ac:dyDescent="0.2">
      <c r="E286" s="52"/>
      <c r="H286" s="61"/>
      <c r="K286"/>
    </row>
    <row r="287" spans="5:11" ht="13.5" customHeight="1" x14ac:dyDescent="0.2">
      <c r="E287" s="52"/>
      <c r="H287" s="61"/>
      <c r="K287"/>
    </row>
    <row r="288" spans="5:11" ht="13.5" customHeight="1" x14ac:dyDescent="0.2">
      <c r="E288" s="52"/>
      <c r="H288" s="61"/>
      <c r="K288"/>
    </row>
    <row r="289" spans="5:11" ht="13.5" customHeight="1" x14ac:dyDescent="0.2">
      <c r="E289" s="52"/>
      <c r="H289" s="61"/>
      <c r="K289"/>
    </row>
    <row r="290" spans="5:11" ht="13.5" customHeight="1" x14ac:dyDescent="0.2">
      <c r="E290" s="52"/>
      <c r="H290" s="61"/>
      <c r="K290"/>
    </row>
    <row r="291" spans="5:11" ht="13.5" customHeight="1" x14ac:dyDescent="0.2">
      <c r="E291" s="52"/>
      <c r="H291" s="61"/>
      <c r="K291"/>
    </row>
    <row r="292" spans="5:11" ht="13.5" customHeight="1" x14ac:dyDescent="0.2">
      <c r="E292" s="52"/>
      <c r="H292" s="61"/>
      <c r="K292"/>
    </row>
    <row r="293" spans="5:11" ht="13.5" customHeight="1" x14ac:dyDescent="0.2">
      <c r="E293" s="52"/>
      <c r="H293" s="61"/>
      <c r="K293"/>
    </row>
    <row r="294" spans="5:11" ht="13.5" customHeight="1" x14ac:dyDescent="0.2">
      <c r="E294" s="52"/>
      <c r="H294" s="61"/>
      <c r="K294"/>
    </row>
    <row r="295" spans="5:11" ht="13.5" customHeight="1" x14ac:dyDescent="0.2">
      <c r="E295" s="52"/>
      <c r="H295" s="61"/>
      <c r="K295"/>
    </row>
    <row r="296" spans="5:11" ht="13.5" customHeight="1" x14ac:dyDescent="0.2">
      <c r="E296" s="52"/>
      <c r="H296" s="61"/>
      <c r="K296"/>
    </row>
    <row r="297" spans="5:11" ht="13.5" customHeight="1" x14ac:dyDescent="0.2">
      <c r="E297" s="52"/>
      <c r="H297" s="61"/>
      <c r="K297"/>
    </row>
    <row r="298" spans="5:11" ht="13.5" customHeight="1" x14ac:dyDescent="0.2">
      <c r="E298" s="52"/>
      <c r="H298" s="61"/>
      <c r="K298"/>
    </row>
    <row r="299" spans="5:11" ht="13.5" customHeight="1" x14ac:dyDescent="0.2">
      <c r="E299" s="52"/>
      <c r="H299" s="61"/>
      <c r="K299"/>
    </row>
    <row r="300" spans="5:11" ht="13.5" customHeight="1" x14ac:dyDescent="0.2">
      <c r="E300" s="52"/>
      <c r="H300" s="61"/>
      <c r="K300"/>
    </row>
    <row r="301" spans="5:11" ht="13.5" customHeight="1" x14ac:dyDescent="0.2">
      <c r="E301" s="52"/>
      <c r="H301" s="61"/>
      <c r="K301"/>
    </row>
    <row r="302" spans="5:11" ht="13.5" customHeight="1" x14ac:dyDescent="0.2">
      <c r="E302" s="52"/>
      <c r="H302" s="61"/>
      <c r="K302"/>
    </row>
    <row r="303" spans="5:11" ht="13.5" customHeight="1" x14ac:dyDescent="0.2">
      <c r="E303" s="52"/>
      <c r="H303" s="61"/>
      <c r="K303"/>
    </row>
    <row r="304" spans="5:11" ht="13.5" customHeight="1" x14ac:dyDescent="0.2">
      <c r="E304" s="52"/>
      <c r="H304" s="61"/>
      <c r="K304"/>
    </row>
    <row r="305" spans="5:11" ht="13.5" customHeight="1" x14ac:dyDescent="0.2">
      <c r="E305" s="52"/>
      <c r="H305" s="61"/>
      <c r="K305"/>
    </row>
    <row r="306" spans="5:11" ht="13.5" customHeight="1" x14ac:dyDescent="0.2">
      <c r="E306" s="52"/>
      <c r="H306" s="61"/>
      <c r="K306"/>
    </row>
    <row r="307" spans="5:11" ht="13.5" customHeight="1" x14ac:dyDescent="0.2">
      <c r="E307" s="52"/>
      <c r="H307" s="61"/>
      <c r="K307"/>
    </row>
    <row r="308" spans="5:11" ht="13.5" customHeight="1" x14ac:dyDescent="0.2">
      <c r="E308" s="52"/>
      <c r="H308" s="61"/>
      <c r="K308"/>
    </row>
    <row r="309" spans="5:11" ht="13.5" customHeight="1" x14ac:dyDescent="0.2">
      <c r="E309" s="52"/>
      <c r="H309" s="61"/>
      <c r="K309"/>
    </row>
    <row r="310" spans="5:11" ht="13.5" customHeight="1" x14ac:dyDescent="0.2">
      <c r="E310" s="52"/>
      <c r="H310" s="61"/>
      <c r="K310"/>
    </row>
    <row r="311" spans="5:11" ht="13.5" customHeight="1" x14ac:dyDescent="0.2">
      <c r="E311" s="52"/>
      <c r="H311" s="61"/>
      <c r="K311"/>
    </row>
    <row r="312" spans="5:11" ht="13.5" customHeight="1" x14ac:dyDescent="0.2">
      <c r="E312" s="52"/>
      <c r="H312" s="61"/>
      <c r="K312"/>
    </row>
    <row r="313" spans="5:11" ht="13.5" customHeight="1" x14ac:dyDescent="0.2">
      <c r="E313" s="52"/>
      <c r="H313" s="61"/>
      <c r="K313"/>
    </row>
    <row r="314" spans="5:11" ht="13.5" customHeight="1" x14ac:dyDescent="0.2">
      <c r="E314" s="52"/>
      <c r="H314" s="61"/>
      <c r="K314"/>
    </row>
    <row r="315" spans="5:11" ht="13.5" customHeight="1" x14ac:dyDescent="0.2">
      <c r="E315" s="52"/>
      <c r="H315" s="61"/>
      <c r="K315"/>
    </row>
    <row r="316" spans="5:11" ht="13.5" customHeight="1" x14ac:dyDescent="0.2">
      <c r="E316" s="52"/>
      <c r="H316" s="61"/>
      <c r="K316"/>
    </row>
    <row r="317" spans="5:11" ht="13.5" customHeight="1" x14ac:dyDescent="0.2">
      <c r="E317" s="52"/>
      <c r="H317" s="61"/>
      <c r="K317"/>
    </row>
    <row r="318" spans="5:11" ht="13.5" customHeight="1" x14ac:dyDescent="0.2">
      <c r="E318" s="52"/>
      <c r="H318" s="61"/>
      <c r="K318"/>
    </row>
    <row r="319" spans="5:11" ht="13.5" customHeight="1" x14ac:dyDescent="0.2">
      <c r="E319" s="52"/>
      <c r="H319" s="61"/>
      <c r="K319"/>
    </row>
    <row r="320" spans="5:11" ht="13.5" customHeight="1" x14ac:dyDescent="0.2">
      <c r="E320" s="52"/>
      <c r="H320" s="61"/>
      <c r="K320"/>
    </row>
    <row r="321" spans="5:11" ht="13.5" customHeight="1" x14ac:dyDescent="0.2">
      <c r="E321" s="52"/>
      <c r="H321" s="61"/>
      <c r="K321"/>
    </row>
    <row r="322" spans="5:11" ht="13.5" customHeight="1" x14ac:dyDescent="0.2">
      <c r="E322" s="52"/>
      <c r="H322" s="61"/>
      <c r="K322"/>
    </row>
    <row r="323" spans="5:11" ht="13.5" customHeight="1" x14ac:dyDescent="0.2">
      <c r="E323" s="52"/>
      <c r="H323" s="61"/>
      <c r="K323"/>
    </row>
    <row r="324" spans="5:11" ht="13.5" customHeight="1" x14ac:dyDescent="0.2">
      <c r="E324" s="52"/>
      <c r="H324" s="61"/>
      <c r="K324"/>
    </row>
    <row r="325" spans="5:11" ht="13.5" customHeight="1" x14ac:dyDescent="0.2">
      <c r="E325" s="52"/>
      <c r="H325" s="61"/>
      <c r="K325"/>
    </row>
    <row r="326" spans="5:11" ht="13.5" customHeight="1" x14ac:dyDescent="0.2">
      <c r="E326" s="52"/>
      <c r="H326" s="61"/>
      <c r="K326"/>
    </row>
    <row r="327" spans="5:11" ht="13.5" customHeight="1" x14ac:dyDescent="0.2">
      <c r="E327" s="52"/>
      <c r="H327" s="61"/>
      <c r="K327"/>
    </row>
    <row r="328" spans="5:11" ht="13.5" customHeight="1" x14ac:dyDescent="0.2">
      <c r="E328" s="52"/>
      <c r="H328" s="61"/>
      <c r="K328"/>
    </row>
    <row r="329" spans="5:11" ht="13.5" customHeight="1" x14ac:dyDescent="0.2">
      <c r="E329" s="52"/>
      <c r="H329" s="61"/>
      <c r="K329"/>
    </row>
    <row r="330" spans="5:11" ht="13.5" customHeight="1" x14ac:dyDescent="0.2">
      <c r="E330" s="52"/>
      <c r="H330" s="61"/>
      <c r="K330"/>
    </row>
    <row r="331" spans="5:11" ht="13.5" customHeight="1" x14ac:dyDescent="0.2">
      <c r="E331" s="52"/>
      <c r="H331" s="61"/>
      <c r="K331"/>
    </row>
    <row r="332" spans="5:11" ht="13.5" customHeight="1" x14ac:dyDescent="0.2">
      <c r="E332" s="52"/>
      <c r="H332" s="61"/>
      <c r="K332"/>
    </row>
    <row r="333" spans="5:11" ht="13.5" customHeight="1" x14ac:dyDescent="0.2">
      <c r="E333" s="52"/>
      <c r="H333" s="61"/>
      <c r="K333"/>
    </row>
    <row r="334" spans="5:11" ht="13.5" customHeight="1" x14ac:dyDescent="0.2">
      <c r="E334" s="52"/>
      <c r="H334" s="61"/>
      <c r="K334"/>
    </row>
    <row r="335" spans="5:11" ht="13.5" customHeight="1" x14ac:dyDescent="0.2">
      <c r="E335" s="52"/>
      <c r="H335" s="61"/>
      <c r="K335"/>
    </row>
    <row r="336" spans="5:11" ht="13.5" customHeight="1" x14ac:dyDescent="0.2">
      <c r="E336" s="52"/>
      <c r="H336" s="61"/>
      <c r="K336"/>
    </row>
    <row r="337" spans="5:11" ht="13.5" customHeight="1" x14ac:dyDescent="0.2">
      <c r="E337" s="52"/>
      <c r="H337" s="61"/>
      <c r="K337"/>
    </row>
    <row r="338" spans="5:11" ht="13.5" customHeight="1" x14ac:dyDescent="0.2">
      <c r="E338" s="52"/>
      <c r="H338" s="61"/>
      <c r="K338"/>
    </row>
    <row r="339" spans="5:11" ht="13.5" customHeight="1" x14ac:dyDescent="0.2">
      <c r="E339" s="52"/>
      <c r="H339" s="61"/>
      <c r="K339"/>
    </row>
    <row r="340" spans="5:11" ht="13.5" customHeight="1" x14ac:dyDescent="0.2">
      <c r="E340" s="52"/>
      <c r="H340" s="61"/>
      <c r="K340"/>
    </row>
    <row r="341" spans="5:11" ht="13.5" customHeight="1" x14ac:dyDescent="0.2">
      <c r="E341" s="52"/>
      <c r="H341" s="61"/>
      <c r="K341"/>
    </row>
    <row r="342" spans="5:11" ht="13.5" customHeight="1" x14ac:dyDescent="0.2">
      <c r="E342" s="52"/>
      <c r="H342" s="61"/>
      <c r="K342"/>
    </row>
    <row r="343" spans="5:11" ht="13.5" customHeight="1" x14ac:dyDescent="0.2">
      <c r="E343" s="52"/>
      <c r="H343" s="61"/>
      <c r="K343"/>
    </row>
    <row r="344" spans="5:11" ht="13.5" customHeight="1" x14ac:dyDescent="0.2">
      <c r="E344" s="52"/>
      <c r="H344" s="61"/>
      <c r="K344"/>
    </row>
    <row r="345" spans="5:11" ht="13.5" customHeight="1" x14ac:dyDescent="0.2">
      <c r="E345" s="52"/>
      <c r="H345" s="61"/>
      <c r="K345"/>
    </row>
    <row r="346" spans="5:11" ht="13.5" customHeight="1" x14ac:dyDescent="0.2">
      <c r="E346" s="52"/>
      <c r="H346" s="61"/>
      <c r="K346"/>
    </row>
    <row r="347" spans="5:11" ht="13.5" customHeight="1" x14ac:dyDescent="0.2">
      <c r="E347" s="52"/>
      <c r="H347" s="61"/>
      <c r="K347"/>
    </row>
    <row r="348" spans="5:11" ht="13.5" customHeight="1" x14ac:dyDescent="0.2">
      <c r="E348" s="52"/>
      <c r="H348" s="61"/>
      <c r="K348"/>
    </row>
    <row r="349" spans="5:11" ht="13.5" customHeight="1" x14ac:dyDescent="0.2">
      <c r="E349" s="52"/>
      <c r="H349" s="61"/>
      <c r="K349"/>
    </row>
    <row r="350" spans="5:11" ht="13.5" customHeight="1" x14ac:dyDescent="0.2">
      <c r="E350" s="52"/>
      <c r="H350" s="61"/>
      <c r="K350"/>
    </row>
    <row r="351" spans="5:11" ht="14.25" customHeight="1" x14ac:dyDescent="0.2">
      <c r="E351" s="52"/>
      <c r="H351" s="61"/>
      <c r="K351"/>
    </row>
    <row r="352" spans="5:11" ht="14.25" customHeight="1" x14ac:dyDescent="0.2">
      <c r="E352" s="52"/>
      <c r="H352" s="61"/>
      <c r="K352"/>
    </row>
    <row r="353" spans="5:11" ht="14.25" customHeight="1" x14ac:dyDescent="0.2">
      <c r="E353" s="52"/>
      <c r="H353" s="61"/>
      <c r="K353"/>
    </row>
    <row r="354" spans="5:11" ht="14.25" customHeight="1" x14ac:dyDescent="0.2">
      <c r="E354" s="52"/>
      <c r="H354" s="61"/>
      <c r="K354"/>
    </row>
    <row r="355" spans="5:11" ht="14.25" customHeight="1" x14ac:dyDescent="0.2">
      <c r="E355" s="52"/>
      <c r="H355" s="61"/>
      <c r="K355"/>
    </row>
    <row r="356" spans="5:11" ht="14.25" customHeight="1" x14ac:dyDescent="0.2">
      <c r="E356" s="52"/>
      <c r="H356" s="61"/>
      <c r="K356"/>
    </row>
    <row r="357" spans="5:11" ht="14.25" customHeight="1" x14ac:dyDescent="0.2">
      <c r="E357" s="52"/>
      <c r="H357" s="61"/>
      <c r="K357"/>
    </row>
    <row r="358" spans="5:11" ht="14.25" customHeight="1" x14ac:dyDescent="0.2">
      <c r="E358" s="52"/>
      <c r="H358" s="61"/>
      <c r="K358"/>
    </row>
    <row r="359" spans="5:11" ht="14.25" customHeight="1" x14ac:dyDescent="0.2">
      <c r="E359" s="52"/>
      <c r="H359" s="61"/>
      <c r="K359"/>
    </row>
    <row r="360" spans="5:11" ht="14.25" customHeight="1" x14ac:dyDescent="0.2">
      <c r="E360" s="52"/>
      <c r="H360" s="61"/>
      <c r="K360"/>
    </row>
    <row r="361" spans="5:11" ht="14.25" customHeight="1" x14ac:dyDescent="0.2">
      <c r="E361" s="52"/>
      <c r="H361" s="61"/>
      <c r="K361"/>
    </row>
    <row r="362" spans="5:11" ht="14.25" customHeight="1" x14ac:dyDescent="0.2">
      <c r="E362" s="52"/>
      <c r="H362" s="61"/>
      <c r="K362"/>
    </row>
    <row r="363" spans="5:11" ht="14.25" customHeight="1" x14ac:dyDescent="0.2">
      <c r="E363" s="52"/>
      <c r="H363" s="61"/>
      <c r="K363"/>
    </row>
    <row r="364" spans="5:11" ht="14.25" customHeight="1" x14ac:dyDescent="0.2">
      <c r="E364" s="52"/>
      <c r="H364" s="61"/>
      <c r="K364"/>
    </row>
    <row r="365" spans="5:11" ht="14.25" customHeight="1" x14ac:dyDescent="0.2">
      <c r="E365" s="52"/>
      <c r="H365" s="61"/>
      <c r="K365"/>
    </row>
    <row r="366" spans="5:11" ht="14.25" customHeight="1" x14ac:dyDescent="0.2">
      <c r="E366" s="52"/>
      <c r="H366" s="61"/>
      <c r="K366"/>
    </row>
    <row r="367" spans="5:11" ht="14.25" customHeight="1" x14ac:dyDescent="0.2">
      <c r="E367" s="52"/>
      <c r="H367" s="61"/>
      <c r="K367"/>
    </row>
    <row r="368" spans="5:11" ht="14.25" customHeight="1" x14ac:dyDescent="0.2">
      <c r="E368" s="52"/>
      <c r="H368" s="61"/>
      <c r="K368"/>
    </row>
    <row r="369" spans="5:11" ht="14.25" customHeight="1" x14ac:dyDescent="0.2">
      <c r="E369" s="52"/>
      <c r="H369" s="61"/>
      <c r="K369"/>
    </row>
    <row r="370" spans="5:11" ht="14.25" customHeight="1" x14ac:dyDescent="0.2">
      <c r="E370" s="52"/>
      <c r="H370" s="61"/>
      <c r="K370"/>
    </row>
    <row r="371" spans="5:11" ht="14.25" customHeight="1" x14ac:dyDescent="0.2">
      <c r="E371" s="52"/>
      <c r="H371" s="61"/>
      <c r="K371"/>
    </row>
    <row r="372" spans="5:11" ht="14.25" customHeight="1" x14ac:dyDescent="0.2">
      <c r="E372" s="52"/>
      <c r="H372" s="61"/>
      <c r="K372"/>
    </row>
    <row r="373" spans="5:11" ht="14.25" customHeight="1" x14ac:dyDescent="0.2">
      <c r="E373" s="52"/>
      <c r="H373" s="61"/>
      <c r="K373"/>
    </row>
    <row r="374" spans="5:11" ht="14.25" customHeight="1" x14ac:dyDescent="0.2">
      <c r="E374" s="52"/>
      <c r="H374" s="61"/>
      <c r="K374"/>
    </row>
    <row r="375" spans="5:11" ht="14.25" customHeight="1" x14ac:dyDescent="0.2">
      <c r="E375" s="52"/>
      <c r="H375" s="61"/>
      <c r="K375"/>
    </row>
    <row r="376" spans="5:11" ht="14.25" customHeight="1" x14ac:dyDescent="0.2">
      <c r="E376" s="52"/>
      <c r="H376" s="61"/>
      <c r="K376"/>
    </row>
    <row r="377" spans="5:11" ht="14.25" customHeight="1" x14ac:dyDescent="0.2">
      <c r="E377" s="52"/>
      <c r="H377" s="61"/>
      <c r="K377"/>
    </row>
    <row r="378" spans="5:11" ht="14.25" customHeight="1" x14ac:dyDescent="0.2">
      <c r="E378" s="52"/>
      <c r="H378" s="61"/>
      <c r="K378"/>
    </row>
    <row r="379" spans="5:11" ht="14.25" customHeight="1" x14ac:dyDescent="0.2">
      <c r="E379" s="52"/>
      <c r="H379" s="61"/>
      <c r="K379"/>
    </row>
    <row r="380" spans="5:11" ht="14.25" customHeight="1" x14ac:dyDescent="0.2">
      <c r="E380" s="52"/>
      <c r="H380" s="61"/>
      <c r="K380"/>
    </row>
    <row r="381" spans="5:11" ht="14.25" customHeight="1" x14ac:dyDescent="0.2">
      <c r="E381" s="52"/>
      <c r="H381" s="61"/>
      <c r="K381"/>
    </row>
    <row r="382" spans="5:11" ht="14.25" customHeight="1" x14ac:dyDescent="0.2">
      <c r="E382" s="52"/>
      <c r="H382" s="61"/>
      <c r="K382"/>
    </row>
    <row r="383" spans="5:11" ht="14.25" customHeight="1" x14ac:dyDescent="0.2">
      <c r="E383" s="52"/>
      <c r="H383" s="61"/>
      <c r="K383"/>
    </row>
    <row r="384" spans="5:11" ht="14.25" customHeight="1" x14ac:dyDescent="0.2">
      <c r="E384" s="52"/>
      <c r="H384" s="61"/>
      <c r="K384"/>
    </row>
    <row r="385" spans="5:11" ht="14.25" customHeight="1" x14ac:dyDescent="0.2">
      <c r="E385" s="52"/>
      <c r="H385" s="61"/>
      <c r="K385"/>
    </row>
    <row r="386" spans="5:11" ht="14.25" customHeight="1" x14ac:dyDescent="0.2">
      <c r="E386" s="52"/>
      <c r="H386" s="61"/>
      <c r="K386"/>
    </row>
    <row r="387" spans="5:11" ht="14.25" customHeight="1" x14ac:dyDescent="0.2">
      <c r="E387" s="52"/>
      <c r="H387" s="61"/>
      <c r="K387"/>
    </row>
    <row r="388" spans="5:11" ht="14.25" customHeight="1" x14ac:dyDescent="0.2">
      <c r="E388" s="52"/>
      <c r="H388" s="61"/>
      <c r="K388"/>
    </row>
    <row r="389" spans="5:11" ht="14.25" customHeight="1" x14ac:dyDescent="0.2">
      <c r="E389" s="52"/>
      <c r="H389" s="61"/>
      <c r="K389"/>
    </row>
    <row r="390" spans="5:11" ht="14.25" customHeight="1" x14ac:dyDescent="0.2">
      <c r="E390" s="52"/>
      <c r="H390" s="61"/>
      <c r="K390"/>
    </row>
    <row r="391" spans="5:11" ht="14.25" customHeight="1" x14ac:dyDescent="0.2">
      <c r="E391" s="52"/>
      <c r="H391" s="61"/>
      <c r="K391"/>
    </row>
    <row r="392" spans="5:11" ht="14.25" customHeight="1" x14ac:dyDescent="0.2">
      <c r="E392" s="52"/>
      <c r="H392" s="61"/>
      <c r="K392"/>
    </row>
    <row r="393" spans="5:11" ht="14.25" customHeight="1" x14ac:dyDescent="0.2">
      <c r="E393" s="52"/>
      <c r="H393" s="61"/>
      <c r="K393"/>
    </row>
    <row r="394" spans="5:11" ht="14.25" customHeight="1" x14ac:dyDescent="0.2">
      <c r="E394" s="52"/>
      <c r="H394" s="61"/>
      <c r="K394"/>
    </row>
    <row r="395" spans="5:11" ht="14.25" customHeight="1" x14ac:dyDescent="0.2">
      <c r="E395" s="52"/>
      <c r="H395" s="61"/>
      <c r="K395"/>
    </row>
    <row r="396" spans="5:11" ht="14.25" customHeight="1" x14ac:dyDescent="0.2">
      <c r="E396" s="52"/>
      <c r="H396" s="61"/>
      <c r="K396"/>
    </row>
    <row r="397" spans="5:11" ht="14.25" customHeight="1" x14ac:dyDescent="0.2">
      <c r="E397" s="52"/>
      <c r="H397" s="61"/>
      <c r="K397"/>
    </row>
    <row r="398" spans="5:11" ht="14.25" customHeight="1" x14ac:dyDescent="0.2">
      <c r="E398" s="52"/>
      <c r="H398" s="61"/>
      <c r="K398"/>
    </row>
    <row r="399" spans="5:11" ht="14.25" customHeight="1" x14ac:dyDescent="0.2">
      <c r="E399" s="52"/>
      <c r="H399" s="61"/>
      <c r="K399"/>
    </row>
    <row r="400" spans="5:11" ht="14.25" customHeight="1" x14ac:dyDescent="0.2">
      <c r="E400" s="52"/>
      <c r="H400" s="61"/>
      <c r="K400"/>
    </row>
    <row r="401" spans="5:11" ht="14.25" customHeight="1" x14ac:dyDescent="0.2">
      <c r="E401" s="52"/>
      <c r="H401" s="61"/>
      <c r="K401"/>
    </row>
    <row r="402" spans="5:11" ht="14.25" customHeight="1" x14ac:dyDescent="0.2">
      <c r="E402" s="52"/>
      <c r="H402" s="61"/>
      <c r="K402"/>
    </row>
    <row r="403" spans="5:11" ht="14.25" customHeight="1" x14ac:dyDescent="0.2">
      <c r="E403" s="52"/>
      <c r="H403" s="61"/>
      <c r="K403"/>
    </row>
    <row r="404" spans="5:11" ht="14.25" customHeight="1" x14ac:dyDescent="0.2">
      <c r="E404" s="52"/>
      <c r="H404" s="61"/>
      <c r="K404"/>
    </row>
    <row r="405" spans="5:11" ht="14.25" customHeight="1" x14ac:dyDescent="0.2">
      <c r="E405" s="52"/>
      <c r="H405" s="61"/>
      <c r="K405"/>
    </row>
    <row r="406" spans="5:11" ht="14.25" customHeight="1" x14ac:dyDescent="0.2">
      <c r="E406" s="52"/>
      <c r="H406" s="61"/>
      <c r="K406"/>
    </row>
    <row r="407" spans="5:11" ht="14.25" customHeight="1" x14ac:dyDescent="0.2">
      <c r="E407" s="52"/>
      <c r="H407" s="61"/>
      <c r="K407"/>
    </row>
    <row r="408" spans="5:11" ht="14.25" customHeight="1" x14ac:dyDescent="0.2">
      <c r="E408" s="52"/>
      <c r="H408" s="61"/>
      <c r="K408"/>
    </row>
    <row r="409" spans="5:11" ht="14.25" customHeight="1" x14ac:dyDescent="0.2">
      <c r="E409" s="52"/>
      <c r="H409" s="61"/>
      <c r="K409"/>
    </row>
    <row r="410" spans="5:11" ht="14.25" customHeight="1" x14ac:dyDescent="0.2">
      <c r="E410" s="52"/>
      <c r="H410" s="61"/>
      <c r="K410"/>
    </row>
    <row r="411" spans="5:11" ht="14.25" customHeight="1" x14ac:dyDescent="0.2">
      <c r="E411" s="52"/>
      <c r="H411" s="61"/>
      <c r="K411"/>
    </row>
    <row r="412" spans="5:11" ht="14.25" customHeight="1" x14ac:dyDescent="0.2">
      <c r="E412" s="52"/>
      <c r="H412" s="61"/>
      <c r="K412"/>
    </row>
    <row r="413" spans="5:11" ht="14.25" customHeight="1" x14ac:dyDescent="0.2">
      <c r="E413" s="52"/>
      <c r="H413" s="61"/>
      <c r="K413"/>
    </row>
    <row r="414" spans="5:11" ht="14.25" customHeight="1" x14ac:dyDescent="0.2">
      <c r="E414" s="52"/>
      <c r="H414" s="61"/>
      <c r="K414"/>
    </row>
    <row r="415" spans="5:11" ht="14.25" customHeight="1" x14ac:dyDescent="0.2">
      <c r="E415" s="52"/>
      <c r="H415" s="61"/>
      <c r="K415"/>
    </row>
    <row r="416" spans="5:11" ht="14.25" customHeight="1" x14ac:dyDescent="0.2">
      <c r="E416" s="52"/>
      <c r="H416" s="61"/>
      <c r="K416"/>
    </row>
    <row r="417" spans="5:11" ht="14.25" customHeight="1" x14ac:dyDescent="0.2">
      <c r="E417" s="52"/>
      <c r="H417" s="61"/>
      <c r="K417"/>
    </row>
    <row r="418" spans="5:11" ht="14.25" customHeight="1" x14ac:dyDescent="0.2">
      <c r="E418" s="52"/>
      <c r="H418" s="61"/>
      <c r="K418"/>
    </row>
    <row r="419" spans="5:11" ht="14.25" customHeight="1" x14ac:dyDescent="0.2">
      <c r="E419" s="52"/>
      <c r="H419" s="61"/>
      <c r="K419"/>
    </row>
    <row r="420" spans="5:11" ht="14.25" customHeight="1" x14ac:dyDescent="0.2">
      <c r="E420" s="52"/>
      <c r="H420" s="61"/>
      <c r="K420"/>
    </row>
    <row r="421" spans="5:11" ht="14.25" customHeight="1" x14ac:dyDescent="0.2">
      <c r="E421" s="52"/>
      <c r="H421" s="61"/>
      <c r="K421"/>
    </row>
    <row r="422" spans="5:11" ht="14.25" customHeight="1" x14ac:dyDescent="0.2">
      <c r="E422" s="52"/>
      <c r="H422" s="61"/>
      <c r="K422"/>
    </row>
    <row r="423" spans="5:11" ht="14.25" customHeight="1" x14ac:dyDescent="0.2">
      <c r="E423" s="52"/>
      <c r="H423" s="61"/>
      <c r="K423"/>
    </row>
    <row r="424" spans="5:11" ht="14.25" customHeight="1" x14ac:dyDescent="0.2">
      <c r="E424" s="52"/>
      <c r="H424" s="61"/>
      <c r="K424"/>
    </row>
    <row r="425" spans="5:11" ht="14.25" customHeight="1" x14ac:dyDescent="0.2">
      <c r="E425" s="52"/>
      <c r="H425" s="61"/>
      <c r="K425"/>
    </row>
    <row r="426" spans="5:11" ht="14.25" customHeight="1" x14ac:dyDescent="0.2">
      <c r="E426" s="52"/>
      <c r="H426" s="61"/>
      <c r="K426"/>
    </row>
    <row r="427" spans="5:11" ht="14.25" customHeight="1" x14ac:dyDescent="0.2">
      <c r="E427" s="52"/>
      <c r="H427" s="61"/>
      <c r="K427"/>
    </row>
    <row r="428" spans="5:11" ht="14.25" customHeight="1" x14ac:dyDescent="0.2">
      <c r="E428" s="52"/>
      <c r="H428" s="61"/>
      <c r="K428"/>
    </row>
    <row r="429" spans="5:11" ht="14.25" customHeight="1" x14ac:dyDescent="0.2">
      <c r="E429" s="52"/>
      <c r="H429" s="61"/>
      <c r="K429"/>
    </row>
    <row r="430" spans="5:11" ht="14.25" customHeight="1" x14ac:dyDescent="0.2">
      <c r="E430" s="52"/>
      <c r="H430" s="61"/>
      <c r="K430"/>
    </row>
    <row r="431" spans="5:11" ht="14.25" customHeight="1" x14ac:dyDescent="0.2">
      <c r="E431" s="52"/>
      <c r="H431" s="61"/>
      <c r="K431"/>
    </row>
    <row r="432" spans="5:11" ht="14.25" customHeight="1" x14ac:dyDescent="0.2">
      <c r="E432" s="52"/>
      <c r="H432" s="61"/>
      <c r="K432"/>
    </row>
    <row r="433" spans="5:11" ht="14.25" customHeight="1" x14ac:dyDescent="0.2">
      <c r="E433" s="52"/>
      <c r="H433" s="61"/>
      <c r="K433"/>
    </row>
    <row r="434" spans="5:11" ht="14.25" customHeight="1" x14ac:dyDescent="0.2">
      <c r="E434" s="52"/>
      <c r="H434" s="61"/>
      <c r="K434"/>
    </row>
    <row r="435" spans="5:11" ht="14.25" customHeight="1" x14ac:dyDescent="0.2">
      <c r="E435" s="52"/>
      <c r="H435" s="61"/>
      <c r="K435"/>
    </row>
    <row r="436" spans="5:11" ht="14.25" customHeight="1" x14ac:dyDescent="0.2">
      <c r="E436" s="52"/>
      <c r="H436" s="61"/>
      <c r="K436"/>
    </row>
    <row r="437" spans="5:11" ht="14.25" customHeight="1" x14ac:dyDescent="0.2">
      <c r="E437" s="52"/>
      <c r="H437" s="61"/>
      <c r="K437"/>
    </row>
    <row r="438" spans="5:11" ht="14.25" customHeight="1" x14ac:dyDescent="0.2">
      <c r="E438" s="52"/>
      <c r="H438" s="61"/>
      <c r="K438"/>
    </row>
    <row r="439" spans="5:11" ht="14.25" customHeight="1" x14ac:dyDescent="0.2">
      <c r="E439" s="52"/>
      <c r="H439" s="61"/>
      <c r="K439"/>
    </row>
    <row r="440" spans="5:11" ht="14.25" customHeight="1" x14ac:dyDescent="0.2">
      <c r="E440" s="52"/>
      <c r="H440" s="61"/>
      <c r="K440"/>
    </row>
    <row r="441" spans="5:11" ht="14.25" customHeight="1" x14ac:dyDescent="0.2">
      <c r="E441" s="52"/>
      <c r="H441" s="61"/>
      <c r="K441"/>
    </row>
    <row r="442" spans="5:11" ht="14.25" customHeight="1" x14ac:dyDescent="0.2">
      <c r="E442" s="52"/>
      <c r="H442" s="61"/>
      <c r="K442"/>
    </row>
    <row r="443" spans="5:11" ht="14.25" customHeight="1" x14ac:dyDescent="0.2">
      <c r="E443" s="52"/>
      <c r="H443" s="61"/>
      <c r="K443"/>
    </row>
    <row r="444" spans="5:11" ht="14.25" customHeight="1" x14ac:dyDescent="0.2">
      <c r="E444" s="52"/>
      <c r="H444" s="61"/>
      <c r="K444"/>
    </row>
    <row r="445" spans="5:11" ht="14.25" customHeight="1" x14ac:dyDescent="0.2">
      <c r="E445" s="52"/>
      <c r="H445" s="61"/>
      <c r="K445"/>
    </row>
    <row r="446" spans="5:11" ht="14.25" customHeight="1" x14ac:dyDescent="0.2">
      <c r="E446" s="52"/>
      <c r="H446" s="61"/>
      <c r="K446"/>
    </row>
    <row r="447" spans="5:11" ht="14.25" customHeight="1" x14ac:dyDescent="0.2">
      <c r="E447" s="52"/>
      <c r="H447" s="61"/>
      <c r="K447"/>
    </row>
    <row r="448" spans="5:11" ht="14.25" customHeight="1" x14ac:dyDescent="0.2">
      <c r="E448" s="52"/>
      <c r="H448" s="61"/>
      <c r="K448"/>
    </row>
    <row r="449" spans="5:11" ht="14.25" customHeight="1" x14ac:dyDescent="0.2">
      <c r="E449" s="52"/>
      <c r="H449" s="61"/>
      <c r="K449"/>
    </row>
    <row r="450" spans="5:11" ht="14.25" customHeight="1" x14ac:dyDescent="0.2">
      <c r="E450" s="52"/>
      <c r="H450" s="61"/>
      <c r="K450"/>
    </row>
    <row r="451" spans="5:11" ht="14.25" customHeight="1" x14ac:dyDescent="0.2">
      <c r="E451" s="52"/>
      <c r="H451" s="61"/>
      <c r="K451"/>
    </row>
    <row r="452" spans="5:11" ht="14.25" customHeight="1" x14ac:dyDescent="0.2">
      <c r="E452" s="52"/>
      <c r="H452" s="61"/>
      <c r="K452"/>
    </row>
    <row r="453" spans="5:11" ht="14.25" customHeight="1" x14ac:dyDescent="0.2">
      <c r="E453" s="52"/>
      <c r="H453" s="61"/>
      <c r="K453"/>
    </row>
    <row r="454" spans="5:11" ht="14.25" customHeight="1" x14ac:dyDescent="0.2">
      <c r="E454" s="52"/>
      <c r="H454" s="61"/>
      <c r="K454"/>
    </row>
    <row r="455" spans="5:11" ht="14.25" customHeight="1" x14ac:dyDescent="0.2">
      <c r="E455" s="52"/>
      <c r="H455" s="61"/>
      <c r="K455"/>
    </row>
    <row r="456" spans="5:11" ht="14.25" customHeight="1" x14ac:dyDescent="0.2">
      <c r="E456" s="52"/>
      <c r="H456" s="61"/>
      <c r="K456"/>
    </row>
    <row r="457" spans="5:11" ht="14.25" customHeight="1" x14ac:dyDescent="0.2">
      <c r="E457" s="52"/>
      <c r="H457" s="61"/>
      <c r="K457"/>
    </row>
    <row r="458" spans="5:11" ht="14.25" customHeight="1" x14ac:dyDescent="0.2">
      <c r="E458" s="52"/>
      <c r="H458" s="61"/>
      <c r="K458"/>
    </row>
    <row r="459" spans="5:11" ht="14.25" customHeight="1" x14ac:dyDescent="0.2">
      <c r="E459" s="52"/>
      <c r="H459" s="61"/>
      <c r="K459"/>
    </row>
    <row r="460" spans="5:11" ht="14.25" customHeight="1" x14ac:dyDescent="0.2">
      <c r="E460" s="52"/>
      <c r="H460" s="61"/>
      <c r="K460"/>
    </row>
    <row r="461" spans="5:11" ht="14.25" customHeight="1" x14ac:dyDescent="0.2">
      <c r="E461" s="52"/>
      <c r="H461" s="61"/>
      <c r="K461"/>
    </row>
    <row r="462" spans="5:11" ht="14.25" customHeight="1" x14ac:dyDescent="0.2">
      <c r="E462" s="52"/>
      <c r="H462" s="61"/>
      <c r="K462"/>
    </row>
    <row r="463" spans="5:11" ht="14.25" customHeight="1" x14ac:dyDescent="0.2">
      <c r="E463" s="52"/>
      <c r="H463" s="61"/>
      <c r="K463"/>
    </row>
    <row r="464" spans="5:11" ht="14.25" customHeight="1" x14ac:dyDescent="0.2">
      <c r="E464" s="52"/>
      <c r="H464" s="61"/>
      <c r="K464"/>
    </row>
    <row r="465" spans="5:11" ht="14.25" customHeight="1" x14ac:dyDescent="0.2">
      <c r="E465" s="52"/>
      <c r="H465" s="61"/>
      <c r="K465"/>
    </row>
    <row r="466" spans="5:11" ht="14.25" customHeight="1" x14ac:dyDescent="0.2">
      <c r="E466" s="52"/>
      <c r="H466" s="61"/>
      <c r="K466"/>
    </row>
    <row r="467" spans="5:11" ht="14.25" customHeight="1" x14ac:dyDescent="0.2">
      <c r="E467" s="52"/>
      <c r="H467" s="61"/>
      <c r="K467"/>
    </row>
    <row r="468" spans="5:11" ht="14.25" customHeight="1" x14ac:dyDescent="0.2">
      <c r="E468" s="52"/>
      <c r="H468" s="61"/>
      <c r="K468"/>
    </row>
    <row r="469" spans="5:11" ht="14.25" customHeight="1" x14ac:dyDescent="0.2">
      <c r="E469" s="52"/>
      <c r="H469" s="61"/>
      <c r="K469"/>
    </row>
    <row r="470" spans="5:11" ht="14.25" customHeight="1" x14ac:dyDescent="0.2">
      <c r="E470" s="52"/>
      <c r="H470" s="61"/>
      <c r="K470"/>
    </row>
    <row r="471" spans="5:11" ht="14.25" customHeight="1" x14ac:dyDescent="0.2">
      <c r="E471" s="52"/>
      <c r="H471" s="61"/>
      <c r="K471"/>
    </row>
    <row r="472" spans="5:11" ht="14.25" customHeight="1" x14ac:dyDescent="0.2">
      <c r="E472" s="52"/>
      <c r="H472" s="61"/>
      <c r="K472"/>
    </row>
    <row r="473" spans="5:11" ht="14.25" customHeight="1" x14ac:dyDescent="0.2">
      <c r="E473" s="52"/>
      <c r="H473" s="61"/>
      <c r="K473"/>
    </row>
    <row r="474" spans="5:11" ht="14.25" customHeight="1" x14ac:dyDescent="0.2">
      <c r="E474" s="52"/>
      <c r="H474" s="61"/>
      <c r="K474"/>
    </row>
    <row r="475" spans="5:11" ht="14.25" customHeight="1" x14ac:dyDescent="0.2">
      <c r="E475" s="52"/>
      <c r="H475" s="61"/>
      <c r="K475"/>
    </row>
    <row r="476" spans="5:11" ht="14.25" customHeight="1" x14ac:dyDescent="0.2">
      <c r="E476" s="52"/>
      <c r="H476" s="61"/>
      <c r="K476"/>
    </row>
    <row r="477" spans="5:11" ht="14.25" customHeight="1" x14ac:dyDescent="0.2">
      <c r="E477" s="52"/>
      <c r="H477" s="61"/>
      <c r="K477"/>
    </row>
    <row r="478" spans="5:11" ht="14.25" customHeight="1" x14ac:dyDescent="0.2">
      <c r="E478" s="52"/>
      <c r="H478" s="61"/>
      <c r="K478"/>
    </row>
    <row r="479" spans="5:11" ht="14.25" customHeight="1" x14ac:dyDescent="0.2">
      <c r="E479" s="52"/>
      <c r="H479" s="61"/>
      <c r="K479"/>
    </row>
    <row r="480" spans="5:11" ht="14.25" customHeight="1" x14ac:dyDescent="0.2">
      <c r="E480" s="52"/>
      <c r="H480" s="61"/>
      <c r="K480"/>
    </row>
    <row r="481" spans="5:11" ht="14.25" customHeight="1" x14ac:dyDescent="0.2">
      <c r="E481" s="52"/>
      <c r="H481" s="61"/>
      <c r="K481"/>
    </row>
    <row r="482" spans="5:11" ht="14.25" customHeight="1" x14ac:dyDescent="0.2">
      <c r="E482" s="52"/>
      <c r="H482" s="61"/>
      <c r="K482"/>
    </row>
    <row r="483" spans="5:11" ht="14.25" customHeight="1" x14ac:dyDescent="0.2">
      <c r="E483" s="52"/>
      <c r="F483" s="41"/>
      <c r="H483" s="61"/>
      <c r="K483"/>
    </row>
    <row r="484" spans="5:11" ht="14.25" customHeight="1" x14ac:dyDescent="0.2">
      <c r="E484" s="52"/>
      <c r="F484" s="41"/>
      <c r="H484" s="61"/>
      <c r="K484"/>
    </row>
    <row r="485" spans="5:11" ht="14.25" customHeight="1" x14ac:dyDescent="0.2">
      <c r="E485" s="52"/>
      <c r="F485" s="41"/>
      <c r="H485" s="61"/>
      <c r="K485"/>
    </row>
    <row r="486" spans="5:11" ht="14.25" customHeight="1" x14ac:dyDescent="0.2">
      <c r="E486" s="52"/>
      <c r="F486" s="41"/>
      <c r="H486" s="61"/>
      <c r="K486"/>
    </row>
    <row r="487" spans="5:11" ht="14.25" customHeight="1" x14ac:dyDescent="0.2">
      <c r="E487" s="52"/>
      <c r="F487" s="41"/>
      <c r="H487" s="61"/>
      <c r="K487"/>
    </row>
    <row r="488" spans="5:11" ht="14.25" customHeight="1" x14ac:dyDescent="0.2">
      <c r="E488" s="52"/>
      <c r="F488" s="41"/>
      <c r="H488" s="61"/>
      <c r="K488"/>
    </row>
    <row r="489" spans="5:11" ht="14.25" customHeight="1" x14ac:dyDescent="0.2">
      <c r="E489" s="52"/>
      <c r="F489" s="41"/>
      <c r="H489" s="61"/>
      <c r="K489"/>
    </row>
    <row r="490" spans="5:11" ht="14.25" customHeight="1" x14ac:dyDescent="0.2">
      <c r="E490" s="52"/>
      <c r="F490" s="41"/>
      <c r="H490" s="61"/>
      <c r="K490"/>
    </row>
    <row r="491" spans="5:11" ht="14.25" customHeight="1" x14ac:dyDescent="0.2">
      <c r="E491" s="52"/>
      <c r="F491" s="41"/>
      <c r="H491" s="61"/>
      <c r="K491"/>
    </row>
    <row r="492" spans="5:11" ht="14.25" customHeight="1" x14ac:dyDescent="0.2">
      <c r="E492" s="52"/>
      <c r="F492" s="41"/>
      <c r="H492" s="61"/>
      <c r="K492"/>
    </row>
    <row r="493" spans="5:11" ht="14.25" customHeight="1" x14ac:dyDescent="0.2">
      <c r="E493" s="52"/>
      <c r="F493" s="41"/>
      <c r="H493" s="61"/>
      <c r="K493"/>
    </row>
    <row r="494" spans="5:11" ht="14.25" customHeight="1" x14ac:dyDescent="0.2">
      <c r="E494" s="52"/>
      <c r="F494" s="41"/>
      <c r="H494" s="61"/>
      <c r="K494"/>
    </row>
    <row r="495" spans="5:11" ht="13.5" customHeight="1" x14ac:dyDescent="0.2">
      <c r="E495" s="52"/>
      <c r="F495" s="41"/>
      <c r="H495" s="61"/>
      <c r="K495"/>
    </row>
    <row r="496" spans="5:11" ht="13.5" customHeight="1" x14ac:dyDescent="0.2">
      <c r="E496" s="52"/>
      <c r="F496" s="41"/>
      <c r="H496" s="61"/>
      <c r="K496"/>
    </row>
    <row r="497" spans="5:11" ht="13.5" customHeight="1" x14ac:dyDescent="0.2">
      <c r="E497" s="52"/>
      <c r="F497" s="41"/>
      <c r="H497" s="61"/>
      <c r="K497"/>
    </row>
    <row r="498" spans="5:11" ht="13.5" customHeight="1" x14ac:dyDescent="0.2">
      <c r="E498" s="52"/>
      <c r="F498" s="41"/>
      <c r="H498" s="61"/>
      <c r="K498"/>
    </row>
    <row r="499" spans="5:11" ht="13.5" customHeight="1" x14ac:dyDescent="0.2">
      <c r="E499" s="52"/>
      <c r="F499" s="41"/>
      <c r="H499" s="61"/>
      <c r="K499"/>
    </row>
    <row r="500" spans="5:11" ht="13.5" customHeight="1" x14ac:dyDescent="0.2">
      <c r="E500" s="52"/>
      <c r="F500" s="41"/>
      <c r="H500" s="61"/>
      <c r="K500"/>
    </row>
    <row r="501" spans="5:11" ht="13.5" customHeight="1" x14ac:dyDescent="0.2">
      <c r="E501" s="52"/>
      <c r="F501" s="41"/>
      <c r="H501" s="61"/>
      <c r="K501"/>
    </row>
    <row r="502" spans="5:11" ht="13.5" customHeight="1" x14ac:dyDescent="0.2">
      <c r="E502" s="52"/>
      <c r="F502" s="41"/>
      <c r="H502" s="61"/>
      <c r="K502"/>
    </row>
    <row r="503" spans="5:11" ht="13.5" customHeight="1" x14ac:dyDescent="0.2">
      <c r="E503" s="52"/>
      <c r="F503" s="41"/>
      <c r="H503" s="61"/>
      <c r="K503"/>
    </row>
    <row r="504" spans="5:11" ht="13.5" customHeight="1" x14ac:dyDescent="0.2">
      <c r="E504" s="52"/>
      <c r="F504" s="41"/>
      <c r="H504" s="61"/>
      <c r="K504"/>
    </row>
    <row r="505" spans="5:11" ht="13.5" customHeight="1" x14ac:dyDescent="0.2">
      <c r="E505" s="52"/>
      <c r="F505" s="41"/>
      <c r="H505" s="61"/>
      <c r="K505"/>
    </row>
    <row r="506" spans="5:11" ht="13.5" customHeight="1" x14ac:dyDescent="0.2">
      <c r="E506" s="52"/>
      <c r="F506" s="41"/>
      <c r="H506" s="61"/>
      <c r="K506"/>
    </row>
    <row r="507" spans="5:11" ht="13.5" customHeight="1" x14ac:dyDescent="0.2">
      <c r="E507" s="52"/>
      <c r="F507" s="41"/>
      <c r="H507" s="61"/>
      <c r="K507"/>
    </row>
    <row r="508" spans="5:11" ht="13.5" customHeight="1" x14ac:dyDescent="0.2">
      <c r="E508" s="52"/>
      <c r="F508" s="41"/>
      <c r="H508" s="61"/>
      <c r="K508"/>
    </row>
    <row r="509" spans="5:11" ht="13.5" customHeight="1" x14ac:dyDescent="0.2">
      <c r="E509" s="52"/>
      <c r="F509" s="41"/>
      <c r="H509" s="61"/>
      <c r="K509"/>
    </row>
    <row r="510" spans="5:11" ht="13.5" customHeight="1" x14ac:dyDescent="0.2">
      <c r="E510" s="52"/>
      <c r="F510" s="41"/>
      <c r="H510" s="61"/>
      <c r="K510"/>
    </row>
    <row r="511" spans="5:11" ht="13.5" customHeight="1" x14ac:dyDescent="0.2">
      <c r="E511" s="52"/>
      <c r="F511" s="41"/>
      <c r="H511" s="61"/>
      <c r="K511"/>
    </row>
    <row r="512" spans="5:11" ht="13.5" customHeight="1" x14ac:dyDescent="0.2">
      <c r="E512" s="52"/>
      <c r="F512" s="41"/>
      <c r="H512" s="61"/>
      <c r="K512"/>
    </row>
    <row r="513" spans="5:11" ht="13.5" customHeight="1" x14ac:dyDescent="0.2">
      <c r="E513" s="52"/>
      <c r="F513" s="41"/>
      <c r="H513" s="61"/>
      <c r="K513"/>
    </row>
    <row r="514" spans="5:11" ht="13.5" customHeight="1" x14ac:dyDescent="0.2">
      <c r="E514" s="52"/>
      <c r="F514" s="41"/>
      <c r="H514" s="61"/>
      <c r="K514"/>
    </row>
    <row r="515" spans="5:11" ht="13.5" customHeight="1" x14ac:dyDescent="0.2">
      <c r="E515" s="52"/>
      <c r="F515" s="41"/>
      <c r="H515" s="61"/>
      <c r="K515"/>
    </row>
    <row r="516" spans="5:11" ht="13.5" customHeight="1" x14ac:dyDescent="0.2">
      <c r="E516" s="52"/>
      <c r="F516" s="41"/>
      <c r="H516" s="61"/>
      <c r="K516"/>
    </row>
    <row r="517" spans="5:11" ht="13.5" customHeight="1" x14ac:dyDescent="0.2">
      <c r="E517" s="52"/>
      <c r="F517" s="41"/>
      <c r="H517" s="61"/>
      <c r="K517"/>
    </row>
    <row r="518" spans="5:11" ht="13.5" customHeight="1" x14ac:dyDescent="0.2">
      <c r="E518" s="52"/>
      <c r="F518" s="41"/>
      <c r="H518" s="61"/>
      <c r="K518"/>
    </row>
    <row r="519" spans="5:11" ht="13.5" customHeight="1" x14ac:dyDescent="0.2">
      <c r="E519" s="52"/>
      <c r="H519" s="61"/>
      <c r="K519"/>
    </row>
    <row r="520" spans="5:11" ht="13.5" customHeight="1" x14ac:dyDescent="0.2">
      <c r="E520" s="52"/>
      <c r="H520" s="61"/>
      <c r="K520"/>
    </row>
    <row r="521" spans="5:11" ht="13.5" customHeight="1" x14ac:dyDescent="0.2">
      <c r="E521" s="52"/>
      <c r="H521" s="61"/>
      <c r="K521"/>
    </row>
    <row r="522" spans="5:11" ht="13.5" customHeight="1" x14ac:dyDescent="0.2">
      <c r="E522" s="52"/>
      <c r="H522" s="61"/>
      <c r="K522"/>
    </row>
    <row r="523" spans="5:11" ht="13.5" customHeight="1" x14ac:dyDescent="0.2">
      <c r="E523" s="52"/>
      <c r="H523" s="61"/>
      <c r="K523"/>
    </row>
    <row r="524" spans="5:11" ht="13.5" customHeight="1" x14ac:dyDescent="0.2">
      <c r="E524" s="52"/>
      <c r="H524" s="61"/>
      <c r="K524"/>
    </row>
    <row r="525" spans="5:11" ht="13.5" customHeight="1" x14ac:dyDescent="0.2">
      <c r="E525" s="52"/>
      <c r="H525" s="61"/>
      <c r="K525"/>
    </row>
    <row r="526" spans="5:11" ht="13.5" customHeight="1" x14ac:dyDescent="0.2">
      <c r="E526" s="52"/>
      <c r="H526" s="61"/>
      <c r="K526"/>
    </row>
    <row r="527" spans="5:11" ht="13.5" customHeight="1" x14ac:dyDescent="0.2">
      <c r="E527" s="52"/>
      <c r="H527" s="61"/>
      <c r="K527"/>
    </row>
    <row r="528" spans="5:11" ht="13.5" customHeight="1" x14ac:dyDescent="0.2">
      <c r="E528" s="52"/>
      <c r="H528" s="61"/>
      <c r="K528"/>
    </row>
    <row r="529" spans="5:11" ht="13.5" customHeight="1" x14ac:dyDescent="0.2">
      <c r="E529" s="52"/>
      <c r="H529" s="61"/>
      <c r="K529"/>
    </row>
    <row r="530" spans="5:11" ht="13.5" customHeight="1" x14ac:dyDescent="0.2">
      <c r="E530" s="52"/>
      <c r="H530" s="61"/>
      <c r="K530"/>
    </row>
    <row r="531" spans="5:11" ht="13.5" customHeight="1" x14ac:dyDescent="0.2">
      <c r="E531" s="52"/>
      <c r="H531" s="61"/>
      <c r="K531"/>
    </row>
    <row r="532" spans="5:11" ht="13.5" customHeight="1" x14ac:dyDescent="0.2">
      <c r="E532" s="52"/>
      <c r="H532" s="61"/>
      <c r="K532"/>
    </row>
    <row r="533" spans="5:11" ht="13.5" customHeight="1" x14ac:dyDescent="0.2">
      <c r="E533" s="52"/>
      <c r="H533" s="61"/>
      <c r="K533"/>
    </row>
    <row r="534" spans="5:11" ht="13.5" customHeight="1" x14ac:dyDescent="0.2">
      <c r="E534" s="52"/>
      <c r="H534" s="61"/>
      <c r="K534"/>
    </row>
    <row r="535" spans="5:11" ht="13.5" customHeight="1" x14ac:dyDescent="0.2">
      <c r="E535" s="52"/>
      <c r="H535" s="61"/>
      <c r="K535"/>
    </row>
    <row r="536" spans="5:11" ht="13.5" customHeight="1" x14ac:dyDescent="0.2">
      <c r="E536" s="52"/>
      <c r="H536" s="61"/>
      <c r="K536"/>
    </row>
    <row r="537" spans="5:11" ht="13.5" customHeight="1" x14ac:dyDescent="0.2">
      <c r="E537" s="52"/>
      <c r="H537" s="61"/>
      <c r="K537"/>
    </row>
    <row r="538" spans="5:11" ht="13.5" customHeight="1" x14ac:dyDescent="0.2">
      <c r="E538" s="52"/>
      <c r="H538" s="61"/>
      <c r="K538"/>
    </row>
    <row r="539" spans="5:11" ht="13.5" customHeight="1" x14ac:dyDescent="0.2">
      <c r="E539" s="52"/>
      <c r="H539" s="61"/>
      <c r="K539"/>
    </row>
    <row r="540" spans="5:11" ht="13.5" customHeight="1" x14ac:dyDescent="0.2">
      <c r="E540" s="52"/>
      <c r="H540" s="61"/>
      <c r="K540"/>
    </row>
    <row r="541" spans="5:11" ht="13.5" customHeight="1" x14ac:dyDescent="0.2">
      <c r="E541" s="52"/>
      <c r="H541" s="61"/>
      <c r="K541"/>
    </row>
    <row r="542" spans="5:11" ht="13.5" customHeight="1" x14ac:dyDescent="0.2">
      <c r="E542" s="52"/>
      <c r="H542" s="61"/>
      <c r="K542"/>
    </row>
    <row r="543" spans="5:11" ht="13.5" customHeight="1" x14ac:dyDescent="0.2">
      <c r="E543" s="52"/>
      <c r="H543" s="61"/>
      <c r="K543"/>
    </row>
    <row r="544" spans="5:11" ht="13.5" customHeight="1" x14ac:dyDescent="0.2">
      <c r="E544" s="52"/>
      <c r="H544" s="61"/>
      <c r="K544"/>
    </row>
    <row r="545" spans="5:11" ht="13.5" customHeight="1" x14ac:dyDescent="0.2">
      <c r="E545" s="52"/>
      <c r="H545" s="61"/>
      <c r="K545"/>
    </row>
    <row r="546" spans="5:11" ht="13.5" customHeight="1" x14ac:dyDescent="0.2">
      <c r="E546" s="52"/>
      <c r="H546" s="61"/>
      <c r="K546"/>
    </row>
    <row r="547" spans="5:11" ht="13.5" customHeight="1" x14ac:dyDescent="0.2">
      <c r="E547" s="52"/>
      <c r="H547" s="61"/>
      <c r="K547"/>
    </row>
    <row r="548" spans="5:11" ht="13.5" customHeight="1" x14ac:dyDescent="0.2">
      <c r="E548" s="52"/>
      <c r="H548" s="61"/>
      <c r="K548"/>
    </row>
    <row r="549" spans="5:11" ht="13.5" customHeight="1" x14ac:dyDescent="0.2">
      <c r="E549" s="52"/>
      <c r="H549" s="61"/>
      <c r="K549"/>
    </row>
    <row r="550" spans="5:11" ht="13.5" customHeight="1" x14ac:dyDescent="0.2">
      <c r="E550" s="52"/>
      <c r="H550" s="61"/>
      <c r="K550"/>
    </row>
    <row r="551" spans="5:11" ht="13.5" customHeight="1" x14ac:dyDescent="0.2">
      <c r="E551" s="52"/>
      <c r="H551" s="61"/>
      <c r="K551"/>
    </row>
    <row r="552" spans="5:11" ht="13.5" customHeight="1" x14ac:dyDescent="0.2">
      <c r="E552" s="52"/>
      <c r="H552" s="61"/>
      <c r="K552"/>
    </row>
    <row r="553" spans="5:11" ht="13.5" customHeight="1" x14ac:dyDescent="0.2">
      <c r="E553" s="52"/>
      <c r="H553" s="61"/>
      <c r="K553"/>
    </row>
    <row r="554" spans="5:11" ht="13.5" customHeight="1" x14ac:dyDescent="0.2">
      <c r="E554" s="52"/>
      <c r="H554" s="61"/>
      <c r="K554"/>
    </row>
    <row r="555" spans="5:11" ht="13.5" customHeight="1" x14ac:dyDescent="0.2">
      <c r="E555" s="52"/>
      <c r="H555" s="61"/>
      <c r="K555"/>
    </row>
    <row r="556" spans="5:11" ht="13.5" customHeight="1" x14ac:dyDescent="0.2">
      <c r="E556" s="52"/>
      <c r="H556" s="61"/>
      <c r="K556"/>
    </row>
    <row r="557" spans="5:11" ht="13.5" customHeight="1" x14ac:dyDescent="0.2">
      <c r="E557" s="52"/>
      <c r="H557" s="61"/>
      <c r="K557"/>
    </row>
    <row r="558" spans="5:11" ht="13.5" customHeight="1" x14ac:dyDescent="0.2">
      <c r="E558" s="52"/>
      <c r="H558" s="61"/>
      <c r="K558"/>
    </row>
    <row r="559" spans="5:11" ht="13.5" customHeight="1" x14ac:dyDescent="0.2">
      <c r="E559" s="52"/>
      <c r="H559" s="61"/>
      <c r="K559"/>
    </row>
    <row r="560" spans="5:11" ht="13.5" customHeight="1" x14ac:dyDescent="0.2">
      <c r="E560" s="52"/>
      <c r="H560" s="61"/>
      <c r="K560"/>
    </row>
    <row r="561" spans="5:11" ht="13.5" customHeight="1" x14ac:dyDescent="0.2">
      <c r="E561" s="52"/>
      <c r="H561" s="61"/>
      <c r="K561"/>
    </row>
    <row r="562" spans="5:11" ht="13.5" customHeight="1" x14ac:dyDescent="0.2">
      <c r="E562" s="52"/>
      <c r="H562" s="61"/>
      <c r="K562"/>
    </row>
    <row r="563" spans="5:11" ht="13.5" customHeight="1" x14ac:dyDescent="0.2">
      <c r="E563" s="52"/>
      <c r="H563" s="61"/>
      <c r="K563"/>
    </row>
    <row r="564" spans="5:11" ht="13.5" customHeight="1" x14ac:dyDescent="0.2">
      <c r="E564" s="52"/>
      <c r="H564" s="61"/>
      <c r="K564"/>
    </row>
    <row r="565" spans="5:11" ht="13.5" customHeight="1" x14ac:dyDescent="0.2">
      <c r="E565" s="52"/>
      <c r="H565" s="61"/>
      <c r="K565"/>
    </row>
    <row r="566" spans="5:11" ht="13.5" customHeight="1" x14ac:dyDescent="0.2">
      <c r="E566" s="52"/>
      <c r="H566" s="61"/>
      <c r="K566"/>
    </row>
    <row r="567" spans="5:11" ht="13.5" customHeight="1" x14ac:dyDescent="0.2">
      <c r="E567" s="52"/>
      <c r="H567" s="61"/>
      <c r="K567"/>
    </row>
    <row r="568" spans="5:11" ht="13.5" customHeight="1" x14ac:dyDescent="0.2">
      <c r="E568" s="52"/>
      <c r="H568" s="61"/>
      <c r="K568"/>
    </row>
    <row r="569" spans="5:11" ht="13.5" customHeight="1" x14ac:dyDescent="0.2">
      <c r="E569" s="52"/>
      <c r="H569" s="61"/>
      <c r="K569"/>
    </row>
    <row r="570" spans="5:11" ht="13.5" customHeight="1" x14ac:dyDescent="0.2">
      <c r="E570" s="52"/>
      <c r="H570" s="61"/>
      <c r="K570"/>
    </row>
    <row r="571" spans="5:11" ht="13.5" customHeight="1" x14ac:dyDescent="0.2">
      <c r="E571" s="52"/>
      <c r="H571" s="61"/>
      <c r="K571"/>
    </row>
    <row r="572" spans="5:11" ht="13.5" customHeight="1" x14ac:dyDescent="0.2">
      <c r="E572" s="52"/>
      <c r="H572" s="61"/>
      <c r="K572"/>
    </row>
    <row r="573" spans="5:11" ht="13.5" customHeight="1" x14ac:dyDescent="0.2">
      <c r="E573" s="52"/>
      <c r="H573" s="61"/>
      <c r="K573"/>
    </row>
    <row r="574" spans="5:11" ht="13.5" customHeight="1" x14ac:dyDescent="0.2">
      <c r="E574" s="52"/>
      <c r="H574" s="61"/>
      <c r="K574"/>
    </row>
    <row r="575" spans="5:11" ht="13.5" customHeight="1" x14ac:dyDescent="0.2">
      <c r="E575" s="52"/>
      <c r="H575" s="61"/>
      <c r="K575"/>
    </row>
    <row r="576" spans="5:11" ht="13.5" customHeight="1" x14ac:dyDescent="0.2">
      <c r="E576" s="52"/>
      <c r="H576" s="61"/>
      <c r="K576"/>
    </row>
    <row r="577" spans="5:11" ht="13.5" customHeight="1" x14ac:dyDescent="0.2">
      <c r="E577" s="52"/>
      <c r="H577" s="61"/>
      <c r="K577"/>
    </row>
    <row r="578" spans="5:11" ht="13.5" customHeight="1" x14ac:dyDescent="0.2">
      <c r="E578" s="52"/>
      <c r="H578" s="61"/>
      <c r="K578"/>
    </row>
    <row r="579" spans="5:11" ht="13.5" customHeight="1" x14ac:dyDescent="0.2">
      <c r="E579" s="52"/>
      <c r="H579" s="61"/>
      <c r="K579"/>
    </row>
    <row r="580" spans="5:11" ht="13.5" customHeight="1" x14ac:dyDescent="0.2">
      <c r="E580" s="52"/>
      <c r="H580" s="61"/>
      <c r="K580"/>
    </row>
    <row r="581" spans="5:11" ht="13.5" customHeight="1" x14ac:dyDescent="0.2">
      <c r="E581" s="52"/>
      <c r="H581" s="61"/>
      <c r="K581"/>
    </row>
    <row r="582" spans="5:11" ht="13.5" customHeight="1" x14ac:dyDescent="0.2">
      <c r="E582" s="52"/>
      <c r="H582" s="61"/>
      <c r="K582"/>
    </row>
    <row r="583" spans="5:11" ht="13.5" customHeight="1" x14ac:dyDescent="0.2">
      <c r="E583" s="52"/>
      <c r="H583" s="61"/>
      <c r="K583"/>
    </row>
    <row r="584" spans="5:11" ht="13.5" customHeight="1" x14ac:dyDescent="0.2">
      <c r="E584" s="52"/>
      <c r="H584" s="61"/>
      <c r="K584"/>
    </row>
    <row r="585" spans="5:11" ht="13.5" customHeight="1" x14ac:dyDescent="0.2">
      <c r="E585" s="52"/>
      <c r="H585" s="61"/>
      <c r="K585"/>
    </row>
    <row r="586" spans="5:11" ht="13.5" customHeight="1" x14ac:dyDescent="0.2">
      <c r="E586" s="52"/>
      <c r="H586" s="61"/>
      <c r="K586"/>
    </row>
    <row r="587" spans="5:11" ht="13.5" customHeight="1" x14ac:dyDescent="0.2">
      <c r="E587" s="52"/>
      <c r="H587" s="61"/>
      <c r="K587"/>
    </row>
    <row r="588" spans="5:11" ht="13.5" customHeight="1" x14ac:dyDescent="0.2">
      <c r="E588" s="52"/>
      <c r="H588" s="61"/>
      <c r="K588"/>
    </row>
    <row r="589" spans="5:11" ht="13.5" customHeight="1" x14ac:dyDescent="0.2">
      <c r="E589" s="52"/>
      <c r="H589" s="61"/>
      <c r="K589"/>
    </row>
    <row r="590" spans="5:11" ht="13.5" customHeight="1" x14ac:dyDescent="0.2">
      <c r="E590" s="52"/>
      <c r="H590" s="61"/>
      <c r="K590"/>
    </row>
    <row r="591" spans="5:11" ht="13.5" customHeight="1" x14ac:dyDescent="0.2">
      <c r="E591" s="52"/>
      <c r="H591" s="61"/>
      <c r="K591"/>
    </row>
    <row r="592" spans="5:11" ht="13.5" customHeight="1" x14ac:dyDescent="0.2">
      <c r="E592" s="52"/>
      <c r="H592" s="61"/>
      <c r="K592"/>
    </row>
    <row r="593" spans="5:11" ht="13.5" customHeight="1" x14ac:dyDescent="0.2">
      <c r="E593" s="52"/>
      <c r="H593" s="61"/>
      <c r="K593"/>
    </row>
    <row r="594" spans="5:11" ht="13.5" customHeight="1" x14ac:dyDescent="0.2">
      <c r="E594" s="52"/>
      <c r="H594" s="61"/>
      <c r="K594"/>
    </row>
    <row r="595" spans="5:11" ht="13.5" customHeight="1" x14ac:dyDescent="0.2">
      <c r="E595" s="52"/>
      <c r="H595" s="61"/>
      <c r="K595"/>
    </row>
    <row r="596" spans="5:11" ht="13.5" customHeight="1" x14ac:dyDescent="0.2">
      <c r="E596" s="52"/>
      <c r="H596" s="61"/>
      <c r="K596"/>
    </row>
    <row r="597" spans="5:11" ht="13.5" customHeight="1" x14ac:dyDescent="0.2">
      <c r="E597" s="52"/>
      <c r="H597" s="61"/>
      <c r="K597"/>
    </row>
    <row r="598" spans="5:11" ht="13.5" customHeight="1" x14ac:dyDescent="0.2">
      <c r="E598" s="52"/>
      <c r="H598" s="61"/>
      <c r="K598"/>
    </row>
    <row r="599" spans="5:11" ht="13.5" customHeight="1" x14ac:dyDescent="0.2">
      <c r="E599" s="52"/>
      <c r="H599" s="61"/>
      <c r="K599"/>
    </row>
    <row r="600" spans="5:11" ht="13.5" customHeight="1" x14ac:dyDescent="0.2">
      <c r="E600" s="52"/>
      <c r="H600" s="61"/>
      <c r="K600"/>
    </row>
    <row r="601" spans="5:11" ht="13.5" customHeight="1" x14ac:dyDescent="0.2">
      <c r="E601" s="52"/>
      <c r="H601" s="61"/>
      <c r="K601"/>
    </row>
    <row r="602" spans="5:11" ht="13.5" customHeight="1" x14ac:dyDescent="0.2">
      <c r="E602" s="52"/>
      <c r="H602" s="61"/>
      <c r="K602"/>
    </row>
    <row r="603" spans="5:11" ht="13.5" customHeight="1" x14ac:dyDescent="0.2">
      <c r="E603" s="52"/>
      <c r="H603" s="61"/>
      <c r="K603"/>
    </row>
    <row r="604" spans="5:11" ht="13.5" customHeight="1" x14ac:dyDescent="0.2">
      <c r="E604" s="52"/>
      <c r="H604" s="61"/>
      <c r="K604"/>
    </row>
    <row r="605" spans="5:11" ht="13.5" customHeight="1" x14ac:dyDescent="0.2">
      <c r="E605" s="52"/>
      <c r="H605" s="61"/>
      <c r="K605"/>
    </row>
    <row r="606" spans="5:11" ht="13.5" customHeight="1" x14ac:dyDescent="0.2">
      <c r="E606" s="52"/>
      <c r="H606" s="61"/>
      <c r="K606"/>
    </row>
    <row r="607" spans="5:11" ht="13.5" customHeight="1" x14ac:dyDescent="0.2">
      <c r="E607" s="52"/>
      <c r="H607" s="61"/>
      <c r="K607"/>
    </row>
    <row r="608" spans="5:11" ht="13.5" customHeight="1" x14ac:dyDescent="0.2">
      <c r="E608" s="52"/>
      <c r="H608" s="61"/>
      <c r="K608"/>
    </row>
    <row r="609" spans="5:11" ht="13.5" customHeight="1" x14ac:dyDescent="0.2">
      <c r="E609" s="52"/>
      <c r="H609" s="61"/>
      <c r="K609"/>
    </row>
    <row r="610" spans="5:11" ht="13.5" customHeight="1" x14ac:dyDescent="0.2">
      <c r="E610" s="52"/>
      <c r="H610" s="61"/>
      <c r="K610"/>
    </row>
    <row r="611" spans="5:11" ht="13.5" customHeight="1" x14ac:dyDescent="0.2">
      <c r="E611" s="52"/>
      <c r="H611" s="61"/>
      <c r="K611"/>
    </row>
    <row r="612" spans="5:11" ht="13.5" customHeight="1" x14ac:dyDescent="0.2">
      <c r="E612" s="52"/>
      <c r="H612" s="61"/>
      <c r="K612"/>
    </row>
    <row r="613" spans="5:11" ht="13.5" customHeight="1" x14ac:dyDescent="0.2">
      <c r="E613" s="52"/>
      <c r="H613" s="61"/>
      <c r="K613"/>
    </row>
    <row r="614" spans="5:11" ht="13.5" customHeight="1" x14ac:dyDescent="0.2">
      <c r="E614" s="52"/>
      <c r="H614" s="61"/>
      <c r="K614"/>
    </row>
    <row r="615" spans="5:11" ht="13.5" customHeight="1" x14ac:dyDescent="0.2">
      <c r="E615" s="52"/>
      <c r="H615" s="61"/>
      <c r="K615"/>
    </row>
    <row r="616" spans="5:11" ht="13.5" customHeight="1" x14ac:dyDescent="0.2">
      <c r="E616" s="52"/>
      <c r="H616" s="61"/>
      <c r="K616"/>
    </row>
    <row r="617" spans="5:11" ht="13.5" customHeight="1" x14ac:dyDescent="0.2">
      <c r="E617" s="52"/>
      <c r="H617" s="61"/>
      <c r="K617"/>
    </row>
    <row r="618" spans="5:11" ht="13.5" customHeight="1" x14ac:dyDescent="0.2">
      <c r="E618" s="52"/>
      <c r="H618" s="61"/>
      <c r="K618"/>
    </row>
    <row r="619" spans="5:11" ht="13.5" customHeight="1" x14ac:dyDescent="0.2">
      <c r="E619" s="52"/>
      <c r="H619" s="61"/>
      <c r="K619"/>
    </row>
    <row r="620" spans="5:11" ht="13.5" customHeight="1" x14ac:dyDescent="0.2">
      <c r="E620" s="52"/>
      <c r="H620" s="61"/>
      <c r="K620"/>
    </row>
    <row r="621" spans="5:11" ht="13.5" customHeight="1" x14ac:dyDescent="0.2">
      <c r="E621" s="52"/>
      <c r="H621" s="61"/>
      <c r="K621"/>
    </row>
    <row r="622" spans="5:11" ht="13.5" customHeight="1" x14ac:dyDescent="0.2">
      <c r="E622" s="52"/>
      <c r="H622" s="61"/>
      <c r="K622"/>
    </row>
    <row r="623" spans="5:11" ht="13.5" customHeight="1" x14ac:dyDescent="0.2">
      <c r="E623" s="52"/>
      <c r="H623" s="61"/>
      <c r="K623"/>
    </row>
    <row r="624" spans="5:11" ht="13.5" customHeight="1" x14ac:dyDescent="0.2">
      <c r="E624" s="52"/>
      <c r="H624" s="61"/>
      <c r="K624"/>
    </row>
    <row r="625" spans="5:11" ht="13.5" customHeight="1" x14ac:dyDescent="0.2">
      <c r="E625" s="52"/>
      <c r="H625" s="61"/>
      <c r="K625"/>
    </row>
    <row r="626" spans="5:11" ht="13.5" customHeight="1" x14ac:dyDescent="0.2">
      <c r="E626" s="52"/>
      <c r="H626" s="61"/>
      <c r="K626"/>
    </row>
    <row r="627" spans="5:11" ht="13.5" customHeight="1" x14ac:dyDescent="0.2">
      <c r="E627" s="52"/>
      <c r="H627" s="61"/>
      <c r="K627"/>
    </row>
    <row r="628" spans="5:11" ht="13.5" customHeight="1" x14ac:dyDescent="0.2">
      <c r="E628" s="52"/>
      <c r="H628" s="61"/>
      <c r="K628"/>
    </row>
    <row r="629" spans="5:11" ht="13.5" customHeight="1" x14ac:dyDescent="0.2">
      <c r="E629" s="52"/>
      <c r="H629" s="61"/>
      <c r="K629"/>
    </row>
    <row r="630" spans="5:11" ht="13.5" customHeight="1" x14ac:dyDescent="0.2">
      <c r="E630" s="52"/>
      <c r="H630" s="61"/>
      <c r="K630"/>
    </row>
    <row r="631" spans="5:11" ht="13.5" customHeight="1" x14ac:dyDescent="0.2">
      <c r="E631" s="52"/>
      <c r="H631" s="61"/>
      <c r="K631"/>
    </row>
    <row r="632" spans="5:11" ht="13.5" customHeight="1" x14ac:dyDescent="0.2">
      <c r="E632" s="52"/>
      <c r="H632" s="61"/>
      <c r="K632"/>
    </row>
    <row r="633" spans="5:11" ht="13.5" customHeight="1" x14ac:dyDescent="0.2">
      <c r="E633" s="52"/>
      <c r="H633" s="61"/>
      <c r="K633"/>
    </row>
    <row r="634" spans="5:11" ht="13.5" customHeight="1" x14ac:dyDescent="0.2">
      <c r="E634" s="52"/>
      <c r="H634" s="61"/>
      <c r="K634"/>
    </row>
    <row r="635" spans="5:11" ht="13.5" customHeight="1" x14ac:dyDescent="0.2">
      <c r="E635" s="52"/>
      <c r="H635" s="61"/>
      <c r="K635"/>
    </row>
    <row r="636" spans="5:11" ht="13.5" customHeight="1" x14ac:dyDescent="0.2">
      <c r="E636" s="52"/>
      <c r="H636" s="61"/>
      <c r="K636"/>
    </row>
    <row r="637" spans="5:11" ht="13.5" customHeight="1" x14ac:dyDescent="0.2">
      <c r="E637" s="52"/>
      <c r="H637" s="61"/>
      <c r="K637"/>
    </row>
    <row r="638" spans="5:11" ht="13.5" customHeight="1" x14ac:dyDescent="0.2">
      <c r="E638" s="52"/>
      <c r="H638" s="61"/>
      <c r="K638"/>
    </row>
    <row r="639" spans="5:11" ht="13.5" customHeight="1" x14ac:dyDescent="0.2">
      <c r="E639" s="52"/>
      <c r="H639" s="61"/>
      <c r="K639"/>
    </row>
    <row r="640" spans="5:11" ht="13.5" customHeight="1" x14ac:dyDescent="0.2">
      <c r="E640" s="52"/>
      <c r="H640" s="61"/>
      <c r="K640"/>
    </row>
    <row r="641" spans="5:11" ht="13.5" customHeight="1" x14ac:dyDescent="0.2">
      <c r="E641" s="52"/>
      <c r="H641" s="61"/>
      <c r="K641"/>
    </row>
    <row r="642" spans="5:11" ht="13.5" customHeight="1" x14ac:dyDescent="0.2">
      <c r="E642" s="52"/>
      <c r="H642" s="61"/>
      <c r="K642"/>
    </row>
    <row r="643" spans="5:11" ht="13.5" customHeight="1" x14ac:dyDescent="0.2">
      <c r="E643" s="52"/>
      <c r="H643" s="61"/>
      <c r="K643"/>
    </row>
    <row r="644" spans="5:11" ht="13.5" customHeight="1" x14ac:dyDescent="0.2">
      <c r="E644" s="52"/>
      <c r="H644" s="61"/>
      <c r="K644"/>
    </row>
    <row r="645" spans="5:11" ht="13.5" customHeight="1" x14ac:dyDescent="0.2">
      <c r="E645" s="52"/>
      <c r="H645" s="61"/>
      <c r="K645"/>
    </row>
    <row r="646" spans="5:11" ht="13.5" customHeight="1" x14ac:dyDescent="0.2">
      <c r="E646" s="52"/>
      <c r="H646" s="61"/>
      <c r="K646"/>
    </row>
    <row r="647" spans="5:11" ht="13.5" customHeight="1" x14ac:dyDescent="0.2">
      <c r="E647" s="52"/>
      <c r="H647" s="61"/>
      <c r="K647"/>
    </row>
    <row r="648" spans="5:11" ht="13.5" customHeight="1" x14ac:dyDescent="0.2">
      <c r="E648" s="52"/>
      <c r="H648" s="61"/>
      <c r="K648"/>
    </row>
    <row r="649" spans="5:11" ht="13.5" customHeight="1" x14ac:dyDescent="0.2">
      <c r="E649" s="52"/>
      <c r="H649" s="61"/>
      <c r="K649"/>
    </row>
    <row r="650" spans="5:11" ht="13.5" customHeight="1" x14ac:dyDescent="0.2">
      <c r="E650" s="52"/>
      <c r="H650" s="61"/>
      <c r="K650"/>
    </row>
    <row r="651" spans="5:11" ht="13.5" customHeight="1" x14ac:dyDescent="0.2">
      <c r="E651" s="52"/>
      <c r="H651" s="61"/>
      <c r="K651"/>
    </row>
    <row r="652" spans="5:11" ht="13.5" customHeight="1" x14ac:dyDescent="0.2">
      <c r="E652" s="52"/>
      <c r="H652" s="61"/>
      <c r="K652"/>
    </row>
    <row r="653" spans="5:11" ht="13.5" customHeight="1" x14ac:dyDescent="0.2">
      <c r="E653" s="52"/>
      <c r="H653" s="61"/>
      <c r="K653"/>
    </row>
    <row r="654" spans="5:11" ht="13.5" customHeight="1" x14ac:dyDescent="0.2">
      <c r="E654" s="52"/>
      <c r="H654" s="61"/>
      <c r="K654"/>
    </row>
    <row r="655" spans="5:11" ht="13.5" customHeight="1" x14ac:dyDescent="0.2">
      <c r="E655" s="52"/>
      <c r="H655" s="61"/>
      <c r="K655"/>
    </row>
    <row r="656" spans="5:11" ht="13.5" customHeight="1" x14ac:dyDescent="0.2">
      <c r="E656" s="52"/>
      <c r="H656" s="61"/>
      <c r="K656"/>
    </row>
    <row r="657" spans="5:11" ht="13.5" customHeight="1" x14ac:dyDescent="0.2">
      <c r="E657" s="52"/>
      <c r="H657" s="61"/>
      <c r="K657"/>
    </row>
    <row r="658" spans="5:11" ht="13.5" customHeight="1" x14ac:dyDescent="0.2">
      <c r="E658" s="52"/>
      <c r="H658" s="61"/>
      <c r="K658"/>
    </row>
    <row r="659" spans="5:11" ht="13.5" customHeight="1" x14ac:dyDescent="0.2">
      <c r="E659" s="52"/>
      <c r="H659" s="61"/>
      <c r="K659"/>
    </row>
    <row r="660" spans="5:11" ht="13.5" customHeight="1" x14ac:dyDescent="0.2">
      <c r="E660" s="52"/>
      <c r="H660" s="61"/>
      <c r="K660"/>
    </row>
    <row r="661" spans="5:11" ht="13.5" customHeight="1" x14ac:dyDescent="0.2">
      <c r="E661" s="52"/>
      <c r="H661" s="61"/>
      <c r="K661"/>
    </row>
    <row r="662" spans="5:11" ht="13.5" customHeight="1" x14ac:dyDescent="0.2">
      <c r="E662" s="52"/>
      <c r="H662" s="61"/>
      <c r="K662"/>
    </row>
    <row r="663" spans="5:11" ht="13.5" customHeight="1" x14ac:dyDescent="0.2">
      <c r="E663" s="52"/>
      <c r="H663" s="61"/>
      <c r="K663"/>
    </row>
    <row r="664" spans="5:11" ht="13.5" customHeight="1" x14ac:dyDescent="0.2">
      <c r="E664" s="52"/>
      <c r="H664" s="61"/>
      <c r="K664"/>
    </row>
    <row r="665" spans="5:11" ht="13.5" customHeight="1" x14ac:dyDescent="0.2">
      <c r="E665" s="52"/>
      <c r="H665" s="61"/>
      <c r="K665"/>
    </row>
    <row r="666" spans="5:11" ht="13.5" customHeight="1" x14ac:dyDescent="0.2">
      <c r="E666" s="52"/>
      <c r="H666" s="61"/>
      <c r="K666"/>
    </row>
    <row r="667" spans="5:11" ht="13.5" customHeight="1" x14ac:dyDescent="0.2">
      <c r="E667" s="52"/>
      <c r="H667" s="61"/>
      <c r="K667"/>
    </row>
    <row r="668" spans="5:11" ht="13.5" customHeight="1" x14ac:dyDescent="0.2">
      <c r="E668" s="52"/>
      <c r="H668" s="61"/>
      <c r="K668"/>
    </row>
    <row r="669" spans="5:11" ht="13.5" customHeight="1" x14ac:dyDescent="0.2">
      <c r="E669" s="52"/>
      <c r="H669" s="61"/>
      <c r="K669"/>
    </row>
    <row r="670" spans="5:11" ht="13.5" customHeight="1" x14ac:dyDescent="0.2">
      <c r="E670" s="52"/>
      <c r="H670" s="61"/>
      <c r="K670"/>
    </row>
    <row r="671" spans="5:11" ht="13.5" customHeight="1" x14ac:dyDescent="0.2">
      <c r="E671" s="52"/>
      <c r="H671" s="61"/>
      <c r="K671"/>
    </row>
    <row r="672" spans="5:11" ht="13.5" customHeight="1" x14ac:dyDescent="0.2">
      <c r="E672" s="52"/>
      <c r="H672" s="61"/>
      <c r="K672"/>
    </row>
    <row r="673" spans="5:11" ht="13.5" customHeight="1" x14ac:dyDescent="0.2">
      <c r="E673" s="52"/>
      <c r="H673" s="61"/>
      <c r="K673"/>
    </row>
    <row r="674" spans="5:11" ht="13.5" customHeight="1" x14ac:dyDescent="0.2">
      <c r="E674" s="52"/>
      <c r="H674" s="61"/>
      <c r="K674"/>
    </row>
    <row r="675" spans="5:11" ht="13.5" customHeight="1" x14ac:dyDescent="0.2">
      <c r="E675" s="52"/>
      <c r="H675" s="61"/>
      <c r="K675"/>
    </row>
    <row r="676" spans="5:11" ht="13.5" customHeight="1" x14ac:dyDescent="0.2">
      <c r="E676" s="52"/>
      <c r="H676" s="61"/>
      <c r="K676"/>
    </row>
    <row r="677" spans="5:11" ht="13.5" customHeight="1" x14ac:dyDescent="0.2">
      <c r="E677" s="52"/>
      <c r="H677" s="61"/>
      <c r="K677"/>
    </row>
    <row r="678" spans="5:11" ht="13.5" customHeight="1" x14ac:dyDescent="0.2">
      <c r="E678" s="52"/>
      <c r="H678" s="61"/>
      <c r="K678"/>
    </row>
    <row r="679" spans="5:11" ht="13.5" customHeight="1" x14ac:dyDescent="0.2">
      <c r="E679" s="52"/>
      <c r="H679" s="61"/>
      <c r="K679"/>
    </row>
    <row r="680" spans="5:11" ht="13.5" customHeight="1" x14ac:dyDescent="0.2">
      <c r="E680" s="52"/>
      <c r="H680" s="61"/>
      <c r="K680"/>
    </row>
    <row r="681" spans="5:11" ht="13.5" customHeight="1" x14ac:dyDescent="0.2">
      <c r="E681" s="52"/>
      <c r="H681" s="61"/>
      <c r="K681"/>
    </row>
    <row r="682" spans="5:11" ht="13.5" customHeight="1" x14ac:dyDescent="0.2">
      <c r="E682" s="52"/>
      <c r="H682" s="61"/>
      <c r="K682"/>
    </row>
    <row r="683" spans="5:11" ht="13.5" customHeight="1" x14ac:dyDescent="0.2">
      <c r="E683" s="52"/>
      <c r="H683" s="61"/>
      <c r="K683"/>
    </row>
    <row r="684" spans="5:11" ht="13.5" customHeight="1" x14ac:dyDescent="0.2">
      <c r="E684" s="52"/>
      <c r="H684" s="61"/>
      <c r="K684"/>
    </row>
    <row r="685" spans="5:11" ht="13.5" customHeight="1" x14ac:dyDescent="0.2">
      <c r="E685" s="52"/>
      <c r="H685" s="61"/>
      <c r="K685"/>
    </row>
    <row r="686" spans="5:11" ht="13.5" customHeight="1" x14ac:dyDescent="0.2">
      <c r="E686" s="52"/>
      <c r="H686" s="61"/>
      <c r="K686"/>
    </row>
    <row r="687" spans="5:11" ht="13.5" customHeight="1" x14ac:dyDescent="0.2">
      <c r="E687" s="52"/>
      <c r="H687" s="61"/>
      <c r="K687"/>
    </row>
    <row r="688" spans="5:11" ht="13.5" customHeight="1" x14ac:dyDescent="0.2">
      <c r="E688" s="52"/>
      <c r="H688" s="61"/>
      <c r="K688"/>
    </row>
    <row r="689" spans="5:11" ht="13.5" customHeight="1" x14ac:dyDescent="0.2">
      <c r="E689" s="52"/>
      <c r="H689" s="61"/>
      <c r="K689"/>
    </row>
    <row r="690" spans="5:11" ht="13.5" customHeight="1" x14ac:dyDescent="0.2">
      <c r="E690" s="52"/>
      <c r="H690" s="61"/>
      <c r="K690"/>
    </row>
    <row r="691" spans="5:11" ht="13.5" customHeight="1" x14ac:dyDescent="0.2">
      <c r="E691" s="52"/>
      <c r="H691" s="61"/>
      <c r="K691"/>
    </row>
    <row r="692" spans="5:11" ht="13.5" customHeight="1" x14ac:dyDescent="0.2">
      <c r="E692" s="52"/>
      <c r="H692" s="61"/>
      <c r="K692"/>
    </row>
    <row r="693" spans="5:11" ht="13.5" customHeight="1" x14ac:dyDescent="0.2">
      <c r="E693" s="52"/>
      <c r="H693" s="61"/>
      <c r="K693"/>
    </row>
    <row r="694" spans="5:11" ht="13.5" customHeight="1" x14ac:dyDescent="0.2">
      <c r="E694" s="52"/>
      <c r="H694" s="61"/>
      <c r="K694"/>
    </row>
    <row r="695" spans="5:11" ht="13.5" customHeight="1" x14ac:dyDescent="0.2">
      <c r="E695" s="52"/>
      <c r="H695" s="61"/>
      <c r="K695"/>
    </row>
    <row r="696" spans="5:11" ht="13.5" customHeight="1" x14ac:dyDescent="0.2">
      <c r="E696" s="52"/>
      <c r="H696" s="61"/>
      <c r="K696"/>
    </row>
    <row r="697" spans="5:11" ht="13.5" customHeight="1" x14ac:dyDescent="0.2">
      <c r="E697" s="52"/>
      <c r="H697" s="61"/>
      <c r="K697"/>
    </row>
    <row r="698" spans="5:11" ht="13.5" customHeight="1" x14ac:dyDescent="0.2">
      <c r="E698" s="52"/>
      <c r="H698" s="61"/>
      <c r="K698"/>
    </row>
    <row r="699" spans="5:11" ht="13.5" customHeight="1" x14ac:dyDescent="0.2">
      <c r="E699" s="52"/>
      <c r="H699" s="61"/>
      <c r="K699"/>
    </row>
    <row r="700" spans="5:11" ht="13.5" customHeight="1" x14ac:dyDescent="0.2">
      <c r="E700" s="52"/>
      <c r="H700" s="61"/>
      <c r="K700"/>
    </row>
    <row r="701" spans="5:11" ht="13.5" customHeight="1" x14ac:dyDescent="0.2">
      <c r="E701" s="52"/>
      <c r="H701" s="61"/>
      <c r="K701"/>
    </row>
    <row r="702" spans="5:11" ht="13.5" customHeight="1" x14ac:dyDescent="0.2">
      <c r="E702" s="52"/>
      <c r="H702" s="61"/>
      <c r="K702"/>
    </row>
    <row r="703" spans="5:11" ht="13.5" customHeight="1" x14ac:dyDescent="0.2">
      <c r="E703" s="52"/>
      <c r="H703" s="61"/>
      <c r="K703"/>
    </row>
    <row r="704" spans="5:11" ht="13.5" customHeight="1" x14ac:dyDescent="0.2">
      <c r="E704" s="52"/>
      <c r="H704" s="61"/>
      <c r="K704"/>
    </row>
    <row r="705" spans="5:11" ht="13.5" customHeight="1" x14ac:dyDescent="0.2">
      <c r="E705" s="52"/>
      <c r="H705" s="61"/>
      <c r="K705"/>
    </row>
    <row r="706" spans="5:11" ht="13.5" customHeight="1" x14ac:dyDescent="0.2">
      <c r="E706" s="52"/>
      <c r="H706" s="61"/>
      <c r="K706"/>
    </row>
    <row r="707" spans="5:11" ht="13.5" customHeight="1" x14ac:dyDescent="0.2">
      <c r="E707" s="52"/>
      <c r="H707" s="61"/>
      <c r="K707"/>
    </row>
    <row r="708" spans="5:11" ht="13.5" customHeight="1" x14ac:dyDescent="0.2">
      <c r="E708" s="52"/>
      <c r="H708" s="61"/>
      <c r="K708"/>
    </row>
    <row r="709" spans="5:11" ht="13.5" customHeight="1" x14ac:dyDescent="0.2">
      <c r="E709" s="52"/>
      <c r="H709" s="61"/>
      <c r="K709"/>
    </row>
    <row r="710" spans="5:11" ht="13.5" customHeight="1" x14ac:dyDescent="0.2">
      <c r="E710" s="52"/>
      <c r="H710" s="61"/>
      <c r="K710"/>
    </row>
    <row r="711" spans="5:11" ht="13.5" customHeight="1" x14ac:dyDescent="0.2">
      <c r="E711" s="52"/>
      <c r="H711" s="61"/>
      <c r="K711"/>
    </row>
    <row r="712" spans="5:11" ht="13.5" customHeight="1" x14ac:dyDescent="0.2">
      <c r="E712" s="52"/>
      <c r="H712" s="61"/>
      <c r="K712"/>
    </row>
    <row r="713" spans="5:11" ht="13.5" customHeight="1" x14ac:dyDescent="0.2">
      <c r="E713" s="52"/>
      <c r="H713" s="61"/>
      <c r="K713"/>
    </row>
    <row r="714" spans="5:11" ht="13.5" customHeight="1" x14ac:dyDescent="0.2">
      <c r="E714" s="52"/>
      <c r="H714" s="61"/>
      <c r="K714"/>
    </row>
    <row r="715" spans="5:11" ht="13.5" customHeight="1" x14ac:dyDescent="0.2">
      <c r="E715" s="52"/>
      <c r="H715" s="61"/>
      <c r="K715"/>
    </row>
    <row r="716" spans="5:11" ht="13.5" customHeight="1" x14ac:dyDescent="0.2">
      <c r="E716" s="52"/>
      <c r="H716" s="61"/>
      <c r="K716"/>
    </row>
    <row r="717" spans="5:11" ht="13.5" customHeight="1" x14ac:dyDescent="0.2">
      <c r="E717" s="52"/>
      <c r="H717" s="61"/>
      <c r="K717"/>
    </row>
    <row r="718" spans="5:11" ht="13.5" customHeight="1" x14ac:dyDescent="0.2">
      <c r="E718" s="52"/>
      <c r="H718" s="61"/>
      <c r="K718"/>
    </row>
    <row r="719" spans="5:11" ht="13.5" customHeight="1" x14ac:dyDescent="0.2">
      <c r="E719" s="52"/>
      <c r="H719" s="61"/>
      <c r="K719"/>
    </row>
    <row r="720" spans="5:11" ht="13.5" customHeight="1" x14ac:dyDescent="0.2">
      <c r="E720" s="52"/>
      <c r="H720" s="61"/>
      <c r="K720"/>
    </row>
    <row r="721" spans="5:11" ht="13.5" customHeight="1" x14ac:dyDescent="0.2">
      <c r="E721" s="52"/>
      <c r="H721" s="61"/>
      <c r="K721"/>
    </row>
    <row r="722" spans="5:11" ht="13.5" customHeight="1" x14ac:dyDescent="0.2">
      <c r="E722" s="52"/>
      <c r="H722" s="61"/>
      <c r="K722"/>
    </row>
    <row r="723" spans="5:11" ht="13.5" customHeight="1" x14ac:dyDescent="0.2">
      <c r="E723" s="52"/>
      <c r="H723" s="61"/>
      <c r="K723"/>
    </row>
    <row r="724" spans="5:11" ht="13.5" customHeight="1" x14ac:dyDescent="0.2">
      <c r="E724" s="52"/>
      <c r="H724" s="61"/>
      <c r="K724"/>
    </row>
    <row r="725" spans="5:11" ht="13.5" customHeight="1" x14ac:dyDescent="0.2">
      <c r="E725" s="52"/>
      <c r="H725" s="61"/>
      <c r="K725"/>
    </row>
    <row r="726" spans="5:11" ht="13.5" customHeight="1" x14ac:dyDescent="0.2">
      <c r="E726" s="52"/>
      <c r="H726" s="61"/>
      <c r="K726"/>
    </row>
    <row r="727" spans="5:11" ht="13.5" customHeight="1" x14ac:dyDescent="0.2">
      <c r="E727" s="52"/>
      <c r="H727" s="61"/>
      <c r="K727"/>
    </row>
    <row r="728" spans="5:11" ht="13.5" customHeight="1" x14ac:dyDescent="0.2">
      <c r="E728" s="52"/>
      <c r="H728" s="61"/>
      <c r="K728"/>
    </row>
    <row r="729" spans="5:11" ht="13.5" customHeight="1" x14ac:dyDescent="0.2">
      <c r="E729" s="52"/>
      <c r="H729" s="61"/>
      <c r="K729"/>
    </row>
    <row r="730" spans="5:11" ht="13.5" customHeight="1" x14ac:dyDescent="0.2">
      <c r="E730" s="52"/>
      <c r="H730" s="61"/>
      <c r="K730"/>
    </row>
    <row r="731" spans="5:11" ht="13.5" customHeight="1" x14ac:dyDescent="0.2">
      <c r="E731" s="52"/>
      <c r="H731" s="61"/>
      <c r="K731"/>
    </row>
    <row r="732" spans="5:11" ht="13.5" customHeight="1" x14ac:dyDescent="0.2">
      <c r="E732" s="52"/>
      <c r="H732" s="61"/>
      <c r="K732"/>
    </row>
    <row r="733" spans="5:11" ht="13.5" customHeight="1" x14ac:dyDescent="0.2">
      <c r="E733" s="52"/>
      <c r="H733" s="61"/>
      <c r="K733"/>
    </row>
    <row r="734" spans="5:11" ht="13.5" customHeight="1" x14ac:dyDescent="0.2">
      <c r="E734" s="52"/>
      <c r="H734" s="61"/>
      <c r="K734"/>
    </row>
    <row r="735" spans="5:11" ht="13.5" customHeight="1" x14ac:dyDescent="0.2">
      <c r="E735" s="52"/>
      <c r="H735" s="61"/>
      <c r="K735"/>
    </row>
    <row r="736" spans="5:11" ht="13.5" customHeight="1" x14ac:dyDescent="0.2">
      <c r="E736" s="52"/>
      <c r="H736" s="61"/>
      <c r="K736"/>
    </row>
    <row r="737" spans="5:11" ht="13.5" customHeight="1" x14ac:dyDescent="0.2">
      <c r="E737" s="52"/>
      <c r="H737" s="61"/>
      <c r="K737"/>
    </row>
    <row r="738" spans="5:11" ht="13.5" customHeight="1" x14ac:dyDescent="0.2">
      <c r="E738" s="52"/>
      <c r="H738" s="61"/>
      <c r="K738"/>
    </row>
    <row r="739" spans="5:11" ht="13.5" customHeight="1" x14ac:dyDescent="0.2">
      <c r="E739" s="52"/>
      <c r="H739" s="61"/>
      <c r="K739"/>
    </row>
    <row r="740" spans="5:11" ht="13.5" customHeight="1" x14ac:dyDescent="0.2">
      <c r="E740" s="52"/>
      <c r="H740" s="61"/>
      <c r="K740"/>
    </row>
    <row r="741" spans="5:11" ht="13.5" customHeight="1" x14ac:dyDescent="0.2">
      <c r="E741" s="52"/>
      <c r="H741" s="61"/>
      <c r="K741"/>
    </row>
    <row r="742" spans="5:11" ht="13.5" customHeight="1" x14ac:dyDescent="0.2">
      <c r="E742" s="52"/>
      <c r="H742" s="61"/>
      <c r="K742"/>
    </row>
    <row r="743" spans="5:11" ht="13.5" customHeight="1" x14ac:dyDescent="0.2">
      <c r="E743" s="52"/>
      <c r="H743" s="61"/>
      <c r="K743"/>
    </row>
    <row r="744" spans="5:11" ht="13.5" customHeight="1" x14ac:dyDescent="0.2">
      <c r="E744" s="52"/>
      <c r="H744" s="61"/>
      <c r="K744"/>
    </row>
    <row r="745" spans="5:11" ht="13.5" customHeight="1" x14ac:dyDescent="0.2">
      <c r="E745" s="52"/>
      <c r="H745" s="61"/>
      <c r="K745"/>
    </row>
    <row r="746" spans="5:11" ht="13.5" customHeight="1" x14ac:dyDescent="0.2">
      <c r="E746" s="52"/>
      <c r="H746" s="61"/>
      <c r="K746"/>
    </row>
    <row r="747" spans="5:11" ht="13.5" customHeight="1" x14ac:dyDescent="0.2">
      <c r="E747" s="52"/>
      <c r="H747" s="61"/>
      <c r="K747"/>
    </row>
    <row r="748" spans="5:11" ht="13.5" customHeight="1" x14ac:dyDescent="0.2">
      <c r="E748" s="52"/>
      <c r="H748" s="61"/>
      <c r="K748"/>
    </row>
    <row r="749" spans="5:11" ht="13.5" customHeight="1" x14ac:dyDescent="0.2">
      <c r="E749" s="52"/>
      <c r="H749" s="61"/>
      <c r="K749"/>
    </row>
    <row r="750" spans="5:11" ht="13.5" customHeight="1" x14ac:dyDescent="0.2">
      <c r="E750" s="52"/>
      <c r="H750" s="61"/>
      <c r="K750"/>
    </row>
    <row r="751" spans="5:11" ht="13.5" customHeight="1" x14ac:dyDescent="0.2">
      <c r="E751" s="52"/>
      <c r="H751" s="61"/>
      <c r="K751"/>
    </row>
    <row r="752" spans="5:11" ht="13.5" customHeight="1" x14ac:dyDescent="0.2">
      <c r="E752" s="52"/>
      <c r="H752" s="61"/>
      <c r="K752"/>
    </row>
    <row r="753" spans="5:11" ht="13.5" customHeight="1" x14ac:dyDescent="0.2">
      <c r="E753" s="52"/>
      <c r="H753" s="61"/>
      <c r="K753"/>
    </row>
    <row r="754" spans="5:11" ht="13.5" customHeight="1" x14ac:dyDescent="0.2">
      <c r="E754" s="52"/>
      <c r="H754" s="61"/>
      <c r="K754"/>
    </row>
    <row r="755" spans="5:11" ht="13.5" customHeight="1" x14ac:dyDescent="0.2">
      <c r="E755" s="52"/>
      <c r="H755" s="61"/>
      <c r="K755"/>
    </row>
    <row r="756" spans="5:11" ht="13.5" customHeight="1" x14ac:dyDescent="0.2">
      <c r="E756" s="52"/>
      <c r="H756" s="61"/>
      <c r="K756"/>
    </row>
    <row r="757" spans="5:11" ht="13.5" customHeight="1" x14ac:dyDescent="0.2">
      <c r="E757" s="52"/>
      <c r="H757" s="61"/>
      <c r="K757"/>
    </row>
    <row r="758" spans="5:11" ht="13.5" customHeight="1" x14ac:dyDescent="0.2">
      <c r="E758" s="52"/>
      <c r="H758" s="61"/>
      <c r="K758"/>
    </row>
    <row r="759" spans="5:11" ht="13.5" customHeight="1" x14ac:dyDescent="0.2">
      <c r="E759" s="52"/>
      <c r="H759" s="61"/>
      <c r="K759"/>
    </row>
    <row r="760" spans="5:11" ht="13.5" customHeight="1" x14ac:dyDescent="0.2">
      <c r="E760" s="52"/>
      <c r="H760" s="61"/>
      <c r="K760"/>
    </row>
    <row r="761" spans="5:11" ht="13.5" customHeight="1" x14ac:dyDescent="0.2">
      <c r="E761" s="52"/>
      <c r="H761" s="61"/>
      <c r="K761"/>
    </row>
    <row r="762" spans="5:11" ht="13.5" customHeight="1" x14ac:dyDescent="0.2">
      <c r="E762" s="52"/>
      <c r="H762" s="61"/>
      <c r="K762"/>
    </row>
    <row r="763" spans="5:11" ht="13.5" customHeight="1" x14ac:dyDescent="0.2">
      <c r="E763" s="52"/>
      <c r="H763" s="61"/>
      <c r="K763"/>
    </row>
    <row r="764" spans="5:11" ht="13.5" customHeight="1" x14ac:dyDescent="0.2">
      <c r="E764" s="52"/>
      <c r="H764" s="61"/>
      <c r="K764"/>
    </row>
    <row r="765" spans="5:11" ht="13.5" customHeight="1" x14ac:dyDescent="0.2">
      <c r="E765" s="52"/>
      <c r="H765" s="61"/>
      <c r="K765"/>
    </row>
    <row r="766" spans="5:11" ht="13.5" customHeight="1" x14ac:dyDescent="0.2">
      <c r="E766" s="52"/>
      <c r="H766" s="61"/>
      <c r="K766"/>
    </row>
    <row r="767" spans="5:11" ht="13.5" customHeight="1" x14ac:dyDescent="0.2">
      <c r="E767" s="52"/>
      <c r="H767" s="61"/>
      <c r="K767"/>
    </row>
    <row r="768" spans="5:11" ht="13.5" customHeight="1" x14ac:dyDescent="0.2">
      <c r="E768" s="52"/>
      <c r="H768" s="61"/>
      <c r="K768"/>
    </row>
    <row r="769" spans="5:11" ht="13.5" customHeight="1" x14ac:dyDescent="0.2">
      <c r="E769" s="52"/>
      <c r="H769" s="61"/>
      <c r="K769"/>
    </row>
    <row r="770" spans="5:11" ht="13.5" customHeight="1" x14ac:dyDescent="0.2">
      <c r="E770" s="52"/>
      <c r="H770" s="61"/>
    </row>
    <row r="771" spans="5:11" ht="13.5" customHeight="1" x14ac:dyDescent="0.2">
      <c r="E771" s="52"/>
      <c r="H771" s="61"/>
    </row>
    <row r="772" spans="5:11" ht="13.5" customHeight="1" x14ac:dyDescent="0.2">
      <c r="E772" s="52"/>
      <c r="H772" s="61"/>
    </row>
    <row r="773" spans="5:11" ht="13.5" customHeight="1" x14ac:dyDescent="0.2">
      <c r="E773" s="52"/>
      <c r="H773" s="61"/>
    </row>
    <row r="774" spans="5:11" ht="13.5" customHeight="1" x14ac:dyDescent="0.2">
      <c r="E774" s="52"/>
      <c r="H774" s="61"/>
    </row>
    <row r="775" spans="5:11" ht="13.5" customHeight="1" x14ac:dyDescent="0.2">
      <c r="E775" s="52"/>
      <c r="H775" s="61"/>
    </row>
    <row r="776" spans="5:11" ht="13.5" customHeight="1" x14ac:dyDescent="0.2">
      <c r="E776" s="52"/>
      <c r="H776" s="61"/>
    </row>
    <row r="777" spans="5:11" ht="13.5" customHeight="1" x14ac:dyDescent="0.2">
      <c r="E777" s="52"/>
      <c r="H777" s="61"/>
    </row>
    <row r="778" spans="5:11" ht="13.5" customHeight="1" x14ac:dyDescent="0.2">
      <c r="E778" s="52"/>
      <c r="H778" s="61"/>
    </row>
    <row r="779" spans="5:11" ht="13.5" customHeight="1" x14ac:dyDescent="0.2">
      <c r="E779" s="52"/>
      <c r="H779" s="61"/>
    </row>
    <row r="780" spans="5:11" ht="13.5" customHeight="1" x14ac:dyDescent="0.2">
      <c r="E780" s="52"/>
      <c r="H780" s="61"/>
    </row>
    <row r="781" spans="5:11" ht="13.5" customHeight="1" x14ac:dyDescent="0.2">
      <c r="E781" s="52"/>
      <c r="H781" s="61"/>
    </row>
    <row r="782" spans="5:11" ht="13.5" customHeight="1" x14ac:dyDescent="0.2">
      <c r="E782" s="52"/>
      <c r="H782" s="61"/>
    </row>
    <row r="783" spans="5:11" ht="13.5" customHeight="1" x14ac:dyDescent="0.2">
      <c r="E783" s="52"/>
      <c r="H783" s="61"/>
    </row>
    <row r="784" spans="5:11" ht="13.5" customHeight="1" x14ac:dyDescent="0.2">
      <c r="E784" s="52"/>
      <c r="H784" s="61"/>
      <c r="K784"/>
    </row>
    <row r="785" spans="5:11" ht="13.5" customHeight="1" x14ac:dyDescent="0.2">
      <c r="E785" s="52"/>
      <c r="H785" s="61"/>
      <c r="K785"/>
    </row>
    <row r="786" spans="5:11" ht="13.5" customHeight="1" x14ac:dyDescent="0.2">
      <c r="E786" s="52"/>
      <c r="H786" s="61"/>
      <c r="K786"/>
    </row>
    <row r="787" spans="5:11" ht="13.5" customHeight="1" x14ac:dyDescent="0.2">
      <c r="E787" s="52"/>
      <c r="H787" s="61"/>
      <c r="K787"/>
    </row>
    <row r="788" spans="5:11" ht="13.5" customHeight="1" x14ac:dyDescent="0.2">
      <c r="E788" s="52"/>
      <c r="H788" s="61"/>
      <c r="K788"/>
    </row>
    <row r="789" spans="5:11" ht="13.5" customHeight="1" x14ac:dyDescent="0.2">
      <c r="E789" s="52"/>
      <c r="H789" s="61"/>
      <c r="K789"/>
    </row>
    <row r="790" spans="5:11" ht="13.5" customHeight="1" x14ac:dyDescent="0.2">
      <c r="E790" s="52"/>
      <c r="H790" s="61"/>
      <c r="K790"/>
    </row>
    <row r="791" spans="5:11" ht="13.5" customHeight="1" x14ac:dyDescent="0.2">
      <c r="E791" s="52"/>
      <c r="H791" s="61"/>
      <c r="K791"/>
    </row>
    <row r="792" spans="5:11" ht="13.5" customHeight="1" x14ac:dyDescent="0.2">
      <c r="E792" s="52"/>
      <c r="H792" s="61"/>
      <c r="K792"/>
    </row>
    <row r="793" spans="5:11" ht="13.5" customHeight="1" x14ac:dyDescent="0.2">
      <c r="E793" s="52"/>
      <c r="H793" s="61"/>
      <c r="K793"/>
    </row>
    <row r="794" spans="5:11" ht="13.5" customHeight="1" x14ac:dyDescent="0.2">
      <c r="E794" s="52"/>
      <c r="H794" s="61"/>
      <c r="K794"/>
    </row>
    <row r="795" spans="5:11" ht="13.5" customHeight="1" x14ac:dyDescent="0.2">
      <c r="E795" s="52"/>
      <c r="H795" s="61"/>
      <c r="K795"/>
    </row>
    <row r="796" spans="5:11" ht="13.5" customHeight="1" x14ac:dyDescent="0.2">
      <c r="E796" s="52"/>
      <c r="H796" s="61"/>
      <c r="K796"/>
    </row>
    <row r="797" spans="5:11" ht="13.5" customHeight="1" x14ac:dyDescent="0.2">
      <c r="E797" s="52"/>
      <c r="H797" s="61"/>
      <c r="K797"/>
    </row>
    <row r="798" spans="5:11" ht="13.5" customHeight="1" x14ac:dyDescent="0.2">
      <c r="E798" s="52"/>
      <c r="H798" s="61"/>
      <c r="K798"/>
    </row>
    <row r="799" spans="5:11" ht="13.5" customHeight="1" x14ac:dyDescent="0.2">
      <c r="E799" s="52"/>
      <c r="H799" s="61"/>
      <c r="K799"/>
    </row>
    <row r="800" spans="5:11" ht="13.5" customHeight="1" x14ac:dyDescent="0.2">
      <c r="E800" s="52"/>
      <c r="H800" s="61"/>
      <c r="K800"/>
    </row>
    <row r="801" spans="5:11" ht="13.5" customHeight="1" x14ac:dyDescent="0.2">
      <c r="E801" s="50"/>
      <c r="H801" s="61"/>
      <c r="K801"/>
    </row>
    <row r="802" spans="5:11" ht="13.5" customHeight="1" x14ac:dyDescent="0.2">
      <c r="E802" s="50"/>
      <c r="H802" s="61"/>
      <c r="K802"/>
    </row>
    <row r="803" spans="5:11" ht="13.5" customHeight="1" x14ac:dyDescent="0.2">
      <c r="E803" s="50"/>
      <c r="H803" s="61"/>
      <c r="K803"/>
    </row>
    <row r="804" spans="5:11" ht="13.5" customHeight="1" x14ac:dyDescent="0.2">
      <c r="E804" s="50"/>
      <c r="H804" s="61"/>
      <c r="K804"/>
    </row>
    <row r="805" spans="5:11" ht="13.5" customHeight="1" x14ac:dyDescent="0.2">
      <c r="E805" s="50"/>
      <c r="H805" s="61"/>
      <c r="K805"/>
    </row>
    <row r="806" spans="5:11" ht="13.5" customHeight="1" x14ac:dyDescent="0.2">
      <c r="E806" s="50"/>
      <c r="H806" s="61"/>
      <c r="K806"/>
    </row>
    <row r="807" spans="5:11" ht="13.5" customHeight="1" x14ac:dyDescent="0.2">
      <c r="E807" s="50"/>
      <c r="H807" s="61"/>
      <c r="K807"/>
    </row>
    <row r="808" spans="5:11" ht="13.5" customHeight="1" x14ac:dyDescent="0.2">
      <c r="E808" s="50"/>
      <c r="H808" s="61"/>
      <c r="K808"/>
    </row>
    <row r="809" spans="5:11" ht="13.5" customHeight="1" x14ac:dyDescent="0.2">
      <c r="E809" s="50"/>
      <c r="H809" s="61"/>
      <c r="K809"/>
    </row>
    <row r="810" spans="5:11" ht="13.5" customHeight="1" x14ac:dyDescent="0.2">
      <c r="E810" s="50"/>
      <c r="H810" s="61"/>
      <c r="K810"/>
    </row>
    <row r="811" spans="5:11" ht="13.5" customHeight="1" x14ac:dyDescent="0.2">
      <c r="E811" s="50"/>
      <c r="H811" s="61"/>
      <c r="K811"/>
    </row>
    <row r="812" spans="5:11" ht="13.5" customHeight="1" x14ac:dyDescent="0.2">
      <c r="E812" s="50"/>
      <c r="H812" s="61"/>
      <c r="K812"/>
    </row>
    <row r="813" spans="5:11" ht="13.5" customHeight="1" x14ac:dyDescent="0.2">
      <c r="E813" s="50"/>
      <c r="H813" s="61"/>
      <c r="K813"/>
    </row>
    <row r="814" spans="5:11" ht="13.5" customHeight="1" x14ac:dyDescent="0.2">
      <c r="E814" s="50"/>
      <c r="H814" s="61"/>
      <c r="K814"/>
    </row>
    <row r="815" spans="5:11" ht="13.5" customHeight="1" x14ac:dyDescent="0.2">
      <c r="E815" s="50"/>
      <c r="H815" s="61"/>
      <c r="K815"/>
    </row>
    <row r="816" spans="5:11" ht="13.5" customHeight="1" x14ac:dyDescent="0.2">
      <c r="E816" s="50"/>
      <c r="H816" s="61"/>
      <c r="K816"/>
    </row>
    <row r="817" spans="5:11" ht="13.5" customHeight="1" x14ac:dyDescent="0.2">
      <c r="E817" s="50"/>
      <c r="H817" s="61"/>
      <c r="K817"/>
    </row>
    <row r="818" spans="5:11" ht="13.5" customHeight="1" x14ac:dyDescent="0.2">
      <c r="E818" s="50"/>
      <c r="H818" s="61"/>
      <c r="K818"/>
    </row>
    <row r="819" spans="5:11" ht="13.5" customHeight="1" x14ac:dyDescent="0.2">
      <c r="E819" s="50"/>
      <c r="H819" s="61"/>
      <c r="K819"/>
    </row>
    <row r="820" spans="5:11" ht="13.5" customHeight="1" x14ac:dyDescent="0.2">
      <c r="E820" s="50"/>
      <c r="H820" s="61"/>
      <c r="K820"/>
    </row>
    <row r="821" spans="5:11" ht="13.5" customHeight="1" x14ac:dyDescent="0.2">
      <c r="E821" s="50"/>
      <c r="H821" s="61"/>
      <c r="K821"/>
    </row>
    <row r="822" spans="5:11" ht="13.5" customHeight="1" x14ac:dyDescent="0.2">
      <c r="E822" s="50"/>
      <c r="H822" s="61"/>
      <c r="K822"/>
    </row>
    <row r="823" spans="5:11" ht="13.5" customHeight="1" x14ac:dyDescent="0.2">
      <c r="E823" s="50"/>
      <c r="H823" s="61"/>
      <c r="K823"/>
    </row>
    <row r="824" spans="5:11" ht="13.5" customHeight="1" x14ac:dyDescent="0.2">
      <c r="E824" s="50"/>
      <c r="H824" s="61"/>
      <c r="K824"/>
    </row>
    <row r="825" spans="5:11" ht="13.5" customHeight="1" x14ac:dyDescent="0.2">
      <c r="E825" s="50"/>
      <c r="H825" s="61"/>
      <c r="K825"/>
    </row>
    <row r="826" spans="5:11" ht="13.5" customHeight="1" x14ac:dyDescent="0.2">
      <c r="E826" s="50"/>
      <c r="H826" s="61"/>
      <c r="K826"/>
    </row>
    <row r="827" spans="5:11" ht="13.5" customHeight="1" x14ac:dyDescent="0.2">
      <c r="E827" s="50"/>
      <c r="H827" s="61"/>
      <c r="K827"/>
    </row>
    <row r="828" spans="5:11" ht="13.5" customHeight="1" x14ac:dyDescent="0.2">
      <c r="E828" s="50"/>
      <c r="H828" s="61"/>
      <c r="K828"/>
    </row>
    <row r="829" spans="5:11" ht="13.5" customHeight="1" x14ac:dyDescent="0.2">
      <c r="E829" s="50"/>
      <c r="H829" s="61"/>
      <c r="K829"/>
    </row>
    <row r="830" spans="5:11" ht="13.5" customHeight="1" x14ac:dyDescent="0.2">
      <c r="E830" s="50"/>
      <c r="H830" s="61"/>
      <c r="K830"/>
    </row>
    <row r="831" spans="5:11" ht="13.5" customHeight="1" x14ac:dyDescent="0.2">
      <c r="E831" s="50"/>
      <c r="H831" s="61"/>
      <c r="K831"/>
    </row>
    <row r="832" spans="5:11" ht="13.5" customHeight="1" x14ac:dyDescent="0.2">
      <c r="E832" s="50"/>
      <c r="H832" s="61"/>
      <c r="K832"/>
    </row>
    <row r="833" spans="5:11" ht="13.5" customHeight="1" x14ac:dyDescent="0.2">
      <c r="E833" s="50"/>
      <c r="H833" s="61"/>
      <c r="K833"/>
    </row>
    <row r="834" spans="5:11" ht="13.5" customHeight="1" x14ac:dyDescent="0.2">
      <c r="E834" s="50"/>
      <c r="H834" s="61"/>
      <c r="K834"/>
    </row>
    <row r="835" spans="5:11" ht="13.5" customHeight="1" x14ac:dyDescent="0.2">
      <c r="E835" s="50"/>
      <c r="H835" s="61"/>
      <c r="K835"/>
    </row>
    <row r="836" spans="5:11" ht="13.5" customHeight="1" x14ac:dyDescent="0.2">
      <c r="E836" s="50"/>
      <c r="H836" s="61"/>
      <c r="K836"/>
    </row>
    <row r="837" spans="5:11" ht="13.5" customHeight="1" x14ac:dyDescent="0.2">
      <c r="E837" s="50"/>
      <c r="H837" s="61"/>
      <c r="K837"/>
    </row>
    <row r="838" spans="5:11" ht="13.5" customHeight="1" x14ac:dyDescent="0.2">
      <c r="E838" s="50"/>
      <c r="H838" s="61"/>
      <c r="K838"/>
    </row>
    <row r="839" spans="5:11" ht="13.5" customHeight="1" x14ac:dyDescent="0.2">
      <c r="E839" s="50"/>
      <c r="H839" s="61"/>
      <c r="K839"/>
    </row>
    <row r="840" spans="5:11" ht="13.5" customHeight="1" x14ac:dyDescent="0.2">
      <c r="E840" s="50"/>
      <c r="H840" s="61"/>
      <c r="K840"/>
    </row>
    <row r="841" spans="5:11" ht="13.5" customHeight="1" x14ac:dyDescent="0.2">
      <c r="E841" s="50"/>
      <c r="H841" s="61"/>
      <c r="K841"/>
    </row>
    <row r="842" spans="5:11" ht="13.5" customHeight="1" x14ac:dyDescent="0.2">
      <c r="E842" s="50"/>
      <c r="H842" s="61"/>
      <c r="K842"/>
    </row>
    <row r="843" spans="5:11" ht="13.5" customHeight="1" x14ac:dyDescent="0.2">
      <c r="E843" s="50"/>
      <c r="H843" s="61"/>
      <c r="K843"/>
    </row>
    <row r="844" spans="5:11" ht="13.5" customHeight="1" x14ac:dyDescent="0.2">
      <c r="E844" s="50"/>
      <c r="H844" s="61"/>
      <c r="K844"/>
    </row>
    <row r="845" spans="5:11" ht="13.5" customHeight="1" x14ac:dyDescent="0.2">
      <c r="E845" s="50"/>
      <c r="H845" s="61"/>
      <c r="K845"/>
    </row>
    <row r="846" spans="5:11" ht="13.5" customHeight="1" x14ac:dyDescent="0.2">
      <c r="E846" s="50"/>
      <c r="H846" s="61"/>
      <c r="K846"/>
    </row>
    <row r="847" spans="5:11" ht="13.5" customHeight="1" x14ac:dyDescent="0.2">
      <c r="E847" s="50"/>
      <c r="H847" s="61"/>
      <c r="K847"/>
    </row>
    <row r="848" spans="5:11" ht="13.5" customHeight="1" x14ac:dyDescent="0.2">
      <c r="E848" s="50"/>
      <c r="H848" s="61"/>
      <c r="K848"/>
    </row>
    <row r="849" spans="5:11" ht="13.5" customHeight="1" x14ac:dyDescent="0.2">
      <c r="E849" s="50"/>
      <c r="H849" s="61"/>
      <c r="K849"/>
    </row>
    <row r="850" spans="5:11" ht="13.5" customHeight="1" x14ac:dyDescent="0.2">
      <c r="E850" s="50"/>
      <c r="H850" s="61"/>
      <c r="K850"/>
    </row>
    <row r="851" spans="5:11" ht="13.5" customHeight="1" x14ac:dyDescent="0.2">
      <c r="E851" s="50"/>
      <c r="H851" s="61"/>
      <c r="K851"/>
    </row>
    <row r="852" spans="5:11" ht="13.5" customHeight="1" x14ac:dyDescent="0.2">
      <c r="E852" s="50"/>
      <c r="H852" s="61"/>
      <c r="K852"/>
    </row>
    <row r="853" spans="5:11" ht="13.5" customHeight="1" x14ac:dyDescent="0.2">
      <c r="E853" s="50"/>
      <c r="H853" s="61"/>
      <c r="K853"/>
    </row>
    <row r="854" spans="5:11" ht="13.5" customHeight="1" x14ac:dyDescent="0.2">
      <c r="E854" s="50"/>
      <c r="H854" s="61"/>
      <c r="K854"/>
    </row>
    <row r="855" spans="5:11" ht="13.5" customHeight="1" x14ac:dyDescent="0.2">
      <c r="E855" s="50"/>
      <c r="H855" s="12"/>
      <c r="K855"/>
    </row>
    <row r="856" spans="5:11" ht="13.5" customHeight="1" x14ac:dyDescent="0.2">
      <c r="E856" s="50"/>
      <c r="H856" s="12"/>
      <c r="K856"/>
    </row>
    <row r="857" spans="5:11" ht="13.5" customHeight="1" x14ac:dyDescent="0.2">
      <c r="E857" s="50"/>
      <c r="H857" s="12"/>
      <c r="K857"/>
    </row>
    <row r="858" spans="5:11" ht="13.5" customHeight="1" x14ac:dyDescent="0.2">
      <c r="E858" s="50"/>
      <c r="H858" s="12"/>
      <c r="K858"/>
    </row>
    <row r="859" spans="5:11" ht="13.5" customHeight="1" x14ac:dyDescent="0.2">
      <c r="E859" s="50"/>
      <c r="H859" s="12"/>
      <c r="K859"/>
    </row>
    <row r="860" spans="5:11" ht="13.5" customHeight="1" x14ac:dyDescent="0.2">
      <c r="E860" s="50"/>
      <c r="H860" s="12"/>
      <c r="K860"/>
    </row>
    <row r="861" spans="5:11" ht="13.5" customHeight="1" x14ac:dyDescent="0.2">
      <c r="E861" s="50"/>
      <c r="H861" s="12"/>
      <c r="K861"/>
    </row>
    <row r="862" spans="5:11" ht="13.5" customHeight="1" x14ac:dyDescent="0.2">
      <c r="E862" s="50"/>
      <c r="H862" s="12"/>
      <c r="K862"/>
    </row>
    <row r="863" spans="5:11" ht="13.5" customHeight="1" x14ac:dyDescent="0.2">
      <c r="E863" s="50"/>
      <c r="H863" s="12"/>
      <c r="K863"/>
    </row>
    <row r="864" spans="5:11" ht="13.5" customHeight="1" x14ac:dyDescent="0.2">
      <c r="E864" s="50"/>
      <c r="H864" s="12"/>
      <c r="K864"/>
    </row>
    <row r="865" spans="5:11" ht="13.5" customHeight="1" x14ac:dyDescent="0.2">
      <c r="E865" s="50"/>
      <c r="H865" s="12"/>
      <c r="K865"/>
    </row>
    <row r="866" spans="5:11" ht="13.5" customHeight="1" x14ac:dyDescent="0.2">
      <c r="E866" s="50"/>
      <c r="H866" s="12"/>
      <c r="K866"/>
    </row>
    <row r="867" spans="5:11" ht="13.5" customHeight="1" x14ac:dyDescent="0.2">
      <c r="E867" s="50"/>
      <c r="H867" s="12"/>
      <c r="K867"/>
    </row>
    <row r="868" spans="5:11" ht="13.5" customHeight="1" x14ac:dyDescent="0.2">
      <c r="E868" s="50"/>
      <c r="H868" s="12"/>
      <c r="K868"/>
    </row>
    <row r="869" spans="5:11" ht="13.5" customHeight="1" x14ac:dyDescent="0.2">
      <c r="E869" s="50"/>
      <c r="H869" s="12"/>
      <c r="K869"/>
    </row>
    <row r="870" spans="5:11" ht="13.5" customHeight="1" x14ac:dyDescent="0.2">
      <c r="E870" s="50"/>
      <c r="H870" s="12"/>
      <c r="K870"/>
    </row>
    <row r="871" spans="5:11" ht="13.5" customHeight="1" x14ac:dyDescent="0.2">
      <c r="E871" s="50"/>
      <c r="H871" s="12"/>
      <c r="K871"/>
    </row>
    <row r="872" spans="5:11" ht="13.5" customHeight="1" x14ac:dyDescent="0.2">
      <c r="E872" s="50"/>
      <c r="H872" s="12"/>
      <c r="K872"/>
    </row>
    <row r="873" spans="5:11" ht="13.5" customHeight="1" x14ac:dyDescent="0.2">
      <c r="E873" s="50"/>
      <c r="H873" s="12"/>
      <c r="K873"/>
    </row>
    <row r="874" spans="5:11" ht="13.5" customHeight="1" x14ac:dyDescent="0.2">
      <c r="E874" s="50"/>
      <c r="H874" s="12"/>
      <c r="K874"/>
    </row>
    <row r="875" spans="5:11" ht="13.5" customHeight="1" x14ac:dyDescent="0.2">
      <c r="E875" s="50"/>
      <c r="H875" s="12"/>
      <c r="K875"/>
    </row>
    <row r="876" spans="5:11" ht="13.5" customHeight="1" x14ac:dyDescent="0.2">
      <c r="E876" s="50"/>
      <c r="H876" s="12"/>
      <c r="K876"/>
    </row>
    <row r="877" spans="5:11" ht="13.5" customHeight="1" x14ac:dyDescent="0.2">
      <c r="E877" s="50"/>
      <c r="H877" s="12"/>
      <c r="K877"/>
    </row>
    <row r="878" spans="5:11" ht="13.5" customHeight="1" x14ac:dyDescent="0.2">
      <c r="E878" s="50"/>
      <c r="H878" s="12"/>
      <c r="K878"/>
    </row>
    <row r="879" spans="5:11" ht="13.5" customHeight="1" x14ac:dyDescent="0.2">
      <c r="E879" s="50"/>
      <c r="H879" s="12"/>
      <c r="K879"/>
    </row>
    <row r="880" spans="5:11" ht="13.5" customHeight="1" x14ac:dyDescent="0.2">
      <c r="E880" s="50"/>
      <c r="H880" s="12"/>
      <c r="K880"/>
    </row>
    <row r="881" spans="5:11" ht="13.5" customHeight="1" x14ac:dyDescent="0.2">
      <c r="E881" s="50"/>
      <c r="H881" s="12"/>
      <c r="K881"/>
    </row>
    <row r="882" spans="5:11" ht="13.5" customHeight="1" x14ac:dyDescent="0.2">
      <c r="E882" s="50"/>
      <c r="H882" s="12"/>
      <c r="K882"/>
    </row>
    <row r="883" spans="5:11" ht="13.5" customHeight="1" x14ac:dyDescent="0.2">
      <c r="E883" s="50"/>
      <c r="H883" s="12"/>
      <c r="K883"/>
    </row>
    <row r="884" spans="5:11" ht="13.5" customHeight="1" x14ac:dyDescent="0.2">
      <c r="E884" s="50"/>
      <c r="H884" s="12"/>
      <c r="K884"/>
    </row>
    <row r="885" spans="5:11" ht="13.5" customHeight="1" x14ac:dyDescent="0.2">
      <c r="E885" s="50"/>
      <c r="H885" s="12"/>
      <c r="K885"/>
    </row>
    <row r="886" spans="5:11" ht="13.5" customHeight="1" x14ac:dyDescent="0.2">
      <c r="E886" s="50"/>
      <c r="H886" s="12"/>
      <c r="K886"/>
    </row>
    <row r="887" spans="5:11" ht="13.5" customHeight="1" x14ac:dyDescent="0.2">
      <c r="E887" s="50"/>
      <c r="H887" s="12"/>
      <c r="K887"/>
    </row>
    <row r="888" spans="5:11" ht="13.5" customHeight="1" x14ac:dyDescent="0.2">
      <c r="E888" s="50"/>
      <c r="H888" s="12"/>
      <c r="K888"/>
    </row>
    <row r="889" spans="5:11" ht="13.5" customHeight="1" x14ac:dyDescent="0.2">
      <c r="E889" s="50"/>
      <c r="H889" s="12"/>
      <c r="K889"/>
    </row>
    <row r="890" spans="5:11" ht="13.5" customHeight="1" x14ac:dyDescent="0.2">
      <c r="E890" s="50"/>
      <c r="H890" s="12"/>
      <c r="K890"/>
    </row>
    <row r="891" spans="5:11" ht="13.5" customHeight="1" x14ac:dyDescent="0.2">
      <c r="E891" s="50"/>
      <c r="H891" s="12"/>
      <c r="K891"/>
    </row>
    <row r="892" spans="5:11" ht="13.5" customHeight="1" x14ac:dyDescent="0.2">
      <c r="E892" s="50"/>
      <c r="H892" s="12"/>
      <c r="K892"/>
    </row>
    <row r="893" spans="5:11" ht="13.5" customHeight="1" x14ac:dyDescent="0.2">
      <c r="E893" s="50"/>
      <c r="H893" s="12"/>
      <c r="K893"/>
    </row>
    <row r="894" spans="5:11" ht="13.5" customHeight="1" x14ac:dyDescent="0.2">
      <c r="E894" s="50"/>
      <c r="H894" s="12"/>
      <c r="K894"/>
    </row>
    <row r="895" spans="5:11" ht="13.5" customHeight="1" x14ac:dyDescent="0.2">
      <c r="E895" s="50"/>
      <c r="H895" s="12"/>
      <c r="K895"/>
    </row>
    <row r="896" spans="5:11" ht="13.5" customHeight="1" x14ac:dyDescent="0.2">
      <c r="E896" s="50"/>
      <c r="H896" s="12"/>
      <c r="K896"/>
    </row>
    <row r="897" spans="5:11" ht="13.5" customHeight="1" x14ac:dyDescent="0.2">
      <c r="E897" s="50"/>
      <c r="H897" s="12"/>
      <c r="K897"/>
    </row>
    <row r="898" spans="5:11" ht="13.5" customHeight="1" x14ac:dyDescent="0.2">
      <c r="E898" s="50"/>
      <c r="H898" s="12"/>
      <c r="K898"/>
    </row>
    <row r="899" spans="5:11" ht="13.5" customHeight="1" x14ac:dyDescent="0.2">
      <c r="E899" s="50"/>
      <c r="H899" s="12"/>
      <c r="K899"/>
    </row>
    <row r="900" spans="5:11" ht="13.5" customHeight="1" x14ac:dyDescent="0.2">
      <c r="E900" s="50"/>
      <c r="H900" s="12"/>
      <c r="K900"/>
    </row>
    <row r="901" spans="5:11" ht="13.5" customHeight="1" x14ac:dyDescent="0.2">
      <c r="E901" s="50"/>
      <c r="H901" s="12"/>
      <c r="K901"/>
    </row>
    <row r="902" spans="5:11" ht="13.5" customHeight="1" x14ac:dyDescent="0.2">
      <c r="E902" s="50"/>
      <c r="H902" s="12"/>
      <c r="K902"/>
    </row>
    <row r="903" spans="5:11" ht="13.5" customHeight="1" x14ac:dyDescent="0.2">
      <c r="E903" s="50"/>
      <c r="H903" s="12"/>
      <c r="K903"/>
    </row>
    <row r="904" spans="5:11" ht="13.5" customHeight="1" x14ac:dyDescent="0.2">
      <c r="E904" s="50"/>
      <c r="H904" s="12"/>
      <c r="K904"/>
    </row>
    <row r="905" spans="5:11" ht="13.5" customHeight="1" x14ac:dyDescent="0.2">
      <c r="E905" s="50"/>
      <c r="H905" s="12"/>
      <c r="K905"/>
    </row>
    <row r="906" spans="5:11" ht="13.5" customHeight="1" x14ac:dyDescent="0.2">
      <c r="E906" s="50"/>
      <c r="H906" s="12"/>
      <c r="K906"/>
    </row>
    <row r="907" spans="5:11" ht="13.5" customHeight="1" x14ac:dyDescent="0.2">
      <c r="E907" s="50"/>
      <c r="H907" s="12"/>
      <c r="K907"/>
    </row>
    <row r="908" spans="5:11" ht="13.5" customHeight="1" x14ac:dyDescent="0.2">
      <c r="E908" s="50"/>
      <c r="H908" s="12"/>
      <c r="K908"/>
    </row>
    <row r="909" spans="5:11" ht="13.5" customHeight="1" x14ac:dyDescent="0.2">
      <c r="E909" s="50"/>
      <c r="H909" s="12"/>
      <c r="K909"/>
    </row>
    <row r="910" spans="5:11" ht="13.5" customHeight="1" x14ac:dyDescent="0.2">
      <c r="E910" s="50"/>
      <c r="H910" s="12"/>
      <c r="K910"/>
    </row>
    <row r="911" spans="5:11" ht="13.5" customHeight="1" x14ac:dyDescent="0.2">
      <c r="E911" s="50"/>
      <c r="H911" s="12"/>
      <c r="K911"/>
    </row>
    <row r="912" spans="5:11" ht="13.5" customHeight="1" x14ac:dyDescent="0.2">
      <c r="E912" s="50"/>
      <c r="H912" s="12"/>
      <c r="K912"/>
    </row>
    <row r="913" spans="5:11" ht="13.5" customHeight="1" x14ac:dyDescent="0.2">
      <c r="E913" s="50"/>
      <c r="H913" s="12"/>
      <c r="K913"/>
    </row>
    <row r="914" spans="5:11" ht="13.5" customHeight="1" x14ac:dyDescent="0.2">
      <c r="E914" s="50"/>
      <c r="H914" s="12"/>
      <c r="K914"/>
    </row>
    <row r="915" spans="5:11" ht="13.5" customHeight="1" x14ac:dyDescent="0.2">
      <c r="E915" s="50"/>
      <c r="H915" s="12"/>
      <c r="K915"/>
    </row>
    <row r="916" spans="5:11" ht="13.5" customHeight="1" x14ac:dyDescent="0.2">
      <c r="E916" s="50"/>
      <c r="H916" s="12"/>
      <c r="K916"/>
    </row>
    <row r="917" spans="5:11" ht="13.5" customHeight="1" x14ac:dyDescent="0.2">
      <c r="E917" s="50"/>
      <c r="H917" s="12"/>
      <c r="K917"/>
    </row>
    <row r="918" spans="5:11" ht="13.5" customHeight="1" x14ac:dyDescent="0.2">
      <c r="E918" s="50"/>
      <c r="H918" s="12"/>
      <c r="K918"/>
    </row>
    <row r="919" spans="5:11" ht="13.5" customHeight="1" x14ac:dyDescent="0.2">
      <c r="E919" s="50"/>
      <c r="H919" s="12"/>
      <c r="K919"/>
    </row>
    <row r="920" spans="5:11" ht="13.5" customHeight="1" x14ac:dyDescent="0.2">
      <c r="E920" s="50"/>
      <c r="H920" s="12"/>
      <c r="K920"/>
    </row>
    <row r="921" spans="5:11" ht="13.5" customHeight="1" x14ac:dyDescent="0.2">
      <c r="E921" s="50"/>
      <c r="H921" s="12"/>
      <c r="K921"/>
    </row>
    <row r="922" spans="5:11" ht="13.5" customHeight="1" x14ac:dyDescent="0.2">
      <c r="E922" s="50"/>
      <c r="H922" s="12"/>
      <c r="K922"/>
    </row>
    <row r="923" spans="5:11" ht="13.5" customHeight="1" x14ac:dyDescent="0.2">
      <c r="E923" s="50"/>
      <c r="H923" s="12"/>
      <c r="K923"/>
    </row>
    <row r="924" spans="5:11" ht="13.5" customHeight="1" x14ac:dyDescent="0.2">
      <c r="E924" s="50"/>
      <c r="H924" s="12"/>
      <c r="K924"/>
    </row>
    <row r="925" spans="5:11" ht="13.5" customHeight="1" x14ac:dyDescent="0.2">
      <c r="E925" s="50"/>
      <c r="H925" s="12"/>
      <c r="K925"/>
    </row>
    <row r="926" spans="5:11" ht="13.5" customHeight="1" x14ac:dyDescent="0.2">
      <c r="E926" s="50"/>
      <c r="H926" s="12"/>
      <c r="K926"/>
    </row>
    <row r="927" spans="5:11" ht="13.5" customHeight="1" x14ac:dyDescent="0.2">
      <c r="E927" s="50"/>
      <c r="H927" s="12"/>
      <c r="K927"/>
    </row>
    <row r="928" spans="5:11" ht="13.5" customHeight="1" x14ac:dyDescent="0.2">
      <c r="E928" s="50"/>
      <c r="H928" s="12"/>
      <c r="K928"/>
    </row>
    <row r="929" spans="5:11" ht="13.5" customHeight="1" x14ac:dyDescent="0.2">
      <c r="E929" s="50"/>
      <c r="H929" s="12"/>
      <c r="K929"/>
    </row>
    <row r="930" spans="5:11" ht="13.5" customHeight="1" x14ac:dyDescent="0.2">
      <c r="E930" s="50"/>
      <c r="H930" s="12"/>
      <c r="K930"/>
    </row>
    <row r="931" spans="5:11" ht="13.5" customHeight="1" x14ac:dyDescent="0.2">
      <c r="E931" s="50"/>
      <c r="H931" s="12"/>
      <c r="K931"/>
    </row>
    <row r="932" spans="5:11" ht="13.5" customHeight="1" x14ac:dyDescent="0.2">
      <c r="E932" s="50"/>
      <c r="H932" s="12"/>
      <c r="K932"/>
    </row>
    <row r="933" spans="5:11" ht="13.5" customHeight="1" x14ac:dyDescent="0.2">
      <c r="E933" s="50"/>
      <c r="H933" s="12"/>
      <c r="K933"/>
    </row>
    <row r="934" spans="5:11" ht="13.5" customHeight="1" x14ac:dyDescent="0.2">
      <c r="E934" s="50"/>
      <c r="H934" s="12"/>
      <c r="K934"/>
    </row>
    <row r="935" spans="5:11" ht="13.5" customHeight="1" x14ac:dyDescent="0.2">
      <c r="E935" s="50"/>
      <c r="H935" s="12"/>
      <c r="K935"/>
    </row>
    <row r="936" spans="5:11" ht="13.5" customHeight="1" x14ac:dyDescent="0.2">
      <c r="E936" s="50"/>
      <c r="H936" s="12"/>
      <c r="K936"/>
    </row>
    <row r="937" spans="5:11" ht="13.5" customHeight="1" x14ac:dyDescent="0.2">
      <c r="E937" s="50"/>
      <c r="H937" s="12"/>
      <c r="K937"/>
    </row>
    <row r="938" spans="5:11" ht="13.5" customHeight="1" x14ac:dyDescent="0.2">
      <c r="E938" s="50"/>
      <c r="H938" s="12"/>
      <c r="K938"/>
    </row>
    <row r="939" spans="5:11" ht="13.5" customHeight="1" x14ac:dyDescent="0.2">
      <c r="E939" s="50"/>
      <c r="H939" s="12"/>
      <c r="K939"/>
    </row>
    <row r="940" spans="5:11" ht="13.5" customHeight="1" x14ac:dyDescent="0.2">
      <c r="E940" s="50"/>
      <c r="H940" s="12"/>
      <c r="K940"/>
    </row>
    <row r="941" spans="5:11" ht="13.5" customHeight="1" x14ac:dyDescent="0.2">
      <c r="E941" s="50"/>
      <c r="H941" s="12"/>
      <c r="K941"/>
    </row>
    <row r="942" spans="5:11" ht="13.5" customHeight="1" x14ac:dyDescent="0.2">
      <c r="E942" s="50"/>
      <c r="H942" s="12"/>
      <c r="K942"/>
    </row>
    <row r="943" spans="5:11" ht="13.5" customHeight="1" x14ac:dyDescent="0.2">
      <c r="E943" s="50"/>
      <c r="H943" s="12"/>
      <c r="K943"/>
    </row>
    <row r="944" spans="5:11" ht="13.5" customHeight="1" x14ac:dyDescent="0.2">
      <c r="E944" s="50"/>
      <c r="H944" s="12"/>
      <c r="K944"/>
    </row>
    <row r="945" spans="5:11" ht="13.5" customHeight="1" x14ac:dyDescent="0.2">
      <c r="E945" s="50"/>
      <c r="H945" s="12"/>
      <c r="K945"/>
    </row>
    <row r="946" spans="5:11" ht="13.5" customHeight="1" x14ac:dyDescent="0.2">
      <c r="E946" s="50"/>
      <c r="H946" s="12"/>
      <c r="K946"/>
    </row>
    <row r="947" spans="5:11" ht="13.5" customHeight="1" x14ac:dyDescent="0.2">
      <c r="E947" s="50"/>
      <c r="H947" s="12"/>
      <c r="K947"/>
    </row>
    <row r="948" spans="5:11" ht="13.5" customHeight="1" x14ac:dyDescent="0.2">
      <c r="E948" s="50"/>
      <c r="H948" s="12"/>
      <c r="K948"/>
    </row>
    <row r="949" spans="5:11" ht="13.5" customHeight="1" x14ac:dyDescent="0.2">
      <c r="E949" s="50"/>
      <c r="H949" s="12"/>
      <c r="K949"/>
    </row>
    <row r="950" spans="5:11" ht="13.5" customHeight="1" x14ac:dyDescent="0.2">
      <c r="E950" s="50"/>
      <c r="H950" s="12"/>
      <c r="K950"/>
    </row>
    <row r="951" spans="5:11" ht="13.5" customHeight="1" x14ac:dyDescent="0.2">
      <c r="E951" s="50"/>
      <c r="H951" s="12"/>
      <c r="K951"/>
    </row>
    <row r="952" spans="5:11" ht="13.5" customHeight="1" x14ac:dyDescent="0.2">
      <c r="E952" s="50"/>
      <c r="H952" s="12"/>
      <c r="K952"/>
    </row>
    <row r="953" spans="5:11" ht="13.5" customHeight="1" x14ac:dyDescent="0.2">
      <c r="E953" s="50"/>
      <c r="H953" s="12"/>
      <c r="K953"/>
    </row>
    <row r="954" spans="5:11" ht="13.5" customHeight="1" x14ac:dyDescent="0.2">
      <c r="E954" s="50"/>
      <c r="H954" s="12"/>
      <c r="K954"/>
    </row>
    <row r="955" spans="5:11" ht="13.5" customHeight="1" x14ac:dyDescent="0.2">
      <c r="E955" s="50"/>
      <c r="H955" s="12"/>
      <c r="K955"/>
    </row>
    <row r="956" spans="5:11" ht="14.25" customHeight="1" x14ac:dyDescent="0.2">
      <c r="E956" s="50"/>
      <c r="H956" s="12"/>
      <c r="K956"/>
    </row>
    <row r="957" spans="5:11" ht="13.5" customHeight="1" x14ac:dyDescent="0.2">
      <c r="E957" s="50"/>
      <c r="H957" s="12"/>
      <c r="K957"/>
    </row>
    <row r="958" spans="5:11" ht="13.5" customHeight="1" x14ac:dyDescent="0.2">
      <c r="E958" s="50"/>
      <c r="H958" s="12"/>
      <c r="K958"/>
    </row>
    <row r="959" spans="5:11" ht="13.5" customHeight="1" x14ac:dyDescent="0.2">
      <c r="E959" s="50"/>
      <c r="H959" s="12"/>
      <c r="K959"/>
    </row>
    <row r="960" spans="5:11" ht="13.5" customHeight="1" x14ac:dyDescent="0.2">
      <c r="E960" s="50"/>
      <c r="H960" s="12"/>
      <c r="K960"/>
    </row>
    <row r="961" spans="5:11" ht="13.5" customHeight="1" x14ac:dyDescent="0.2">
      <c r="E961" s="50"/>
      <c r="H961" s="12"/>
      <c r="K961"/>
    </row>
    <row r="962" spans="5:11" ht="13.5" customHeight="1" x14ac:dyDescent="0.2">
      <c r="E962" s="50"/>
      <c r="H962" s="12"/>
      <c r="K962"/>
    </row>
    <row r="963" spans="5:11" ht="13.5" customHeight="1" x14ac:dyDescent="0.2">
      <c r="E963" s="50"/>
      <c r="H963" s="12"/>
      <c r="K963"/>
    </row>
    <row r="964" spans="5:11" ht="13.5" customHeight="1" x14ac:dyDescent="0.2">
      <c r="E964" s="50"/>
      <c r="H964" s="12"/>
      <c r="K964"/>
    </row>
    <row r="965" spans="5:11" ht="13.5" customHeight="1" x14ac:dyDescent="0.2">
      <c r="E965" s="50"/>
      <c r="H965" s="12"/>
      <c r="K965"/>
    </row>
    <row r="966" spans="5:11" ht="13.5" customHeight="1" x14ac:dyDescent="0.2">
      <c r="E966" s="50"/>
      <c r="H966" s="12"/>
      <c r="K966"/>
    </row>
    <row r="967" spans="5:11" ht="13.5" customHeight="1" x14ac:dyDescent="0.2">
      <c r="E967" s="50"/>
      <c r="H967" s="12"/>
      <c r="K967"/>
    </row>
    <row r="968" spans="5:11" ht="13.5" customHeight="1" x14ac:dyDescent="0.2">
      <c r="E968" s="50"/>
      <c r="H968" s="12"/>
      <c r="K968"/>
    </row>
    <row r="969" spans="5:11" ht="13.5" customHeight="1" x14ac:dyDescent="0.2">
      <c r="E969" s="50"/>
      <c r="H969" s="12"/>
      <c r="K969"/>
    </row>
    <row r="970" spans="5:11" ht="13.5" customHeight="1" x14ac:dyDescent="0.2">
      <c r="E970" s="50"/>
      <c r="H970" s="12"/>
      <c r="K970"/>
    </row>
    <row r="971" spans="5:11" ht="13.5" customHeight="1" x14ac:dyDescent="0.2">
      <c r="E971" s="50"/>
      <c r="H971" s="12"/>
      <c r="K971"/>
    </row>
    <row r="972" spans="5:11" ht="13.5" customHeight="1" x14ac:dyDescent="0.2">
      <c r="E972" s="50"/>
      <c r="H972" s="12"/>
      <c r="K972"/>
    </row>
    <row r="973" spans="5:11" ht="13.5" customHeight="1" x14ac:dyDescent="0.2">
      <c r="E973" s="50"/>
      <c r="H973" s="12"/>
      <c r="K973"/>
    </row>
    <row r="974" spans="5:11" ht="13.5" customHeight="1" x14ac:dyDescent="0.2">
      <c r="E974" s="50"/>
      <c r="H974" s="12"/>
      <c r="K974"/>
    </row>
    <row r="975" spans="5:11" ht="13.5" customHeight="1" x14ac:dyDescent="0.2">
      <c r="E975" s="50"/>
      <c r="H975" s="12"/>
      <c r="K975"/>
    </row>
    <row r="976" spans="5:11" ht="13.5" customHeight="1" x14ac:dyDescent="0.2">
      <c r="E976" s="50"/>
      <c r="H976" s="12"/>
      <c r="K976"/>
    </row>
    <row r="977" spans="5:11" ht="13.5" customHeight="1" x14ac:dyDescent="0.2">
      <c r="E977" s="50"/>
      <c r="H977" s="12"/>
      <c r="K977"/>
    </row>
    <row r="978" spans="5:11" ht="13.5" customHeight="1" x14ac:dyDescent="0.2">
      <c r="E978" s="50"/>
      <c r="H978" s="12"/>
      <c r="K978"/>
    </row>
    <row r="979" spans="5:11" ht="13.5" customHeight="1" x14ac:dyDescent="0.2">
      <c r="E979" s="50"/>
      <c r="H979" s="12"/>
      <c r="K979"/>
    </row>
    <row r="980" spans="5:11" ht="13.5" customHeight="1" x14ac:dyDescent="0.2">
      <c r="E980" s="50"/>
      <c r="H980" s="12"/>
      <c r="K980"/>
    </row>
    <row r="981" spans="5:11" ht="13.5" customHeight="1" x14ac:dyDescent="0.2">
      <c r="E981" s="50"/>
      <c r="H981" s="12"/>
      <c r="K981"/>
    </row>
    <row r="982" spans="5:11" ht="13.5" customHeight="1" x14ac:dyDescent="0.2">
      <c r="E982" s="50"/>
      <c r="H982" s="12"/>
      <c r="K982"/>
    </row>
    <row r="983" spans="5:11" ht="13.5" customHeight="1" x14ac:dyDescent="0.2">
      <c r="E983" s="50"/>
      <c r="H983" s="12"/>
      <c r="K983"/>
    </row>
    <row r="984" spans="5:11" ht="13.5" customHeight="1" x14ac:dyDescent="0.2">
      <c r="E984" s="50"/>
      <c r="H984" s="12"/>
      <c r="K984"/>
    </row>
    <row r="985" spans="5:11" ht="13.5" customHeight="1" x14ac:dyDescent="0.2">
      <c r="E985" s="50"/>
      <c r="H985" s="12"/>
      <c r="K985"/>
    </row>
    <row r="986" spans="5:11" ht="13.5" customHeight="1" x14ac:dyDescent="0.2">
      <c r="E986" s="50"/>
      <c r="H986" s="12"/>
      <c r="K986"/>
    </row>
    <row r="987" spans="5:11" ht="13.5" customHeight="1" x14ac:dyDescent="0.2">
      <c r="E987" s="50"/>
      <c r="H987" s="12"/>
      <c r="K987"/>
    </row>
    <row r="988" spans="5:11" ht="13.5" customHeight="1" x14ac:dyDescent="0.2">
      <c r="E988" s="50"/>
      <c r="H988" s="12"/>
      <c r="K988"/>
    </row>
    <row r="989" spans="5:11" ht="13.5" customHeight="1" x14ac:dyDescent="0.2">
      <c r="E989" s="50"/>
      <c r="H989" s="12"/>
      <c r="K989"/>
    </row>
    <row r="990" spans="5:11" ht="13.5" customHeight="1" x14ac:dyDescent="0.2">
      <c r="E990" s="50"/>
      <c r="H990" s="12"/>
      <c r="K990"/>
    </row>
    <row r="991" spans="5:11" ht="13.5" customHeight="1" x14ac:dyDescent="0.2">
      <c r="E991" s="50"/>
      <c r="H991" s="12"/>
      <c r="K991"/>
    </row>
    <row r="992" spans="5:11" ht="13.5" customHeight="1" x14ac:dyDescent="0.2">
      <c r="E992" s="50"/>
      <c r="H992" s="12"/>
      <c r="K992"/>
    </row>
    <row r="993" spans="5:11" ht="13.5" customHeight="1" x14ac:dyDescent="0.2">
      <c r="E993" s="50"/>
      <c r="H993" s="12"/>
      <c r="K993"/>
    </row>
    <row r="994" spans="5:11" ht="13.5" customHeight="1" x14ac:dyDescent="0.2">
      <c r="E994" s="50"/>
      <c r="H994" s="12"/>
      <c r="K994"/>
    </row>
    <row r="995" spans="5:11" ht="13.5" customHeight="1" x14ac:dyDescent="0.2">
      <c r="E995" s="50"/>
      <c r="H995" s="12"/>
      <c r="K995"/>
    </row>
    <row r="996" spans="5:11" ht="13.5" customHeight="1" x14ac:dyDescent="0.2">
      <c r="E996" s="50"/>
      <c r="H996" s="12"/>
      <c r="K996"/>
    </row>
    <row r="997" spans="5:11" ht="13.5" customHeight="1" x14ac:dyDescent="0.2">
      <c r="E997" s="50"/>
      <c r="H997" s="12"/>
      <c r="K997"/>
    </row>
    <row r="998" spans="5:11" ht="13.5" customHeight="1" x14ac:dyDescent="0.2">
      <c r="E998" s="50"/>
      <c r="H998" s="12"/>
      <c r="K998"/>
    </row>
    <row r="999" spans="5:11" ht="13.5" customHeight="1" x14ac:dyDescent="0.2">
      <c r="E999" s="50"/>
      <c r="H999" s="12"/>
      <c r="K999"/>
    </row>
    <row r="1000" spans="5:11" ht="13.5" customHeight="1" x14ac:dyDescent="0.2">
      <c r="E1000" s="50"/>
      <c r="H1000" s="12"/>
      <c r="K1000"/>
    </row>
    <row r="1001" spans="5:11" ht="13.5" customHeight="1" x14ac:dyDescent="0.2">
      <c r="E1001" s="50"/>
      <c r="H1001" s="12"/>
      <c r="K1001"/>
    </row>
    <row r="1002" spans="5:11" ht="13.5" customHeight="1" x14ac:dyDescent="0.2">
      <c r="E1002" s="50"/>
      <c r="H1002" s="12"/>
      <c r="K1002"/>
    </row>
    <row r="1003" spans="5:11" ht="13.5" customHeight="1" x14ac:dyDescent="0.2">
      <c r="E1003" s="50"/>
      <c r="H1003" s="12"/>
      <c r="K1003"/>
    </row>
    <row r="1004" spans="5:11" ht="13.5" customHeight="1" x14ac:dyDescent="0.2">
      <c r="E1004" s="50"/>
      <c r="H1004" s="12"/>
      <c r="K1004"/>
    </row>
    <row r="1005" spans="5:11" ht="13.5" customHeight="1" x14ac:dyDescent="0.2">
      <c r="E1005" s="50"/>
      <c r="H1005" s="12"/>
      <c r="K1005"/>
    </row>
    <row r="1006" spans="5:11" ht="13.5" customHeight="1" x14ac:dyDescent="0.2">
      <c r="E1006" s="50"/>
      <c r="H1006" s="12"/>
      <c r="K1006"/>
    </row>
    <row r="1007" spans="5:11" ht="13.5" customHeight="1" x14ac:dyDescent="0.2">
      <c r="E1007" s="50"/>
      <c r="H1007" s="12"/>
      <c r="K1007"/>
    </row>
    <row r="1008" spans="5:11" ht="13.5" customHeight="1" x14ac:dyDescent="0.2">
      <c r="E1008" s="50"/>
      <c r="H1008" s="12"/>
      <c r="K1008"/>
    </row>
    <row r="1009" spans="5:11" ht="13.5" customHeight="1" x14ac:dyDescent="0.2">
      <c r="E1009" s="50"/>
      <c r="H1009" s="12"/>
      <c r="K1009"/>
    </row>
    <row r="1010" spans="5:11" ht="13.5" customHeight="1" x14ac:dyDescent="0.2">
      <c r="E1010" s="50"/>
      <c r="H1010" s="12"/>
      <c r="K1010"/>
    </row>
    <row r="1011" spans="5:11" ht="13.5" customHeight="1" x14ac:dyDescent="0.2">
      <c r="E1011" s="50"/>
      <c r="H1011" s="12"/>
      <c r="K1011"/>
    </row>
    <row r="1012" spans="5:11" ht="13.5" customHeight="1" x14ac:dyDescent="0.2">
      <c r="E1012" s="50"/>
      <c r="H1012" s="12"/>
      <c r="K1012"/>
    </row>
    <row r="1013" spans="5:11" ht="13.5" customHeight="1" x14ac:dyDescent="0.2">
      <c r="E1013" s="50"/>
      <c r="H1013" s="12"/>
      <c r="K1013"/>
    </row>
    <row r="1014" spans="5:11" ht="13.5" customHeight="1" x14ac:dyDescent="0.2">
      <c r="E1014" s="50"/>
      <c r="H1014" s="12"/>
      <c r="K1014"/>
    </row>
    <row r="1015" spans="5:11" ht="13.5" customHeight="1" x14ac:dyDescent="0.2">
      <c r="E1015" s="50"/>
      <c r="H1015" s="12"/>
      <c r="K1015"/>
    </row>
    <row r="1016" spans="5:11" ht="13.5" customHeight="1" x14ac:dyDescent="0.2">
      <c r="E1016" s="50"/>
      <c r="H1016" s="12"/>
      <c r="K1016"/>
    </row>
    <row r="1017" spans="5:11" ht="13.5" customHeight="1" x14ac:dyDescent="0.2">
      <c r="E1017" s="50"/>
      <c r="H1017" s="12"/>
      <c r="K1017"/>
    </row>
    <row r="1018" spans="5:11" ht="13.5" customHeight="1" x14ac:dyDescent="0.2">
      <c r="E1018" s="50"/>
      <c r="H1018" s="12"/>
      <c r="K1018"/>
    </row>
    <row r="1019" spans="5:11" ht="13.5" customHeight="1" x14ac:dyDescent="0.2">
      <c r="E1019" s="50"/>
      <c r="H1019" s="12"/>
      <c r="K1019"/>
    </row>
    <row r="1020" spans="5:11" ht="13.5" customHeight="1" x14ac:dyDescent="0.2">
      <c r="E1020" s="50"/>
      <c r="H1020" s="12"/>
      <c r="K1020"/>
    </row>
    <row r="1021" spans="5:11" ht="13.5" customHeight="1" x14ac:dyDescent="0.2">
      <c r="E1021" s="50"/>
      <c r="H1021" s="12"/>
      <c r="K1021"/>
    </row>
    <row r="1022" spans="5:11" ht="13.5" customHeight="1" x14ac:dyDescent="0.2">
      <c r="E1022" s="50"/>
      <c r="H1022" s="12"/>
      <c r="K1022"/>
    </row>
    <row r="1023" spans="5:11" ht="13.5" customHeight="1" x14ac:dyDescent="0.2">
      <c r="E1023" s="50"/>
      <c r="H1023" s="12"/>
      <c r="K1023"/>
    </row>
    <row r="1024" spans="5:11" ht="13.5" customHeight="1" x14ac:dyDescent="0.2">
      <c r="E1024" s="50"/>
      <c r="H1024" s="12"/>
      <c r="K1024"/>
    </row>
    <row r="1025" spans="5:11" ht="13.5" customHeight="1" x14ac:dyDescent="0.2">
      <c r="E1025" s="50"/>
      <c r="H1025" s="12"/>
      <c r="K1025"/>
    </row>
    <row r="1026" spans="5:11" ht="12.75" customHeight="1" x14ac:dyDescent="0.2">
      <c r="E1026" s="50"/>
      <c r="H1026" s="12"/>
      <c r="K1026"/>
    </row>
    <row r="1027" spans="5:11" ht="12.75" customHeight="1" x14ac:dyDescent="0.2">
      <c r="E1027" s="50"/>
      <c r="H1027" s="12"/>
      <c r="K1027"/>
    </row>
    <row r="1028" spans="5:11" ht="12.75" customHeight="1" x14ac:dyDescent="0.2">
      <c r="E1028" s="50"/>
      <c r="H1028" s="12"/>
      <c r="K1028"/>
    </row>
    <row r="1029" spans="5:11" ht="12.75" customHeight="1" x14ac:dyDescent="0.2">
      <c r="E1029" s="50"/>
      <c r="H1029" s="12"/>
      <c r="K1029"/>
    </row>
    <row r="1030" spans="5:11" ht="12.75" customHeight="1" x14ac:dyDescent="0.2">
      <c r="E1030" s="50"/>
      <c r="H1030" s="12"/>
      <c r="K1030"/>
    </row>
    <row r="1031" spans="5:11" ht="12.75" customHeight="1" x14ac:dyDescent="0.2">
      <c r="E1031" s="50"/>
      <c r="H1031" s="12"/>
      <c r="K1031"/>
    </row>
    <row r="1032" spans="5:11" ht="12.75" customHeight="1" x14ac:dyDescent="0.2">
      <c r="E1032" s="50"/>
      <c r="H1032" s="12"/>
      <c r="K1032"/>
    </row>
    <row r="1033" spans="5:11" ht="12.75" customHeight="1" x14ac:dyDescent="0.2">
      <c r="E1033" s="50"/>
      <c r="H1033" s="12"/>
      <c r="K1033"/>
    </row>
    <row r="1034" spans="5:11" ht="12.75" customHeight="1" x14ac:dyDescent="0.2">
      <c r="E1034" s="50"/>
      <c r="H1034" s="12"/>
      <c r="K1034"/>
    </row>
    <row r="1035" spans="5:11" ht="12.75" customHeight="1" x14ac:dyDescent="0.2">
      <c r="E1035" s="50"/>
      <c r="H1035" s="12"/>
      <c r="K1035"/>
    </row>
    <row r="1036" spans="5:11" ht="12.75" customHeight="1" x14ac:dyDescent="0.2">
      <c r="E1036" s="50"/>
      <c r="H1036" s="12"/>
      <c r="K1036"/>
    </row>
    <row r="1037" spans="5:11" ht="12.75" customHeight="1" x14ac:dyDescent="0.2">
      <c r="E1037" s="50"/>
      <c r="H1037" s="12"/>
      <c r="K1037"/>
    </row>
    <row r="1038" spans="5:11" ht="12.75" customHeight="1" x14ac:dyDescent="0.2">
      <c r="E1038" s="50"/>
      <c r="H1038" s="12"/>
      <c r="K1038"/>
    </row>
    <row r="1039" spans="5:11" ht="12.75" customHeight="1" x14ac:dyDescent="0.2">
      <c r="E1039" s="50"/>
      <c r="H1039" s="12"/>
      <c r="K1039"/>
    </row>
    <row r="1040" spans="5:11" ht="12.75" customHeight="1" x14ac:dyDescent="0.2">
      <c r="E1040" s="50"/>
      <c r="H1040" s="12"/>
      <c r="K1040"/>
    </row>
    <row r="1041" spans="5:11" ht="12.75" customHeight="1" x14ac:dyDescent="0.2">
      <c r="E1041" s="50"/>
      <c r="H1041" s="12"/>
      <c r="K1041"/>
    </row>
    <row r="1042" spans="5:11" ht="12.75" customHeight="1" x14ac:dyDescent="0.2">
      <c r="E1042" s="50"/>
      <c r="H1042" s="12"/>
      <c r="K1042"/>
    </row>
    <row r="1043" spans="5:11" ht="12.75" customHeight="1" x14ac:dyDescent="0.2">
      <c r="E1043" s="50"/>
      <c r="H1043" s="12"/>
      <c r="K1043"/>
    </row>
    <row r="1044" spans="5:11" ht="12.75" customHeight="1" x14ac:dyDescent="0.2">
      <c r="E1044" s="50"/>
      <c r="H1044" s="12"/>
      <c r="K1044"/>
    </row>
    <row r="1045" spans="5:11" ht="12.75" customHeight="1" x14ac:dyDescent="0.2">
      <c r="E1045" s="50"/>
      <c r="H1045" s="12"/>
      <c r="K1045"/>
    </row>
    <row r="1046" spans="5:11" ht="12.75" customHeight="1" x14ac:dyDescent="0.2">
      <c r="E1046" s="50"/>
      <c r="H1046" s="12"/>
      <c r="K1046"/>
    </row>
    <row r="1047" spans="5:11" ht="12.75" customHeight="1" x14ac:dyDescent="0.2">
      <c r="E1047" s="50"/>
      <c r="H1047" s="12"/>
      <c r="K1047"/>
    </row>
    <row r="1048" spans="5:11" ht="12.75" customHeight="1" x14ac:dyDescent="0.2">
      <c r="E1048" s="50"/>
      <c r="H1048" s="12"/>
      <c r="K1048"/>
    </row>
    <row r="1049" spans="5:11" ht="12.75" customHeight="1" x14ac:dyDescent="0.2">
      <c r="E1049" s="50"/>
      <c r="H1049" s="12"/>
      <c r="K1049"/>
    </row>
    <row r="1050" spans="5:11" ht="12.75" customHeight="1" x14ac:dyDescent="0.2">
      <c r="E1050" s="50"/>
      <c r="H1050" s="12"/>
      <c r="K1050"/>
    </row>
    <row r="1051" spans="5:11" ht="12.75" customHeight="1" x14ac:dyDescent="0.2">
      <c r="E1051" s="50"/>
      <c r="H1051" s="12"/>
      <c r="K1051"/>
    </row>
    <row r="1052" spans="5:11" ht="12.75" customHeight="1" x14ac:dyDescent="0.2">
      <c r="E1052" s="50"/>
      <c r="H1052" s="12"/>
      <c r="K1052"/>
    </row>
    <row r="1053" spans="5:11" ht="12.75" customHeight="1" x14ac:dyDescent="0.2">
      <c r="E1053" s="50"/>
      <c r="H1053" s="12"/>
      <c r="K1053"/>
    </row>
    <row r="1054" spans="5:11" ht="12.75" customHeight="1" x14ac:dyDescent="0.2">
      <c r="E1054" s="50"/>
      <c r="H1054" s="12"/>
      <c r="K1054"/>
    </row>
    <row r="1055" spans="5:11" ht="12.75" customHeight="1" x14ac:dyDescent="0.2">
      <c r="E1055" s="50"/>
      <c r="H1055" s="12"/>
      <c r="K1055"/>
    </row>
    <row r="1056" spans="5:11" ht="12.75" customHeight="1" x14ac:dyDescent="0.2">
      <c r="E1056" s="50"/>
      <c r="H1056" s="12"/>
      <c r="K1056"/>
    </row>
    <row r="1057" spans="5:11" ht="12.75" customHeight="1" x14ac:dyDescent="0.2">
      <c r="E1057" s="50"/>
      <c r="H1057" s="12"/>
      <c r="K1057"/>
    </row>
    <row r="1058" spans="5:11" ht="12.75" customHeight="1" x14ac:dyDescent="0.2">
      <c r="E1058" s="50"/>
      <c r="H1058" s="12"/>
      <c r="K1058"/>
    </row>
    <row r="1059" spans="5:11" ht="12.75" customHeight="1" x14ac:dyDescent="0.2">
      <c r="E1059" s="50"/>
      <c r="H1059" s="12"/>
      <c r="K1059"/>
    </row>
    <row r="1060" spans="5:11" ht="12.75" customHeight="1" x14ac:dyDescent="0.2">
      <c r="E1060" s="50"/>
      <c r="H1060" s="12"/>
      <c r="K1060"/>
    </row>
    <row r="1061" spans="5:11" ht="12.75" customHeight="1" x14ac:dyDescent="0.2">
      <c r="E1061" s="50"/>
      <c r="H1061" s="12"/>
      <c r="K1061"/>
    </row>
    <row r="1062" spans="5:11" ht="12.75" customHeight="1" x14ac:dyDescent="0.2">
      <c r="E1062" s="50"/>
      <c r="H1062" s="12"/>
      <c r="K1062"/>
    </row>
    <row r="1063" spans="5:11" ht="12.75" customHeight="1" x14ac:dyDescent="0.2">
      <c r="E1063" s="50"/>
      <c r="H1063" s="12"/>
      <c r="K1063"/>
    </row>
    <row r="1064" spans="5:11" ht="12.75" customHeight="1" x14ac:dyDescent="0.2">
      <c r="E1064" s="50"/>
      <c r="H1064" s="12"/>
      <c r="K1064"/>
    </row>
    <row r="1065" spans="5:11" ht="12.75" customHeight="1" x14ac:dyDescent="0.2">
      <c r="E1065" s="50"/>
      <c r="H1065" s="12"/>
      <c r="K1065"/>
    </row>
    <row r="1066" spans="5:11" ht="12.75" customHeight="1" x14ac:dyDescent="0.2">
      <c r="E1066" s="50"/>
      <c r="H1066" s="12"/>
      <c r="K1066"/>
    </row>
    <row r="1067" spans="5:11" ht="12.75" customHeight="1" x14ac:dyDescent="0.2">
      <c r="E1067" s="50"/>
      <c r="H1067" s="12"/>
      <c r="K1067"/>
    </row>
    <row r="1068" spans="5:11" ht="12.75" customHeight="1" x14ac:dyDescent="0.2">
      <c r="E1068" s="50"/>
      <c r="H1068" s="12"/>
      <c r="K1068"/>
    </row>
    <row r="1069" spans="5:11" ht="12.75" customHeight="1" x14ac:dyDescent="0.2">
      <c r="E1069" s="50"/>
      <c r="H1069" s="12"/>
      <c r="K1069"/>
    </row>
    <row r="1070" spans="5:11" ht="12.75" customHeight="1" x14ac:dyDescent="0.2">
      <c r="E1070" s="50"/>
      <c r="H1070" s="12"/>
      <c r="K1070"/>
    </row>
    <row r="1071" spans="5:11" ht="12.75" customHeight="1" x14ac:dyDescent="0.2">
      <c r="E1071" s="50"/>
      <c r="H1071" s="12"/>
      <c r="K1071"/>
    </row>
    <row r="1072" spans="5:11" ht="12.75" customHeight="1" x14ac:dyDescent="0.2">
      <c r="E1072" s="50"/>
      <c r="H1072" s="12"/>
      <c r="K1072"/>
    </row>
    <row r="1073" spans="5:11" ht="12.75" customHeight="1" x14ac:dyDescent="0.2">
      <c r="E1073" s="50"/>
      <c r="H1073" s="12"/>
      <c r="K1073"/>
    </row>
    <row r="1074" spans="5:11" ht="12.75" customHeight="1" x14ac:dyDescent="0.2">
      <c r="E1074" s="50"/>
      <c r="H1074" s="12"/>
      <c r="K1074"/>
    </row>
    <row r="1075" spans="5:11" ht="12.75" customHeight="1" x14ac:dyDescent="0.2">
      <c r="E1075" s="50"/>
      <c r="H1075" s="12"/>
      <c r="K1075"/>
    </row>
    <row r="1076" spans="5:11" ht="12.75" customHeight="1" x14ac:dyDescent="0.2">
      <c r="E1076" s="50"/>
      <c r="H1076" s="12"/>
      <c r="K1076"/>
    </row>
    <row r="1077" spans="5:11" ht="12.75" customHeight="1" x14ac:dyDescent="0.2">
      <c r="E1077" s="50"/>
      <c r="H1077" s="12"/>
      <c r="K1077"/>
    </row>
    <row r="1078" spans="5:11" ht="12.75" customHeight="1" x14ac:dyDescent="0.2">
      <c r="E1078" s="50"/>
      <c r="H1078" s="12"/>
      <c r="K1078"/>
    </row>
    <row r="1079" spans="5:11" ht="12.75" customHeight="1" x14ac:dyDescent="0.2">
      <c r="E1079" s="50"/>
      <c r="H1079" s="12"/>
      <c r="K1079"/>
    </row>
    <row r="1080" spans="5:11" ht="12.75" customHeight="1" x14ac:dyDescent="0.2">
      <c r="E1080" s="50"/>
      <c r="H1080" s="12"/>
      <c r="K1080"/>
    </row>
    <row r="1081" spans="5:11" ht="12.75" customHeight="1" x14ac:dyDescent="0.2">
      <c r="E1081" s="50"/>
      <c r="H1081" s="12"/>
      <c r="K1081"/>
    </row>
    <row r="1082" spans="5:11" ht="12.75" customHeight="1" x14ac:dyDescent="0.2">
      <c r="E1082" s="50"/>
      <c r="H1082" s="12"/>
      <c r="K1082"/>
    </row>
    <row r="1083" spans="5:11" ht="12.75" customHeight="1" x14ac:dyDescent="0.2">
      <c r="E1083" s="50"/>
      <c r="H1083" s="12"/>
      <c r="K1083"/>
    </row>
    <row r="1084" spans="5:11" ht="12.75" customHeight="1" x14ac:dyDescent="0.2">
      <c r="E1084" s="50"/>
      <c r="H1084" s="12"/>
      <c r="K1084"/>
    </row>
    <row r="1085" spans="5:11" ht="12.75" customHeight="1" x14ac:dyDescent="0.2">
      <c r="E1085" s="50"/>
      <c r="H1085" s="12"/>
      <c r="K1085"/>
    </row>
    <row r="1086" spans="5:11" ht="12.75" customHeight="1" x14ac:dyDescent="0.2">
      <c r="E1086" s="50"/>
      <c r="H1086" s="12"/>
      <c r="K1086"/>
    </row>
    <row r="1087" spans="5:11" ht="12.75" customHeight="1" x14ac:dyDescent="0.2">
      <c r="E1087" s="50"/>
      <c r="H1087" s="12"/>
      <c r="K1087"/>
    </row>
    <row r="1088" spans="5:11" ht="12.75" customHeight="1" x14ac:dyDescent="0.2">
      <c r="E1088" s="50"/>
      <c r="H1088" s="12"/>
      <c r="K1088"/>
    </row>
    <row r="1089" spans="5:11" ht="12.75" customHeight="1" x14ac:dyDescent="0.2">
      <c r="E1089" s="50"/>
      <c r="H1089" s="12"/>
      <c r="K1089"/>
    </row>
    <row r="1090" spans="5:11" ht="12.75" customHeight="1" x14ac:dyDescent="0.2">
      <c r="E1090" s="50"/>
      <c r="H1090" s="12"/>
      <c r="K1090"/>
    </row>
    <row r="1091" spans="5:11" ht="12.75" customHeight="1" x14ac:dyDescent="0.2">
      <c r="E1091" s="50"/>
      <c r="H1091" s="12"/>
      <c r="K1091"/>
    </row>
    <row r="1092" spans="5:11" ht="12.75" customHeight="1" x14ac:dyDescent="0.2">
      <c r="E1092" s="50"/>
      <c r="H1092" s="12"/>
      <c r="K1092"/>
    </row>
    <row r="1093" spans="5:11" ht="12.75" customHeight="1" x14ac:dyDescent="0.2">
      <c r="E1093" s="50"/>
      <c r="H1093" s="12"/>
      <c r="K1093"/>
    </row>
    <row r="1094" spans="5:11" ht="12.75" customHeight="1" x14ac:dyDescent="0.2">
      <c r="E1094" s="50"/>
      <c r="H1094" s="12"/>
      <c r="K1094"/>
    </row>
    <row r="1095" spans="5:11" ht="12.75" customHeight="1" x14ac:dyDescent="0.2">
      <c r="E1095" s="50"/>
      <c r="H1095" s="12"/>
      <c r="K1095"/>
    </row>
    <row r="1096" spans="5:11" ht="12.75" customHeight="1" x14ac:dyDescent="0.2">
      <c r="E1096" s="50"/>
      <c r="H1096" s="12"/>
      <c r="K1096"/>
    </row>
    <row r="1097" spans="5:11" ht="12.75" customHeight="1" x14ac:dyDescent="0.2">
      <c r="E1097" s="50"/>
      <c r="H1097" s="12"/>
      <c r="K1097"/>
    </row>
    <row r="1098" spans="5:11" ht="12.75" customHeight="1" x14ac:dyDescent="0.2">
      <c r="E1098" s="50"/>
      <c r="H1098" s="12"/>
      <c r="K1098"/>
    </row>
    <row r="1099" spans="5:11" ht="12.75" customHeight="1" x14ac:dyDescent="0.2">
      <c r="E1099" s="50"/>
      <c r="H1099" s="12"/>
      <c r="K1099"/>
    </row>
    <row r="1100" spans="5:11" ht="12.75" customHeight="1" x14ac:dyDescent="0.2">
      <c r="E1100" s="50"/>
      <c r="H1100" s="12"/>
      <c r="K1100"/>
    </row>
    <row r="1101" spans="5:11" ht="12.75" customHeight="1" x14ac:dyDescent="0.2">
      <c r="E1101" s="50"/>
      <c r="H1101" s="12"/>
      <c r="K1101"/>
    </row>
    <row r="1102" spans="5:11" ht="12.75" customHeight="1" x14ac:dyDescent="0.2">
      <c r="E1102" s="50"/>
      <c r="H1102" s="12"/>
      <c r="K1102"/>
    </row>
    <row r="1103" spans="5:11" ht="12.75" customHeight="1" x14ac:dyDescent="0.2">
      <c r="E1103" s="50"/>
      <c r="H1103" s="12"/>
      <c r="K1103"/>
    </row>
    <row r="1104" spans="5:11" ht="12.75" customHeight="1" x14ac:dyDescent="0.2">
      <c r="E1104" s="50"/>
      <c r="H1104" s="12"/>
      <c r="K1104"/>
    </row>
    <row r="1105" spans="5:11" ht="12.75" customHeight="1" x14ac:dyDescent="0.2">
      <c r="E1105" s="50"/>
      <c r="H1105" s="12"/>
      <c r="K1105"/>
    </row>
    <row r="1106" spans="5:11" ht="12.75" customHeight="1" x14ac:dyDescent="0.2">
      <c r="E1106" s="50"/>
      <c r="H1106" s="12"/>
      <c r="K1106"/>
    </row>
    <row r="1107" spans="5:11" ht="12.75" customHeight="1" x14ac:dyDescent="0.2">
      <c r="E1107" s="50"/>
      <c r="H1107" s="12"/>
      <c r="K1107"/>
    </row>
    <row r="1108" spans="5:11" ht="12.75" customHeight="1" x14ac:dyDescent="0.2">
      <c r="E1108" s="50"/>
      <c r="H1108" s="12"/>
      <c r="K1108"/>
    </row>
    <row r="1109" spans="5:11" ht="12.75" customHeight="1" x14ac:dyDescent="0.2">
      <c r="E1109" s="50"/>
      <c r="H1109" s="12"/>
      <c r="K1109"/>
    </row>
    <row r="1110" spans="5:11" ht="12.75" customHeight="1" x14ac:dyDescent="0.2">
      <c r="E1110" s="50"/>
      <c r="H1110" s="12"/>
      <c r="K1110"/>
    </row>
    <row r="1111" spans="5:11" ht="12.75" customHeight="1" x14ac:dyDescent="0.2">
      <c r="E1111" s="50"/>
      <c r="H1111" s="12"/>
      <c r="K1111"/>
    </row>
    <row r="1112" spans="5:11" ht="12.75" customHeight="1" x14ac:dyDescent="0.2">
      <c r="E1112" s="50"/>
      <c r="H1112" s="12"/>
      <c r="K1112"/>
    </row>
    <row r="1113" spans="5:11" ht="12.75" customHeight="1" x14ac:dyDescent="0.2">
      <c r="E1113" s="50"/>
      <c r="H1113" s="12"/>
      <c r="K1113"/>
    </row>
    <row r="1114" spans="5:11" ht="12.75" customHeight="1" x14ac:dyDescent="0.2">
      <c r="E1114" s="50"/>
      <c r="H1114" s="12"/>
      <c r="K1114"/>
    </row>
    <row r="1115" spans="5:11" ht="12.75" customHeight="1" x14ac:dyDescent="0.2">
      <c r="E1115" s="50"/>
      <c r="H1115" s="12"/>
      <c r="K1115"/>
    </row>
    <row r="1116" spans="5:11" ht="12.75" customHeight="1" x14ac:dyDescent="0.2">
      <c r="E1116" s="50"/>
      <c r="H1116" s="12"/>
      <c r="K1116"/>
    </row>
    <row r="1117" spans="5:11" ht="12.75" customHeight="1" x14ac:dyDescent="0.2">
      <c r="E1117" s="50"/>
      <c r="H1117" s="12"/>
      <c r="K1117"/>
    </row>
    <row r="1118" spans="5:11" ht="12.75" customHeight="1" x14ac:dyDescent="0.2">
      <c r="E1118" s="50"/>
      <c r="H1118" s="12"/>
      <c r="K1118"/>
    </row>
    <row r="1119" spans="5:11" ht="12.75" customHeight="1" x14ac:dyDescent="0.2">
      <c r="E1119" s="50"/>
      <c r="H1119" s="12"/>
      <c r="K1119"/>
    </row>
    <row r="1120" spans="5:11" ht="12.75" customHeight="1" x14ac:dyDescent="0.2">
      <c r="E1120" s="50"/>
      <c r="H1120" s="12"/>
      <c r="K1120"/>
    </row>
    <row r="1121" spans="5:11" ht="12.75" customHeight="1" x14ac:dyDescent="0.2">
      <c r="E1121" s="50"/>
      <c r="H1121" s="12"/>
      <c r="K1121"/>
    </row>
    <row r="1122" spans="5:11" ht="12.75" customHeight="1" x14ac:dyDescent="0.2">
      <c r="E1122" s="50"/>
      <c r="H1122" s="12"/>
      <c r="K1122"/>
    </row>
    <row r="1123" spans="5:11" ht="12.75" customHeight="1" x14ac:dyDescent="0.2">
      <c r="E1123" s="50"/>
      <c r="H1123" s="12"/>
      <c r="K1123"/>
    </row>
    <row r="1124" spans="5:11" ht="12.75" customHeight="1" x14ac:dyDescent="0.2">
      <c r="E1124" s="50"/>
      <c r="H1124" s="12"/>
      <c r="K1124"/>
    </row>
    <row r="1125" spans="5:11" ht="12.75" customHeight="1" x14ac:dyDescent="0.2">
      <c r="E1125" s="50"/>
      <c r="H1125" s="12"/>
      <c r="K1125"/>
    </row>
    <row r="1126" spans="5:11" ht="12.75" customHeight="1" x14ac:dyDescent="0.2">
      <c r="E1126" s="50"/>
      <c r="H1126" s="12"/>
      <c r="K1126"/>
    </row>
    <row r="1127" spans="5:11" ht="12.75" customHeight="1" x14ac:dyDescent="0.2">
      <c r="E1127" s="50"/>
      <c r="H1127" s="12"/>
      <c r="K1127"/>
    </row>
    <row r="1128" spans="5:11" ht="12.75" customHeight="1" x14ac:dyDescent="0.2">
      <c r="E1128" s="50"/>
      <c r="H1128" s="12"/>
      <c r="K1128"/>
    </row>
    <row r="1129" spans="5:11" ht="12.75" customHeight="1" x14ac:dyDescent="0.2">
      <c r="E1129" s="50"/>
      <c r="H1129" s="12"/>
      <c r="K1129"/>
    </row>
    <row r="1130" spans="5:11" ht="12.75" customHeight="1" x14ac:dyDescent="0.2">
      <c r="E1130" s="50"/>
      <c r="H1130" s="12"/>
      <c r="K1130"/>
    </row>
    <row r="1131" spans="5:11" ht="12.75" customHeight="1" x14ac:dyDescent="0.2">
      <c r="E1131" s="50"/>
      <c r="H1131" s="12"/>
      <c r="K1131"/>
    </row>
    <row r="1132" spans="5:11" ht="12.75" customHeight="1" x14ac:dyDescent="0.2">
      <c r="E1132" s="50"/>
      <c r="H1132" s="12"/>
      <c r="K1132"/>
    </row>
    <row r="1133" spans="5:11" ht="12.75" customHeight="1" x14ac:dyDescent="0.2">
      <c r="E1133" s="50"/>
      <c r="H1133" s="12"/>
      <c r="K1133"/>
    </row>
    <row r="1134" spans="5:11" ht="12.75" customHeight="1" x14ac:dyDescent="0.2">
      <c r="E1134" s="50"/>
      <c r="H1134" s="12"/>
      <c r="K1134"/>
    </row>
    <row r="1135" spans="5:11" ht="12.75" customHeight="1" x14ac:dyDescent="0.2">
      <c r="E1135" s="50"/>
      <c r="H1135" s="12"/>
      <c r="K1135"/>
    </row>
    <row r="1136" spans="5:11" ht="12.75" customHeight="1" x14ac:dyDescent="0.2">
      <c r="E1136" s="50"/>
      <c r="H1136" s="12"/>
      <c r="K1136"/>
    </row>
    <row r="1137" spans="5:11" ht="12.75" customHeight="1" x14ac:dyDescent="0.2">
      <c r="E1137" s="50"/>
      <c r="H1137" s="12"/>
      <c r="K1137"/>
    </row>
    <row r="1138" spans="5:11" ht="12.75" customHeight="1" x14ac:dyDescent="0.2">
      <c r="E1138" s="50"/>
      <c r="H1138" s="12"/>
      <c r="K1138"/>
    </row>
    <row r="1139" spans="5:11" ht="12.75" customHeight="1" x14ac:dyDescent="0.2">
      <c r="E1139" s="50"/>
      <c r="H1139" s="12"/>
      <c r="K1139"/>
    </row>
    <row r="1140" spans="5:11" ht="12.75" customHeight="1" x14ac:dyDescent="0.2">
      <c r="E1140" s="50"/>
      <c r="H1140" s="12"/>
      <c r="K1140"/>
    </row>
    <row r="1141" spans="5:11" ht="12.75" customHeight="1" x14ac:dyDescent="0.2">
      <c r="E1141" s="50"/>
      <c r="H1141" s="12"/>
      <c r="K1141"/>
    </row>
    <row r="1142" spans="5:11" ht="12.75" customHeight="1" x14ac:dyDescent="0.2">
      <c r="E1142" s="50"/>
      <c r="H1142" s="12"/>
      <c r="K1142"/>
    </row>
    <row r="1143" spans="5:11" ht="12.75" customHeight="1" x14ac:dyDescent="0.2">
      <c r="E1143" s="50"/>
      <c r="H1143" s="12"/>
      <c r="K1143"/>
    </row>
    <row r="1144" spans="5:11" ht="12.75" customHeight="1" x14ac:dyDescent="0.2">
      <c r="E1144" s="50"/>
      <c r="H1144" s="12"/>
      <c r="K1144"/>
    </row>
    <row r="1145" spans="5:11" ht="12.75" customHeight="1" x14ac:dyDescent="0.2">
      <c r="E1145" s="50"/>
      <c r="H1145" s="12"/>
      <c r="K1145"/>
    </row>
    <row r="1146" spans="5:11" ht="12.75" customHeight="1" x14ac:dyDescent="0.2">
      <c r="E1146" s="50"/>
      <c r="H1146" s="12"/>
      <c r="K1146"/>
    </row>
    <row r="1147" spans="5:11" ht="12.75" customHeight="1" x14ac:dyDescent="0.2">
      <c r="E1147" s="50"/>
      <c r="H1147" s="12"/>
      <c r="K1147"/>
    </row>
    <row r="1148" spans="5:11" ht="12.75" customHeight="1" x14ac:dyDescent="0.2">
      <c r="E1148" s="50"/>
      <c r="H1148" s="12"/>
      <c r="K1148"/>
    </row>
    <row r="1149" spans="5:11" ht="12.75" customHeight="1" x14ac:dyDescent="0.2">
      <c r="E1149" s="50"/>
      <c r="H1149" s="12"/>
      <c r="K1149"/>
    </row>
    <row r="1150" spans="5:11" ht="12.75" customHeight="1" x14ac:dyDescent="0.2">
      <c r="E1150" s="50"/>
      <c r="H1150" s="12"/>
      <c r="K1150"/>
    </row>
    <row r="1151" spans="5:11" ht="12.75" customHeight="1" x14ac:dyDescent="0.2">
      <c r="E1151" s="50"/>
      <c r="H1151" s="12"/>
      <c r="K1151"/>
    </row>
    <row r="1152" spans="5:11" ht="12.75" customHeight="1" x14ac:dyDescent="0.2">
      <c r="E1152" s="50"/>
      <c r="H1152" s="12"/>
      <c r="K1152"/>
    </row>
    <row r="1153" spans="5:11" ht="12.75" customHeight="1" x14ac:dyDescent="0.2">
      <c r="E1153" s="50"/>
      <c r="H1153" s="12"/>
      <c r="K1153"/>
    </row>
    <row r="1154" spans="5:11" ht="12.75" customHeight="1" x14ac:dyDescent="0.2">
      <c r="E1154" s="50"/>
      <c r="H1154" s="12"/>
      <c r="K1154"/>
    </row>
    <row r="1155" spans="5:11" ht="12.75" customHeight="1" x14ac:dyDescent="0.2">
      <c r="E1155" s="50"/>
      <c r="H1155" s="12"/>
      <c r="K1155"/>
    </row>
    <row r="1156" spans="5:11" ht="12.75" customHeight="1" x14ac:dyDescent="0.2">
      <c r="E1156" s="50"/>
      <c r="H1156" s="12"/>
      <c r="K1156"/>
    </row>
    <row r="1157" spans="5:11" ht="12.75" customHeight="1" x14ac:dyDescent="0.2">
      <c r="E1157" s="50"/>
      <c r="H1157" s="12"/>
      <c r="K1157"/>
    </row>
    <row r="1158" spans="5:11" ht="12.75" customHeight="1" x14ac:dyDescent="0.2">
      <c r="E1158" s="50"/>
      <c r="H1158" s="12"/>
      <c r="K1158"/>
    </row>
    <row r="1159" spans="5:11" ht="12.75" customHeight="1" x14ac:dyDescent="0.2">
      <c r="E1159" s="50"/>
      <c r="H1159" s="12"/>
      <c r="K1159"/>
    </row>
    <row r="1160" spans="5:11" ht="12.75" customHeight="1" x14ac:dyDescent="0.2">
      <c r="E1160" s="50"/>
      <c r="H1160" s="12"/>
      <c r="K1160"/>
    </row>
    <row r="1161" spans="5:11" ht="12.75" customHeight="1" x14ac:dyDescent="0.2">
      <c r="E1161" s="50"/>
      <c r="H1161" s="12"/>
      <c r="K1161"/>
    </row>
    <row r="1162" spans="5:11" ht="12.75" customHeight="1" x14ac:dyDescent="0.2">
      <c r="E1162" s="50"/>
      <c r="H1162" s="12"/>
      <c r="K1162"/>
    </row>
    <row r="1163" spans="5:11" ht="12.75" customHeight="1" x14ac:dyDescent="0.2">
      <c r="E1163" s="50"/>
      <c r="H1163" s="12"/>
      <c r="K1163"/>
    </row>
    <row r="1164" spans="5:11" ht="12.75" customHeight="1" x14ac:dyDescent="0.2">
      <c r="E1164" s="50"/>
      <c r="H1164" s="12"/>
      <c r="K1164"/>
    </row>
    <row r="1165" spans="5:11" ht="12.75" customHeight="1" x14ac:dyDescent="0.2">
      <c r="E1165" s="50"/>
      <c r="H1165" s="12"/>
      <c r="K1165"/>
    </row>
    <row r="1166" spans="5:11" ht="12.75" customHeight="1" x14ac:dyDescent="0.2">
      <c r="E1166" s="50"/>
      <c r="H1166" s="12"/>
      <c r="K1166"/>
    </row>
    <row r="1167" spans="5:11" ht="12.75" customHeight="1" x14ac:dyDescent="0.2">
      <c r="E1167" s="50"/>
      <c r="H1167" s="12"/>
      <c r="K1167"/>
    </row>
    <row r="1168" spans="5:11" ht="12.75" customHeight="1" x14ac:dyDescent="0.2">
      <c r="E1168" s="50"/>
      <c r="H1168" s="12"/>
      <c r="K1168"/>
    </row>
    <row r="1169" spans="5:11" ht="12.75" customHeight="1" x14ac:dyDescent="0.2">
      <c r="E1169" s="50"/>
      <c r="H1169" s="12"/>
      <c r="K1169"/>
    </row>
    <row r="1170" spans="5:11" ht="12.75" customHeight="1" x14ac:dyDescent="0.2">
      <c r="E1170" s="50"/>
      <c r="H1170" s="12"/>
      <c r="K1170"/>
    </row>
    <row r="1171" spans="5:11" ht="12.75" customHeight="1" x14ac:dyDescent="0.2">
      <c r="E1171" s="50"/>
      <c r="H1171" s="12"/>
      <c r="K1171"/>
    </row>
    <row r="1172" spans="5:11" ht="12.75" customHeight="1" x14ac:dyDescent="0.2">
      <c r="E1172" s="50"/>
      <c r="H1172" s="12"/>
      <c r="K1172"/>
    </row>
    <row r="1173" spans="5:11" ht="12.75" customHeight="1" x14ac:dyDescent="0.2">
      <c r="E1173" s="50"/>
      <c r="H1173" s="12"/>
      <c r="K1173"/>
    </row>
    <row r="1174" spans="5:11" ht="12.75" customHeight="1" x14ac:dyDescent="0.2">
      <c r="E1174" s="50"/>
      <c r="H1174" s="12"/>
      <c r="K1174"/>
    </row>
    <row r="1175" spans="5:11" ht="12.75" customHeight="1" x14ac:dyDescent="0.2">
      <c r="E1175" s="50"/>
      <c r="H1175" s="12"/>
      <c r="K1175"/>
    </row>
    <row r="1176" spans="5:11" ht="12.75" customHeight="1" x14ac:dyDescent="0.2">
      <c r="E1176" s="50"/>
      <c r="H1176" s="12"/>
      <c r="K1176"/>
    </row>
    <row r="1177" spans="5:11" ht="12.75" customHeight="1" x14ac:dyDescent="0.2">
      <c r="E1177" s="50"/>
      <c r="H1177" s="12"/>
      <c r="K1177"/>
    </row>
    <row r="1178" spans="5:11" ht="12.75" customHeight="1" x14ac:dyDescent="0.2">
      <c r="E1178" s="50"/>
      <c r="H1178" s="12"/>
      <c r="K1178"/>
    </row>
    <row r="1179" spans="5:11" ht="12.75" customHeight="1" x14ac:dyDescent="0.2">
      <c r="E1179" s="50"/>
      <c r="H1179" s="12"/>
      <c r="K1179"/>
    </row>
    <row r="1180" spans="5:11" ht="12.75" customHeight="1" x14ac:dyDescent="0.2">
      <c r="E1180" s="50"/>
      <c r="H1180" s="12"/>
      <c r="K1180"/>
    </row>
    <row r="1181" spans="5:11" ht="12.75" customHeight="1" x14ac:dyDescent="0.2">
      <c r="E1181" s="50"/>
      <c r="H1181" s="12"/>
      <c r="K1181"/>
    </row>
    <row r="1182" spans="5:11" ht="12.75" customHeight="1" x14ac:dyDescent="0.2">
      <c r="E1182" s="50"/>
      <c r="H1182" s="12"/>
      <c r="K1182"/>
    </row>
    <row r="1183" spans="5:11" ht="12.75" customHeight="1" x14ac:dyDescent="0.2">
      <c r="E1183" s="50"/>
      <c r="H1183" s="12"/>
      <c r="K1183"/>
    </row>
    <row r="1184" spans="5:11" ht="12.75" customHeight="1" x14ac:dyDescent="0.2">
      <c r="E1184" s="50"/>
      <c r="H1184" s="12"/>
      <c r="K1184"/>
    </row>
    <row r="1185" spans="5:11" ht="12.75" customHeight="1" x14ac:dyDescent="0.2">
      <c r="E1185" s="50"/>
      <c r="H1185" s="12"/>
      <c r="K1185"/>
    </row>
    <row r="1186" spans="5:11" ht="12.75" customHeight="1" x14ac:dyDescent="0.2">
      <c r="E1186" s="50"/>
      <c r="H1186" s="12"/>
      <c r="K1186"/>
    </row>
    <row r="1187" spans="5:11" ht="12.75" customHeight="1" x14ac:dyDescent="0.2">
      <c r="E1187" s="50"/>
      <c r="H1187" s="12"/>
      <c r="K1187"/>
    </row>
    <row r="1188" spans="5:11" ht="12.75" customHeight="1" x14ac:dyDescent="0.2">
      <c r="E1188" s="50"/>
      <c r="H1188" s="12"/>
      <c r="K1188"/>
    </row>
    <row r="1189" spans="5:11" ht="12.75" customHeight="1" x14ac:dyDescent="0.2">
      <c r="E1189" s="50"/>
      <c r="H1189" s="12"/>
      <c r="K1189"/>
    </row>
    <row r="1190" spans="5:11" ht="12.75" customHeight="1" x14ac:dyDescent="0.2">
      <c r="E1190" s="50"/>
      <c r="H1190" s="12"/>
      <c r="K1190"/>
    </row>
    <row r="1191" spans="5:11" ht="12.75" customHeight="1" x14ac:dyDescent="0.2">
      <c r="E1191" s="50"/>
      <c r="H1191" s="12"/>
      <c r="K1191"/>
    </row>
    <row r="1192" spans="5:11" ht="12.75" customHeight="1" x14ac:dyDescent="0.2">
      <c r="E1192" s="50"/>
      <c r="H1192" s="12"/>
      <c r="K1192"/>
    </row>
    <row r="1193" spans="5:11" ht="12.75" customHeight="1" x14ac:dyDescent="0.2">
      <c r="E1193" s="50"/>
      <c r="H1193" s="12"/>
      <c r="K1193"/>
    </row>
    <row r="1194" spans="5:11" ht="12.75" customHeight="1" x14ac:dyDescent="0.2">
      <c r="E1194" s="50"/>
      <c r="H1194" s="12"/>
      <c r="K1194"/>
    </row>
    <row r="1195" spans="5:11" ht="12.75" customHeight="1" x14ac:dyDescent="0.2">
      <c r="E1195" s="50"/>
      <c r="H1195" s="12"/>
      <c r="K1195"/>
    </row>
    <row r="1196" spans="5:11" ht="12.75" customHeight="1" x14ac:dyDescent="0.2">
      <c r="E1196" s="50"/>
      <c r="H1196" s="12"/>
      <c r="K1196"/>
    </row>
    <row r="1197" spans="5:11" ht="12.75" customHeight="1" x14ac:dyDescent="0.2">
      <c r="E1197" s="50"/>
      <c r="H1197" s="12"/>
      <c r="K1197"/>
    </row>
    <row r="1198" spans="5:11" ht="12.75" customHeight="1" x14ac:dyDescent="0.2">
      <c r="E1198" s="50"/>
      <c r="H1198" s="12"/>
      <c r="K1198"/>
    </row>
    <row r="1199" spans="5:11" ht="12.75" customHeight="1" x14ac:dyDescent="0.2">
      <c r="E1199" s="50"/>
      <c r="H1199" s="12"/>
      <c r="K1199"/>
    </row>
    <row r="1200" spans="5:11" ht="12.75" customHeight="1" x14ac:dyDescent="0.2">
      <c r="E1200" s="50"/>
      <c r="H1200" s="12"/>
      <c r="K1200"/>
    </row>
    <row r="1201" spans="5:11" ht="12.75" customHeight="1" x14ac:dyDescent="0.2">
      <c r="E1201" s="50"/>
      <c r="H1201" s="12"/>
      <c r="K1201"/>
    </row>
    <row r="1202" spans="5:11" ht="12.75" customHeight="1" x14ac:dyDescent="0.2">
      <c r="E1202" s="50"/>
      <c r="H1202" s="12"/>
      <c r="K1202"/>
    </row>
    <row r="1203" spans="5:11" ht="12.75" customHeight="1" x14ac:dyDescent="0.2">
      <c r="E1203" s="50"/>
      <c r="H1203" s="12"/>
      <c r="K1203"/>
    </row>
    <row r="1204" spans="5:11" ht="12.75" customHeight="1" x14ac:dyDescent="0.2">
      <c r="E1204" s="50"/>
      <c r="H1204" s="12"/>
      <c r="K1204"/>
    </row>
    <row r="1205" spans="5:11" ht="12.75" customHeight="1" x14ac:dyDescent="0.2">
      <c r="E1205" s="50"/>
      <c r="H1205" s="12"/>
      <c r="K1205"/>
    </row>
    <row r="1206" spans="5:11" ht="12.75" customHeight="1" x14ac:dyDescent="0.2">
      <c r="E1206" s="50"/>
      <c r="H1206" s="12"/>
      <c r="K1206"/>
    </row>
    <row r="1207" spans="5:11" ht="12.75" customHeight="1" x14ac:dyDescent="0.2">
      <c r="E1207" s="50"/>
      <c r="H1207" s="12"/>
      <c r="K1207"/>
    </row>
    <row r="1208" spans="5:11" ht="12.75" customHeight="1" x14ac:dyDescent="0.2">
      <c r="E1208" s="50"/>
      <c r="H1208" s="12"/>
      <c r="K1208"/>
    </row>
    <row r="1209" spans="5:11" ht="12.75" customHeight="1" x14ac:dyDescent="0.2">
      <c r="E1209" s="50"/>
      <c r="H1209" s="12"/>
      <c r="K1209"/>
    </row>
    <row r="1210" spans="5:11" ht="12.75" customHeight="1" x14ac:dyDescent="0.2">
      <c r="E1210" s="50"/>
      <c r="H1210" s="12"/>
      <c r="K1210"/>
    </row>
    <row r="1211" spans="5:11" ht="12.75" customHeight="1" x14ac:dyDescent="0.2">
      <c r="E1211" s="50"/>
      <c r="H1211" s="12"/>
      <c r="K1211"/>
    </row>
    <row r="1212" spans="5:11" ht="12.75" customHeight="1" x14ac:dyDescent="0.2">
      <c r="E1212" s="50"/>
      <c r="H1212" s="12"/>
      <c r="K1212"/>
    </row>
    <row r="1213" spans="5:11" ht="12.75" customHeight="1" x14ac:dyDescent="0.2">
      <c r="E1213" s="50"/>
      <c r="H1213" s="12"/>
      <c r="K1213"/>
    </row>
    <row r="1214" spans="5:11" ht="12.75" customHeight="1" x14ac:dyDescent="0.2">
      <c r="E1214" s="50"/>
      <c r="H1214" s="12"/>
      <c r="K1214"/>
    </row>
    <row r="1215" spans="5:11" ht="12.75" customHeight="1" x14ac:dyDescent="0.2">
      <c r="E1215" s="50"/>
      <c r="H1215" s="12"/>
      <c r="K1215"/>
    </row>
    <row r="1216" spans="5:11" ht="12.75" customHeight="1" x14ac:dyDescent="0.2">
      <c r="E1216" s="50"/>
      <c r="H1216" s="12"/>
      <c r="K1216"/>
    </row>
    <row r="1217" spans="5:11" ht="12.75" customHeight="1" x14ac:dyDescent="0.2">
      <c r="E1217" s="50"/>
      <c r="H1217" s="12"/>
      <c r="K1217"/>
    </row>
    <row r="1218" spans="5:11" ht="12.75" customHeight="1" x14ac:dyDescent="0.2">
      <c r="E1218" s="50"/>
      <c r="H1218" s="12"/>
      <c r="K1218"/>
    </row>
    <row r="1219" spans="5:11" ht="12.75" customHeight="1" x14ac:dyDescent="0.2">
      <c r="E1219" s="50"/>
      <c r="H1219" s="12"/>
      <c r="K1219"/>
    </row>
    <row r="1220" spans="5:11" ht="12.75" customHeight="1" x14ac:dyDescent="0.2">
      <c r="E1220" s="50"/>
      <c r="H1220" s="12"/>
      <c r="K1220"/>
    </row>
    <row r="1221" spans="5:11" ht="12.75" customHeight="1" x14ac:dyDescent="0.2">
      <c r="E1221" s="50"/>
      <c r="H1221" s="12"/>
      <c r="K1221"/>
    </row>
    <row r="1222" spans="5:11" ht="12.75" customHeight="1" x14ac:dyDescent="0.2">
      <c r="E1222" s="50"/>
      <c r="H1222" s="12"/>
      <c r="K1222"/>
    </row>
    <row r="1223" spans="5:11" ht="12.75" customHeight="1" x14ac:dyDescent="0.2">
      <c r="E1223" s="50"/>
      <c r="H1223" s="12"/>
      <c r="K1223"/>
    </row>
    <row r="1224" spans="5:11" ht="12.75" customHeight="1" x14ac:dyDescent="0.2">
      <c r="E1224" s="50"/>
      <c r="H1224" s="12"/>
      <c r="K1224"/>
    </row>
    <row r="1225" spans="5:11" ht="12.75" customHeight="1" x14ac:dyDescent="0.2">
      <c r="E1225" s="50"/>
      <c r="H1225" s="12"/>
      <c r="K1225"/>
    </row>
    <row r="1226" spans="5:11" ht="12.75" customHeight="1" x14ac:dyDescent="0.2">
      <c r="E1226" s="50"/>
      <c r="H1226" s="12"/>
      <c r="K1226"/>
    </row>
    <row r="1227" spans="5:11" ht="12.75" customHeight="1" x14ac:dyDescent="0.2">
      <c r="E1227" s="50"/>
      <c r="H1227" s="12"/>
      <c r="K1227"/>
    </row>
    <row r="1228" spans="5:11" ht="12.75" customHeight="1" x14ac:dyDescent="0.2">
      <c r="E1228" s="50"/>
      <c r="H1228" s="12"/>
      <c r="K1228"/>
    </row>
    <row r="1229" spans="5:11" ht="12.75" customHeight="1" x14ac:dyDescent="0.2">
      <c r="E1229" s="50"/>
      <c r="H1229" s="12"/>
      <c r="K1229"/>
    </row>
    <row r="1230" spans="5:11" ht="12.75" customHeight="1" x14ac:dyDescent="0.2">
      <c r="E1230" s="50"/>
      <c r="H1230" s="12"/>
      <c r="K1230"/>
    </row>
    <row r="1231" spans="5:11" ht="12.75" customHeight="1" x14ac:dyDescent="0.2">
      <c r="E1231" s="50"/>
      <c r="H1231" s="12"/>
      <c r="K1231"/>
    </row>
    <row r="1232" spans="5:11" ht="12.75" customHeight="1" x14ac:dyDescent="0.2">
      <c r="E1232" s="50"/>
      <c r="H1232" s="12"/>
      <c r="K1232"/>
    </row>
    <row r="1233" spans="5:11" ht="12.75" customHeight="1" x14ac:dyDescent="0.2">
      <c r="E1233" s="50"/>
      <c r="H1233" s="12"/>
      <c r="K1233"/>
    </row>
    <row r="1234" spans="5:11" ht="12.75" customHeight="1" x14ac:dyDescent="0.2">
      <c r="E1234" s="50"/>
      <c r="H1234" s="12"/>
      <c r="K1234"/>
    </row>
    <row r="1235" spans="5:11" ht="12.75" customHeight="1" x14ac:dyDescent="0.2">
      <c r="E1235" s="50"/>
      <c r="H1235" s="12"/>
      <c r="K1235"/>
    </row>
    <row r="1236" spans="5:11" ht="12.75" customHeight="1" x14ac:dyDescent="0.2">
      <c r="E1236" s="50"/>
      <c r="H1236" s="12"/>
      <c r="K1236"/>
    </row>
    <row r="1237" spans="5:11" ht="12.75" customHeight="1" x14ac:dyDescent="0.2">
      <c r="E1237" s="50"/>
      <c r="H1237" s="12"/>
      <c r="K1237"/>
    </row>
    <row r="1238" spans="5:11" ht="12.75" customHeight="1" x14ac:dyDescent="0.2">
      <c r="E1238" s="50"/>
      <c r="H1238" s="12"/>
      <c r="K1238"/>
    </row>
    <row r="1239" spans="5:11" ht="12.75" customHeight="1" x14ac:dyDescent="0.2">
      <c r="E1239" s="50"/>
      <c r="H1239" s="12"/>
      <c r="K1239"/>
    </row>
    <row r="1240" spans="5:11" ht="12.75" customHeight="1" x14ac:dyDescent="0.2">
      <c r="E1240" s="50"/>
      <c r="H1240" s="12"/>
      <c r="K1240"/>
    </row>
    <row r="1241" spans="5:11" ht="12.75" customHeight="1" x14ac:dyDescent="0.2">
      <c r="E1241" s="50"/>
      <c r="H1241" s="12"/>
      <c r="K1241"/>
    </row>
    <row r="1242" spans="5:11" ht="12.75" customHeight="1" x14ac:dyDescent="0.2">
      <c r="E1242" s="50"/>
      <c r="H1242" s="12"/>
      <c r="K1242"/>
    </row>
    <row r="1243" spans="5:11" ht="12.75" customHeight="1" x14ac:dyDescent="0.2">
      <c r="E1243" s="50"/>
      <c r="H1243" s="12"/>
      <c r="K1243"/>
    </row>
    <row r="1244" spans="5:11" ht="12.75" customHeight="1" x14ac:dyDescent="0.2">
      <c r="E1244" s="50"/>
      <c r="H1244" s="12"/>
      <c r="K1244"/>
    </row>
    <row r="1245" spans="5:11" ht="12.75" customHeight="1" x14ac:dyDescent="0.2">
      <c r="E1245" s="50"/>
      <c r="H1245" s="12"/>
      <c r="K1245"/>
    </row>
    <row r="1246" spans="5:11" ht="12.75" customHeight="1" x14ac:dyDescent="0.2">
      <c r="E1246" s="50"/>
      <c r="H1246" s="12"/>
      <c r="K1246"/>
    </row>
    <row r="1247" spans="5:11" ht="12.75" customHeight="1" x14ac:dyDescent="0.2">
      <c r="E1247" s="50"/>
      <c r="H1247" s="12"/>
      <c r="K1247"/>
    </row>
    <row r="1248" spans="5:11" ht="12.75" customHeight="1" x14ac:dyDescent="0.2">
      <c r="E1248" s="50"/>
      <c r="H1248" s="12"/>
      <c r="K1248"/>
    </row>
    <row r="1249" spans="5:11" ht="12.75" customHeight="1" x14ac:dyDescent="0.2">
      <c r="E1249" s="50"/>
      <c r="H1249" s="12"/>
      <c r="K1249"/>
    </row>
    <row r="1250" spans="5:11" ht="12.75" customHeight="1" x14ac:dyDescent="0.2">
      <c r="E1250" s="50"/>
      <c r="H1250" s="12"/>
      <c r="K1250"/>
    </row>
    <row r="1251" spans="5:11" ht="12.75" customHeight="1" x14ac:dyDescent="0.2">
      <c r="E1251" s="50"/>
      <c r="H1251" s="12"/>
      <c r="K1251"/>
    </row>
    <row r="1252" spans="5:11" ht="12.75" customHeight="1" x14ac:dyDescent="0.2">
      <c r="E1252" s="50"/>
      <c r="H1252" s="12"/>
      <c r="K1252"/>
    </row>
    <row r="1253" spans="5:11" ht="12.75" customHeight="1" x14ac:dyDescent="0.2">
      <c r="E1253" s="50"/>
      <c r="H1253" s="12"/>
      <c r="K1253"/>
    </row>
    <row r="1254" spans="5:11" ht="12.75" customHeight="1" x14ac:dyDescent="0.2">
      <c r="E1254" s="50"/>
      <c r="H1254" s="12"/>
      <c r="K1254"/>
    </row>
    <row r="1255" spans="5:11" ht="12.75" customHeight="1" x14ac:dyDescent="0.2">
      <c r="E1255" s="50"/>
      <c r="H1255" s="12"/>
      <c r="K1255"/>
    </row>
    <row r="1256" spans="5:11" ht="12.75" customHeight="1" x14ac:dyDescent="0.2">
      <c r="E1256" s="50"/>
      <c r="H1256" s="12"/>
      <c r="K1256"/>
    </row>
    <row r="1257" spans="5:11" ht="12.75" customHeight="1" x14ac:dyDescent="0.2">
      <c r="E1257" s="50"/>
      <c r="H1257" s="12"/>
      <c r="K1257"/>
    </row>
    <row r="1258" spans="5:11" ht="12.75" customHeight="1" x14ac:dyDescent="0.2">
      <c r="E1258" s="50"/>
      <c r="H1258" s="12"/>
      <c r="K1258"/>
    </row>
    <row r="1259" spans="5:11" ht="12.75" customHeight="1" x14ac:dyDescent="0.2">
      <c r="E1259" s="50"/>
      <c r="H1259" s="12"/>
      <c r="K1259"/>
    </row>
    <row r="1260" spans="5:11" ht="12.75" customHeight="1" x14ac:dyDescent="0.2">
      <c r="E1260" s="50"/>
      <c r="H1260" s="12"/>
      <c r="K1260"/>
    </row>
    <row r="1261" spans="5:11" ht="12.75" customHeight="1" x14ac:dyDescent="0.2">
      <c r="E1261" s="50"/>
      <c r="H1261" s="12"/>
      <c r="K1261"/>
    </row>
    <row r="1262" spans="5:11" ht="12.75" customHeight="1" x14ac:dyDescent="0.2">
      <c r="E1262" s="50"/>
      <c r="H1262" s="12"/>
      <c r="K1262"/>
    </row>
    <row r="1263" spans="5:11" ht="12.75" customHeight="1" x14ac:dyDescent="0.2">
      <c r="E1263" s="50"/>
      <c r="H1263" s="12"/>
      <c r="K1263"/>
    </row>
    <row r="1264" spans="5:11" ht="12.75" customHeight="1" x14ac:dyDescent="0.2">
      <c r="E1264" s="50"/>
      <c r="H1264" s="12"/>
      <c r="K1264"/>
    </row>
    <row r="1265" spans="5:11" ht="12.75" customHeight="1" x14ac:dyDescent="0.2">
      <c r="E1265" s="50"/>
      <c r="H1265" s="12"/>
      <c r="K1265"/>
    </row>
    <row r="1266" spans="5:11" ht="12.75" customHeight="1" x14ac:dyDescent="0.2">
      <c r="E1266" s="50"/>
      <c r="H1266" s="12"/>
      <c r="K1266"/>
    </row>
    <row r="1267" spans="5:11" ht="12.75" customHeight="1" x14ac:dyDescent="0.2">
      <c r="E1267" s="50"/>
      <c r="H1267" s="12"/>
      <c r="K1267"/>
    </row>
    <row r="1268" spans="5:11" ht="12.75" customHeight="1" x14ac:dyDescent="0.2">
      <c r="E1268" s="50"/>
      <c r="H1268" s="12"/>
      <c r="K1268"/>
    </row>
    <row r="1269" spans="5:11" ht="12.75" customHeight="1" x14ac:dyDescent="0.2">
      <c r="E1269" s="50"/>
      <c r="H1269" s="12"/>
      <c r="K1269"/>
    </row>
    <row r="1270" spans="5:11" ht="12.75" customHeight="1" x14ac:dyDescent="0.2">
      <c r="E1270" s="50"/>
      <c r="H1270" s="12"/>
      <c r="K1270"/>
    </row>
    <row r="1271" spans="5:11" ht="12.75" customHeight="1" x14ac:dyDescent="0.2">
      <c r="E1271" s="50"/>
      <c r="H1271" s="12"/>
      <c r="K1271"/>
    </row>
    <row r="1272" spans="5:11" ht="12.75" customHeight="1" x14ac:dyDescent="0.2">
      <c r="E1272" s="50"/>
      <c r="H1272" s="12"/>
      <c r="K1272"/>
    </row>
    <row r="1273" spans="5:11" ht="12.75" customHeight="1" x14ac:dyDescent="0.2">
      <c r="E1273" s="50"/>
      <c r="H1273" s="12"/>
      <c r="K1273"/>
    </row>
    <row r="1274" spans="5:11" ht="12.75" customHeight="1" x14ac:dyDescent="0.2">
      <c r="E1274" s="50"/>
      <c r="H1274" s="12"/>
      <c r="K1274"/>
    </row>
    <row r="1275" spans="5:11" ht="12.75" customHeight="1" x14ac:dyDescent="0.2">
      <c r="E1275" s="50"/>
      <c r="H1275" s="12"/>
      <c r="K1275"/>
    </row>
    <row r="1276" spans="5:11" ht="12.75" customHeight="1" x14ac:dyDescent="0.2">
      <c r="E1276" s="50"/>
      <c r="H1276" s="12"/>
      <c r="K1276"/>
    </row>
    <row r="1277" spans="5:11" ht="12.75" customHeight="1" x14ac:dyDescent="0.2">
      <c r="E1277" s="50"/>
      <c r="H1277" s="12"/>
      <c r="K1277"/>
    </row>
    <row r="1278" spans="5:11" ht="12.75" customHeight="1" x14ac:dyDescent="0.2">
      <c r="E1278" s="50"/>
      <c r="H1278" s="12"/>
      <c r="K1278"/>
    </row>
    <row r="1279" spans="5:11" ht="12.75" customHeight="1" x14ac:dyDescent="0.2">
      <c r="E1279" s="50"/>
      <c r="H1279" s="12"/>
      <c r="K1279"/>
    </row>
    <row r="1280" spans="5:11" ht="12.75" customHeight="1" x14ac:dyDescent="0.2">
      <c r="E1280" s="50"/>
      <c r="H1280" s="12"/>
      <c r="K1280"/>
    </row>
    <row r="1281" spans="5:11" ht="12.75" customHeight="1" x14ac:dyDescent="0.2">
      <c r="E1281" s="50"/>
      <c r="H1281" s="12"/>
      <c r="K1281"/>
    </row>
    <row r="1282" spans="5:11" ht="12.75" customHeight="1" x14ac:dyDescent="0.2">
      <c r="E1282" s="50"/>
      <c r="H1282" s="12"/>
      <c r="K1282"/>
    </row>
    <row r="1283" spans="5:11" ht="12.75" customHeight="1" x14ac:dyDescent="0.2">
      <c r="E1283" s="50"/>
      <c r="H1283" s="12"/>
      <c r="K1283"/>
    </row>
    <row r="1284" spans="5:11" ht="12.75" customHeight="1" x14ac:dyDescent="0.2">
      <c r="E1284" s="50"/>
      <c r="H1284" s="12"/>
      <c r="K1284"/>
    </row>
    <row r="1285" spans="5:11" ht="12.75" customHeight="1" x14ac:dyDescent="0.2">
      <c r="E1285" s="50"/>
      <c r="H1285" s="12"/>
      <c r="K1285"/>
    </row>
    <row r="1286" spans="5:11" ht="12.75" customHeight="1" x14ac:dyDescent="0.2">
      <c r="E1286" s="50"/>
      <c r="H1286" s="12"/>
      <c r="K1286"/>
    </row>
    <row r="1287" spans="5:11" ht="12.75" customHeight="1" x14ac:dyDescent="0.2">
      <c r="E1287" s="50"/>
      <c r="H1287" s="12"/>
      <c r="K1287"/>
    </row>
    <row r="1288" spans="5:11" ht="12.75" customHeight="1" x14ac:dyDescent="0.2">
      <c r="E1288" s="50"/>
      <c r="H1288" s="12"/>
      <c r="K1288"/>
    </row>
    <row r="1289" spans="5:11" ht="12.75" customHeight="1" x14ac:dyDescent="0.2">
      <c r="E1289" s="50"/>
      <c r="H1289" s="12"/>
      <c r="K1289"/>
    </row>
    <row r="1290" spans="5:11" ht="12.75" customHeight="1" x14ac:dyDescent="0.2">
      <c r="E1290" s="50"/>
      <c r="H1290" s="12"/>
      <c r="K1290"/>
    </row>
    <row r="1291" spans="5:11" ht="12.75" customHeight="1" x14ac:dyDescent="0.2">
      <c r="E1291" s="50"/>
      <c r="H1291" s="12"/>
      <c r="K1291"/>
    </row>
    <row r="1292" spans="5:11" ht="12.75" customHeight="1" x14ac:dyDescent="0.2">
      <c r="E1292" s="50"/>
      <c r="H1292" s="12"/>
      <c r="K1292"/>
    </row>
    <row r="1293" spans="5:11" ht="12.75" customHeight="1" x14ac:dyDescent="0.2">
      <c r="E1293" s="50"/>
      <c r="H1293" s="12"/>
      <c r="K1293"/>
    </row>
    <row r="1294" spans="5:11" ht="12.75" customHeight="1" x14ac:dyDescent="0.2">
      <c r="E1294" s="50"/>
      <c r="H1294" s="12"/>
      <c r="K1294"/>
    </row>
    <row r="1295" spans="5:11" ht="12.75" customHeight="1" x14ac:dyDescent="0.2">
      <c r="E1295" s="50"/>
      <c r="H1295" s="12"/>
      <c r="K1295"/>
    </row>
    <row r="1296" spans="5:11" ht="12.75" customHeight="1" x14ac:dyDescent="0.2">
      <c r="E1296" s="50"/>
      <c r="H1296" s="12"/>
      <c r="K1296"/>
    </row>
    <row r="1297" spans="5:11" ht="12.75" customHeight="1" x14ac:dyDescent="0.2">
      <c r="E1297" s="50"/>
      <c r="H1297" s="12"/>
      <c r="K1297"/>
    </row>
    <row r="1298" spans="5:11" ht="12.75" customHeight="1" x14ac:dyDescent="0.2">
      <c r="E1298" s="50"/>
      <c r="H1298" s="12"/>
      <c r="K1298"/>
    </row>
    <row r="1299" spans="5:11" ht="12.75" customHeight="1" x14ac:dyDescent="0.2">
      <c r="E1299" s="50"/>
      <c r="H1299" s="12"/>
      <c r="K1299"/>
    </row>
    <row r="1300" spans="5:11" ht="12.75" customHeight="1" x14ac:dyDescent="0.2">
      <c r="E1300" s="50"/>
      <c r="H1300" s="12"/>
      <c r="K1300"/>
    </row>
    <row r="1301" spans="5:11" ht="12.75" customHeight="1" x14ac:dyDescent="0.2">
      <c r="E1301" s="50"/>
      <c r="H1301" s="12"/>
      <c r="K1301"/>
    </row>
    <row r="1302" spans="5:11" ht="14.25" customHeight="1" x14ac:dyDescent="0.2">
      <c r="E1302" s="50"/>
      <c r="H1302" s="12"/>
      <c r="K1302"/>
    </row>
    <row r="1303" spans="5:11" ht="13.5" customHeight="1" x14ac:dyDescent="0.2">
      <c r="E1303" s="50"/>
      <c r="H1303" s="12"/>
      <c r="K1303"/>
    </row>
    <row r="1304" spans="5:11" ht="13.5" customHeight="1" x14ac:dyDescent="0.2">
      <c r="E1304" s="50"/>
      <c r="H1304" s="12"/>
      <c r="K1304"/>
    </row>
    <row r="1305" spans="5:11" ht="13.5" customHeight="1" x14ac:dyDescent="0.2">
      <c r="E1305" s="50"/>
      <c r="H1305" s="12"/>
      <c r="K1305"/>
    </row>
    <row r="1306" spans="5:11" ht="13.5" customHeight="1" x14ac:dyDescent="0.2">
      <c r="E1306" s="50"/>
      <c r="H1306" s="12"/>
      <c r="K1306"/>
    </row>
    <row r="1307" spans="5:11" ht="13.5" customHeight="1" x14ac:dyDescent="0.2">
      <c r="E1307" s="50"/>
      <c r="H1307" s="12"/>
      <c r="K1307"/>
    </row>
    <row r="1308" spans="5:11" ht="13.5" customHeight="1" x14ac:dyDescent="0.2">
      <c r="E1308" s="50"/>
      <c r="H1308" s="12"/>
      <c r="K1308"/>
    </row>
    <row r="1309" spans="5:11" ht="13.5" customHeight="1" x14ac:dyDescent="0.2">
      <c r="E1309" s="50"/>
      <c r="H1309" s="12"/>
      <c r="K1309"/>
    </row>
    <row r="1310" spans="5:11" ht="13.5" customHeight="1" x14ac:dyDescent="0.2">
      <c r="E1310" s="50"/>
      <c r="H1310" s="12"/>
      <c r="K1310"/>
    </row>
    <row r="1311" spans="5:11" ht="13.5" customHeight="1" x14ac:dyDescent="0.2">
      <c r="E1311" s="50"/>
      <c r="H1311" s="12"/>
      <c r="K1311"/>
    </row>
    <row r="1312" spans="5:11" ht="13.5" customHeight="1" x14ac:dyDescent="0.2">
      <c r="E1312" s="50"/>
      <c r="H1312" s="12"/>
      <c r="K1312"/>
    </row>
    <row r="1313" spans="5:11" ht="13.5" customHeight="1" x14ac:dyDescent="0.2">
      <c r="E1313" s="50"/>
      <c r="H1313" s="12"/>
      <c r="K1313"/>
    </row>
    <row r="1314" spans="5:11" ht="13.5" customHeight="1" x14ac:dyDescent="0.2">
      <c r="E1314" s="50"/>
      <c r="H1314" s="12"/>
      <c r="K1314"/>
    </row>
    <row r="1315" spans="5:11" ht="13.5" customHeight="1" x14ac:dyDescent="0.2">
      <c r="E1315" s="50"/>
      <c r="H1315" s="12"/>
      <c r="K1315"/>
    </row>
    <row r="1316" spans="5:11" ht="13.5" customHeight="1" x14ac:dyDescent="0.2">
      <c r="E1316" s="50"/>
      <c r="H1316" s="12"/>
      <c r="K1316"/>
    </row>
    <row r="1317" spans="5:11" ht="13.5" customHeight="1" x14ac:dyDescent="0.2">
      <c r="E1317" s="50"/>
      <c r="H1317" s="12"/>
      <c r="K1317"/>
    </row>
    <row r="1318" spans="5:11" ht="13.5" customHeight="1" x14ac:dyDescent="0.2">
      <c r="E1318" s="50"/>
      <c r="H1318" s="12"/>
      <c r="K1318"/>
    </row>
    <row r="1319" spans="5:11" ht="13.5" customHeight="1" x14ac:dyDescent="0.2">
      <c r="E1319" s="50"/>
      <c r="H1319" s="12"/>
      <c r="K1319"/>
    </row>
    <row r="1320" spans="5:11" ht="13.5" customHeight="1" x14ac:dyDescent="0.2">
      <c r="E1320" s="50"/>
      <c r="H1320" s="12"/>
      <c r="K1320"/>
    </row>
    <row r="1321" spans="5:11" ht="13.5" customHeight="1" x14ac:dyDescent="0.2">
      <c r="E1321" s="50"/>
      <c r="H1321" s="12"/>
      <c r="K1321"/>
    </row>
    <row r="1322" spans="5:11" ht="13.5" customHeight="1" x14ac:dyDescent="0.2">
      <c r="E1322" s="50"/>
      <c r="H1322" s="12"/>
      <c r="K1322"/>
    </row>
    <row r="1323" spans="5:11" ht="13.5" customHeight="1" x14ac:dyDescent="0.2">
      <c r="E1323" s="50"/>
      <c r="H1323" s="12"/>
      <c r="K1323"/>
    </row>
    <row r="1324" spans="5:11" ht="13.5" customHeight="1" x14ac:dyDescent="0.2">
      <c r="E1324" s="50"/>
      <c r="H1324" s="12"/>
      <c r="K1324"/>
    </row>
    <row r="1325" spans="5:11" ht="13.5" customHeight="1" x14ac:dyDescent="0.2">
      <c r="E1325" s="50"/>
      <c r="H1325" s="12"/>
      <c r="K1325"/>
    </row>
    <row r="1326" spans="5:11" ht="13.5" customHeight="1" x14ac:dyDescent="0.2">
      <c r="E1326" s="50"/>
      <c r="H1326" s="12"/>
      <c r="K1326"/>
    </row>
    <row r="1327" spans="5:11" ht="13.5" customHeight="1" x14ac:dyDescent="0.2">
      <c r="E1327" s="50"/>
      <c r="H1327" s="12"/>
      <c r="K1327"/>
    </row>
    <row r="1328" spans="5:11" ht="13.5" customHeight="1" x14ac:dyDescent="0.2">
      <c r="E1328" s="50"/>
      <c r="H1328" s="12"/>
      <c r="K1328"/>
    </row>
    <row r="1329" spans="5:11" ht="13.5" customHeight="1" x14ac:dyDescent="0.2">
      <c r="E1329" s="50"/>
      <c r="H1329" s="12"/>
      <c r="K1329"/>
    </row>
    <row r="1330" spans="5:11" ht="13.5" customHeight="1" x14ac:dyDescent="0.2">
      <c r="E1330" s="50"/>
      <c r="H1330" s="12"/>
      <c r="K1330"/>
    </row>
    <row r="1331" spans="5:11" ht="13.5" customHeight="1" x14ac:dyDescent="0.2">
      <c r="E1331" s="50"/>
      <c r="H1331" s="12"/>
      <c r="K1331"/>
    </row>
    <row r="1332" spans="5:11" ht="13.5" customHeight="1" x14ac:dyDescent="0.2">
      <c r="E1332" s="50"/>
      <c r="H1332" s="12"/>
      <c r="K1332"/>
    </row>
    <row r="1333" spans="5:11" ht="13.5" customHeight="1" x14ac:dyDescent="0.2">
      <c r="E1333" s="50"/>
      <c r="H1333" s="12"/>
      <c r="K1333"/>
    </row>
    <row r="1334" spans="5:11" ht="13.5" customHeight="1" x14ac:dyDescent="0.2">
      <c r="E1334" s="50"/>
      <c r="H1334" s="12"/>
      <c r="K1334"/>
    </row>
    <row r="1335" spans="5:11" ht="13.5" customHeight="1" x14ac:dyDescent="0.2">
      <c r="E1335" s="50"/>
      <c r="H1335" s="12"/>
      <c r="K1335"/>
    </row>
    <row r="1336" spans="5:11" ht="13.5" customHeight="1" x14ac:dyDescent="0.2">
      <c r="E1336" s="50"/>
      <c r="H1336" s="12"/>
      <c r="K1336"/>
    </row>
    <row r="1337" spans="5:11" ht="13.5" customHeight="1" x14ac:dyDescent="0.2">
      <c r="E1337" s="50"/>
      <c r="H1337" s="12"/>
      <c r="K1337"/>
    </row>
    <row r="1338" spans="5:11" ht="13.5" customHeight="1" x14ac:dyDescent="0.2">
      <c r="E1338" s="50"/>
      <c r="H1338" s="12"/>
      <c r="K1338"/>
    </row>
    <row r="1339" spans="5:11" ht="13.5" customHeight="1" x14ac:dyDescent="0.2">
      <c r="E1339" s="50"/>
      <c r="H1339" s="12"/>
      <c r="K1339"/>
    </row>
    <row r="1340" spans="5:11" ht="13.5" customHeight="1" x14ac:dyDescent="0.2">
      <c r="E1340" s="50"/>
      <c r="H1340" s="12"/>
      <c r="K1340"/>
    </row>
    <row r="1341" spans="5:11" ht="13.5" customHeight="1" x14ac:dyDescent="0.2">
      <c r="E1341" s="50"/>
      <c r="H1341" s="12"/>
      <c r="K1341"/>
    </row>
    <row r="1342" spans="5:11" ht="13.5" customHeight="1" x14ac:dyDescent="0.2">
      <c r="E1342" s="50"/>
      <c r="H1342" s="12"/>
      <c r="K1342"/>
    </row>
    <row r="1343" spans="5:11" ht="13.5" customHeight="1" x14ac:dyDescent="0.2">
      <c r="E1343" s="50"/>
      <c r="H1343" s="12"/>
      <c r="K1343"/>
    </row>
    <row r="1344" spans="5:11" ht="13.5" customHeight="1" x14ac:dyDescent="0.2">
      <c r="E1344" s="50"/>
      <c r="H1344" s="12"/>
      <c r="K1344"/>
    </row>
    <row r="1345" spans="5:11" ht="13.5" customHeight="1" x14ac:dyDescent="0.2">
      <c r="E1345" s="50"/>
      <c r="H1345" s="12"/>
      <c r="K1345"/>
    </row>
    <row r="1346" spans="5:11" ht="13.5" customHeight="1" x14ac:dyDescent="0.2">
      <c r="E1346" s="50"/>
      <c r="H1346" s="12"/>
      <c r="K1346"/>
    </row>
    <row r="1347" spans="5:11" ht="13.5" customHeight="1" x14ac:dyDescent="0.2">
      <c r="E1347" s="50"/>
      <c r="H1347" s="12"/>
      <c r="K1347"/>
    </row>
    <row r="1348" spans="5:11" ht="13.5" customHeight="1" x14ac:dyDescent="0.2">
      <c r="E1348" s="50"/>
      <c r="H1348" s="12"/>
      <c r="K1348"/>
    </row>
    <row r="1349" spans="5:11" ht="13.5" customHeight="1" x14ac:dyDescent="0.2">
      <c r="E1349" s="50"/>
      <c r="H1349" s="12"/>
      <c r="K1349"/>
    </row>
    <row r="1350" spans="5:11" ht="13.5" customHeight="1" x14ac:dyDescent="0.2">
      <c r="E1350" s="50"/>
      <c r="H1350" s="12"/>
      <c r="K1350"/>
    </row>
    <row r="1351" spans="5:11" ht="13.5" customHeight="1" x14ac:dyDescent="0.2">
      <c r="E1351" s="50"/>
      <c r="H1351" s="12"/>
      <c r="K1351"/>
    </row>
    <row r="1352" spans="5:11" ht="13.5" customHeight="1" x14ac:dyDescent="0.2">
      <c r="E1352" s="50"/>
      <c r="H1352" s="12"/>
      <c r="K1352"/>
    </row>
    <row r="1353" spans="5:11" ht="13.5" customHeight="1" x14ac:dyDescent="0.2">
      <c r="E1353" s="50"/>
      <c r="H1353" s="12"/>
      <c r="K1353"/>
    </row>
    <row r="1354" spans="5:11" ht="13.5" customHeight="1" x14ac:dyDescent="0.2">
      <c r="E1354" s="50"/>
      <c r="H1354" s="12"/>
      <c r="K1354"/>
    </row>
    <row r="1355" spans="5:11" ht="13.5" customHeight="1" x14ac:dyDescent="0.2">
      <c r="E1355" s="50"/>
      <c r="H1355" s="12"/>
      <c r="K1355"/>
    </row>
    <row r="1356" spans="5:11" ht="13.5" customHeight="1" x14ac:dyDescent="0.2">
      <c r="E1356" s="50"/>
      <c r="H1356" s="12"/>
      <c r="K1356"/>
    </row>
    <row r="1357" spans="5:11" ht="13.5" customHeight="1" x14ac:dyDescent="0.2">
      <c r="E1357" s="50"/>
      <c r="H1357" s="12"/>
      <c r="K1357"/>
    </row>
    <row r="1358" spans="5:11" ht="13.5" customHeight="1" x14ac:dyDescent="0.2">
      <c r="E1358" s="50"/>
      <c r="H1358" s="12"/>
      <c r="K1358"/>
    </row>
    <row r="1359" spans="5:11" ht="13.5" customHeight="1" x14ac:dyDescent="0.2">
      <c r="E1359" s="50"/>
      <c r="H1359" s="12"/>
      <c r="K1359"/>
    </row>
    <row r="1360" spans="5:11" x14ac:dyDescent="0.2">
      <c r="E1360" s="50"/>
      <c r="H1360" s="12"/>
      <c r="K1360"/>
    </row>
    <row r="1361" spans="5:11" x14ac:dyDescent="0.2">
      <c r="E1361" s="50"/>
      <c r="H1361" s="12"/>
      <c r="K1361"/>
    </row>
    <row r="1362" spans="5:11" x14ac:dyDescent="0.2">
      <c r="E1362" s="50"/>
      <c r="H1362" s="12"/>
      <c r="K1362"/>
    </row>
    <row r="1363" spans="5:11" x14ac:dyDescent="0.2">
      <c r="E1363" s="50"/>
      <c r="H1363" s="12"/>
      <c r="K1363"/>
    </row>
    <row r="1364" spans="5:11" x14ac:dyDescent="0.2">
      <c r="E1364" s="50"/>
      <c r="H1364" s="12"/>
      <c r="K1364"/>
    </row>
    <row r="1365" spans="5:11" x14ac:dyDescent="0.2">
      <c r="E1365" s="50"/>
      <c r="H1365" s="12"/>
      <c r="K1365"/>
    </row>
    <row r="1366" spans="5:11" x14ac:dyDescent="0.2">
      <c r="E1366" s="50"/>
      <c r="H1366" s="12"/>
      <c r="K1366"/>
    </row>
    <row r="1367" spans="5:11" x14ac:dyDescent="0.2">
      <c r="E1367" s="50"/>
      <c r="H1367" s="12"/>
      <c r="K1367"/>
    </row>
    <row r="1368" spans="5:11" x14ac:dyDescent="0.2">
      <c r="E1368" s="50"/>
      <c r="H1368" s="12"/>
      <c r="K1368"/>
    </row>
    <row r="1369" spans="5:11" x14ac:dyDescent="0.2">
      <c r="E1369" s="50"/>
      <c r="H1369" s="12"/>
      <c r="K1369"/>
    </row>
    <row r="1370" spans="5:11" x14ac:dyDescent="0.2">
      <c r="E1370" s="50"/>
      <c r="H1370" s="12"/>
      <c r="K1370"/>
    </row>
    <row r="1371" spans="5:11" x14ac:dyDescent="0.2">
      <c r="E1371" s="50"/>
      <c r="H1371" s="12"/>
      <c r="K1371"/>
    </row>
    <row r="1372" spans="5:11" x14ac:dyDescent="0.2">
      <c r="E1372" s="50"/>
      <c r="H1372" s="12"/>
      <c r="K1372"/>
    </row>
    <row r="1373" spans="5:11" x14ac:dyDescent="0.2">
      <c r="E1373" s="50"/>
      <c r="H1373" s="12"/>
      <c r="K1373"/>
    </row>
    <row r="1374" spans="5:11" x14ac:dyDescent="0.2">
      <c r="E1374" s="50"/>
      <c r="H1374" s="12"/>
      <c r="K1374"/>
    </row>
    <row r="1375" spans="5:11" x14ac:dyDescent="0.2">
      <c r="E1375" s="50"/>
      <c r="H1375" s="12"/>
      <c r="K1375"/>
    </row>
    <row r="1376" spans="5:11" x14ac:dyDescent="0.2">
      <c r="E1376" s="50"/>
      <c r="H1376" s="12"/>
      <c r="K1376"/>
    </row>
    <row r="1377" spans="5:11" x14ac:dyDescent="0.2">
      <c r="E1377" s="50"/>
      <c r="H1377" s="12"/>
      <c r="K1377"/>
    </row>
    <row r="1378" spans="5:11" x14ac:dyDescent="0.2">
      <c r="E1378" s="50"/>
      <c r="H1378" s="12"/>
      <c r="K1378"/>
    </row>
    <row r="1379" spans="5:11" x14ac:dyDescent="0.2">
      <c r="E1379" s="50"/>
      <c r="H1379" s="12"/>
      <c r="K1379"/>
    </row>
    <row r="1380" spans="5:11" x14ac:dyDescent="0.2">
      <c r="E1380" s="50"/>
      <c r="H1380" s="12"/>
      <c r="K1380"/>
    </row>
    <row r="1381" spans="5:11" x14ac:dyDescent="0.2">
      <c r="E1381" s="50"/>
      <c r="H1381" s="12"/>
      <c r="K1381"/>
    </row>
    <row r="1382" spans="5:11" x14ac:dyDescent="0.2">
      <c r="E1382" s="50"/>
      <c r="H1382" s="12"/>
      <c r="K1382"/>
    </row>
    <row r="1383" spans="5:11" x14ac:dyDescent="0.2">
      <c r="E1383" s="50"/>
      <c r="H1383" s="12"/>
      <c r="K1383"/>
    </row>
    <row r="1384" spans="5:11" x14ac:dyDescent="0.2">
      <c r="E1384" s="50"/>
      <c r="H1384" s="12"/>
      <c r="K1384"/>
    </row>
    <row r="1385" spans="5:11" x14ac:dyDescent="0.2">
      <c r="E1385" s="50"/>
      <c r="H1385" s="12"/>
      <c r="K1385"/>
    </row>
    <row r="1386" spans="5:11" x14ac:dyDescent="0.2">
      <c r="E1386" s="50"/>
      <c r="H1386" s="12"/>
      <c r="K1386"/>
    </row>
    <row r="1387" spans="5:11" x14ac:dyDescent="0.2">
      <c r="E1387" s="50"/>
      <c r="H1387" s="12"/>
      <c r="K1387"/>
    </row>
    <row r="1388" spans="5:11" x14ac:dyDescent="0.2">
      <c r="E1388" s="50"/>
      <c r="H1388" s="12"/>
      <c r="K1388"/>
    </row>
    <row r="1389" spans="5:11" x14ac:dyDescent="0.2">
      <c r="E1389" s="50"/>
      <c r="H1389" s="12"/>
      <c r="K1389"/>
    </row>
    <row r="1390" spans="5:11" x14ac:dyDescent="0.2">
      <c r="E1390" s="50"/>
      <c r="H1390" s="12"/>
      <c r="K1390"/>
    </row>
    <row r="1391" spans="5:11" x14ac:dyDescent="0.2">
      <c r="E1391" s="50"/>
      <c r="H1391" s="12"/>
      <c r="K1391"/>
    </row>
    <row r="1392" spans="5:11" x14ac:dyDescent="0.2">
      <c r="E1392" s="50"/>
      <c r="H1392" s="12"/>
      <c r="K1392"/>
    </row>
    <row r="1393" spans="5:11" x14ac:dyDescent="0.2">
      <c r="E1393" s="50"/>
      <c r="H1393" s="12"/>
      <c r="K1393"/>
    </row>
    <row r="1394" spans="5:11" x14ac:dyDescent="0.2">
      <c r="E1394" s="50"/>
      <c r="H1394" s="12"/>
      <c r="K1394"/>
    </row>
    <row r="1395" spans="5:11" x14ac:dyDescent="0.2">
      <c r="E1395" s="50"/>
      <c r="H1395" s="12"/>
      <c r="K1395"/>
    </row>
    <row r="1396" spans="5:11" x14ac:dyDescent="0.2">
      <c r="E1396" s="50"/>
      <c r="H1396" s="12"/>
      <c r="K1396"/>
    </row>
    <row r="1397" spans="5:11" x14ac:dyDescent="0.2">
      <c r="E1397" s="50"/>
      <c r="H1397" s="12"/>
      <c r="K1397"/>
    </row>
    <row r="1398" spans="5:11" x14ac:dyDescent="0.2">
      <c r="E1398" s="50"/>
      <c r="H1398" s="12"/>
      <c r="K1398"/>
    </row>
    <row r="1399" spans="5:11" x14ac:dyDescent="0.2">
      <c r="E1399" s="50"/>
      <c r="H1399" s="12"/>
      <c r="K1399"/>
    </row>
    <row r="1400" spans="5:11" x14ac:dyDescent="0.2">
      <c r="E1400" s="50"/>
      <c r="H1400" s="12"/>
      <c r="K1400"/>
    </row>
    <row r="1401" spans="5:11" x14ac:dyDescent="0.2">
      <c r="E1401" s="50"/>
      <c r="H1401" s="12"/>
      <c r="K1401"/>
    </row>
    <row r="1402" spans="5:11" x14ac:dyDescent="0.2">
      <c r="E1402" s="50"/>
      <c r="H1402" s="12"/>
      <c r="K1402"/>
    </row>
    <row r="1403" spans="5:11" x14ac:dyDescent="0.2">
      <c r="E1403" s="50"/>
      <c r="H1403" s="12"/>
      <c r="K1403"/>
    </row>
    <row r="1404" spans="5:11" x14ac:dyDescent="0.2">
      <c r="E1404" s="50"/>
      <c r="H1404" s="12"/>
      <c r="K1404"/>
    </row>
    <row r="1405" spans="5:11" x14ac:dyDescent="0.2">
      <c r="E1405" s="50"/>
      <c r="H1405" s="12"/>
      <c r="K1405"/>
    </row>
    <row r="1406" spans="5:11" x14ac:dyDescent="0.2">
      <c r="E1406" s="50"/>
      <c r="H1406" s="12"/>
      <c r="K1406"/>
    </row>
    <row r="1407" spans="5:11" x14ac:dyDescent="0.2">
      <c r="E1407" s="50"/>
      <c r="H1407" s="12"/>
      <c r="K1407"/>
    </row>
    <row r="1408" spans="5:11" x14ac:dyDescent="0.2">
      <c r="E1408" s="50"/>
      <c r="H1408" s="12"/>
      <c r="K1408"/>
    </row>
    <row r="1409" spans="5:11" x14ac:dyDescent="0.2">
      <c r="E1409" s="50"/>
      <c r="H1409" s="12"/>
      <c r="K1409"/>
    </row>
    <row r="1410" spans="5:11" x14ac:dyDescent="0.2">
      <c r="E1410" s="50"/>
      <c r="H1410" s="12"/>
      <c r="K1410"/>
    </row>
    <row r="1411" spans="5:11" x14ac:dyDescent="0.2">
      <c r="E1411" s="50"/>
      <c r="H1411" s="12"/>
      <c r="K1411"/>
    </row>
    <row r="1412" spans="5:11" x14ac:dyDescent="0.2">
      <c r="E1412" s="50"/>
      <c r="H1412" s="12"/>
      <c r="K1412"/>
    </row>
    <row r="1413" spans="5:11" x14ac:dyDescent="0.2">
      <c r="E1413" s="50"/>
      <c r="H1413" s="12"/>
      <c r="K1413"/>
    </row>
    <row r="1414" spans="5:11" x14ac:dyDescent="0.2">
      <c r="E1414" s="50"/>
      <c r="H1414" s="12"/>
      <c r="K1414"/>
    </row>
    <row r="1415" spans="5:11" x14ac:dyDescent="0.2">
      <c r="E1415" s="50"/>
      <c r="H1415" s="12"/>
      <c r="K1415"/>
    </row>
    <row r="1416" spans="5:11" x14ac:dyDescent="0.2">
      <c r="E1416" s="50"/>
      <c r="H1416" s="12"/>
      <c r="K1416"/>
    </row>
    <row r="1417" spans="5:11" x14ac:dyDescent="0.2">
      <c r="E1417" s="50"/>
      <c r="H1417" s="12"/>
      <c r="K1417"/>
    </row>
    <row r="1418" spans="5:11" x14ac:dyDescent="0.2">
      <c r="E1418" s="50"/>
      <c r="H1418" s="12"/>
      <c r="K1418"/>
    </row>
    <row r="1419" spans="5:11" x14ac:dyDescent="0.2">
      <c r="E1419" s="50"/>
      <c r="H1419" s="12"/>
      <c r="K1419"/>
    </row>
    <row r="1420" spans="5:11" x14ac:dyDescent="0.2">
      <c r="E1420" s="50"/>
      <c r="H1420" s="12"/>
      <c r="K1420"/>
    </row>
    <row r="1421" spans="5:11" x14ac:dyDescent="0.2">
      <c r="E1421" s="50"/>
      <c r="H1421" s="12"/>
      <c r="K1421"/>
    </row>
    <row r="1422" spans="5:11" x14ac:dyDescent="0.2">
      <c r="E1422" s="50"/>
      <c r="H1422" s="12"/>
      <c r="K1422"/>
    </row>
    <row r="1423" spans="5:11" x14ac:dyDescent="0.2">
      <c r="E1423" s="50"/>
      <c r="H1423" s="12"/>
      <c r="K1423"/>
    </row>
    <row r="1424" spans="5:11" x14ac:dyDescent="0.2">
      <c r="E1424" s="50"/>
      <c r="H1424" s="12"/>
      <c r="K1424"/>
    </row>
    <row r="1425" spans="5:11" x14ac:dyDescent="0.2">
      <c r="E1425" s="50"/>
      <c r="H1425" s="12"/>
      <c r="K1425"/>
    </row>
    <row r="1426" spans="5:11" x14ac:dyDescent="0.2">
      <c r="E1426" s="50"/>
      <c r="H1426" s="12"/>
      <c r="K1426"/>
    </row>
    <row r="1427" spans="5:11" x14ac:dyDescent="0.2">
      <c r="E1427" s="50"/>
      <c r="H1427" s="12"/>
      <c r="K1427"/>
    </row>
    <row r="1428" spans="5:11" x14ac:dyDescent="0.2">
      <c r="E1428" s="50"/>
      <c r="H1428" s="12"/>
      <c r="K1428"/>
    </row>
    <row r="1429" spans="5:11" x14ac:dyDescent="0.2">
      <c r="E1429" s="50"/>
      <c r="H1429" s="12"/>
      <c r="K1429"/>
    </row>
    <row r="1430" spans="5:11" x14ac:dyDescent="0.2">
      <c r="E1430" s="50"/>
      <c r="H1430" s="12"/>
      <c r="K1430"/>
    </row>
    <row r="1431" spans="5:11" x14ac:dyDescent="0.2">
      <c r="E1431" s="50"/>
      <c r="H1431" s="12"/>
      <c r="K1431"/>
    </row>
    <row r="1432" spans="5:11" x14ac:dyDescent="0.2">
      <c r="E1432" s="50"/>
      <c r="H1432" s="12"/>
      <c r="K1432"/>
    </row>
    <row r="1433" spans="5:11" x14ac:dyDescent="0.2">
      <c r="E1433" s="50"/>
      <c r="H1433" s="12"/>
      <c r="K1433"/>
    </row>
    <row r="1434" spans="5:11" x14ac:dyDescent="0.2">
      <c r="E1434" s="50"/>
      <c r="H1434" s="12"/>
      <c r="K1434"/>
    </row>
    <row r="1435" spans="5:11" x14ac:dyDescent="0.2">
      <c r="E1435" s="50"/>
      <c r="H1435" s="12"/>
      <c r="K1435"/>
    </row>
    <row r="1436" spans="5:11" x14ac:dyDescent="0.2">
      <c r="E1436" s="50"/>
      <c r="H1436" s="12"/>
      <c r="K1436"/>
    </row>
    <row r="1437" spans="5:11" x14ac:dyDescent="0.2">
      <c r="E1437" s="50"/>
      <c r="H1437" s="12"/>
      <c r="K1437"/>
    </row>
    <row r="1438" spans="5:11" x14ac:dyDescent="0.2">
      <c r="E1438" s="50"/>
      <c r="H1438" s="12"/>
      <c r="K1438"/>
    </row>
    <row r="1439" spans="5:11" x14ac:dyDescent="0.2">
      <c r="E1439" s="50"/>
      <c r="H1439" s="12"/>
      <c r="K1439"/>
    </row>
    <row r="1440" spans="5:11" x14ac:dyDescent="0.2">
      <c r="E1440" s="50"/>
      <c r="H1440" s="12"/>
      <c r="K1440"/>
    </row>
    <row r="1441" spans="5:11" x14ac:dyDescent="0.2">
      <c r="E1441" s="50"/>
      <c r="H1441" s="12"/>
      <c r="K1441"/>
    </row>
    <row r="1442" spans="5:11" x14ac:dyDescent="0.2">
      <c r="E1442" s="50"/>
      <c r="H1442" s="12"/>
      <c r="K1442"/>
    </row>
    <row r="1443" spans="5:11" x14ac:dyDescent="0.2">
      <c r="E1443" s="50"/>
      <c r="H1443" s="12"/>
      <c r="K1443"/>
    </row>
    <row r="1444" spans="5:11" x14ac:dyDescent="0.2">
      <c r="E1444" s="50"/>
      <c r="H1444" s="12"/>
      <c r="K1444"/>
    </row>
    <row r="1445" spans="5:11" x14ac:dyDescent="0.2">
      <c r="E1445" s="50"/>
      <c r="H1445" s="12"/>
      <c r="K1445"/>
    </row>
    <row r="1446" spans="5:11" x14ac:dyDescent="0.2">
      <c r="E1446" s="50"/>
      <c r="H1446" s="12"/>
      <c r="K1446"/>
    </row>
    <row r="1447" spans="5:11" x14ac:dyDescent="0.2">
      <c r="E1447" s="50"/>
      <c r="H1447" s="12"/>
      <c r="K1447"/>
    </row>
    <row r="1448" spans="5:11" x14ac:dyDescent="0.2">
      <c r="E1448" s="50"/>
      <c r="H1448" s="12"/>
      <c r="K1448"/>
    </row>
    <row r="1449" spans="5:11" x14ac:dyDescent="0.2">
      <c r="E1449" s="50"/>
      <c r="H1449" s="12"/>
      <c r="K1449"/>
    </row>
    <row r="1450" spans="5:11" x14ac:dyDescent="0.2">
      <c r="E1450" s="50"/>
      <c r="H1450" s="12"/>
      <c r="K1450"/>
    </row>
    <row r="1451" spans="5:11" x14ac:dyDescent="0.2">
      <c r="E1451" s="50"/>
      <c r="H1451" s="12"/>
      <c r="K1451"/>
    </row>
    <row r="1452" spans="5:11" x14ac:dyDescent="0.2">
      <c r="E1452" s="50"/>
      <c r="H1452" s="12"/>
      <c r="K1452"/>
    </row>
    <row r="1453" spans="5:11" x14ac:dyDescent="0.2">
      <c r="E1453" s="50"/>
      <c r="H1453" s="12"/>
      <c r="K1453"/>
    </row>
    <row r="1454" spans="5:11" x14ac:dyDescent="0.2">
      <c r="E1454" s="50"/>
      <c r="H1454" s="12"/>
      <c r="K1454"/>
    </row>
    <row r="1455" spans="5:11" x14ac:dyDescent="0.2">
      <c r="E1455" s="50"/>
      <c r="H1455" s="12"/>
      <c r="K1455"/>
    </row>
    <row r="1456" spans="5:11" x14ac:dyDescent="0.2">
      <c r="E1456" s="50"/>
      <c r="H1456" s="12"/>
      <c r="K1456"/>
    </row>
    <row r="1457" spans="5:11" x14ac:dyDescent="0.2">
      <c r="E1457" s="50"/>
      <c r="H1457" s="12"/>
      <c r="K1457"/>
    </row>
    <row r="1458" spans="5:11" x14ac:dyDescent="0.2">
      <c r="E1458" s="50"/>
      <c r="H1458" s="12"/>
      <c r="K1458"/>
    </row>
    <row r="1459" spans="5:11" x14ac:dyDescent="0.2">
      <c r="E1459" s="50"/>
      <c r="H1459" s="12"/>
      <c r="K1459"/>
    </row>
    <row r="1460" spans="5:11" x14ac:dyDescent="0.2">
      <c r="E1460" s="50"/>
      <c r="H1460" s="12"/>
      <c r="K1460"/>
    </row>
    <row r="1461" spans="5:11" x14ac:dyDescent="0.2">
      <c r="E1461" s="50"/>
      <c r="H1461" s="12"/>
      <c r="K1461"/>
    </row>
    <row r="1462" spans="5:11" x14ac:dyDescent="0.2">
      <c r="E1462" s="50"/>
      <c r="H1462" s="12"/>
      <c r="K1462"/>
    </row>
    <row r="1463" spans="5:11" x14ac:dyDescent="0.2">
      <c r="E1463" s="50"/>
      <c r="H1463" s="12"/>
      <c r="K1463"/>
    </row>
    <row r="1464" spans="5:11" x14ac:dyDescent="0.2">
      <c r="E1464" s="50"/>
      <c r="H1464" s="12"/>
      <c r="K1464"/>
    </row>
    <row r="1465" spans="5:11" x14ac:dyDescent="0.2">
      <c r="E1465" s="50"/>
      <c r="H1465" s="12"/>
      <c r="K1465"/>
    </row>
    <row r="1466" spans="5:11" x14ac:dyDescent="0.2">
      <c r="E1466" s="50"/>
      <c r="H1466" s="12"/>
      <c r="K1466"/>
    </row>
    <row r="1467" spans="5:11" x14ac:dyDescent="0.2">
      <c r="E1467" s="50"/>
      <c r="H1467" s="12"/>
      <c r="K1467"/>
    </row>
    <row r="1468" spans="5:11" x14ac:dyDescent="0.2">
      <c r="E1468" s="50"/>
      <c r="H1468" s="12"/>
      <c r="K1468"/>
    </row>
    <row r="1469" spans="5:11" x14ac:dyDescent="0.2">
      <c r="E1469" s="50"/>
      <c r="H1469" s="12"/>
      <c r="K1469"/>
    </row>
    <row r="1470" spans="5:11" x14ac:dyDescent="0.2">
      <c r="E1470" s="50"/>
      <c r="H1470" s="12"/>
      <c r="K1470"/>
    </row>
    <row r="1471" spans="5:11" x14ac:dyDescent="0.2">
      <c r="E1471" s="50"/>
      <c r="H1471" s="12"/>
      <c r="K1471"/>
    </row>
    <row r="1472" spans="5:11" x14ac:dyDescent="0.2">
      <c r="E1472" s="50"/>
      <c r="H1472" s="12"/>
      <c r="K1472"/>
    </row>
    <row r="1473" spans="5:11" x14ac:dyDescent="0.2">
      <c r="E1473" s="50"/>
      <c r="H1473" s="12"/>
      <c r="K1473"/>
    </row>
    <row r="1474" spans="5:11" x14ac:dyDescent="0.2">
      <c r="E1474" s="50"/>
      <c r="H1474" s="12"/>
      <c r="K1474"/>
    </row>
    <row r="1475" spans="5:11" x14ac:dyDescent="0.2">
      <c r="E1475" s="50"/>
      <c r="H1475" s="12"/>
      <c r="K1475"/>
    </row>
    <row r="1476" spans="5:11" x14ac:dyDescent="0.2">
      <c r="E1476" s="50"/>
      <c r="H1476" s="12"/>
      <c r="K1476"/>
    </row>
    <row r="1477" spans="5:11" x14ac:dyDescent="0.2">
      <c r="E1477" s="50"/>
      <c r="H1477" s="12"/>
      <c r="K1477"/>
    </row>
    <row r="1478" spans="5:11" x14ac:dyDescent="0.2">
      <c r="E1478" s="50"/>
      <c r="H1478" s="12"/>
      <c r="K1478"/>
    </row>
    <row r="1479" spans="5:11" x14ac:dyDescent="0.2">
      <c r="E1479" s="50"/>
      <c r="H1479" s="12"/>
      <c r="K1479"/>
    </row>
    <row r="1480" spans="5:11" x14ac:dyDescent="0.2">
      <c r="E1480" s="50"/>
      <c r="H1480" s="12"/>
      <c r="K1480"/>
    </row>
    <row r="1481" spans="5:11" x14ac:dyDescent="0.2">
      <c r="E1481" s="50"/>
      <c r="H1481" s="12"/>
      <c r="K1481"/>
    </row>
    <row r="1482" spans="5:11" x14ac:dyDescent="0.2">
      <c r="E1482" s="50"/>
      <c r="H1482" s="12"/>
      <c r="K1482"/>
    </row>
    <row r="1483" spans="5:11" x14ac:dyDescent="0.2">
      <c r="E1483" s="50"/>
      <c r="H1483" s="12"/>
      <c r="K1483"/>
    </row>
    <row r="1484" spans="5:11" x14ac:dyDescent="0.2">
      <c r="E1484" s="50"/>
      <c r="H1484" s="12"/>
      <c r="K1484"/>
    </row>
    <row r="1485" spans="5:11" x14ac:dyDescent="0.2">
      <c r="E1485" s="50"/>
      <c r="H1485" s="12"/>
      <c r="K1485"/>
    </row>
    <row r="1486" spans="5:11" x14ac:dyDescent="0.2">
      <c r="E1486" s="50"/>
      <c r="H1486" s="12"/>
      <c r="K1486"/>
    </row>
    <row r="1487" spans="5:11" x14ac:dyDescent="0.2">
      <c r="E1487" s="50"/>
      <c r="H1487" s="12"/>
      <c r="K1487"/>
    </row>
    <row r="1488" spans="5:11" x14ac:dyDescent="0.2">
      <c r="E1488" s="50"/>
      <c r="H1488" s="12"/>
      <c r="K1488"/>
    </row>
    <row r="1489" spans="5:11" x14ac:dyDescent="0.2">
      <c r="E1489" s="50"/>
      <c r="H1489" s="12"/>
      <c r="K1489"/>
    </row>
    <row r="1490" spans="5:11" x14ac:dyDescent="0.2">
      <c r="E1490" s="50"/>
      <c r="H1490" s="12"/>
      <c r="K1490"/>
    </row>
    <row r="1491" spans="5:11" x14ac:dyDescent="0.2">
      <c r="E1491" s="50"/>
      <c r="H1491" s="12"/>
      <c r="K1491"/>
    </row>
    <row r="1492" spans="5:11" x14ac:dyDescent="0.2">
      <c r="E1492" s="50"/>
      <c r="H1492" s="12"/>
      <c r="K1492"/>
    </row>
    <row r="1493" spans="5:11" x14ac:dyDescent="0.2">
      <c r="E1493" s="50"/>
      <c r="H1493" s="12"/>
      <c r="K1493"/>
    </row>
    <row r="1494" spans="5:11" x14ac:dyDescent="0.2">
      <c r="E1494" s="50"/>
      <c r="H1494" s="12"/>
      <c r="K1494"/>
    </row>
    <row r="1495" spans="5:11" x14ac:dyDescent="0.2">
      <c r="E1495" s="50"/>
      <c r="H1495" s="12"/>
      <c r="K1495"/>
    </row>
    <row r="1496" spans="5:11" x14ac:dyDescent="0.2">
      <c r="E1496" s="50"/>
      <c r="H1496" s="12"/>
      <c r="K1496"/>
    </row>
    <row r="1497" spans="5:11" x14ac:dyDescent="0.2">
      <c r="E1497" s="50"/>
      <c r="H1497" s="12"/>
      <c r="K1497"/>
    </row>
    <row r="1498" spans="5:11" x14ac:dyDescent="0.2">
      <c r="E1498" s="50"/>
      <c r="H1498" s="12"/>
      <c r="K1498"/>
    </row>
    <row r="1499" spans="5:11" x14ac:dyDescent="0.2">
      <c r="E1499" s="50"/>
      <c r="H1499" s="12"/>
      <c r="K1499"/>
    </row>
    <row r="1500" spans="5:11" x14ac:dyDescent="0.2">
      <c r="E1500" s="50"/>
      <c r="H1500" s="12"/>
      <c r="K1500"/>
    </row>
    <row r="1501" spans="5:11" x14ac:dyDescent="0.2">
      <c r="E1501" s="50"/>
      <c r="H1501" s="12"/>
      <c r="K1501"/>
    </row>
    <row r="1502" spans="5:11" x14ac:dyDescent="0.2">
      <c r="E1502" s="50"/>
      <c r="H1502" s="12"/>
      <c r="K1502"/>
    </row>
    <row r="1503" spans="5:11" x14ac:dyDescent="0.2">
      <c r="E1503" s="50"/>
      <c r="H1503" s="12"/>
      <c r="K1503"/>
    </row>
    <row r="1504" spans="5:11" x14ac:dyDescent="0.2">
      <c r="E1504" s="50"/>
      <c r="H1504" s="12"/>
      <c r="K1504"/>
    </row>
    <row r="1505" spans="5:11" x14ac:dyDescent="0.2">
      <c r="E1505" s="50"/>
      <c r="H1505" s="12"/>
      <c r="K1505"/>
    </row>
    <row r="1506" spans="5:11" x14ac:dyDescent="0.2">
      <c r="E1506" s="50"/>
      <c r="H1506" s="12"/>
      <c r="K1506"/>
    </row>
    <row r="1507" spans="5:11" x14ac:dyDescent="0.2">
      <c r="E1507" s="50"/>
      <c r="H1507" s="12"/>
      <c r="K1507"/>
    </row>
    <row r="1508" spans="5:11" x14ac:dyDescent="0.2">
      <c r="E1508" s="50"/>
      <c r="H1508" s="12"/>
      <c r="K1508"/>
    </row>
    <row r="1509" spans="5:11" x14ac:dyDescent="0.2">
      <c r="E1509" s="50"/>
      <c r="H1509" s="12"/>
      <c r="K1509"/>
    </row>
    <row r="1510" spans="5:11" x14ac:dyDescent="0.2">
      <c r="E1510" s="50"/>
      <c r="H1510" s="12"/>
      <c r="K1510"/>
    </row>
    <row r="1511" spans="5:11" x14ac:dyDescent="0.2">
      <c r="E1511" s="50"/>
      <c r="H1511" s="12"/>
      <c r="K1511"/>
    </row>
    <row r="1512" spans="5:11" x14ac:dyDescent="0.2">
      <c r="E1512" s="50"/>
      <c r="H1512" s="12"/>
      <c r="K1512"/>
    </row>
    <row r="1513" spans="5:11" x14ac:dyDescent="0.2">
      <c r="E1513" s="50"/>
      <c r="H1513" s="12"/>
      <c r="K1513"/>
    </row>
    <row r="1514" spans="5:11" x14ac:dyDescent="0.2">
      <c r="E1514" s="50"/>
      <c r="H1514" s="12"/>
      <c r="K1514"/>
    </row>
    <row r="1515" spans="5:11" x14ac:dyDescent="0.2">
      <c r="E1515" s="50"/>
      <c r="H1515" s="12"/>
      <c r="K1515"/>
    </row>
    <row r="1516" spans="5:11" x14ac:dyDescent="0.2">
      <c r="E1516" s="50"/>
      <c r="H1516" s="12"/>
      <c r="K1516"/>
    </row>
    <row r="1517" spans="5:11" x14ac:dyDescent="0.2">
      <c r="E1517" s="50"/>
      <c r="H1517" s="12"/>
      <c r="K1517"/>
    </row>
    <row r="1518" spans="5:11" x14ac:dyDescent="0.2">
      <c r="E1518" s="50"/>
      <c r="H1518" s="12"/>
      <c r="K1518"/>
    </row>
    <row r="1519" spans="5:11" x14ac:dyDescent="0.2">
      <c r="E1519" s="50"/>
      <c r="H1519" s="12"/>
      <c r="K1519"/>
    </row>
    <row r="1520" spans="5:11" x14ac:dyDescent="0.2">
      <c r="E1520" s="50"/>
      <c r="H1520" s="12"/>
      <c r="K1520"/>
    </row>
    <row r="1521" spans="5:11" x14ac:dyDescent="0.2">
      <c r="E1521" s="50"/>
      <c r="H1521" s="12"/>
      <c r="K1521"/>
    </row>
    <row r="1522" spans="5:11" x14ac:dyDescent="0.2">
      <c r="E1522" s="50"/>
      <c r="H1522" s="12"/>
      <c r="K1522"/>
    </row>
    <row r="1523" spans="5:11" x14ac:dyDescent="0.2">
      <c r="E1523" s="50"/>
      <c r="H1523" s="12"/>
      <c r="K1523"/>
    </row>
    <row r="1524" spans="5:11" x14ac:dyDescent="0.2">
      <c r="E1524" s="50"/>
      <c r="H1524" s="12"/>
      <c r="K1524"/>
    </row>
    <row r="1525" spans="5:11" x14ac:dyDescent="0.2">
      <c r="E1525" s="50"/>
      <c r="H1525" s="12"/>
      <c r="K1525"/>
    </row>
    <row r="1526" spans="5:11" x14ac:dyDescent="0.2">
      <c r="E1526" s="50"/>
      <c r="H1526" s="12"/>
      <c r="K1526"/>
    </row>
    <row r="1527" spans="5:11" x14ac:dyDescent="0.2">
      <c r="E1527" s="50"/>
      <c r="H1527" s="12"/>
      <c r="K1527"/>
    </row>
    <row r="1528" spans="5:11" x14ac:dyDescent="0.2">
      <c r="E1528" s="50"/>
      <c r="H1528" s="12"/>
      <c r="K1528"/>
    </row>
    <row r="1529" spans="5:11" x14ac:dyDescent="0.2">
      <c r="E1529" s="50"/>
      <c r="H1529" s="12"/>
      <c r="K1529"/>
    </row>
    <row r="1530" spans="5:11" x14ac:dyDescent="0.2">
      <c r="E1530" s="50"/>
      <c r="H1530" s="12"/>
      <c r="K1530"/>
    </row>
    <row r="1531" spans="5:11" x14ac:dyDescent="0.2">
      <c r="E1531" s="50"/>
      <c r="H1531" s="12"/>
      <c r="K1531"/>
    </row>
    <row r="1532" spans="5:11" x14ac:dyDescent="0.2">
      <c r="E1532" s="50"/>
      <c r="H1532" s="12"/>
      <c r="K1532"/>
    </row>
    <row r="1533" spans="5:11" x14ac:dyDescent="0.2">
      <c r="E1533" s="50"/>
      <c r="H1533" s="12"/>
      <c r="K1533"/>
    </row>
    <row r="1534" spans="5:11" x14ac:dyDescent="0.2">
      <c r="E1534" s="50"/>
      <c r="H1534" s="12"/>
      <c r="K1534"/>
    </row>
    <row r="1535" spans="5:11" x14ac:dyDescent="0.2">
      <c r="E1535" s="50"/>
      <c r="H1535" s="12"/>
      <c r="K1535"/>
    </row>
    <row r="1536" spans="5:11" x14ac:dyDescent="0.2">
      <c r="E1536" s="50"/>
      <c r="H1536" s="12"/>
      <c r="K1536"/>
    </row>
    <row r="1537" spans="5:11" x14ac:dyDescent="0.2">
      <c r="E1537" s="50"/>
      <c r="H1537" s="12"/>
      <c r="K1537"/>
    </row>
    <row r="1538" spans="5:11" x14ac:dyDescent="0.2">
      <c r="E1538" s="50"/>
      <c r="H1538" s="12"/>
      <c r="K1538"/>
    </row>
    <row r="1539" spans="5:11" x14ac:dyDescent="0.2">
      <c r="E1539" s="50"/>
      <c r="H1539" s="12"/>
      <c r="K1539"/>
    </row>
    <row r="1540" spans="5:11" x14ac:dyDescent="0.2">
      <c r="E1540" s="50"/>
      <c r="H1540" s="12"/>
      <c r="K1540"/>
    </row>
    <row r="1541" spans="5:11" x14ac:dyDescent="0.2">
      <c r="E1541" s="50"/>
      <c r="H1541" s="12"/>
      <c r="K1541"/>
    </row>
    <row r="1542" spans="5:11" x14ac:dyDescent="0.2">
      <c r="E1542" s="50"/>
      <c r="H1542" s="12"/>
      <c r="K1542"/>
    </row>
    <row r="1543" spans="5:11" x14ac:dyDescent="0.2">
      <c r="E1543" s="50"/>
      <c r="H1543" s="12"/>
      <c r="K1543"/>
    </row>
    <row r="1544" spans="5:11" x14ac:dyDescent="0.2">
      <c r="E1544" s="50"/>
      <c r="H1544" s="12"/>
      <c r="K1544"/>
    </row>
    <row r="1545" spans="5:11" x14ac:dyDescent="0.2">
      <c r="E1545" s="50"/>
      <c r="H1545" s="12"/>
      <c r="K1545"/>
    </row>
    <row r="1546" spans="5:11" x14ac:dyDescent="0.2">
      <c r="E1546" s="50"/>
      <c r="H1546" s="12"/>
      <c r="K1546"/>
    </row>
    <row r="1547" spans="5:11" x14ac:dyDescent="0.2">
      <c r="E1547" s="50"/>
      <c r="H1547" s="12"/>
      <c r="K1547"/>
    </row>
    <row r="1548" spans="5:11" x14ac:dyDescent="0.2">
      <c r="E1548" s="50"/>
      <c r="H1548" s="12"/>
      <c r="K1548"/>
    </row>
    <row r="1549" spans="5:11" x14ac:dyDescent="0.2">
      <c r="E1549" s="50"/>
      <c r="H1549" s="12"/>
      <c r="K1549"/>
    </row>
    <row r="1550" spans="5:11" x14ac:dyDescent="0.2">
      <c r="E1550" s="50"/>
      <c r="H1550" s="12"/>
      <c r="K1550"/>
    </row>
    <row r="1551" spans="5:11" x14ac:dyDescent="0.2">
      <c r="E1551" s="50"/>
      <c r="H1551" s="12"/>
      <c r="K1551"/>
    </row>
    <row r="1552" spans="5:11" x14ac:dyDescent="0.2">
      <c r="E1552" s="50"/>
      <c r="H1552" s="12"/>
      <c r="K1552"/>
    </row>
    <row r="1553" spans="5:11" x14ac:dyDescent="0.2">
      <c r="E1553" s="50"/>
      <c r="H1553" s="12"/>
      <c r="K1553"/>
    </row>
    <row r="1554" spans="5:11" x14ac:dyDescent="0.2">
      <c r="E1554" s="50"/>
      <c r="H1554" s="12"/>
      <c r="K1554"/>
    </row>
    <row r="1555" spans="5:11" x14ac:dyDescent="0.2">
      <c r="E1555" s="50"/>
      <c r="H1555" s="12"/>
      <c r="K1555"/>
    </row>
    <row r="1556" spans="5:11" x14ac:dyDescent="0.2">
      <c r="E1556" s="50"/>
      <c r="H1556" s="12"/>
      <c r="K1556"/>
    </row>
    <row r="1557" spans="5:11" x14ac:dyDescent="0.2">
      <c r="E1557" s="50"/>
      <c r="H1557" s="12"/>
      <c r="K1557"/>
    </row>
    <row r="1558" spans="5:11" x14ac:dyDescent="0.2">
      <c r="E1558" s="50"/>
      <c r="H1558" s="12"/>
      <c r="K1558"/>
    </row>
    <row r="1559" spans="5:11" x14ac:dyDescent="0.2">
      <c r="E1559" s="50"/>
      <c r="H1559" s="12"/>
      <c r="K1559"/>
    </row>
    <row r="1560" spans="5:11" x14ac:dyDescent="0.2">
      <c r="E1560" s="50"/>
      <c r="H1560" s="12"/>
      <c r="K1560"/>
    </row>
    <row r="1561" spans="5:11" x14ac:dyDescent="0.2">
      <c r="E1561" s="50"/>
      <c r="H1561" s="12"/>
      <c r="K1561"/>
    </row>
    <row r="1562" spans="5:11" x14ac:dyDescent="0.2">
      <c r="E1562" s="50"/>
      <c r="H1562" s="12"/>
      <c r="K1562"/>
    </row>
    <row r="1563" spans="5:11" x14ac:dyDescent="0.2">
      <c r="E1563" s="50"/>
      <c r="H1563" s="12"/>
      <c r="K1563"/>
    </row>
    <row r="1564" spans="5:11" x14ac:dyDescent="0.2">
      <c r="E1564" s="50"/>
      <c r="H1564" s="12"/>
      <c r="K1564"/>
    </row>
    <row r="1565" spans="5:11" x14ac:dyDescent="0.2">
      <c r="E1565" s="50"/>
      <c r="H1565" s="12"/>
      <c r="K1565"/>
    </row>
    <row r="1566" spans="5:11" x14ac:dyDescent="0.2">
      <c r="E1566" s="50"/>
      <c r="H1566" s="12"/>
      <c r="K1566"/>
    </row>
    <row r="1567" spans="5:11" x14ac:dyDescent="0.2">
      <c r="E1567" s="50"/>
      <c r="H1567" s="12"/>
      <c r="K1567"/>
    </row>
    <row r="1568" spans="5:11" x14ac:dyDescent="0.2">
      <c r="E1568" s="50"/>
      <c r="H1568" s="12"/>
      <c r="K1568"/>
    </row>
    <row r="1569" spans="5:11" x14ac:dyDescent="0.2">
      <c r="E1569" s="50"/>
      <c r="H1569" s="12"/>
      <c r="K1569"/>
    </row>
    <row r="1570" spans="5:11" x14ac:dyDescent="0.2">
      <c r="E1570" s="50"/>
      <c r="H1570" s="12"/>
      <c r="K1570"/>
    </row>
    <row r="1571" spans="5:11" x14ac:dyDescent="0.2">
      <c r="E1571" s="50"/>
      <c r="H1571" s="12"/>
      <c r="K1571"/>
    </row>
    <row r="1572" spans="5:11" x14ac:dyDescent="0.2">
      <c r="E1572" s="50"/>
      <c r="H1572" s="12"/>
      <c r="K1572"/>
    </row>
    <row r="1573" spans="5:11" x14ac:dyDescent="0.2">
      <c r="E1573" s="50"/>
      <c r="H1573" s="12"/>
      <c r="K1573"/>
    </row>
    <row r="1574" spans="5:11" x14ac:dyDescent="0.2">
      <c r="E1574" s="50"/>
      <c r="H1574" s="12"/>
      <c r="K1574"/>
    </row>
    <row r="1575" spans="5:11" x14ac:dyDescent="0.2">
      <c r="E1575" s="50"/>
      <c r="H1575" s="12"/>
      <c r="K1575"/>
    </row>
    <row r="1576" spans="5:11" x14ac:dyDescent="0.2">
      <c r="E1576" s="50"/>
      <c r="H1576" s="12"/>
      <c r="K1576"/>
    </row>
    <row r="1577" spans="5:11" x14ac:dyDescent="0.2">
      <c r="E1577" s="50"/>
      <c r="H1577" s="12"/>
      <c r="K1577"/>
    </row>
    <row r="1578" spans="5:11" x14ac:dyDescent="0.2">
      <c r="E1578" s="50"/>
      <c r="H1578" s="12"/>
      <c r="K1578"/>
    </row>
    <row r="1579" spans="5:11" x14ac:dyDescent="0.2">
      <c r="E1579" s="50"/>
      <c r="H1579" s="12"/>
      <c r="K1579"/>
    </row>
    <row r="1580" spans="5:11" x14ac:dyDescent="0.2">
      <c r="E1580" s="50"/>
      <c r="H1580" s="12"/>
      <c r="K1580"/>
    </row>
    <row r="1581" spans="5:11" x14ac:dyDescent="0.2">
      <c r="E1581" s="50"/>
      <c r="H1581" s="12"/>
      <c r="K1581"/>
    </row>
    <row r="1582" spans="5:11" x14ac:dyDescent="0.2">
      <c r="E1582" s="50"/>
      <c r="H1582" s="12"/>
      <c r="K1582"/>
    </row>
    <row r="1583" spans="5:11" x14ac:dyDescent="0.2">
      <c r="E1583" s="50"/>
      <c r="H1583" s="12"/>
      <c r="K1583"/>
    </row>
    <row r="1584" spans="5:11" x14ac:dyDescent="0.2">
      <c r="E1584" s="50"/>
      <c r="H1584" s="12"/>
      <c r="K1584"/>
    </row>
    <row r="1585" spans="5:11" x14ac:dyDescent="0.2">
      <c r="E1585" s="50"/>
      <c r="H1585" s="12"/>
      <c r="K1585"/>
    </row>
    <row r="1586" spans="5:11" x14ac:dyDescent="0.2">
      <c r="E1586" s="50"/>
      <c r="H1586" s="12"/>
      <c r="K1586"/>
    </row>
    <row r="1587" spans="5:11" x14ac:dyDescent="0.2">
      <c r="E1587" s="50"/>
      <c r="H1587" s="12"/>
      <c r="K1587"/>
    </row>
    <row r="1588" spans="5:11" x14ac:dyDescent="0.2">
      <c r="E1588" s="50"/>
      <c r="H1588" s="12"/>
      <c r="K1588"/>
    </row>
    <row r="1589" spans="5:11" x14ac:dyDescent="0.2">
      <c r="E1589" s="50"/>
      <c r="H1589" s="12"/>
      <c r="K1589"/>
    </row>
    <row r="1590" spans="5:11" x14ac:dyDescent="0.2">
      <c r="E1590" s="50"/>
      <c r="H1590" s="12"/>
      <c r="K1590"/>
    </row>
    <row r="1591" spans="5:11" x14ac:dyDescent="0.2">
      <c r="E1591" s="50"/>
      <c r="H1591" s="12"/>
      <c r="K1591"/>
    </row>
    <row r="1592" spans="5:11" x14ac:dyDescent="0.2">
      <c r="E1592" s="50"/>
      <c r="H1592" s="12"/>
      <c r="K1592"/>
    </row>
    <row r="1593" spans="5:11" x14ac:dyDescent="0.2">
      <c r="E1593" s="50"/>
      <c r="H1593" s="12"/>
      <c r="K1593"/>
    </row>
    <row r="1594" spans="5:11" x14ac:dyDescent="0.2">
      <c r="E1594" s="50"/>
      <c r="H1594" s="12"/>
      <c r="K1594"/>
    </row>
    <row r="1595" spans="5:11" x14ac:dyDescent="0.2">
      <c r="E1595" s="50"/>
      <c r="H1595" s="12"/>
      <c r="K1595"/>
    </row>
    <row r="1596" spans="5:11" x14ac:dyDescent="0.2">
      <c r="E1596" s="50"/>
      <c r="H1596" s="12"/>
      <c r="K1596"/>
    </row>
    <row r="1597" spans="5:11" x14ac:dyDescent="0.2">
      <c r="E1597" s="50"/>
      <c r="H1597" s="12"/>
      <c r="K1597"/>
    </row>
    <row r="1598" spans="5:11" x14ac:dyDescent="0.2">
      <c r="E1598" s="50"/>
      <c r="H1598" s="12"/>
      <c r="K1598"/>
    </row>
    <row r="1599" spans="5:11" x14ac:dyDescent="0.2">
      <c r="E1599" s="50"/>
      <c r="H1599" s="12"/>
      <c r="K1599"/>
    </row>
    <row r="1600" spans="5:11" x14ac:dyDescent="0.2">
      <c r="E1600" s="50"/>
      <c r="H1600" s="12"/>
      <c r="K1600"/>
    </row>
    <row r="1601" spans="5:11" x14ac:dyDescent="0.2">
      <c r="E1601" s="50"/>
      <c r="H1601" s="12"/>
      <c r="K1601"/>
    </row>
    <row r="1602" spans="5:11" x14ac:dyDescent="0.2">
      <c r="E1602" s="50"/>
      <c r="H1602" s="12"/>
      <c r="K1602"/>
    </row>
    <row r="1603" spans="5:11" x14ac:dyDescent="0.2">
      <c r="E1603" s="50"/>
      <c r="H1603" s="12"/>
      <c r="K1603"/>
    </row>
    <row r="1604" spans="5:11" x14ac:dyDescent="0.2">
      <c r="E1604" s="50"/>
      <c r="H1604" s="12"/>
      <c r="K1604"/>
    </row>
    <row r="1605" spans="5:11" x14ac:dyDescent="0.2">
      <c r="E1605" s="50"/>
      <c r="H1605" s="12"/>
      <c r="K1605"/>
    </row>
    <row r="1606" spans="5:11" x14ac:dyDescent="0.2">
      <c r="E1606" s="50"/>
      <c r="H1606" s="12"/>
      <c r="K1606"/>
    </row>
    <row r="1607" spans="5:11" x14ac:dyDescent="0.2">
      <c r="E1607" s="50"/>
      <c r="H1607" s="12"/>
      <c r="K1607"/>
    </row>
    <row r="1608" spans="5:11" x14ac:dyDescent="0.2">
      <c r="E1608" s="50"/>
      <c r="H1608" s="12"/>
      <c r="K1608"/>
    </row>
    <row r="1609" spans="5:11" x14ac:dyDescent="0.2">
      <c r="E1609" s="50"/>
      <c r="H1609" s="12"/>
      <c r="K1609"/>
    </row>
    <row r="1610" spans="5:11" x14ac:dyDescent="0.2">
      <c r="E1610" s="50"/>
      <c r="H1610" s="12"/>
      <c r="K1610"/>
    </row>
    <row r="1611" spans="5:11" x14ac:dyDescent="0.2">
      <c r="E1611" s="50"/>
      <c r="H1611" s="12"/>
      <c r="K1611"/>
    </row>
    <row r="1612" spans="5:11" x14ac:dyDescent="0.2">
      <c r="E1612" s="50"/>
      <c r="H1612" s="12"/>
      <c r="K1612"/>
    </row>
    <row r="1613" spans="5:11" x14ac:dyDescent="0.2">
      <c r="E1613" s="50"/>
      <c r="H1613" s="12"/>
      <c r="K1613"/>
    </row>
    <row r="1614" spans="5:11" x14ac:dyDescent="0.2">
      <c r="E1614" s="50"/>
      <c r="H1614" s="12"/>
      <c r="K1614"/>
    </row>
    <row r="1615" spans="5:11" x14ac:dyDescent="0.2">
      <c r="E1615" s="50"/>
      <c r="H1615" s="12"/>
      <c r="K1615"/>
    </row>
    <row r="1616" spans="5:11" x14ac:dyDescent="0.2">
      <c r="E1616" s="50"/>
      <c r="H1616" s="12"/>
      <c r="K1616"/>
    </row>
    <row r="1617" spans="5:11" x14ac:dyDescent="0.2">
      <c r="E1617" s="50"/>
      <c r="H1617" s="12"/>
      <c r="K1617"/>
    </row>
    <row r="1618" spans="5:11" x14ac:dyDescent="0.2">
      <c r="E1618" s="50"/>
      <c r="H1618" s="12"/>
      <c r="K1618"/>
    </row>
    <row r="1619" spans="5:11" x14ac:dyDescent="0.2">
      <c r="E1619" s="50"/>
      <c r="H1619" s="12"/>
      <c r="K1619"/>
    </row>
    <row r="1620" spans="5:11" x14ac:dyDescent="0.2">
      <c r="E1620" s="50"/>
      <c r="H1620" s="12"/>
      <c r="K1620"/>
    </row>
    <row r="1621" spans="5:11" x14ac:dyDescent="0.2">
      <c r="E1621" s="50"/>
      <c r="H1621" s="12"/>
      <c r="K1621"/>
    </row>
    <row r="1622" spans="5:11" x14ac:dyDescent="0.2">
      <c r="E1622" s="50"/>
      <c r="H1622" s="12"/>
      <c r="K1622"/>
    </row>
    <row r="1623" spans="5:11" x14ac:dyDescent="0.2">
      <c r="E1623" s="50"/>
      <c r="H1623" s="12"/>
      <c r="K1623"/>
    </row>
    <row r="1624" spans="5:11" x14ac:dyDescent="0.2">
      <c r="E1624" s="50"/>
      <c r="H1624" s="12"/>
      <c r="K1624"/>
    </row>
    <row r="1625" spans="5:11" x14ac:dyDescent="0.2">
      <c r="E1625" s="50"/>
      <c r="H1625" s="12"/>
      <c r="K1625"/>
    </row>
    <row r="1626" spans="5:11" x14ac:dyDescent="0.2">
      <c r="E1626" s="50"/>
      <c r="H1626" s="12"/>
      <c r="K1626"/>
    </row>
    <row r="1627" spans="5:11" x14ac:dyDescent="0.2">
      <c r="E1627" s="50"/>
      <c r="H1627" s="12"/>
      <c r="K1627"/>
    </row>
    <row r="1628" spans="5:11" x14ac:dyDescent="0.2">
      <c r="E1628" s="50"/>
      <c r="H1628" s="12"/>
      <c r="K1628"/>
    </row>
    <row r="1629" spans="5:11" x14ac:dyDescent="0.2">
      <c r="E1629" s="50"/>
      <c r="H1629" s="12"/>
      <c r="K1629"/>
    </row>
    <row r="1630" spans="5:11" x14ac:dyDescent="0.2">
      <c r="E1630" s="50"/>
      <c r="H1630" s="12"/>
      <c r="K1630"/>
    </row>
    <row r="1631" spans="5:11" x14ac:dyDescent="0.2">
      <c r="E1631" s="50"/>
      <c r="H1631" s="12"/>
      <c r="K1631"/>
    </row>
    <row r="1632" spans="5:11" x14ac:dyDescent="0.2">
      <c r="E1632" s="50"/>
      <c r="H1632" s="12"/>
      <c r="K1632"/>
    </row>
    <row r="1633" spans="5:11" x14ac:dyDescent="0.2">
      <c r="E1633" s="50"/>
      <c r="H1633" s="12"/>
      <c r="K1633"/>
    </row>
    <row r="1634" spans="5:11" x14ac:dyDescent="0.2">
      <c r="E1634" s="50"/>
      <c r="H1634" s="12"/>
      <c r="K1634"/>
    </row>
    <row r="1635" spans="5:11" x14ac:dyDescent="0.2">
      <c r="E1635" s="50"/>
      <c r="H1635" s="12"/>
      <c r="K1635"/>
    </row>
    <row r="1636" spans="5:11" x14ac:dyDescent="0.2">
      <c r="E1636" s="50"/>
      <c r="H1636" s="12"/>
      <c r="K1636"/>
    </row>
    <row r="1637" spans="5:11" x14ac:dyDescent="0.2">
      <c r="E1637" s="50"/>
      <c r="H1637" s="12"/>
      <c r="K1637"/>
    </row>
    <row r="1638" spans="5:11" x14ac:dyDescent="0.2">
      <c r="E1638" s="50"/>
      <c r="H1638" s="12"/>
      <c r="K1638"/>
    </row>
    <row r="1639" spans="5:11" x14ac:dyDescent="0.2">
      <c r="E1639" s="50"/>
      <c r="H1639" s="12"/>
      <c r="K1639"/>
    </row>
    <row r="1640" spans="5:11" x14ac:dyDescent="0.2">
      <c r="E1640" s="50"/>
      <c r="H1640" s="12"/>
      <c r="K1640"/>
    </row>
    <row r="1641" spans="5:11" x14ac:dyDescent="0.2">
      <c r="E1641" s="50"/>
      <c r="H1641" s="12"/>
      <c r="K1641"/>
    </row>
    <row r="1642" spans="5:11" x14ac:dyDescent="0.2">
      <c r="E1642" s="50"/>
      <c r="H1642" s="12"/>
      <c r="K1642"/>
    </row>
    <row r="1643" spans="5:11" x14ac:dyDescent="0.2">
      <c r="E1643" s="50"/>
      <c r="H1643" s="12"/>
      <c r="K1643"/>
    </row>
    <row r="1644" spans="5:11" x14ac:dyDescent="0.2">
      <c r="E1644" s="50"/>
      <c r="H1644" s="12"/>
      <c r="K1644"/>
    </row>
    <row r="1645" spans="5:11" x14ac:dyDescent="0.2">
      <c r="E1645" s="50"/>
      <c r="H1645" s="12"/>
      <c r="K1645"/>
    </row>
    <row r="1646" spans="5:11" x14ac:dyDescent="0.2">
      <c r="E1646" s="50"/>
      <c r="H1646" s="12"/>
      <c r="K1646"/>
    </row>
    <row r="1647" spans="5:11" x14ac:dyDescent="0.2">
      <c r="E1647" s="50"/>
      <c r="H1647" s="12"/>
      <c r="K1647"/>
    </row>
    <row r="1648" spans="5:11" x14ac:dyDescent="0.2">
      <c r="E1648" s="50"/>
      <c r="H1648" s="12"/>
      <c r="K1648"/>
    </row>
    <row r="1649" spans="5:11" x14ac:dyDescent="0.2">
      <c r="E1649" s="50"/>
      <c r="H1649" s="12"/>
      <c r="K1649"/>
    </row>
    <row r="1650" spans="5:11" x14ac:dyDescent="0.2">
      <c r="E1650" s="50"/>
      <c r="H1650" s="12"/>
      <c r="K1650"/>
    </row>
    <row r="1651" spans="5:11" x14ac:dyDescent="0.2">
      <c r="E1651" s="50"/>
      <c r="H1651" s="12"/>
      <c r="K1651"/>
    </row>
    <row r="1652" spans="5:11" x14ac:dyDescent="0.2">
      <c r="E1652" s="50"/>
      <c r="H1652" s="12"/>
      <c r="K1652"/>
    </row>
    <row r="1653" spans="5:11" x14ac:dyDescent="0.2">
      <c r="E1653" s="50"/>
      <c r="H1653" s="12"/>
      <c r="K1653"/>
    </row>
    <row r="1654" spans="5:11" x14ac:dyDescent="0.2">
      <c r="E1654" s="50"/>
      <c r="H1654" s="12"/>
      <c r="K1654"/>
    </row>
    <row r="1655" spans="5:11" x14ac:dyDescent="0.2">
      <c r="E1655" s="50"/>
      <c r="H1655" s="12"/>
      <c r="K1655"/>
    </row>
    <row r="1656" spans="5:11" x14ac:dyDescent="0.2">
      <c r="E1656" s="50"/>
      <c r="H1656" s="12"/>
      <c r="K1656"/>
    </row>
    <row r="1657" spans="5:11" x14ac:dyDescent="0.2">
      <c r="E1657" s="50"/>
      <c r="H1657" s="12"/>
      <c r="K1657"/>
    </row>
    <row r="1658" spans="5:11" x14ac:dyDescent="0.2">
      <c r="E1658" s="50"/>
      <c r="H1658" s="12"/>
      <c r="K1658"/>
    </row>
    <row r="1659" spans="5:11" x14ac:dyDescent="0.2">
      <c r="E1659" s="50"/>
      <c r="H1659" s="12"/>
      <c r="K1659"/>
    </row>
    <row r="1660" spans="5:11" x14ac:dyDescent="0.2">
      <c r="E1660" s="50"/>
      <c r="H1660" s="12"/>
      <c r="K1660"/>
    </row>
    <row r="1661" spans="5:11" x14ac:dyDescent="0.2">
      <c r="E1661" s="50"/>
      <c r="H1661" s="12"/>
      <c r="K1661"/>
    </row>
    <row r="1662" spans="5:11" x14ac:dyDescent="0.2">
      <c r="E1662" s="50"/>
      <c r="H1662" s="12"/>
      <c r="K1662"/>
    </row>
    <row r="1663" spans="5:11" x14ac:dyDescent="0.2">
      <c r="E1663" s="50"/>
      <c r="H1663" s="12"/>
      <c r="K1663"/>
    </row>
    <row r="1664" spans="5:11" x14ac:dyDescent="0.2">
      <c r="E1664" s="50"/>
      <c r="H1664" s="12"/>
      <c r="K1664"/>
    </row>
    <row r="1665" spans="5:11" x14ac:dyDescent="0.2">
      <c r="E1665" s="50"/>
      <c r="H1665" s="12"/>
      <c r="K1665"/>
    </row>
    <row r="1666" spans="5:11" x14ac:dyDescent="0.2">
      <c r="E1666" s="50"/>
      <c r="H1666" s="12"/>
      <c r="K1666"/>
    </row>
    <row r="1667" spans="5:11" x14ac:dyDescent="0.2">
      <c r="E1667" s="50"/>
      <c r="H1667" s="12"/>
      <c r="K1667"/>
    </row>
    <row r="1668" spans="5:11" x14ac:dyDescent="0.2">
      <c r="E1668" s="50"/>
      <c r="H1668" s="12"/>
      <c r="K1668"/>
    </row>
    <row r="1669" spans="5:11" x14ac:dyDescent="0.2">
      <c r="E1669" s="50"/>
      <c r="H1669" s="12"/>
      <c r="K1669"/>
    </row>
    <row r="1670" spans="5:11" x14ac:dyDescent="0.2">
      <c r="E1670" s="50"/>
      <c r="H1670" s="12"/>
      <c r="K1670"/>
    </row>
    <row r="1671" spans="5:11" x14ac:dyDescent="0.2">
      <c r="E1671" s="50"/>
      <c r="H1671" s="12"/>
      <c r="K1671"/>
    </row>
    <row r="1672" spans="5:11" x14ac:dyDescent="0.2">
      <c r="E1672" s="50"/>
      <c r="H1672" s="12"/>
      <c r="K1672"/>
    </row>
    <row r="1673" spans="5:11" x14ac:dyDescent="0.2">
      <c r="E1673" s="50"/>
      <c r="H1673" s="12"/>
      <c r="K1673"/>
    </row>
    <row r="1674" spans="5:11" x14ac:dyDescent="0.2">
      <c r="E1674" s="50"/>
      <c r="H1674" s="12"/>
      <c r="K1674"/>
    </row>
    <row r="1675" spans="5:11" x14ac:dyDescent="0.2">
      <c r="E1675" s="50"/>
      <c r="H1675" s="12"/>
      <c r="K1675"/>
    </row>
    <row r="1676" spans="5:11" x14ac:dyDescent="0.2">
      <c r="E1676" s="50"/>
      <c r="H1676" s="12"/>
      <c r="K1676"/>
    </row>
    <row r="1677" spans="5:11" x14ac:dyDescent="0.2">
      <c r="E1677" s="50"/>
      <c r="H1677" s="12"/>
      <c r="K1677"/>
    </row>
    <row r="1678" spans="5:11" x14ac:dyDescent="0.2">
      <c r="E1678" s="50"/>
      <c r="H1678" s="12"/>
      <c r="K1678"/>
    </row>
    <row r="1679" spans="5:11" x14ac:dyDescent="0.2">
      <c r="E1679" s="50"/>
      <c r="H1679" s="12"/>
      <c r="K1679"/>
    </row>
    <row r="1680" spans="5:11" x14ac:dyDescent="0.2">
      <c r="E1680" s="50"/>
      <c r="H1680" s="12"/>
      <c r="K1680"/>
    </row>
    <row r="1681" spans="5:11" x14ac:dyDescent="0.2">
      <c r="E1681" s="50"/>
      <c r="H1681" s="12"/>
      <c r="K1681"/>
    </row>
    <row r="1682" spans="5:11" x14ac:dyDescent="0.2">
      <c r="E1682" s="50"/>
      <c r="H1682" s="12"/>
      <c r="K1682"/>
    </row>
    <row r="1683" spans="5:11" x14ac:dyDescent="0.2">
      <c r="E1683" s="50"/>
      <c r="H1683" s="12"/>
      <c r="K1683"/>
    </row>
    <row r="1684" spans="5:11" x14ac:dyDescent="0.2">
      <c r="E1684" s="50"/>
      <c r="H1684" s="12"/>
      <c r="K1684"/>
    </row>
    <row r="1685" spans="5:11" x14ac:dyDescent="0.2">
      <c r="E1685" s="50"/>
      <c r="H1685" s="12"/>
      <c r="K1685"/>
    </row>
    <row r="1686" spans="5:11" x14ac:dyDescent="0.2">
      <c r="E1686" s="50"/>
      <c r="H1686" s="12"/>
      <c r="K1686"/>
    </row>
    <row r="1687" spans="5:11" x14ac:dyDescent="0.2">
      <c r="E1687" s="50"/>
      <c r="H1687" s="12"/>
      <c r="K1687"/>
    </row>
    <row r="1688" spans="5:11" x14ac:dyDescent="0.2">
      <c r="E1688" s="50"/>
      <c r="H1688" s="12"/>
      <c r="K1688"/>
    </row>
    <row r="1689" spans="5:11" x14ac:dyDescent="0.2">
      <c r="E1689" s="50"/>
      <c r="H1689" s="12"/>
      <c r="K1689"/>
    </row>
    <row r="1690" spans="5:11" x14ac:dyDescent="0.2">
      <c r="E1690" s="50"/>
      <c r="H1690" s="12"/>
      <c r="K1690"/>
    </row>
    <row r="1691" spans="5:11" x14ac:dyDescent="0.2">
      <c r="E1691" s="50"/>
      <c r="H1691" s="12"/>
      <c r="K1691"/>
    </row>
    <row r="1692" spans="5:11" x14ac:dyDescent="0.2">
      <c r="E1692" s="50"/>
      <c r="H1692" s="12"/>
      <c r="K1692"/>
    </row>
    <row r="1693" spans="5:11" x14ac:dyDescent="0.2">
      <c r="E1693" s="50"/>
      <c r="H1693" s="12"/>
      <c r="K1693"/>
    </row>
    <row r="1694" spans="5:11" x14ac:dyDescent="0.2">
      <c r="E1694" s="50"/>
      <c r="H1694" s="12"/>
      <c r="K1694"/>
    </row>
    <row r="1695" spans="5:11" x14ac:dyDescent="0.2">
      <c r="E1695" s="50"/>
      <c r="H1695" s="12"/>
      <c r="K1695"/>
    </row>
    <row r="1696" spans="5:11" x14ac:dyDescent="0.2">
      <c r="E1696" s="50"/>
      <c r="H1696" s="12"/>
      <c r="K1696"/>
    </row>
    <row r="1697" spans="5:11" x14ac:dyDescent="0.2">
      <c r="E1697" s="50"/>
      <c r="H1697" s="12"/>
      <c r="K1697"/>
    </row>
    <row r="1698" spans="5:11" x14ac:dyDescent="0.2">
      <c r="E1698" s="50"/>
      <c r="H1698" s="12"/>
      <c r="K1698"/>
    </row>
    <row r="1699" spans="5:11" x14ac:dyDescent="0.2">
      <c r="E1699" s="50"/>
      <c r="H1699" s="12"/>
      <c r="K1699"/>
    </row>
    <row r="1700" spans="5:11" x14ac:dyDescent="0.2">
      <c r="E1700" s="50"/>
      <c r="H1700" s="12"/>
      <c r="K1700"/>
    </row>
    <row r="1701" spans="5:11" x14ac:dyDescent="0.2">
      <c r="E1701" s="50"/>
      <c r="H1701" s="12"/>
      <c r="K1701"/>
    </row>
    <row r="1702" spans="5:11" x14ac:dyDescent="0.2">
      <c r="E1702" s="50"/>
      <c r="H1702" s="12"/>
      <c r="K1702"/>
    </row>
    <row r="1703" spans="5:11" x14ac:dyDescent="0.2">
      <c r="E1703" s="50"/>
      <c r="H1703" s="12"/>
      <c r="K1703"/>
    </row>
    <row r="1704" spans="5:11" x14ac:dyDescent="0.2">
      <c r="E1704" s="50"/>
      <c r="H1704" s="12"/>
      <c r="K1704"/>
    </row>
    <row r="1705" spans="5:11" x14ac:dyDescent="0.2">
      <c r="E1705" s="50"/>
      <c r="H1705" s="12"/>
      <c r="K1705"/>
    </row>
    <row r="1706" spans="5:11" x14ac:dyDescent="0.2">
      <c r="E1706" s="50"/>
      <c r="H1706" s="12"/>
      <c r="K1706"/>
    </row>
    <row r="1707" spans="5:11" x14ac:dyDescent="0.2">
      <c r="E1707" s="50"/>
      <c r="H1707" s="12"/>
      <c r="K1707"/>
    </row>
    <row r="1708" spans="5:11" x14ac:dyDescent="0.2">
      <c r="E1708" s="50"/>
      <c r="H1708" s="12"/>
      <c r="K1708"/>
    </row>
    <row r="1709" spans="5:11" x14ac:dyDescent="0.2">
      <c r="E1709" s="50"/>
      <c r="H1709" s="12"/>
      <c r="K1709"/>
    </row>
    <row r="1710" spans="5:11" x14ac:dyDescent="0.2">
      <c r="E1710" s="50"/>
      <c r="H1710" s="12"/>
      <c r="K1710"/>
    </row>
    <row r="1711" spans="5:11" x14ac:dyDescent="0.2">
      <c r="E1711" s="50"/>
      <c r="H1711" s="12"/>
      <c r="K1711"/>
    </row>
    <row r="1712" spans="5:11" x14ac:dyDescent="0.2">
      <c r="E1712" s="50"/>
      <c r="H1712" s="12"/>
      <c r="K1712"/>
    </row>
    <row r="1713" spans="5:11" x14ac:dyDescent="0.2">
      <c r="E1713" s="50"/>
      <c r="H1713" s="12"/>
      <c r="K1713"/>
    </row>
    <row r="1714" spans="5:11" x14ac:dyDescent="0.2">
      <c r="E1714" s="50"/>
      <c r="H1714" s="12"/>
      <c r="K1714"/>
    </row>
    <row r="1715" spans="5:11" x14ac:dyDescent="0.2">
      <c r="E1715" s="50"/>
      <c r="H1715" s="12"/>
      <c r="K1715"/>
    </row>
    <row r="1716" spans="5:11" x14ac:dyDescent="0.2">
      <c r="E1716" s="50"/>
      <c r="H1716" s="12"/>
      <c r="K1716"/>
    </row>
    <row r="1717" spans="5:11" x14ac:dyDescent="0.2">
      <c r="E1717" s="50"/>
      <c r="H1717" s="12"/>
      <c r="K1717"/>
    </row>
    <row r="1718" spans="5:11" x14ac:dyDescent="0.2">
      <c r="E1718" s="50"/>
      <c r="H1718" s="12"/>
      <c r="K1718"/>
    </row>
    <row r="1719" spans="5:11" x14ac:dyDescent="0.2">
      <c r="E1719" s="50"/>
      <c r="H1719" s="12"/>
      <c r="K1719"/>
    </row>
    <row r="1720" spans="5:11" x14ac:dyDescent="0.2">
      <c r="E1720" s="50"/>
      <c r="H1720" s="12"/>
      <c r="K1720"/>
    </row>
    <row r="1721" spans="5:11" x14ac:dyDescent="0.2">
      <c r="E1721" s="50"/>
      <c r="H1721" s="12"/>
      <c r="K1721"/>
    </row>
    <row r="1722" spans="5:11" x14ac:dyDescent="0.2">
      <c r="E1722" s="50"/>
      <c r="H1722" s="12"/>
      <c r="K1722"/>
    </row>
    <row r="1723" spans="5:11" x14ac:dyDescent="0.2">
      <c r="E1723" s="50"/>
      <c r="H1723" s="12"/>
      <c r="K1723"/>
    </row>
    <row r="1724" spans="5:11" x14ac:dyDescent="0.2">
      <c r="E1724" s="50"/>
      <c r="H1724" s="12"/>
      <c r="K1724"/>
    </row>
    <row r="1725" spans="5:11" x14ac:dyDescent="0.2">
      <c r="E1725" s="50"/>
      <c r="H1725" s="12"/>
      <c r="K1725"/>
    </row>
    <row r="1726" spans="5:11" x14ac:dyDescent="0.2">
      <c r="E1726" s="50"/>
      <c r="H1726" s="12"/>
      <c r="K1726"/>
    </row>
    <row r="1727" spans="5:11" x14ac:dyDescent="0.2">
      <c r="E1727" s="50"/>
      <c r="H1727" s="12"/>
      <c r="K1727"/>
    </row>
    <row r="1728" spans="5:11" x14ac:dyDescent="0.2">
      <c r="E1728" s="50"/>
      <c r="H1728" s="12"/>
      <c r="K1728"/>
    </row>
    <row r="1729" spans="5:11" x14ac:dyDescent="0.2">
      <c r="E1729" s="50"/>
      <c r="H1729" s="12"/>
      <c r="K1729"/>
    </row>
    <row r="1730" spans="5:11" x14ac:dyDescent="0.2">
      <c r="E1730" s="50"/>
      <c r="H1730" s="12"/>
      <c r="K1730"/>
    </row>
    <row r="1731" spans="5:11" x14ac:dyDescent="0.2">
      <c r="E1731" s="50"/>
      <c r="H1731" s="12"/>
      <c r="K1731"/>
    </row>
    <row r="1732" spans="5:11" x14ac:dyDescent="0.2">
      <c r="E1732" s="50"/>
      <c r="H1732" s="12"/>
      <c r="K1732"/>
    </row>
    <row r="1733" spans="5:11" x14ac:dyDescent="0.2">
      <c r="E1733" s="50"/>
      <c r="H1733" s="12"/>
      <c r="K1733"/>
    </row>
    <row r="1734" spans="5:11" x14ac:dyDescent="0.2">
      <c r="E1734" s="50"/>
      <c r="H1734" s="12"/>
      <c r="K1734"/>
    </row>
    <row r="1735" spans="5:11" x14ac:dyDescent="0.2">
      <c r="E1735" s="50"/>
      <c r="H1735" s="12"/>
      <c r="K1735"/>
    </row>
    <row r="1736" spans="5:11" x14ac:dyDescent="0.2">
      <c r="E1736" s="50"/>
      <c r="H1736" s="12"/>
      <c r="K1736"/>
    </row>
    <row r="1737" spans="5:11" x14ac:dyDescent="0.2">
      <c r="E1737" s="50"/>
      <c r="H1737" s="12"/>
      <c r="K1737"/>
    </row>
    <row r="1738" spans="5:11" x14ac:dyDescent="0.2">
      <c r="E1738" s="50"/>
      <c r="H1738" s="12"/>
      <c r="K1738"/>
    </row>
    <row r="1739" spans="5:11" x14ac:dyDescent="0.2">
      <c r="E1739" s="50"/>
      <c r="H1739" s="12"/>
      <c r="K1739"/>
    </row>
    <row r="1740" spans="5:11" x14ac:dyDescent="0.2">
      <c r="E1740" s="50"/>
      <c r="H1740" s="12"/>
      <c r="K1740"/>
    </row>
    <row r="1741" spans="5:11" x14ac:dyDescent="0.2">
      <c r="E1741" s="50"/>
      <c r="H1741" s="12"/>
      <c r="K1741"/>
    </row>
    <row r="1742" spans="5:11" x14ac:dyDescent="0.2">
      <c r="E1742" s="50"/>
      <c r="H1742" s="12"/>
      <c r="K1742"/>
    </row>
    <row r="1743" spans="5:11" x14ac:dyDescent="0.2">
      <c r="E1743" s="50"/>
      <c r="H1743" s="12"/>
      <c r="K1743"/>
    </row>
    <row r="1744" spans="5:11" x14ac:dyDescent="0.2">
      <c r="E1744" s="50"/>
      <c r="H1744" s="12"/>
      <c r="K1744"/>
    </row>
    <row r="1745" spans="5:11" x14ac:dyDescent="0.2">
      <c r="E1745" s="50"/>
      <c r="H1745" s="12"/>
      <c r="K1745"/>
    </row>
    <row r="1746" spans="5:11" x14ac:dyDescent="0.2">
      <c r="E1746" s="50"/>
      <c r="H1746" s="12"/>
      <c r="K1746"/>
    </row>
    <row r="1747" spans="5:11" x14ac:dyDescent="0.2">
      <c r="E1747" s="50"/>
      <c r="H1747" s="12"/>
      <c r="K1747"/>
    </row>
    <row r="1748" spans="5:11" x14ac:dyDescent="0.2">
      <c r="E1748" s="50"/>
      <c r="H1748" s="12"/>
      <c r="K1748"/>
    </row>
    <row r="1749" spans="5:11" x14ac:dyDescent="0.2">
      <c r="E1749" s="50"/>
      <c r="H1749" s="12"/>
      <c r="K1749"/>
    </row>
    <row r="1750" spans="5:11" x14ac:dyDescent="0.2">
      <c r="E1750" s="50"/>
      <c r="H1750" s="12"/>
      <c r="K1750"/>
    </row>
    <row r="1751" spans="5:11" x14ac:dyDescent="0.2">
      <c r="E1751" s="50"/>
      <c r="H1751" s="12"/>
      <c r="K1751"/>
    </row>
    <row r="1752" spans="5:11" x14ac:dyDescent="0.2">
      <c r="E1752" s="50"/>
      <c r="H1752" s="12"/>
      <c r="K1752"/>
    </row>
    <row r="1753" spans="5:11" x14ac:dyDescent="0.2">
      <c r="E1753" s="50"/>
      <c r="H1753" s="12"/>
      <c r="K1753"/>
    </row>
    <row r="1754" spans="5:11" x14ac:dyDescent="0.2">
      <c r="E1754" s="50"/>
      <c r="H1754" s="12"/>
      <c r="K1754"/>
    </row>
    <row r="1755" spans="5:11" x14ac:dyDescent="0.2">
      <c r="E1755" s="50"/>
      <c r="H1755" s="12"/>
      <c r="K1755"/>
    </row>
    <row r="1756" spans="5:11" x14ac:dyDescent="0.2">
      <c r="E1756" s="50"/>
      <c r="H1756" s="12"/>
      <c r="K1756"/>
    </row>
    <row r="1757" spans="5:11" x14ac:dyDescent="0.2">
      <c r="E1757" s="50"/>
      <c r="H1757" s="12"/>
      <c r="K1757"/>
    </row>
    <row r="1758" spans="5:11" x14ac:dyDescent="0.2">
      <c r="E1758" s="50"/>
      <c r="H1758" s="12"/>
      <c r="K1758"/>
    </row>
    <row r="1759" spans="5:11" x14ac:dyDescent="0.2">
      <c r="E1759" s="50"/>
      <c r="H1759" s="12"/>
      <c r="K1759"/>
    </row>
    <row r="1760" spans="5:11" x14ac:dyDescent="0.2">
      <c r="E1760" s="50"/>
      <c r="H1760" s="12"/>
      <c r="K1760"/>
    </row>
    <row r="1761" spans="5:11" x14ac:dyDescent="0.2">
      <c r="E1761" s="50"/>
      <c r="H1761" s="12"/>
      <c r="K1761"/>
    </row>
    <row r="1762" spans="5:11" x14ac:dyDescent="0.2">
      <c r="E1762" s="50"/>
      <c r="H1762" s="12"/>
      <c r="K1762"/>
    </row>
    <row r="1763" spans="5:11" x14ac:dyDescent="0.2">
      <c r="E1763" s="50"/>
      <c r="H1763" s="12"/>
      <c r="K1763"/>
    </row>
    <row r="1764" spans="5:11" x14ac:dyDescent="0.2">
      <c r="E1764" s="50"/>
      <c r="H1764" s="12"/>
      <c r="K1764"/>
    </row>
    <row r="1765" spans="5:11" x14ac:dyDescent="0.2">
      <c r="E1765" s="50"/>
      <c r="H1765" s="12"/>
      <c r="K1765"/>
    </row>
    <row r="1766" spans="5:11" x14ac:dyDescent="0.2">
      <c r="E1766" s="50"/>
      <c r="H1766" s="12"/>
      <c r="K1766"/>
    </row>
    <row r="1767" spans="5:11" x14ac:dyDescent="0.2">
      <c r="E1767" s="50"/>
      <c r="H1767" s="12"/>
      <c r="K1767"/>
    </row>
    <row r="1768" spans="5:11" x14ac:dyDescent="0.2">
      <c r="E1768" s="50"/>
      <c r="H1768" s="12"/>
      <c r="K1768"/>
    </row>
    <row r="1769" spans="5:11" x14ac:dyDescent="0.2">
      <c r="E1769" s="50"/>
      <c r="H1769" s="12"/>
      <c r="K1769"/>
    </row>
    <row r="1770" spans="5:11" x14ac:dyDescent="0.2">
      <c r="E1770" s="50"/>
      <c r="H1770" s="12"/>
      <c r="K1770"/>
    </row>
    <row r="1771" spans="5:11" x14ac:dyDescent="0.2">
      <c r="E1771" s="50"/>
      <c r="H1771" s="12"/>
      <c r="K1771"/>
    </row>
    <row r="1772" spans="5:11" x14ac:dyDescent="0.2">
      <c r="E1772" s="50"/>
      <c r="H1772" s="12"/>
      <c r="K1772"/>
    </row>
    <row r="1773" spans="5:11" x14ac:dyDescent="0.2">
      <c r="E1773" s="50"/>
      <c r="H1773" s="12"/>
      <c r="K1773"/>
    </row>
    <row r="1774" spans="5:11" x14ac:dyDescent="0.2">
      <c r="E1774" s="50"/>
      <c r="H1774" s="12"/>
      <c r="K1774"/>
    </row>
    <row r="1775" spans="5:11" x14ac:dyDescent="0.2">
      <c r="E1775" s="50"/>
      <c r="H1775" s="12"/>
      <c r="K1775"/>
    </row>
    <row r="1776" spans="5:11" x14ac:dyDescent="0.2">
      <c r="E1776" s="50"/>
      <c r="H1776" s="12"/>
      <c r="K1776"/>
    </row>
    <row r="1777" spans="5:11" x14ac:dyDescent="0.2">
      <c r="E1777" s="50"/>
      <c r="H1777" s="12"/>
      <c r="K1777"/>
    </row>
    <row r="1778" spans="5:11" x14ac:dyDescent="0.2">
      <c r="E1778" s="50"/>
      <c r="H1778" s="12"/>
      <c r="K1778"/>
    </row>
    <row r="1779" spans="5:11" x14ac:dyDescent="0.2">
      <c r="E1779" s="50"/>
      <c r="H1779" s="12"/>
      <c r="K1779"/>
    </row>
    <row r="1780" spans="5:11" x14ac:dyDescent="0.2">
      <c r="E1780" s="50"/>
      <c r="H1780" s="12"/>
      <c r="K1780"/>
    </row>
    <row r="1781" spans="5:11" x14ac:dyDescent="0.2">
      <c r="E1781" s="50"/>
      <c r="H1781" s="12"/>
      <c r="K1781"/>
    </row>
    <row r="1782" spans="5:11" x14ac:dyDescent="0.2">
      <c r="E1782" s="50"/>
      <c r="H1782" s="12"/>
      <c r="K1782"/>
    </row>
    <row r="1783" spans="5:11" x14ac:dyDescent="0.2">
      <c r="E1783" s="50"/>
      <c r="H1783" s="12"/>
      <c r="K1783"/>
    </row>
    <row r="1784" spans="5:11" x14ac:dyDescent="0.2">
      <c r="E1784" s="50"/>
      <c r="H1784" s="12"/>
      <c r="K1784"/>
    </row>
    <row r="1785" spans="5:11" x14ac:dyDescent="0.2">
      <c r="E1785" s="50"/>
      <c r="H1785" s="12"/>
      <c r="K1785"/>
    </row>
    <row r="1786" spans="5:11" x14ac:dyDescent="0.2">
      <c r="E1786" s="50"/>
      <c r="H1786" s="12"/>
      <c r="K1786"/>
    </row>
    <row r="1787" spans="5:11" x14ac:dyDescent="0.2">
      <c r="E1787" s="50"/>
      <c r="H1787" s="12"/>
      <c r="K1787"/>
    </row>
    <row r="1788" spans="5:11" x14ac:dyDescent="0.2">
      <c r="E1788" s="50"/>
      <c r="H1788" s="12"/>
      <c r="K1788"/>
    </row>
    <row r="1789" spans="5:11" x14ac:dyDescent="0.2">
      <c r="E1789" s="50"/>
      <c r="H1789" s="12"/>
      <c r="K1789"/>
    </row>
    <row r="1790" spans="5:11" x14ac:dyDescent="0.2">
      <c r="E1790" s="50"/>
      <c r="H1790" s="12"/>
      <c r="K1790"/>
    </row>
    <row r="1791" spans="5:11" x14ac:dyDescent="0.2">
      <c r="E1791" s="50"/>
      <c r="H1791" s="12"/>
      <c r="K1791"/>
    </row>
    <row r="1792" spans="5:11" x14ac:dyDescent="0.2">
      <c r="E1792" s="50"/>
      <c r="H1792" s="12"/>
      <c r="K1792"/>
    </row>
    <row r="1793" spans="5:11" x14ac:dyDescent="0.2">
      <c r="E1793" s="50"/>
      <c r="H1793" s="12"/>
      <c r="K1793"/>
    </row>
    <row r="1794" spans="5:11" x14ac:dyDescent="0.2">
      <c r="E1794" s="50"/>
      <c r="H1794" s="12"/>
      <c r="K1794"/>
    </row>
    <row r="1795" spans="5:11" x14ac:dyDescent="0.2">
      <c r="E1795" s="50"/>
      <c r="H1795" s="12"/>
      <c r="K1795"/>
    </row>
    <row r="1796" spans="5:11" x14ac:dyDescent="0.2">
      <c r="E1796" s="50"/>
      <c r="H1796" s="12"/>
      <c r="K1796"/>
    </row>
    <row r="1797" spans="5:11" x14ac:dyDescent="0.2">
      <c r="E1797" s="50"/>
      <c r="H1797" s="12"/>
      <c r="K1797"/>
    </row>
    <row r="1798" spans="5:11" x14ac:dyDescent="0.2">
      <c r="E1798" s="50"/>
      <c r="H1798" s="12"/>
      <c r="K1798"/>
    </row>
    <row r="1799" spans="5:11" x14ac:dyDescent="0.2">
      <c r="E1799" s="50"/>
      <c r="H1799" s="12"/>
      <c r="K1799"/>
    </row>
    <row r="1800" spans="5:11" x14ac:dyDescent="0.2">
      <c r="E1800" s="50"/>
      <c r="H1800" s="12"/>
      <c r="K1800"/>
    </row>
    <row r="1801" spans="5:11" x14ac:dyDescent="0.2">
      <c r="E1801" s="50"/>
      <c r="H1801" s="12"/>
      <c r="K1801"/>
    </row>
    <row r="1802" spans="5:11" x14ac:dyDescent="0.2">
      <c r="E1802" s="50"/>
      <c r="H1802" s="12"/>
      <c r="K1802"/>
    </row>
    <row r="1803" spans="5:11" x14ac:dyDescent="0.2">
      <c r="E1803" s="50"/>
      <c r="H1803" s="12"/>
      <c r="K1803"/>
    </row>
    <row r="1804" spans="5:11" x14ac:dyDescent="0.2">
      <c r="E1804" s="50"/>
      <c r="H1804" s="12"/>
      <c r="K1804"/>
    </row>
    <row r="1805" spans="5:11" x14ac:dyDescent="0.2">
      <c r="E1805" s="50"/>
      <c r="H1805" s="12"/>
      <c r="K1805"/>
    </row>
    <row r="1806" spans="5:11" x14ac:dyDescent="0.2">
      <c r="E1806" s="50"/>
      <c r="H1806" s="12"/>
      <c r="K1806"/>
    </row>
    <row r="1807" spans="5:11" x14ac:dyDescent="0.2">
      <c r="E1807" s="50"/>
      <c r="H1807" s="12"/>
      <c r="K1807"/>
    </row>
    <row r="1808" spans="5:11" x14ac:dyDescent="0.2">
      <c r="E1808" s="50"/>
      <c r="H1808" s="12"/>
      <c r="K1808"/>
    </row>
    <row r="1809" spans="5:11" x14ac:dyDescent="0.2">
      <c r="E1809" s="50"/>
      <c r="H1809" s="12"/>
      <c r="K1809"/>
    </row>
    <row r="1810" spans="5:11" x14ac:dyDescent="0.2">
      <c r="E1810" s="50"/>
      <c r="H1810" s="12"/>
      <c r="K1810"/>
    </row>
    <row r="1811" spans="5:11" x14ac:dyDescent="0.2">
      <c r="E1811" s="50"/>
      <c r="H1811" s="12"/>
      <c r="K1811"/>
    </row>
    <row r="1812" spans="5:11" x14ac:dyDescent="0.2">
      <c r="E1812" s="50"/>
      <c r="H1812" s="12"/>
      <c r="K1812"/>
    </row>
    <row r="1813" spans="5:11" x14ac:dyDescent="0.2">
      <c r="E1813" s="50"/>
      <c r="H1813" s="12"/>
      <c r="K1813"/>
    </row>
    <row r="1814" spans="5:11" x14ac:dyDescent="0.2">
      <c r="E1814" s="50"/>
      <c r="H1814" s="12"/>
      <c r="K1814"/>
    </row>
    <row r="1815" spans="5:11" x14ac:dyDescent="0.2">
      <c r="E1815" s="50"/>
      <c r="H1815" s="12"/>
      <c r="K1815"/>
    </row>
    <row r="1816" spans="5:11" x14ac:dyDescent="0.2">
      <c r="E1816" s="50"/>
      <c r="H1816" s="12"/>
      <c r="K1816"/>
    </row>
    <row r="1817" spans="5:11" x14ac:dyDescent="0.2">
      <c r="E1817" s="50"/>
      <c r="H1817" s="12"/>
      <c r="K1817"/>
    </row>
    <row r="1818" spans="5:11" x14ac:dyDescent="0.2">
      <c r="E1818" s="50"/>
      <c r="H1818" s="12"/>
      <c r="K1818"/>
    </row>
    <row r="1819" spans="5:11" x14ac:dyDescent="0.2">
      <c r="E1819" s="50"/>
      <c r="H1819" s="12"/>
      <c r="K1819"/>
    </row>
    <row r="1820" spans="5:11" x14ac:dyDescent="0.2">
      <c r="E1820" s="50"/>
      <c r="H1820" s="12"/>
      <c r="K1820"/>
    </row>
    <row r="1821" spans="5:11" x14ac:dyDescent="0.2">
      <c r="E1821" s="50"/>
      <c r="H1821" s="12"/>
      <c r="K1821"/>
    </row>
    <row r="1822" spans="5:11" x14ac:dyDescent="0.2">
      <c r="E1822" s="50"/>
      <c r="H1822" s="12"/>
      <c r="K1822"/>
    </row>
    <row r="1823" spans="5:11" x14ac:dyDescent="0.2">
      <c r="E1823" s="50"/>
      <c r="H1823" s="12"/>
      <c r="K1823"/>
    </row>
    <row r="1824" spans="5:11" x14ac:dyDescent="0.2">
      <c r="E1824" s="50"/>
      <c r="H1824" s="12"/>
      <c r="K1824"/>
    </row>
    <row r="1825" spans="5:11" x14ac:dyDescent="0.2">
      <c r="E1825" s="50"/>
      <c r="H1825" s="12"/>
      <c r="K1825"/>
    </row>
    <row r="1826" spans="5:11" x14ac:dyDescent="0.2">
      <c r="E1826" s="50"/>
      <c r="H1826" s="12"/>
      <c r="K1826"/>
    </row>
    <row r="1827" spans="5:11" x14ac:dyDescent="0.2">
      <c r="E1827" s="50"/>
      <c r="H1827" s="12"/>
      <c r="K1827"/>
    </row>
    <row r="1828" spans="5:11" x14ac:dyDescent="0.2">
      <c r="E1828" s="50"/>
      <c r="H1828" s="12"/>
      <c r="K1828"/>
    </row>
    <row r="1829" spans="5:11" x14ac:dyDescent="0.2">
      <c r="E1829" s="50"/>
      <c r="H1829" s="12"/>
      <c r="K1829"/>
    </row>
    <row r="1830" spans="5:11" x14ac:dyDescent="0.2">
      <c r="E1830" s="50"/>
      <c r="H1830" s="12"/>
      <c r="K1830"/>
    </row>
    <row r="1831" spans="5:11" x14ac:dyDescent="0.2">
      <c r="E1831" s="50"/>
      <c r="H1831" s="12"/>
      <c r="K1831"/>
    </row>
    <row r="1832" spans="5:11" x14ac:dyDescent="0.2">
      <c r="E1832" s="50"/>
      <c r="H1832" s="12"/>
      <c r="K1832"/>
    </row>
    <row r="1833" spans="5:11" x14ac:dyDescent="0.2">
      <c r="E1833" s="50"/>
      <c r="H1833" s="12"/>
      <c r="K1833"/>
    </row>
    <row r="1834" spans="5:11" x14ac:dyDescent="0.2">
      <c r="E1834" s="50"/>
      <c r="H1834" s="12"/>
      <c r="K1834"/>
    </row>
    <row r="1835" spans="5:11" x14ac:dyDescent="0.2">
      <c r="E1835" s="50"/>
      <c r="H1835" s="12"/>
      <c r="K1835"/>
    </row>
    <row r="1836" spans="5:11" x14ac:dyDescent="0.2">
      <c r="E1836" s="50"/>
      <c r="H1836" s="12"/>
      <c r="K1836"/>
    </row>
    <row r="1837" spans="5:11" x14ac:dyDescent="0.2">
      <c r="E1837" s="50"/>
      <c r="H1837" s="12"/>
      <c r="K1837"/>
    </row>
    <row r="1838" spans="5:11" x14ac:dyDescent="0.2">
      <c r="E1838" s="50"/>
      <c r="H1838" s="12"/>
      <c r="K1838"/>
    </row>
    <row r="1839" spans="5:11" x14ac:dyDescent="0.2">
      <c r="E1839" s="50"/>
      <c r="H1839" s="12"/>
      <c r="K1839"/>
    </row>
    <row r="1840" spans="5:11" x14ac:dyDescent="0.2">
      <c r="E1840" s="50"/>
      <c r="H1840" s="12"/>
      <c r="K1840"/>
    </row>
    <row r="1841" spans="5:11" x14ac:dyDescent="0.2">
      <c r="E1841" s="50"/>
      <c r="H1841" s="12"/>
      <c r="K1841"/>
    </row>
    <row r="1842" spans="5:11" x14ac:dyDescent="0.2">
      <c r="E1842" s="50"/>
      <c r="H1842" s="12"/>
      <c r="K1842"/>
    </row>
    <row r="1843" spans="5:11" x14ac:dyDescent="0.2">
      <c r="E1843" s="50"/>
      <c r="H1843" s="12"/>
      <c r="K1843"/>
    </row>
    <row r="1844" spans="5:11" x14ac:dyDescent="0.2">
      <c r="E1844" s="50"/>
      <c r="H1844" s="12"/>
      <c r="K1844"/>
    </row>
    <row r="1845" spans="5:11" x14ac:dyDescent="0.2">
      <c r="E1845" s="50"/>
      <c r="H1845" s="12"/>
      <c r="K1845"/>
    </row>
    <row r="1846" spans="5:11" x14ac:dyDescent="0.2">
      <c r="E1846" s="50"/>
      <c r="H1846" s="12"/>
      <c r="K1846"/>
    </row>
    <row r="1847" spans="5:11" x14ac:dyDescent="0.2">
      <c r="E1847" s="50"/>
      <c r="H1847" s="12"/>
      <c r="K1847"/>
    </row>
    <row r="1848" spans="5:11" x14ac:dyDescent="0.2">
      <c r="E1848" s="50"/>
      <c r="H1848" s="12"/>
      <c r="K1848"/>
    </row>
    <row r="1849" spans="5:11" x14ac:dyDescent="0.2">
      <c r="E1849" s="50"/>
      <c r="H1849" s="12"/>
      <c r="K1849"/>
    </row>
    <row r="1850" spans="5:11" x14ac:dyDescent="0.2">
      <c r="E1850" s="50"/>
      <c r="H1850" s="12"/>
      <c r="K1850"/>
    </row>
    <row r="1851" spans="5:11" x14ac:dyDescent="0.2">
      <c r="E1851" s="50"/>
      <c r="H1851" s="12"/>
      <c r="K1851"/>
    </row>
    <row r="1852" spans="5:11" x14ac:dyDescent="0.2">
      <c r="E1852" s="50"/>
      <c r="H1852" s="12"/>
      <c r="K1852"/>
    </row>
    <row r="1853" spans="5:11" x14ac:dyDescent="0.2">
      <c r="E1853" s="50"/>
      <c r="H1853" s="12"/>
      <c r="K1853"/>
    </row>
    <row r="1854" spans="5:11" x14ac:dyDescent="0.2">
      <c r="E1854" s="50"/>
      <c r="H1854" s="12"/>
      <c r="K1854"/>
    </row>
    <row r="1855" spans="5:11" x14ac:dyDescent="0.2">
      <c r="E1855" s="50"/>
      <c r="H1855" s="12"/>
      <c r="K1855"/>
    </row>
    <row r="1856" spans="5:11" x14ac:dyDescent="0.2">
      <c r="E1856" s="50"/>
      <c r="H1856" s="12"/>
      <c r="K1856"/>
    </row>
    <row r="1857" spans="5:11" x14ac:dyDescent="0.2">
      <c r="E1857" s="50"/>
      <c r="H1857" s="12"/>
      <c r="K1857"/>
    </row>
    <row r="1858" spans="5:11" x14ac:dyDescent="0.2">
      <c r="E1858" s="50"/>
      <c r="H1858" s="12"/>
      <c r="K1858"/>
    </row>
    <row r="1859" spans="5:11" x14ac:dyDescent="0.2">
      <c r="E1859" s="50"/>
      <c r="H1859" s="12"/>
      <c r="K1859"/>
    </row>
    <row r="1860" spans="5:11" x14ac:dyDescent="0.2">
      <c r="E1860" s="50"/>
      <c r="H1860" s="12"/>
      <c r="K1860"/>
    </row>
    <row r="1861" spans="5:11" x14ac:dyDescent="0.2">
      <c r="E1861" s="50"/>
      <c r="H1861" s="12"/>
      <c r="K1861"/>
    </row>
    <row r="1862" spans="5:11" x14ac:dyDescent="0.2">
      <c r="E1862" s="50"/>
      <c r="H1862" s="12"/>
      <c r="K1862"/>
    </row>
    <row r="1863" spans="5:11" x14ac:dyDescent="0.2">
      <c r="E1863" s="50"/>
      <c r="H1863" s="12"/>
      <c r="K1863"/>
    </row>
    <row r="1864" spans="5:11" x14ac:dyDescent="0.2">
      <c r="E1864" s="50"/>
      <c r="H1864" s="12"/>
      <c r="K1864"/>
    </row>
    <row r="1865" spans="5:11" x14ac:dyDescent="0.2">
      <c r="E1865" s="50"/>
      <c r="H1865" s="12"/>
      <c r="K1865"/>
    </row>
    <row r="1866" spans="5:11" x14ac:dyDescent="0.2">
      <c r="E1866" s="50"/>
      <c r="H1866" s="12"/>
      <c r="K1866"/>
    </row>
    <row r="1867" spans="5:11" x14ac:dyDescent="0.2">
      <c r="E1867" s="50"/>
      <c r="H1867" s="12"/>
      <c r="K1867"/>
    </row>
    <row r="1868" spans="5:11" x14ac:dyDescent="0.2">
      <c r="E1868" s="50"/>
      <c r="H1868" s="12"/>
      <c r="K1868"/>
    </row>
    <row r="1869" spans="5:11" x14ac:dyDescent="0.2">
      <c r="E1869" s="50"/>
      <c r="H1869" s="12"/>
      <c r="K1869"/>
    </row>
    <row r="1870" spans="5:11" x14ac:dyDescent="0.2">
      <c r="E1870" s="50"/>
      <c r="H1870" s="12"/>
      <c r="K1870"/>
    </row>
    <row r="1871" spans="5:11" x14ac:dyDescent="0.2">
      <c r="E1871" s="50"/>
      <c r="H1871" s="12"/>
      <c r="K1871"/>
    </row>
    <row r="1872" spans="5:11" x14ac:dyDescent="0.2">
      <c r="E1872" s="50"/>
      <c r="H1872" s="12"/>
      <c r="K1872"/>
    </row>
    <row r="1873" spans="5:11" x14ac:dyDescent="0.2">
      <c r="E1873" s="50"/>
      <c r="H1873" s="12"/>
      <c r="K1873"/>
    </row>
    <row r="1874" spans="5:11" x14ac:dyDescent="0.2">
      <c r="E1874" s="50"/>
      <c r="H1874" s="12"/>
      <c r="K1874"/>
    </row>
    <row r="1875" spans="5:11" x14ac:dyDescent="0.2">
      <c r="E1875" s="50"/>
      <c r="H1875" s="12"/>
      <c r="K1875"/>
    </row>
    <row r="1876" spans="5:11" x14ac:dyDescent="0.2">
      <c r="E1876" s="50"/>
      <c r="H1876" s="12"/>
      <c r="K1876"/>
    </row>
    <row r="1877" spans="5:11" x14ac:dyDescent="0.2">
      <c r="E1877" s="50"/>
      <c r="H1877" s="12"/>
      <c r="K1877"/>
    </row>
    <row r="1878" spans="5:11" x14ac:dyDescent="0.2">
      <c r="E1878" s="50"/>
      <c r="H1878" s="12"/>
      <c r="K1878"/>
    </row>
    <row r="1879" spans="5:11" x14ac:dyDescent="0.2">
      <c r="E1879" s="50"/>
      <c r="H1879" s="12"/>
      <c r="K1879"/>
    </row>
    <row r="1880" spans="5:11" x14ac:dyDescent="0.2">
      <c r="E1880" s="50"/>
      <c r="H1880" s="12"/>
      <c r="K1880"/>
    </row>
    <row r="1881" spans="5:11" x14ac:dyDescent="0.2">
      <c r="E1881" s="50"/>
      <c r="H1881" s="12"/>
      <c r="K1881"/>
    </row>
    <row r="1882" spans="5:11" x14ac:dyDescent="0.2">
      <c r="E1882" s="50"/>
      <c r="H1882" s="12"/>
      <c r="K1882"/>
    </row>
    <row r="1883" spans="5:11" x14ac:dyDescent="0.2">
      <c r="E1883" s="50"/>
      <c r="H1883" s="12"/>
      <c r="K1883"/>
    </row>
    <row r="1884" spans="5:11" x14ac:dyDescent="0.2">
      <c r="E1884" s="50"/>
      <c r="H1884" s="12"/>
      <c r="K1884"/>
    </row>
    <row r="1885" spans="5:11" x14ac:dyDescent="0.2">
      <c r="E1885" s="50"/>
      <c r="H1885" s="12"/>
      <c r="K1885"/>
    </row>
    <row r="1886" spans="5:11" x14ac:dyDescent="0.2">
      <c r="E1886" s="50"/>
      <c r="H1886" s="12"/>
      <c r="K1886"/>
    </row>
    <row r="1887" spans="5:11" x14ac:dyDescent="0.2">
      <c r="E1887" s="50"/>
      <c r="H1887" s="12"/>
      <c r="K1887"/>
    </row>
    <row r="1888" spans="5:11" x14ac:dyDescent="0.2">
      <c r="E1888" s="50"/>
      <c r="H1888" s="12"/>
      <c r="K1888"/>
    </row>
    <row r="1889" spans="5:11" x14ac:dyDescent="0.2">
      <c r="E1889" s="50"/>
      <c r="H1889" s="12"/>
      <c r="K1889"/>
    </row>
    <row r="1890" spans="5:11" x14ac:dyDescent="0.2">
      <c r="E1890" s="50"/>
      <c r="H1890" s="12"/>
      <c r="K1890"/>
    </row>
    <row r="1891" spans="5:11" x14ac:dyDescent="0.2">
      <c r="E1891" s="50"/>
      <c r="H1891" s="12"/>
      <c r="K1891"/>
    </row>
    <row r="1892" spans="5:11" x14ac:dyDescent="0.2">
      <c r="E1892" s="50"/>
      <c r="H1892" s="12"/>
      <c r="K1892"/>
    </row>
    <row r="1893" spans="5:11" x14ac:dyDescent="0.2">
      <c r="E1893" s="50"/>
      <c r="H1893" s="12"/>
      <c r="K1893"/>
    </row>
    <row r="1894" spans="5:11" x14ac:dyDescent="0.2">
      <c r="E1894" s="50"/>
      <c r="H1894" s="12"/>
      <c r="K1894"/>
    </row>
    <row r="1895" spans="5:11" x14ac:dyDescent="0.2">
      <c r="E1895" s="50"/>
      <c r="H1895" s="12"/>
      <c r="K1895"/>
    </row>
    <row r="1896" spans="5:11" x14ac:dyDescent="0.2">
      <c r="E1896" s="50"/>
      <c r="H1896" s="12"/>
      <c r="K1896"/>
    </row>
    <row r="1897" spans="5:11" x14ac:dyDescent="0.2">
      <c r="E1897" s="50"/>
      <c r="H1897" s="12"/>
      <c r="K1897"/>
    </row>
    <row r="1898" spans="5:11" x14ac:dyDescent="0.2">
      <c r="E1898" s="50"/>
      <c r="H1898" s="12"/>
      <c r="K1898"/>
    </row>
    <row r="1899" spans="5:11" x14ac:dyDescent="0.2">
      <c r="E1899" s="50"/>
      <c r="H1899" s="12"/>
      <c r="K1899"/>
    </row>
    <row r="1900" spans="5:11" x14ac:dyDescent="0.2">
      <c r="E1900" s="50"/>
      <c r="H1900" s="12"/>
      <c r="K1900"/>
    </row>
    <row r="1901" spans="5:11" x14ac:dyDescent="0.2">
      <c r="E1901" s="50"/>
      <c r="H1901" s="12"/>
      <c r="K1901"/>
    </row>
    <row r="1902" spans="5:11" x14ac:dyDescent="0.2">
      <c r="E1902" s="50"/>
      <c r="H1902" s="12"/>
      <c r="K1902"/>
    </row>
    <row r="1903" spans="5:11" x14ac:dyDescent="0.2">
      <c r="E1903" s="50"/>
      <c r="H1903" s="12"/>
      <c r="K1903"/>
    </row>
    <row r="1904" spans="5:11" x14ac:dyDescent="0.2">
      <c r="E1904" s="50"/>
      <c r="H1904" s="12"/>
      <c r="K1904"/>
    </row>
    <row r="1905" spans="5:11" x14ac:dyDescent="0.2">
      <c r="E1905" s="50"/>
      <c r="H1905" s="12"/>
      <c r="K1905"/>
    </row>
    <row r="1906" spans="5:11" x14ac:dyDescent="0.2">
      <c r="E1906" s="50"/>
      <c r="H1906" s="12"/>
      <c r="K1906"/>
    </row>
    <row r="1907" spans="5:11" x14ac:dyDescent="0.2">
      <c r="E1907" s="50"/>
      <c r="H1907" s="12"/>
      <c r="K1907"/>
    </row>
    <row r="1908" spans="5:11" x14ac:dyDescent="0.2">
      <c r="E1908" s="50"/>
      <c r="H1908" s="12"/>
      <c r="K1908"/>
    </row>
    <row r="1909" spans="5:11" x14ac:dyDescent="0.2">
      <c r="E1909" s="50"/>
      <c r="H1909" s="12"/>
      <c r="K1909"/>
    </row>
    <row r="1910" spans="5:11" x14ac:dyDescent="0.2">
      <c r="E1910" s="50"/>
      <c r="H1910" s="12"/>
      <c r="K1910"/>
    </row>
    <row r="1911" spans="5:11" x14ac:dyDescent="0.2">
      <c r="E1911" s="50"/>
      <c r="H1911" s="12"/>
      <c r="K1911"/>
    </row>
    <row r="1912" spans="5:11" x14ac:dyDescent="0.2">
      <c r="E1912" s="50"/>
      <c r="H1912" s="12"/>
      <c r="K1912"/>
    </row>
    <row r="1913" spans="5:11" x14ac:dyDescent="0.2">
      <c r="E1913" s="50"/>
      <c r="H1913" s="12"/>
      <c r="K1913"/>
    </row>
    <row r="1914" spans="5:11" x14ac:dyDescent="0.2">
      <c r="E1914" s="50"/>
      <c r="H1914" s="12"/>
      <c r="K1914"/>
    </row>
    <row r="1915" spans="5:11" x14ac:dyDescent="0.2">
      <c r="E1915" s="50"/>
      <c r="H1915" s="12"/>
      <c r="K1915"/>
    </row>
    <row r="1916" spans="5:11" x14ac:dyDescent="0.2">
      <c r="E1916" s="50"/>
      <c r="H1916" s="12"/>
      <c r="K1916"/>
    </row>
    <row r="1917" spans="5:11" x14ac:dyDescent="0.2">
      <c r="E1917" s="50"/>
      <c r="H1917" s="12"/>
      <c r="K1917"/>
    </row>
    <row r="1918" spans="5:11" x14ac:dyDescent="0.2">
      <c r="E1918" s="50"/>
      <c r="H1918" s="12"/>
      <c r="K1918"/>
    </row>
    <row r="1919" spans="5:11" x14ac:dyDescent="0.2">
      <c r="E1919" s="50"/>
      <c r="H1919" s="12"/>
      <c r="K1919"/>
    </row>
    <row r="1920" spans="5:11" x14ac:dyDescent="0.2">
      <c r="E1920" s="50"/>
      <c r="H1920" s="12"/>
      <c r="K1920"/>
    </row>
    <row r="1921" spans="5:11" x14ac:dyDescent="0.2">
      <c r="E1921" s="50"/>
      <c r="H1921" s="12"/>
      <c r="K1921"/>
    </row>
    <row r="1922" spans="5:11" x14ac:dyDescent="0.2">
      <c r="E1922" s="50"/>
      <c r="H1922" s="12"/>
      <c r="K1922"/>
    </row>
    <row r="1923" spans="5:11" x14ac:dyDescent="0.2">
      <c r="E1923" s="50"/>
      <c r="H1923" s="12"/>
      <c r="K1923"/>
    </row>
    <row r="1924" spans="5:11" x14ac:dyDescent="0.2">
      <c r="E1924" s="50"/>
      <c r="H1924" s="12"/>
      <c r="K1924"/>
    </row>
    <row r="1925" spans="5:11" x14ac:dyDescent="0.2">
      <c r="E1925" s="50"/>
      <c r="H1925" s="12"/>
      <c r="K1925"/>
    </row>
    <row r="1926" spans="5:11" x14ac:dyDescent="0.2">
      <c r="E1926" s="50"/>
      <c r="H1926" s="12"/>
      <c r="K1926"/>
    </row>
    <row r="1927" spans="5:11" x14ac:dyDescent="0.2">
      <c r="E1927" s="50"/>
      <c r="H1927" s="12"/>
      <c r="K1927"/>
    </row>
    <row r="1928" spans="5:11" x14ac:dyDescent="0.2">
      <c r="E1928" s="50"/>
      <c r="H1928" s="12"/>
      <c r="K1928"/>
    </row>
    <row r="1929" spans="5:11" x14ac:dyDescent="0.2">
      <c r="E1929" s="50"/>
      <c r="H1929" s="12"/>
      <c r="K1929"/>
    </row>
    <row r="1930" spans="5:11" x14ac:dyDescent="0.2">
      <c r="E1930" s="50"/>
      <c r="H1930" s="12"/>
      <c r="K1930"/>
    </row>
    <row r="1931" spans="5:11" x14ac:dyDescent="0.2">
      <c r="E1931" s="50"/>
      <c r="H1931" s="12"/>
      <c r="K1931"/>
    </row>
    <row r="1932" spans="5:11" x14ac:dyDescent="0.2">
      <c r="E1932" s="50"/>
      <c r="H1932" s="12"/>
      <c r="K1932"/>
    </row>
    <row r="1933" spans="5:11" x14ac:dyDescent="0.2">
      <c r="E1933" s="50"/>
      <c r="H1933" s="12"/>
      <c r="K1933"/>
    </row>
    <row r="1934" spans="5:11" x14ac:dyDescent="0.2">
      <c r="E1934" s="50"/>
      <c r="H1934" s="12"/>
      <c r="K1934"/>
    </row>
    <row r="1935" spans="5:11" x14ac:dyDescent="0.2">
      <c r="E1935" s="50"/>
      <c r="H1935" s="12"/>
      <c r="K1935"/>
    </row>
    <row r="1936" spans="5:11" x14ac:dyDescent="0.2">
      <c r="E1936" s="50"/>
      <c r="H1936" s="12"/>
      <c r="K1936"/>
    </row>
    <row r="1937" spans="5:11" x14ac:dyDescent="0.2">
      <c r="E1937" s="50"/>
      <c r="H1937" s="12"/>
      <c r="K1937"/>
    </row>
    <row r="1938" spans="5:11" x14ac:dyDescent="0.2">
      <c r="E1938" s="50"/>
      <c r="H1938" s="12"/>
      <c r="K1938"/>
    </row>
    <row r="1939" spans="5:11" x14ac:dyDescent="0.2">
      <c r="E1939" s="50"/>
      <c r="H1939" s="12"/>
      <c r="K1939"/>
    </row>
    <row r="1940" spans="5:11" x14ac:dyDescent="0.2">
      <c r="E1940" s="50"/>
      <c r="H1940" s="12"/>
      <c r="K1940"/>
    </row>
    <row r="1941" spans="5:11" x14ac:dyDescent="0.2">
      <c r="E1941" s="50"/>
      <c r="H1941" s="12"/>
      <c r="K1941"/>
    </row>
    <row r="1942" spans="5:11" x14ac:dyDescent="0.2">
      <c r="E1942" s="50"/>
      <c r="H1942" s="12"/>
      <c r="K1942"/>
    </row>
    <row r="1943" spans="5:11" x14ac:dyDescent="0.2">
      <c r="E1943" s="50"/>
      <c r="H1943" s="12"/>
      <c r="K1943"/>
    </row>
    <row r="1944" spans="5:11" x14ac:dyDescent="0.2">
      <c r="E1944" s="50"/>
      <c r="H1944" s="12"/>
      <c r="K1944"/>
    </row>
    <row r="1945" spans="5:11" x14ac:dyDescent="0.2">
      <c r="E1945" s="50"/>
      <c r="H1945" s="12"/>
      <c r="K1945"/>
    </row>
    <row r="1946" spans="5:11" x14ac:dyDescent="0.2">
      <c r="E1946" s="50"/>
      <c r="H1946" s="12"/>
      <c r="K1946"/>
    </row>
    <row r="1947" spans="5:11" x14ac:dyDescent="0.2">
      <c r="E1947" s="50"/>
      <c r="H1947" s="12"/>
      <c r="K1947"/>
    </row>
    <row r="1948" spans="5:11" x14ac:dyDescent="0.2">
      <c r="E1948" s="50"/>
      <c r="H1948" s="12"/>
      <c r="K1948"/>
    </row>
    <row r="1949" spans="5:11" x14ac:dyDescent="0.2">
      <c r="E1949" s="50"/>
      <c r="H1949" s="12"/>
      <c r="K1949"/>
    </row>
    <row r="1950" spans="5:11" x14ac:dyDescent="0.2">
      <c r="E1950" s="50"/>
      <c r="H1950" s="12"/>
      <c r="K1950"/>
    </row>
    <row r="1951" spans="5:11" x14ac:dyDescent="0.2">
      <c r="E1951" s="50"/>
      <c r="H1951" s="12"/>
      <c r="K1951"/>
    </row>
    <row r="1952" spans="5:11" x14ac:dyDescent="0.2">
      <c r="E1952" s="50"/>
      <c r="H1952" s="12"/>
      <c r="K1952"/>
    </row>
    <row r="1953" spans="5:11" x14ac:dyDescent="0.2">
      <c r="E1953" s="50"/>
      <c r="H1953" s="12"/>
      <c r="K1953"/>
    </row>
    <row r="1954" spans="5:11" x14ac:dyDescent="0.2">
      <c r="E1954" s="50"/>
      <c r="H1954" s="12"/>
      <c r="K1954"/>
    </row>
    <row r="1955" spans="5:11" x14ac:dyDescent="0.2">
      <c r="E1955" s="50"/>
      <c r="H1955" s="12"/>
      <c r="K1955"/>
    </row>
    <row r="1956" spans="5:11" x14ac:dyDescent="0.2">
      <c r="E1956" s="50"/>
      <c r="H1956" s="12"/>
      <c r="K1956"/>
    </row>
    <row r="1957" spans="5:11" x14ac:dyDescent="0.2">
      <c r="E1957" s="50"/>
      <c r="H1957" s="12"/>
      <c r="K1957"/>
    </row>
    <row r="1958" spans="5:11" x14ac:dyDescent="0.2">
      <c r="E1958" s="50"/>
      <c r="H1958" s="12"/>
      <c r="K1958"/>
    </row>
    <row r="1959" spans="5:11" x14ac:dyDescent="0.2">
      <c r="E1959" s="50"/>
      <c r="H1959" s="12"/>
      <c r="K1959"/>
    </row>
    <row r="1960" spans="5:11" x14ac:dyDescent="0.2">
      <c r="E1960" s="50"/>
      <c r="H1960" s="12"/>
      <c r="K1960"/>
    </row>
    <row r="1961" spans="5:11" x14ac:dyDescent="0.2">
      <c r="E1961" s="50"/>
      <c r="H1961" s="12"/>
      <c r="K1961"/>
    </row>
    <row r="1962" spans="5:11" x14ac:dyDescent="0.2">
      <c r="E1962" s="50"/>
      <c r="H1962" s="12"/>
      <c r="K1962"/>
    </row>
    <row r="1963" spans="5:11" x14ac:dyDescent="0.2">
      <c r="E1963" s="50"/>
      <c r="H1963" s="12"/>
      <c r="K1963"/>
    </row>
    <row r="1964" spans="5:11" x14ac:dyDescent="0.2">
      <c r="E1964" s="50"/>
      <c r="H1964" s="12"/>
      <c r="K1964"/>
    </row>
    <row r="1965" spans="5:11" x14ac:dyDescent="0.2">
      <c r="E1965" s="50"/>
      <c r="H1965" s="12"/>
      <c r="K1965"/>
    </row>
    <row r="1966" spans="5:11" x14ac:dyDescent="0.2">
      <c r="E1966" s="50"/>
      <c r="H1966" s="12"/>
      <c r="K1966"/>
    </row>
    <row r="1967" spans="5:11" x14ac:dyDescent="0.2">
      <c r="E1967" s="50"/>
      <c r="H1967" s="12"/>
      <c r="K1967"/>
    </row>
    <row r="1968" spans="5:11" x14ac:dyDescent="0.2">
      <c r="E1968" s="50"/>
      <c r="H1968" s="12"/>
      <c r="K1968"/>
    </row>
    <row r="1969" spans="5:11" x14ac:dyDescent="0.2">
      <c r="E1969" s="50"/>
      <c r="H1969" s="12"/>
      <c r="K1969"/>
    </row>
    <row r="1970" spans="5:11" x14ac:dyDescent="0.2">
      <c r="E1970" s="50"/>
      <c r="H1970" s="12"/>
      <c r="K1970"/>
    </row>
    <row r="1971" spans="5:11" x14ac:dyDescent="0.2">
      <c r="E1971" s="50"/>
      <c r="H1971" s="12"/>
      <c r="K1971"/>
    </row>
    <row r="1972" spans="5:11" x14ac:dyDescent="0.2">
      <c r="E1972" s="50"/>
      <c r="H1972" s="12"/>
      <c r="K1972"/>
    </row>
    <row r="1973" spans="5:11" x14ac:dyDescent="0.2">
      <c r="E1973" s="50"/>
      <c r="H1973" s="12"/>
      <c r="K1973"/>
    </row>
    <row r="1974" spans="5:11" x14ac:dyDescent="0.2">
      <c r="E1974" s="50"/>
      <c r="H1974" s="12"/>
      <c r="K1974"/>
    </row>
    <row r="1975" spans="5:11" x14ac:dyDescent="0.2">
      <c r="E1975" s="50"/>
      <c r="H1975" s="12"/>
      <c r="K1975"/>
    </row>
    <row r="1976" spans="5:11" x14ac:dyDescent="0.2">
      <c r="E1976" s="50"/>
      <c r="H1976" s="12"/>
      <c r="K1976"/>
    </row>
    <row r="1977" spans="5:11" x14ac:dyDescent="0.2">
      <c r="E1977" s="50"/>
      <c r="H1977" s="12"/>
      <c r="K1977"/>
    </row>
    <row r="1978" spans="5:11" x14ac:dyDescent="0.2">
      <c r="E1978" s="50"/>
      <c r="H1978" s="12"/>
      <c r="K1978"/>
    </row>
    <row r="1979" spans="5:11" x14ac:dyDescent="0.2">
      <c r="E1979" s="50"/>
      <c r="H1979" s="12"/>
      <c r="K1979"/>
    </row>
    <row r="1980" spans="5:11" x14ac:dyDescent="0.2">
      <c r="E1980" s="50"/>
      <c r="H1980" s="12"/>
      <c r="K1980"/>
    </row>
    <row r="1981" spans="5:11" x14ac:dyDescent="0.2">
      <c r="E1981" s="50"/>
      <c r="H1981" s="12"/>
      <c r="K1981"/>
    </row>
    <row r="1982" spans="5:11" x14ac:dyDescent="0.2">
      <c r="E1982" s="50"/>
      <c r="H1982" s="12"/>
      <c r="K1982"/>
    </row>
    <row r="1983" spans="5:11" x14ac:dyDescent="0.2">
      <c r="E1983" s="50"/>
      <c r="H1983" s="12"/>
      <c r="K1983"/>
    </row>
    <row r="1984" spans="5:11" x14ac:dyDescent="0.2">
      <c r="E1984" s="50"/>
      <c r="H1984" s="12"/>
      <c r="K1984"/>
    </row>
    <row r="1985" spans="5:11" x14ac:dyDescent="0.2">
      <c r="E1985" s="50"/>
      <c r="H1985" s="12"/>
      <c r="K1985"/>
    </row>
    <row r="1986" spans="5:11" x14ac:dyDescent="0.2">
      <c r="E1986" s="50"/>
      <c r="H1986" s="12"/>
      <c r="K1986"/>
    </row>
    <row r="1987" spans="5:11" x14ac:dyDescent="0.2">
      <c r="E1987" s="50"/>
      <c r="H1987" s="12"/>
      <c r="K1987"/>
    </row>
    <row r="1988" spans="5:11" x14ac:dyDescent="0.2">
      <c r="E1988" s="50"/>
      <c r="H1988" s="12"/>
      <c r="K1988"/>
    </row>
    <row r="1989" spans="5:11" x14ac:dyDescent="0.2">
      <c r="E1989" s="50"/>
      <c r="H1989" s="12"/>
      <c r="K1989"/>
    </row>
    <row r="1990" spans="5:11" x14ac:dyDescent="0.2">
      <c r="E1990" s="50"/>
      <c r="H1990" s="12"/>
      <c r="K1990"/>
    </row>
    <row r="1991" spans="5:11" x14ac:dyDescent="0.2">
      <c r="E1991" s="50"/>
      <c r="H1991" s="12"/>
      <c r="K1991"/>
    </row>
    <row r="1992" spans="5:11" x14ac:dyDescent="0.2">
      <c r="E1992" s="50"/>
      <c r="H1992" s="12"/>
      <c r="K1992"/>
    </row>
    <row r="1993" spans="5:11" x14ac:dyDescent="0.2">
      <c r="E1993" s="50"/>
      <c r="H1993" s="12"/>
      <c r="K1993"/>
    </row>
    <row r="1994" spans="5:11" x14ac:dyDescent="0.2">
      <c r="E1994" s="50"/>
      <c r="H1994" s="12"/>
      <c r="K1994"/>
    </row>
    <row r="1995" spans="5:11" x14ac:dyDescent="0.2">
      <c r="E1995" s="50"/>
      <c r="H1995" s="12"/>
      <c r="K1995"/>
    </row>
    <row r="1996" spans="5:11" x14ac:dyDescent="0.2">
      <c r="E1996" s="50"/>
      <c r="H1996" s="12"/>
      <c r="K1996"/>
    </row>
    <row r="1997" spans="5:11" x14ac:dyDescent="0.2">
      <c r="E1997" s="50"/>
      <c r="H1997" s="12"/>
      <c r="K1997"/>
    </row>
    <row r="1998" spans="5:11" x14ac:dyDescent="0.2">
      <c r="E1998" s="50"/>
      <c r="H1998" s="12"/>
      <c r="K1998"/>
    </row>
    <row r="1999" spans="5:11" x14ac:dyDescent="0.2">
      <c r="E1999" s="50"/>
      <c r="H1999" s="12"/>
      <c r="K1999"/>
    </row>
    <row r="2000" spans="5:11" x14ac:dyDescent="0.2">
      <c r="E2000" s="50"/>
      <c r="H2000" s="12"/>
      <c r="K2000"/>
    </row>
    <row r="2001" spans="5:11" x14ac:dyDescent="0.2">
      <c r="E2001" s="50"/>
      <c r="H2001" s="12"/>
      <c r="K2001"/>
    </row>
    <row r="2002" spans="5:11" x14ac:dyDescent="0.2">
      <c r="E2002" s="50"/>
      <c r="H2002" s="12"/>
      <c r="K2002"/>
    </row>
    <row r="2003" spans="5:11" x14ac:dyDescent="0.2">
      <c r="E2003" s="50"/>
      <c r="H2003" s="12"/>
      <c r="K2003"/>
    </row>
    <row r="2004" spans="5:11" x14ac:dyDescent="0.2">
      <c r="E2004" s="50"/>
      <c r="H2004" s="12"/>
      <c r="K2004"/>
    </row>
    <row r="2005" spans="5:11" x14ac:dyDescent="0.2">
      <c r="E2005" s="50"/>
      <c r="H2005" s="12"/>
      <c r="K2005"/>
    </row>
    <row r="2006" spans="5:11" x14ac:dyDescent="0.2">
      <c r="E2006" s="50"/>
      <c r="H2006" s="12"/>
      <c r="K2006"/>
    </row>
    <row r="2007" spans="5:11" x14ac:dyDescent="0.2">
      <c r="E2007" s="50"/>
      <c r="H2007" s="12"/>
      <c r="K2007"/>
    </row>
    <row r="2008" spans="5:11" x14ac:dyDescent="0.2">
      <c r="E2008" s="50"/>
      <c r="H2008" s="12"/>
      <c r="K2008"/>
    </row>
    <row r="2009" spans="5:11" x14ac:dyDescent="0.2">
      <c r="E2009" s="50"/>
      <c r="H2009" s="12"/>
      <c r="K2009"/>
    </row>
    <row r="2010" spans="5:11" x14ac:dyDescent="0.2">
      <c r="E2010" s="50"/>
      <c r="H2010" s="12"/>
      <c r="K2010"/>
    </row>
    <row r="2011" spans="5:11" x14ac:dyDescent="0.2">
      <c r="E2011" s="50"/>
      <c r="H2011" s="12"/>
      <c r="K2011"/>
    </row>
    <row r="2012" spans="5:11" x14ac:dyDescent="0.2">
      <c r="E2012" s="50"/>
      <c r="H2012" s="12"/>
      <c r="K2012"/>
    </row>
    <row r="2013" spans="5:11" x14ac:dyDescent="0.2">
      <c r="E2013" s="50"/>
      <c r="H2013" s="12"/>
      <c r="K2013"/>
    </row>
    <row r="2014" spans="5:11" x14ac:dyDescent="0.2">
      <c r="E2014" s="50"/>
      <c r="H2014" s="12"/>
      <c r="K2014"/>
    </row>
    <row r="2015" spans="5:11" x14ac:dyDescent="0.2">
      <c r="E2015" s="50"/>
      <c r="H2015" s="12"/>
      <c r="K2015"/>
    </row>
    <row r="2016" spans="5:11" x14ac:dyDescent="0.2">
      <c r="E2016" s="50"/>
      <c r="H2016" s="12"/>
      <c r="K2016"/>
    </row>
    <row r="2017" spans="5:11" x14ac:dyDescent="0.2">
      <c r="E2017" s="50"/>
      <c r="H2017" s="12"/>
      <c r="K2017"/>
    </row>
    <row r="2018" spans="5:11" x14ac:dyDescent="0.2">
      <c r="E2018" s="50"/>
      <c r="H2018" s="12"/>
      <c r="K2018"/>
    </row>
    <row r="2019" spans="5:11" x14ac:dyDescent="0.2">
      <c r="E2019" s="50"/>
      <c r="H2019" s="12"/>
      <c r="K2019"/>
    </row>
    <row r="2020" spans="5:11" x14ac:dyDescent="0.2">
      <c r="E2020" s="50"/>
      <c r="H2020" s="12"/>
      <c r="K2020"/>
    </row>
    <row r="2021" spans="5:11" x14ac:dyDescent="0.2">
      <c r="E2021" s="50"/>
      <c r="H2021" s="12"/>
      <c r="K2021"/>
    </row>
    <row r="2022" spans="5:11" x14ac:dyDescent="0.2">
      <c r="E2022" s="50"/>
      <c r="H2022" s="12"/>
      <c r="K2022"/>
    </row>
    <row r="2023" spans="5:11" x14ac:dyDescent="0.2">
      <c r="E2023" s="50"/>
      <c r="H2023" s="12"/>
      <c r="K2023"/>
    </row>
    <row r="2024" spans="5:11" x14ac:dyDescent="0.2">
      <c r="E2024" s="50"/>
      <c r="H2024" s="12"/>
      <c r="K2024"/>
    </row>
    <row r="2025" spans="5:11" x14ac:dyDescent="0.2">
      <c r="E2025" s="50"/>
      <c r="H2025" s="12"/>
      <c r="K2025"/>
    </row>
    <row r="2026" spans="5:11" x14ac:dyDescent="0.2">
      <c r="E2026" s="50"/>
      <c r="H2026" s="12"/>
      <c r="K2026"/>
    </row>
    <row r="2027" spans="5:11" x14ac:dyDescent="0.2">
      <c r="E2027" s="50"/>
      <c r="H2027" s="12"/>
      <c r="K2027"/>
    </row>
    <row r="2028" spans="5:11" x14ac:dyDescent="0.2">
      <c r="E2028" s="50"/>
      <c r="H2028" s="12"/>
      <c r="K2028"/>
    </row>
    <row r="2029" spans="5:11" x14ac:dyDescent="0.2">
      <c r="E2029" s="50"/>
      <c r="H2029" s="12"/>
      <c r="K2029"/>
    </row>
    <row r="2030" spans="5:11" x14ac:dyDescent="0.2">
      <c r="E2030" s="50"/>
      <c r="H2030" s="12"/>
      <c r="K2030"/>
    </row>
    <row r="2031" spans="5:11" x14ac:dyDescent="0.2">
      <c r="E2031" s="50"/>
      <c r="H2031" s="12"/>
      <c r="K2031"/>
    </row>
    <row r="2032" spans="5:11" x14ac:dyDescent="0.2">
      <c r="E2032" s="50"/>
      <c r="H2032" s="12"/>
      <c r="K2032"/>
    </row>
    <row r="2033" spans="5:11" x14ac:dyDescent="0.2">
      <c r="E2033" s="50"/>
      <c r="H2033" s="12"/>
      <c r="K2033"/>
    </row>
    <row r="2034" spans="5:11" x14ac:dyDescent="0.2">
      <c r="E2034" s="50"/>
      <c r="H2034" s="12"/>
      <c r="K2034"/>
    </row>
    <row r="2035" spans="5:11" x14ac:dyDescent="0.2">
      <c r="E2035" s="50"/>
      <c r="H2035" s="12"/>
      <c r="K2035"/>
    </row>
    <row r="2036" spans="5:11" x14ac:dyDescent="0.2">
      <c r="E2036" s="50"/>
      <c r="H2036" s="12"/>
      <c r="K2036"/>
    </row>
    <row r="2037" spans="5:11" x14ac:dyDescent="0.2">
      <c r="E2037" s="50"/>
      <c r="H2037" s="12"/>
      <c r="K2037"/>
    </row>
    <row r="2038" spans="5:11" x14ac:dyDescent="0.2">
      <c r="E2038" s="50"/>
      <c r="H2038" s="12"/>
      <c r="K2038"/>
    </row>
    <row r="2039" spans="5:11" x14ac:dyDescent="0.2">
      <c r="E2039" s="50"/>
      <c r="H2039" s="12"/>
      <c r="K2039"/>
    </row>
    <row r="2040" spans="5:11" x14ac:dyDescent="0.2">
      <c r="E2040" s="50"/>
      <c r="H2040" s="12"/>
      <c r="K2040"/>
    </row>
    <row r="2041" spans="5:11" x14ac:dyDescent="0.2">
      <c r="E2041" s="50"/>
      <c r="H2041" s="12"/>
      <c r="K2041"/>
    </row>
    <row r="2042" spans="5:11" x14ac:dyDescent="0.2">
      <c r="E2042" s="50"/>
      <c r="H2042" s="12"/>
      <c r="K2042"/>
    </row>
    <row r="2043" spans="5:11" x14ac:dyDescent="0.2">
      <c r="E2043" s="50"/>
      <c r="H2043" s="12"/>
      <c r="K2043"/>
    </row>
    <row r="2044" spans="5:11" x14ac:dyDescent="0.2">
      <c r="E2044" s="50"/>
      <c r="H2044" s="12"/>
      <c r="K2044"/>
    </row>
    <row r="2045" spans="5:11" x14ac:dyDescent="0.2">
      <c r="E2045" s="50"/>
      <c r="H2045" s="12"/>
      <c r="K2045"/>
    </row>
    <row r="2046" spans="5:11" x14ac:dyDescent="0.2">
      <c r="E2046" s="50"/>
      <c r="H2046" s="12"/>
      <c r="K2046"/>
    </row>
    <row r="2047" spans="5:11" x14ac:dyDescent="0.2">
      <c r="E2047" s="50"/>
      <c r="H2047" s="12"/>
      <c r="K2047"/>
    </row>
    <row r="2048" spans="5:11" x14ac:dyDescent="0.2">
      <c r="E2048" s="50"/>
      <c r="H2048" s="12"/>
      <c r="K2048"/>
    </row>
    <row r="2049" spans="5:11" x14ac:dyDescent="0.2">
      <c r="E2049" s="50"/>
      <c r="H2049" s="12"/>
      <c r="K2049"/>
    </row>
    <row r="2050" spans="5:11" x14ac:dyDescent="0.2">
      <c r="E2050" s="50"/>
      <c r="H2050" s="12"/>
      <c r="K2050"/>
    </row>
    <row r="2051" spans="5:11" x14ac:dyDescent="0.2">
      <c r="E2051" s="50"/>
      <c r="H2051" s="12"/>
      <c r="K2051"/>
    </row>
    <row r="2052" spans="5:11" x14ac:dyDescent="0.2">
      <c r="E2052" s="50"/>
      <c r="H2052" s="12"/>
      <c r="K2052"/>
    </row>
    <row r="2053" spans="5:11" x14ac:dyDescent="0.2">
      <c r="E2053" s="50"/>
      <c r="H2053" s="12"/>
      <c r="K2053"/>
    </row>
    <row r="2054" spans="5:11" x14ac:dyDescent="0.2">
      <c r="E2054" s="50"/>
      <c r="H2054" s="12"/>
      <c r="K2054"/>
    </row>
    <row r="2055" spans="5:11" x14ac:dyDescent="0.2">
      <c r="E2055" s="50"/>
      <c r="H2055" s="12"/>
      <c r="K2055"/>
    </row>
    <row r="2056" spans="5:11" x14ac:dyDescent="0.2">
      <c r="E2056" s="50"/>
      <c r="H2056" s="12"/>
      <c r="K2056"/>
    </row>
    <row r="2057" spans="5:11" x14ac:dyDescent="0.2">
      <c r="E2057" s="50"/>
      <c r="H2057" s="12"/>
      <c r="K2057"/>
    </row>
    <row r="2058" spans="5:11" x14ac:dyDescent="0.2">
      <c r="E2058" s="50"/>
      <c r="H2058" s="12"/>
      <c r="K2058"/>
    </row>
    <row r="2059" spans="5:11" x14ac:dyDescent="0.2">
      <c r="E2059" s="50"/>
      <c r="H2059" s="12"/>
      <c r="K2059"/>
    </row>
    <row r="2060" spans="5:11" x14ac:dyDescent="0.2">
      <c r="E2060" s="50"/>
      <c r="H2060" s="12"/>
      <c r="K2060"/>
    </row>
    <row r="2061" spans="5:11" x14ac:dyDescent="0.2">
      <c r="E2061" s="50"/>
      <c r="H2061" s="12"/>
      <c r="K2061"/>
    </row>
    <row r="2062" spans="5:11" x14ac:dyDescent="0.2">
      <c r="E2062" s="50"/>
      <c r="H2062" s="12"/>
      <c r="K2062"/>
    </row>
    <row r="2063" spans="5:11" x14ac:dyDescent="0.2">
      <c r="E2063" s="50"/>
      <c r="H2063" s="12"/>
      <c r="K2063"/>
    </row>
    <row r="2064" spans="5:11" x14ac:dyDescent="0.2">
      <c r="E2064" s="50"/>
      <c r="H2064" s="12"/>
      <c r="K2064"/>
    </row>
    <row r="2065" spans="5:11" x14ac:dyDescent="0.2">
      <c r="E2065" s="50"/>
      <c r="H2065" s="12"/>
      <c r="K2065"/>
    </row>
    <row r="2066" spans="5:11" x14ac:dyDescent="0.2">
      <c r="E2066" s="50"/>
      <c r="H2066" s="12"/>
      <c r="K2066"/>
    </row>
    <row r="2067" spans="5:11" x14ac:dyDescent="0.2">
      <c r="E2067" s="50"/>
      <c r="H2067" s="12"/>
      <c r="K2067"/>
    </row>
    <row r="2068" spans="5:11" x14ac:dyDescent="0.2">
      <c r="E2068" s="50"/>
      <c r="H2068" s="12"/>
      <c r="K2068"/>
    </row>
    <row r="2069" spans="5:11" x14ac:dyDescent="0.2">
      <c r="E2069" s="50"/>
      <c r="H2069" s="12"/>
      <c r="K2069"/>
    </row>
    <row r="2070" spans="5:11" x14ac:dyDescent="0.2">
      <c r="E2070" s="50"/>
      <c r="H2070" s="12"/>
      <c r="K2070"/>
    </row>
    <row r="2071" spans="5:11" x14ac:dyDescent="0.2">
      <c r="E2071" s="50"/>
      <c r="H2071" s="12"/>
      <c r="K2071"/>
    </row>
    <row r="2072" spans="5:11" x14ac:dyDescent="0.2">
      <c r="E2072" s="50"/>
      <c r="H2072" s="12"/>
      <c r="K2072"/>
    </row>
    <row r="2073" spans="5:11" x14ac:dyDescent="0.2">
      <c r="E2073" s="50"/>
      <c r="H2073" s="12"/>
      <c r="K2073"/>
    </row>
    <row r="2074" spans="5:11" x14ac:dyDescent="0.2">
      <c r="E2074" s="50"/>
      <c r="H2074" s="12"/>
      <c r="K2074"/>
    </row>
    <row r="2075" spans="5:11" x14ac:dyDescent="0.2">
      <c r="E2075" s="50"/>
      <c r="H2075" s="12"/>
      <c r="K2075"/>
    </row>
    <row r="2076" spans="5:11" x14ac:dyDescent="0.2">
      <c r="E2076" s="50"/>
      <c r="H2076" s="12"/>
      <c r="K2076"/>
    </row>
    <row r="2077" spans="5:11" x14ac:dyDescent="0.2">
      <c r="E2077" s="50"/>
      <c r="H2077" s="12"/>
      <c r="K2077"/>
    </row>
    <row r="2078" spans="5:11" x14ac:dyDescent="0.2">
      <c r="E2078" s="50"/>
      <c r="H2078" s="12"/>
      <c r="K2078"/>
    </row>
    <row r="2079" spans="5:11" x14ac:dyDescent="0.2">
      <c r="E2079" s="50"/>
      <c r="H2079" s="12"/>
      <c r="K2079"/>
    </row>
    <row r="2080" spans="5:11" x14ac:dyDescent="0.2">
      <c r="E2080" s="50"/>
      <c r="H2080" s="12"/>
      <c r="K2080"/>
    </row>
    <row r="2081" spans="5:11" x14ac:dyDescent="0.2">
      <c r="E2081" s="50"/>
      <c r="H2081" s="12"/>
      <c r="K2081"/>
    </row>
    <row r="2082" spans="5:11" x14ac:dyDescent="0.2">
      <c r="E2082" s="50"/>
      <c r="H2082" s="12"/>
      <c r="K2082"/>
    </row>
    <row r="2083" spans="5:11" x14ac:dyDescent="0.2">
      <c r="E2083" s="50"/>
      <c r="H2083" s="12"/>
      <c r="K2083"/>
    </row>
    <row r="2084" spans="5:11" x14ac:dyDescent="0.2">
      <c r="E2084" s="50"/>
      <c r="H2084" s="12"/>
      <c r="K2084"/>
    </row>
    <row r="2085" spans="5:11" x14ac:dyDescent="0.2">
      <c r="E2085" s="50"/>
      <c r="H2085" s="12"/>
      <c r="K2085"/>
    </row>
    <row r="2086" spans="5:11" x14ac:dyDescent="0.2">
      <c r="E2086" s="50"/>
      <c r="H2086" s="12"/>
      <c r="K2086"/>
    </row>
    <row r="2087" spans="5:11" x14ac:dyDescent="0.2">
      <c r="E2087" s="50"/>
      <c r="H2087" s="12"/>
      <c r="K2087"/>
    </row>
    <row r="2088" spans="5:11" x14ac:dyDescent="0.2">
      <c r="E2088" s="50"/>
      <c r="H2088" s="12"/>
      <c r="K2088"/>
    </row>
    <row r="2089" spans="5:11" x14ac:dyDescent="0.2">
      <c r="E2089" s="50"/>
      <c r="H2089" s="12"/>
      <c r="K2089"/>
    </row>
    <row r="2090" spans="5:11" x14ac:dyDescent="0.2">
      <c r="E2090" s="50"/>
      <c r="H2090" s="12"/>
      <c r="K2090"/>
    </row>
    <row r="2091" spans="5:11" x14ac:dyDescent="0.2">
      <c r="E2091" s="50"/>
      <c r="H2091" s="12"/>
      <c r="K2091"/>
    </row>
    <row r="2092" spans="5:11" x14ac:dyDescent="0.2">
      <c r="E2092" s="50"/>
      <c r="H2092" s="12"/>
      <c r="K2092"/>
    </row>
    <row r="2093" spans="5:11" x14ac:dyDescent="0.2">
      <c r="E2093" s="50"/>
      <c r="H2093" s="12"/>
      <c r="K2093"/>
    </row>
    <row r="2094" spans="5:11" x14ac:dyDescent="0.2">
      <c r="E2094" s="50"/>
      <c r="H2094" s="12"/>
      <c r="K2094"/>
    </row>
    <row r="2095" spans="5:11" x14ac:dyDescent="0.2">
      <c r="E2095" s="50"/>
      <c r="H2095" s="12"/>
      <c r="K2095"/>
    </row>
    <row r="2096" spans="5:11" x14ac:dyDescent="0.2">
      <c r="E2096" s="50"/>
      <c r="H2096" s="12"/>
      <c r="K2096"/>
    </row>
    <row r="2097" spans="5:11" x14ac:dyDescent="0.2">
      <c r="E2097" s="50"/>
      <c r="H2097" s="12"/>
      <c r="K2097"/>
    </row>
    <row r="2098" spans="5:11" x14ac:dyDescent="0.2">
      <c r="E2098" s="50"/>
      <c r="H2098" s="12"/>
      <c r="K2098"/>
    </row>
    <row r="2099" spans="5:11" x14ac:dyDescent="0.2">
      <c r="E2099" s="50"/>
      <c r="H2099" s="12"/>
      <c r="K2099"/>
    </row>
    <row r="2100" spans="5:11" x14ac:dyDescent="0.2">
      <c r="E2100" s="50"/>
      <c r="H2100" s="12"/>
      <c r="K2100"/>
    </row>
    <row r="2101" spans="5:11" x14ac:dyDescent="0.2">
      <c r="E2101" s="50"/>
      <c r="H2101" s="12"/>
      <c r="K2101"/>
    </row>
    <row r="2102" spans="5:11" x14ac:dyDescent="0.2">
      <c r="E2102" s="50"/>
      <c r="H2102" s="12"/>
      <c r="K2102"/>
    </row>
    <row r="2103" spans="5:11" x14ac:dyDescent="0.2">
      <c r="E2103" s="50"/>
      <c r="H2103" s="12"/>
      <c r="K2103"/>
    </row>
    <row r="2104" spans="5:11" x14ac:dyDescent="0.2">
      <c r="E2104" s="50"/>
      <c r="H2104" s="12"/>
      <c r="K2104"/>
    </row>
    <row r="2105" spans="5:11" x14ac:dyDescent="0.2">
      <c r="E2105" s="50"/>
      <c r="H2105" s="12"/>
      <c r="K2105"/>
    </row>
    <row r="2106" spans="5:11" x14ac:dyDescent="0.2">
      <c r="E2106" s="50"/>
      <c r="H2106" s="12"/>
      <c r="K2106"/>
    </row>
    <row r="2107" spans="5:11" x14ac:dyDescent="0.2">
      <c r="E2107" s="50"/>
      <c r="H2107" s="12"/>
      <c r="K2107"/>
    </row>
    <row r="2108" spans="5:11" x14ac:dyDescent="0.2">
      <c r="E2108" s="50"/>
      <c r="H2108" s="12"/>
      <c r="K2108"/>
    </row>
    <row r="2109" spans="5:11" x14ac:dyDescent="0.2">
      <c r="E2109" s="50"/>
      <c r="H2109" s="12"/>
      <c r="K2109"/>
    </row>
    <row r="2110" spans="5:11" x14ac:dyDescent="0.2">
      <c r="E2110" s="50"/>
      <c r="H2110" s="12"/>
      <c r="K2110"/>
    </row>
    <row r="2111" spans="5:11" x14ac:dyDescent="0.2">
      <c r="E2111" s="50"/>
      <c r="H2111" s="12"/>
      <c r="K2111"/>
    </row>
    <row r="2112" spans="5:11" x14ac:dyDescent="0.2">
      <c r="E2112" s="50"/>
      <c r="H2112" s="12"/>
      <c r="K2112"/>
    </row>
    <row r="2113" spans="5:11" x14ac:dyDescent="0.2">
      <c r="E2113" s="50"/>
      <c r="H2113" s="12"/>
      <c r="K2113"/>
    </row>
    <row r="2114" spans="5:11" x14ac:dyDescent="0.2">
      <c r="E2114" s="50"/>
      <c r="H2114" s="12"/>
      <c r="K2114"/>
    </row>
    <row r="2115" spans="5:11" x14ac:dyDescent="0.2">
      <c r="E2115" s="50"/>
      <c r="H2115" s="12"/>
      <c r="K2115"/>
    </row>
    <row r="2116" spans="5:11" x14ac:dyDescent="0.2">
      <c r="E2116" s="50"/>
      <c r="H2116" s="12"/>
      <c r="K2116"/>
    </row>
    <row r="2117" spans="5:11" x14ac:dyDescent="0.2">
      <c r="E2117" s="50"/>
      <c r="H2117" s="12"/>
      <c r="K2117"/>
    </row>
    <row r="2118" spans="5:11" x14ac:dyDescent="0.2">
      <c r="E2118" s="50"/>
      <c r="H2118" s="12"/>
      <c r="K2118"/>
    </row>
    <row r="2119" spans="5:11" x14ac:dyDescent="0.2">
      <c r="E2119" s="50"/>
      <c r="H2119" s="12"/>
      <c r="K2119"/>
    </row>
    <row r="2120" spans="5:11" x14ac:dyDescent="0.2">
      <c r="E2120" s="50"/>
      <c r="H2120" s="12"/>
      <c r="K2120"/>
    </row>
    <row r="2121" spans="5:11" x14ac:dyDescent="0.2">
      <c r="E2121" s="50"/>
      <c r="H2121" s="12"/>
      <c r="K2121"/>
    </row>
    <row r="2122" spans="5:11" x14ac:dyDescent="0.2">
      <c r="E2122" s="50"/>
      <c r="H2122" s="12"/>
      <c r="K2122"/>
    </row>
    <row r="2123" spans="5:11" x14ac:dyDescent="0.2">
      <c r="E2123" s="50"/>
      <c r="H2123" s="12"/>
      <c r="K2123"/>
    </row>
    <row r="2124" spans="5:11" x14ac:dyDescent="0.2">
      <c r="E2124" s="50"/>
      <c r="H2124" s="12"/>
      <c r="K2124"/>
    </row>
    <row r="2125" spans="5:11" x14ac:dyDescent="0.2">
      <c r="E2125" s="50"/>
      <c r="H2125" s="12"/>
      <c r="K2125"/>
    </row>
    <row r="2126" spans="5:11" x14ac:dyDescent="0.2">
      <c r="E2126" s="50"/>
      <c r="H2126" s="12"/>
      <c r="K2126"/>
    </row>
    <row r="2127" spans="5:11" x14ac:dyDescent="0.2">
      <c r="E2127" s="50"/>
      <c r="H2127" s="12"/>
      <c r="K2127"/>
    </row>
    <row r="2128" spans="5:11" x14ac:dyDescent="0.2">
      <c r="E2128" s="50"/>
      <c r="H2128" s="12"/>
      <c r="K2128"/>
    </row>
    <row r="2129" spans="5:11" x14ac:dyDescent="0.2">
      <c r="E2129" s="50"/>
      <c r="H2129" s="12"/>
      <c r="K2129"/>
    </row>
    <row r="2130" spans="5:11" x14ac:dyDescent="0.2">
      <c r="E2130" s="50"/>
      <c r="H2130" s="12"/>
      <c r="K2130"/>
    </row>
    <row r="2131" spans="5:11" x14ac:dyDescent="0.2">
      <c r="E2131" s="50"/>
      <c r="H2131" s="12"/>
      <c r="K2131"/>
    </row>
    <row r="2132" spans="5:11" x14ac:dyDescent="0.2">
      <c r="E2132" s="50"/>
      <c r="H2132" s="12"/>
      <c r="K2132"/>
    </row>
    <row r="2133" spans="5:11" x14ac:dyDescent="0.2">
      <c r="E2133" s="50"/>
      <c r="H2133" s="12"/>
      <c r="K2133"/>
    </row>
    <row r="2134" spans="5:11" x14ac:dyDescent="0.2">
      <c r="E2134" s="50"/>
      <c r="H2134" s="12"/>
      <c r="K2134"/>
    </row>
    <row r="2135" spans="5:11" x14ac:dyDescent="0.2">
      <c r="E2135" s="50"/>
      <c r="H2135" s="12"/>
      <c r="K2135"/>
    </row>
    <row r="2136" spans="5:11" x14ac:dyDescent="0.2">
      <c r="E2136" s="50"/>
      <c r="H2136" s="12"/>
      <c r="K2136"/>
    </row>
    <row r="2137" spans="5:11" x14ac:dyDescent="0.2">
      <c r="E2137" s="50"/>
      <c r="H2137" s="12"/>
      <c r="K2137"/>
    </row>
    <row r="2138" spans="5:11" x14ac:dyDescent="0.2">
      <c r="E2138" s="50"/>
      <c r="H2138" s="12"/>
      <c r="K2138"/>
    </row>
    <row r="2139" spans="5:11" x14ac:dyDescent="0.2">
      <c r="E2139" s="50"/>
      <c r="H2139" s="12"/>
      <c r="K2139"/>
    </row>
    <row r="2140" spans="5:11" x14ac:dyDescent="0.2">
      <c r="E2140" s="50"/>
      <c r="H2140" s="12"/>
      <c r="K2140"/>
    </row>
    <row r="2141" spans="5:11" x14ac:dyDescent="0.2">
      <c r="E2141" s="50"/>
      <c r="H2141" s="12"/>
      <c r="K2141"/>
    </row>
    <row r="2142" spans="5:11" x14ac:dyDescent="0.2">
      <c r="E2142" s="50"/>
      <c r="H2142" s="12"/>
      <c r="K2142"/>
    </row>
    <row r="2143" spans="5:11" x14ac:dyDescent="0.2">
      <c r="E2143" s="50"/>
      <c r="H2143" s="12"/>
      <c r="K2143"/>
    </row>
    <row r="2144" spans="5:11" x14ac:dyDescent="0.2">
      <c r="E2144" s="50"/>
      <c r="H2144" s="12"/>
      <c r="K2144"/>
    </row>
    <row r="2145" spans="5:11" x14ac:dyDescent="0.2">
      <c r="E2145" s="50"/>
      <c r="H2145" s="12"/>
      <c r="K2145"/>
    </row>
    <row r="2146" spans="5:11" x14ac:dyDescent="0.2">
      <c r="E2146" s="50"/>
      <c r="H2146" s="12"/>
      <c r="K2146"/>
    </row>
    <row r="2147" spans="5:11" x14ac:dyDescent="0.2">
      <c r="E2147" s="50"/>
      <c r="H2147" s="12"/>
      <c r="K2147"/>
    </row>
    <row r="2148" spans="5:11" x14ac:dyDescent="0.2">
      <c r="E2148" s="50"/>
      <c r="H2148" s="12"/>
      <c r="K2148"/>
    </row>
    <row r="2149" spans="5:11" x14ac:dyDescent="0.2">
      <c r="E2149" s="50"/>
      <c r="H2149" s="12"/>
      <c r="K2149"/>
    </row>
    <row r="2150" spans="5:11" x14ac:dyDescent="0.2">
      <c r="E2150" s="50"/>
      <c r="H2150" s="12"/>
      <c r="K2150"/>
    </row>
    <row r="2151" spans="5:11" x14ac:dyDescent="0.2">
      <c r="E2151" s="50"/>
      <c r="H2151" s="12"/>
      <c r="K2151"/>
    </row>
    <row r="2152" spans="5:11" x14ac:dyDescent="0.2">
      <c r="E2152" s="50"/>
      <c r="H2152" s="12"/>
      <c r="K2152"/>
    </row>
    <row r="2153" spans="5:11" x14ac:dyDescent="0.2">
      <c r="E2153" s="50"/>
      <c r="H2153" s="12"/>
      <c r="K2153"/>
    </row>
    <row r="2154" spans="5:11" x14ac:dyDescent="0.2">
      <c r="E2154" s="50"/>
      <c r="H2154" s="12"/>
      <c r="K2154"/>
    </row>
    <row r="2155" spans="5:11" x14ac:dyDescent="0.2">
      <c r="E2155" s="50"/>
      <c r="H2155" s="12"/>
      <c r="K2155"/>
    </row>
    <row r="2156" spans="5:11" x14ac:dyDescent="0.2">
      <c r="E2156" s="50"/>
      <c r="H2156" s="12"/>
      <c r="K2156"/>
    </row>
    <row r="2157" spans="5:11" x14ac:dyDescent="0.2">
      <c r="E2157" s="50"/>
      <c r="H2157" s="12"/>
      <c r="K2157"/>
    </row>
    <row r="2158" spans="5:11" x14ac:dyDescent="0.2">
      <c r="E2158" s="50"/>
      <c r="H2158" s="12"/>
      <c r="K2158"/>
    </row>
    <row r="2159" spans="5:11" x14ac:dyDescent="0.2">
      <c r="E2159" s="50"/>
      <c r="H2159" s="12"/>
      <c r="K2159"/>
    </row>
    <row r="2160" spans="5:11" x14ac:dyDescent="0.2">
      <c r="E2160" s="50"/>
      <c r="H2160" s="12"/>
      <c r="K2160"/>
    </row>
    <row r="2161" spans="5:11" x14ac:dyDescent="0.2">
      <c r="E2161" s="50"/>
      <c r="H2161" s="12"/>
      <c r="K2161"/>
    </row>
    <row r="2162" spans="5:11" x14ac:dyDescent="0.2">
      <c r="E2162" s="50"/>
      <c r="H2162" s="12"/>
      <c r="K2162"/>
    </row>
    <row r="2163" spans="5:11" x14ac:dyDescent="0.2">
      <c r="E2163" s="50"/>
      <c r="H2163" s="12"/>
      <c r="K2163"/>
    </row>
    <row r="2164" spans="5:11" x14ac:dyDescent="0.2">
      <c r="E2164" s="50"/>
      <c r="H2164" s="12"/>
      <c r="K2164"/>
    </row>
    <row r="2165" spans="5:11" x14ac:dyDescent="0.2">
      <c r="E2165" s="50"/>
      <c r="H2165" s="12"/>
      <c r="K2165"/>
    </row>
    <row r="2166" spans="5:11" x14ac:dyDescent="0.2">
      <c r="E2166" s="50"/>
      <c r="H2166" s="12"/>
      <c r="K2166"/>
    </row>
    <row r="2167" spans="5:11" x14ac:dyDescent="0.2">
      <c r="E2167" s="50"/>
      <c r="H2167" s="12"/>
      <c r="K2167"/>
    </row>
    <row r="2168" spans="5:11" x14ac:dyDescent="0.2">
      <c r="E2168" s="50"/>
      <c r="H2168" s="12"/>
      <c r="K2168"/>
    </row>
    <row r="2169" spans="5:11" x14ac:dyDescent="0.2">
      <c r="E2169" s="50"/>
      <c r="H2169" s="12"/>
      <c r="K2169"/>
    </row>
    <row r="2170" spans="5:11" x14ac:dyDescent="0.2">
      <c r="E2170" s="50"/>
      <c r="H2170" s="12"/>
      <c r="K2170"/>
    </row>
    <row r="2171" spans="5:11" x14ac:dyDescent="0.2">
      <c r="E2171" s="50"/>
      <c r="H2171" s="12"/>
      <c r="K2171"/>
    </row>
    <row r="2172" spans="5:11" x14ac:dyDescent="0.2">
      <c r="E2172" s="50"/>
      <c r="H2172" s="12"/>
      <c r="K2172"/>
    </row>
    <row r="2173" spans="5:11" x14ac:dyDescent="0.2">
      <c r="E2173" s="50"/>
      <c r="H2173" s="12"/>
      <c r="K2173"/>
    </row>
    <row r="2174" spans="5:11" x14ac:dyDescent="0.2">
      <c r="E2174" s="50"/>
      <c r="H2174" s="12"/>
      <c r="K2174"/>
    </row>
    <row r="2175" spans="5:11" x14ac:dyDescent="0.2">
      <c r="E2175" s="50"/>
      <c r="H2175" s="12"/>
      <c r="K2175"/>
    </row>
    <row r="2176" spans="5:11" x14ac:dyDescent="0.2">
      <c r="E2176" s="50"/>
      <c r="H2176" s="12"/>
      <c r="K2176"/>
    </row>
    <row r="2177" spans="5:11" x14ac:dyDescent="0.2">
      <c r="E2177" s="50"/>
      <c r="H2177" s="12"/>
      <c r="K2177"/>
    </row>
    <row r="2178" spans="5:11" x14ac:dyDescent="0.2">
      <c r="E2178" s="50"/>
      <c r="H2178" s="12"/>
      <c r="K2178"/>
    </row>
    <row r="2179" spans="5:11" x14ac:dyDescent="0.2">
      <c r="E2179" s="50"/>
      <c r="H2179" s="12"/>
      <c r="K2179"/>
    </row>
    <row r="2180" spans="5:11" x14ac:dyDescent="0.2">
      <c r="E2180" s="50"/>
      <c r="H2180" s="12"/>
      <c r="K2180"/>
    </row>
    <row r="2181" spans="5:11" x14ac:dyDescent="0.2">
      <c r="E2181" s="50"/>
      <c r="H2181" s="12"/>
      <c r="K2181"/>
    </row>
    <row r="2182" spans="5:11" x14ac:dyDescent="0.2">
      <c r="E2182" s="50"/>
      <c r="H2182" s="12"/>
      <c r="K2182"/>
    </row>
    <row r="2183" spans="5:11" x14ac:dyDescent="0.2">
      <c r="E2183" s="50"/>
      <c r="H2183" s="12"/>
      <c r="K2183"/>
    </row>
    <row r="2184" spans="5:11" x14ac:dyDescent="0.2">
      <c r="E2184" s="50"/>
      <c r="H2184" s="12"/>
      <c r="K2184"/>
    </row>
    <row r="2185" spans="5:11" x14ac:dyDescent="0.2">
      <c r="E2185" s="50"/>
      <c r="H2185" s="12"/>
      <c r="K2185"/>
    </row>
    <row r="2186" spans="5:11" x14ac:dyDescent="0.2">
      <c r="E2186" s="50"/>
      <c r="H2186" s="12"/>
      <c r="K2186"/>
    </row>
    <row r="2187" spans="5:11" x14ac:dyDescent="0.2">
      <c r="E2187" s="50"/>
      <c r="H2187" s="12"/>
      <c r="K2187"/>
    </row>
    <row r="2188" spans="5:11" x14ac:dyDescent="0.2">
      <c r="E2188" s="50"/>
      <c r="H2188" s="12"/>
      <c r="K2188"/>
    </row>
    <row r="2189" spans="5:11" x14ac:dyDescent="0.2">
      <c r="E2189" s="50"/>
      <c r="H2189" s="12"/>
      <c r="K2189"/>
    </row>
    <row r="2190" spans="5:11" x14ac:dyDescent="0.2">
      <c r="E2190" s="50"/>
      <c r="H2190" s="12"/>
      <c r="K2190"/>
    </row>
    <row r="2191" spans="5:11" x14ac:dyDescent="0.2">
      <c r="E2191" s="50"/>
      <c r="H2191" s="12"/>
      <c r="K2191"/>
    </row>
    <row r="2192" spans="5:11" x14ac:dyDescent="0.2">
      <c r="E2192" s="50"/>
      <c r="H2192" s="12"/>
      <c r="K2192"/>
    </row>
    <row r="2193" spans="5:11" x14ac:dyDescent="0.2">
      <c r="E2193" s="50"/>
      <c r="H2193" s="12"/>
      <c r="K2193"/>
    </row>
    <row r="2194" spans="5:11" x14ac:dyDescent="0.2">
      <c r="E2194" s="50"/>
      <c r="H2194" s="12"/>
      <c r="K2194"/>
    </row>
    <row r="2195" spans="5:11" x14ac:dyDescent="0.2">
      <c r="E2195" s="50"/>
      <c r="H2195" s="12"/>
      <c r="K2195"/>
    </row>
    <row r="2196" spans="5:11" x14ac:dyDescent="0.2">
      <c r="E2196" s="50"/>
      <c r="H2196" s="12"/>
      <c r="K2196"/>
    </row>
    <row r="2197" spans="5:11" x14ac:dyDescent="0.2">
      <c r="E2197" s="50"/>
      <c r="H2197" s="12"/>
      <c r="K2197"/>
    </row>
    <row r="2198" spans="5:11" x14ac:dyDescent="0.2">
      <c r="E2198" s="50"/>
      <c r="H2198" s="12"/>
      <c r="K2198"/>
    </row>
    <row r="2199" spans="5:11" x14ac:dyDescent="0.2">
      <c r="E2199" s="50"/>
      <c r="H2199" s="12"/>
      <c r="K2199"/>
    </row>
    <row r="2200" spans="5:11" x14ac:dyDescent="0.2">
      <c r="E2200" s="50"/>
      <c r="H2200" s="12"/>
      <c r="K2200"/>
    </row>
    <row r="2201" spans="5:11" x14ac:dyDescent="0.2">
      <c r="E2201" s="50"/>
      <c r="H2201" s="12"/>
      <c r="K2201"/>
    </row>
    <row r="2202" spans="5:11" x14ac:dyDescent="0.2">
      <c r="E2202" s="50"/>
      <c r="H2202" s="12"/>
      <c r="K2202"/>
    </row>
    <row r="2203" spans="5:11" x14ac:dyDescent="0.2">
      <c r="E2203" s="50"/>
      <c r="H2203" s="12"/>
      <c r="K2203"/>
    </row>
    <row r="2204" spans="5:11" x14ac:dyDescent="0.2">
      <c r="E2204" s="50"/>
      <c r="H2204" s="12"/>
      <c r="K2204"/>
    </row>
    <row r="2205" spans="5:11" x14ac:dyDescent="0.2">
      <c r="E2205" s="50"/>
      <c r="H2205" s="12"/>
      <c r="K2205"/>
    </row>
    <row r="2206" spans="5:11" x14ac:dyDescent="0.2">
      <c r="E2206" s="50"/>
      <c r="H2206" s="12"/>
      <c r="K2206"/>
    </row>
    <row r="2207" spans="5:11" x14ac:dyDescent="0.2">
      <c r="E2207" s="50"/>
      <c r="H2207" s="12"/>
      <c r="K2207"/>
    </row>
    <row r="2208" spans="5:11" x14ac:dyDescent="0.2">
      <c r="E2208" s="50"/>
      <c r="H2208" s="12"/>
      <c r="K2208"/>
    </row>
    <row r="2209" spans="5:11" x14ac:dyDescent="0.2">
      <c r="E2209" s="50"/>
      <c r="H2209" s="12"/>
      <c r="K2209"/>
    </row>
    <row r="2210" spans="5:11" x14ac:dyDescent="0.2">
      <c r="E2210" s="50"/>
      <c r="H2210" s="12"/>
      <c r="K2210"/>
    </row>
    <row r="2211" spans="5:11" x14ac:dyDescent="0.2">
      <c r="E2211" s="50"/>
      <c r="H2211" s="12"/>
      <c r="K2211"/>
    </row>
    <row r="2212" spans="5:11" x14ac:dyDescent="0.2">
      <c r="E2212" s="50"/>
      <c r="H2212" s="12"/>
      <c r="K2212"/>
    </row>
    <row r="2213" spans="5:11" x14ac:dyDescent="0.2">
      <c r="E2213" s="50"/>
      <c r="H2213" s="12"/>
      <c r="K2213"/>
    </row>
    <row r="2214" spans="5:11" x14ac:dyDescent="0.2">
      <c r="E2214" s="50"/>
      <c r="H2214" s="12"/>
      <c r="K2214"/>
    </row>
    <row r="2215" spans="5:11" x14ac:dyDescent="0.2">
      <c r="E2215" s="50"/>
      <c r="H2215" s="12"/>
      <c r="K2215"/>
    </row>
    <row r="2216" spans="5:11" x14ac:dyDescent="0.2">
      <c r="E2216" s="50"/>
      <c r="H2216" s="12"/>
      <c r="K2216"/>
    </row>
    <row r="2217" spans="5:11" x14ac:dyDescent="0.2">
      <c r="E2217" s="50"/>
      <c r="H2217" s="12"/>
      <c r="K2217"/>
    </row>
    <row r="2218" spans="5:11" x14ac:dyDescent="0.2">
      <c r="E2218" s="50"/>
      <c r="H2218" s="12"/>
      <c r="K2218"/>
    </row>
    <row r="2219" spans="5:11" x14ac:dyDescent="0.2">
      <c r="E2219" s="50"/>
      <c r="H2219" s="12"/>
      <c r="K2219"/>
    </row>
    <row r="2220" spans="5:11" x14ac:dyDescent="0.2">
      <c r="E2220" s="50"/>
      <c r="H2220" s="12"/>
      <c r="K2220"/>
    </row>
    <row r="2221" spans="5:11" x14ac:dyDescent="0.2">
      <c r="E2221" s="50"/>
      <c r="H2221" s="12"/>
      <c r="K2221"/>
    </row>
    <row r="2222" spans="5:11" x14ac:dyDescent="0.2">
      <c r="E2222" s="50"/>
      <c r="H2222" s="12"/>
      <c r="K2222"/>
    </row>
    <row r="2223" spans="5:11" x14ac:dyDescent="0.2">
      <c r="E2223" s="50"/>
      <c r="H2223" s="12"/>
      <c r="K2223"/>
    </row>
    <row r="2224" spans="5:11" x14ac:dyDescent="0.2">
      <c r="E2224" s="50"/>
      <c r="H2224" s="12"/>
      <c r="K2224"/>
    </row>
    <row r="2225" spans="5:11" x14ac:dyDescent="0.2">
      <c r="E2225" s="50"/>
      <c r="H2225" s="12"/>
      <c r="K2225"/>
    </row>
    <row r="2226" spans="5:11" x14ac:dyDescent="0.2">
      <c r="E2226" s="50"/>
      <c r="H2226" s="12"/>
      <c r="K2226"/>
    </row>
    <row r="2227" spans="5:11" x14ac:dyDescent="0.2">
      <c r="E2227" s="50"/>
      <c r="H2227" s="12"/>
      <c r="K2227"/>
    </row>
    <row r="2228" spans="5:11" x14ac:dyDescent="0.2">
      <c r="E2228" s="50"/>
      <c r="H2228" s="12"/>
      <c r="K2228"/>
    </row>
    <row r="2229" spans="5:11" x14ac:dyDescent="0.2">
      <c r="E2229" s="50"/>
      <c r="H2229" s="12"/>
      <c r="K2229"/>
    </row>
    <row r="2230" spans="5:11" x14ac:dyDescent="0.2">
      <c r="E2230" s="50"/>
      <c r="H2230" s="12"/>
      <c r="K2230"/>
    </row>
    <row r="2231" spans="5:11" x14ac:dyDescent="0.2">
      <c r="E2231" s="50"/>
      <c r="H2231" s="12"/>
      <c r="K2231"/>
    </row>
    <row r="2232" spans="5:11" x14ac:dyDescent="0.2">
      <c r="E2232" s="50"/>
      <c r="H2232" s="12"/>
      <c r="K2232"/>
    </row>
    <row r="2233" spans="5:11" x14ac:dyDescent="0.2">
      <c r="E2233" s="50"/>
      <c r="H2233" s="12"/>
      <c r="K2233"/>
    </row>
    <row r="2234" spans="5:11" x14ac:dyDescent="0.2">
      <c r="E2234" s="50"/>
      <c r="H2234" s="12"/>
      <c r="K2234"/>
    </row>
    <row r="2235" spans="5:11" x14ac:dyDescent="0.2">
      <c r="E2235" s="50"/>
      <c r="H2235" s="12"/>
      <c r="K2235"/>
    </row>
    <row r="2236" spans="5:11" x14ac:dyDescent="0.2">
      <c r="E2236" s="50"/>
      <c r="H2236" s="12"/>
      <c r="K2236"/>
    </row>
    <row r="2237" spans="5:11" x14ac:dyDescent="0.2">
      <c r="E2237" s="50"/>
      <c r="H2237" s="12"/>
      <c r="K2237"/>
    </row>
    <row r="2238" spans="5:11" x14ac:dyDescent="0.2">
      <c r="E2238" s="50"/>
      <c r="H2238" s="12"/>
      <c r="K2238"/>
    </row>
    <row r="2239" spans="5:11" x14ac:dyDescent="0.2">
      <c r="E2239" s="50"/>
      <c r="H2239" s="12"/>
      <c r="K2239"/>
    </row>
    <row r="2240" spans="5:11" x14ac:dyDescent="0.2">
      <c r="E2240" s="50"/>
      <c r="H2240" s="12"/>
      <c r="K2240"/>
    </row>
    <row r="2241" spans="5:11" x14ac:dyDescent="0.2">
      <c r="E2241" s="50"/>
      <c r="H2241" s="12"/>
      <c r="K2241"/>
    </row>
    <row r="2242" spans="5:11" x14ac:dyDescent="0.2">
      <c r="E2242" s="50"/>
      <c r="H2242" s="12"/>
      <c r="K2242"/>
    </row>
    <row r="2243" spans="5:11" x14ac:dyDescent="0.2">
      <c r="E2243" s="50"/>
      <c r="H2243" s="12"/>
      <c r="K2243"/>
    </row>
    <row r="2244" spans="5:11" x14ac:dyDescent="0.2">
      <c r="E2244" s="50"/>
      <c r="H2244" s="12"/>
      <c r="K2244"/>
    </row>
    <row r="2245" spans="5:11" x14ac:dyDescent="0.2">
      <c r="E2245" s="50"/>
      <c r="H2245" s="12"/>
      <c r="K2245"/>
    </row>
    <row r="2246" spans="5:11" x14ac:dyDescent="0.2">
      <c r="E2246" s="50"/>
      <c r="H2246" s="12"/>
      <c r="K2246"/>
    </row>
    <row r="2247" spans="5:11" x14ac:dyDescent="0.2">
      <c r="E2247" s="50"/>
      <c r="H2247" s="12"/>
      <c r="K2247"/>
    </row>
    <row r="2248" spans="5:11" x14ac:dyDescent="0.2">
      <c r="E2248" s="50"/>
      <c r="H2248" s="12"/>
      <c r="K2248"/>
    </row>
    <row r="2249" spans="5:11" x14ac:dyDescent="0.2">
      <c r="E2249" s="50"/>
      <c r="H2249" s="12"/>
      <c r="K2249"/>
    </row>
    <row r="2250" spans="5:11" x14ac:dyDescent="0.2">
      <c r="E2250" s="50"/>
      <c r="H2250" s="12"/>
      <c r="K2250"/>
    </row>
    <row r="2251" spans="5:11" x14ac:dyDescent="0.2">
      <c r="E2251" s="50"/>
      <c r="H2251" s="12"/>
      <c r="K2251"/>
    </row>
    <row r="2252" spans="5:11" x14ac:dyDescent="0.2">
      <c r="E2252" s="50"/>
      <c r="H2252" s="12"/>
      <c r="K2252"/>
    </row>
    <row r="2253" spans="5:11" x14ac:dyDescent="0.2">
      <c r="E2253" s="50"/>
      <c r="H2253" s="12"/>
      <c r="K2253"/>
    </row>
    <row r="2254" spans="5:11" x14ac:dyDescent="0.2">
      <c r="E2254" s="50"/>
      <c r="H2254" s="12"/>
      <c r="K2254"/>
    </row>
    <row r="2255" spans="5:11" x14ac:dyDescent="0.2">
      <c r="E2255" s="50"/>
      <c r="H2255" s="12"/>
      <c r="K2255"/>
    </row>
    <row r="2256" spans="5:11" x14ac:dyDescent="0.2">
      <c r="E2256" s="50"/>
      <c r="H2256" s="12"/>
      <c r="K2256"/>
    </row>
    <row r="2257" spans="5:11" x14ac:dyDescent="0.2">
      <c r="E2257" s="50"/>
      <c r="H2257" s="12"/>
      <c r="K2257"/>
    </row>
    <row r="2258" spans="5:11" x14ac:dyDescent="0.2">
      <c r="E2258" s="50"/>
      <c r="H2258" s="12"/>
      <c r="K2258"/>
    </row>
    <row r="2259" spans="5:11" x14ac:dyDescent="0.2">
      <c r="E2259" s="50"/>
      <c r="H2259" s="12"/>
      <c r="K2259"/>
    </row>
    <row r="2260" spans="5:11" x14ac:dyDescent="0.2">
      <c r="E2260" s="50"/>
      <c r="H2260" s="12"/>
      <c r="K2260"/>
    </row>
    <row r="2261" spans="5:11" x14ac:dyDescent="0.2">
      <c r="E2261" s="50"/>
      <c r="H2261" s="12"/>
      <c r="K2261"/>
    </row>
    <row r="2262" spans="5:11" x14ac:dyDescent="0.2">
      <c r="E2262" s="50"/>
      <c r="H2262" s="12"/>
      <c r="K2262"/>
    </row>
    <row r="2263" spans="5:11" x14ac:dyDescent="0.2">
      <c r="E2263" s="50"/>
      <c r="H2263" s="12"/>
      <c r="K2263"/>
    </row>
    <row r="2264" spans="5:11" x14ac:dyDescent="0.2">
      <c r="E2264" s="50"/>
      <c r="H2264" s="12"/>
      <c r="K2264"/>
    </row>
    <row r="2265" spans="5:11" x14ac:dyDescent="0.2">
      <c r="E2265" s="50"/>
      <c r="H2265" s="12"/>
      <c r="K2265"/>
    </row>
    <row r="2266" spans="5:11" x14ac:dyDescent="0.2">
      <c r="E2266" s="50"/>
      <c r="H2266" s="12"/>
      <c r="K2266"/>
    </row>
    <row r="2267" spans="5:11" x14ac:dyDescent="0.2">
      <c r="E2267" s="50"/>
      <c r="H2267" s="12"/>
      <c r="K2267"/>
    </row>
    <row r="2268" spans="5:11" x14ac:dyDescent="0.2">
      <c r="E2268" s="50"/>
      <c r="H2268" s="12"/>
      <c r="K2268"/>
    </row>
    <row r="2269" spans="5:11" x14ac:dyDescent="0.2">
      <c r="E2269" s="50"/>
      <c r="H2269" s="12"/>
      <c r="K2269"/>
    </row>
    <row r="2270" spans="5:11" x14ac:dyDescent="0.2">
      <c r="E2270" s="50"/>
      <c r="H2270" s="12"/>
      <c r="K2270"/>
    </row>
    <row r="2271" spans="5:11" x14ac:dyDescent="0.2">
      <c r="E2271" s="50"/>
      <c r="H2271" s="12"/>
      <c r="K2271"/>
    </row>
    <row r="2272" spans="5:11" x14ac:dyDescent="0.2">
      <c r="E2272" s="50"/>
      <c r="H2272" s="12"/>
      <c r="K2272"/>
    </row>
    <row r="2273" spans="5:11" x14ac:dyDescent="0.2">
      <c r="E2273" s="50"/>
      <c r="H2273" s="12"/>
      <c r="K2273"/>
    </row>
    <row r="2274" spans="5:11" x14ac:dyDescent="0.2">
      <c r="E2274" s="50"/>
      <c r="H2274" s="12"/>
      <c r="K2274"/>
    </row>
    <row r="2275" spans="5:11" x14ac:dyDescent="0.2">
      <c r="E2275" s="50"/>
      <c r="H2275" s="12"/>
      <c r="K2275"/>
    </row>
    <row r="2276" spans="5:11" x14ac:dyDescent="0.2">
      <c r="E2276" s="50"/>
      <c r="H2276" s="12"/>
      <c r="K2276"/>
    </row>
    <row r="2277" spans="5:11" x14ac:dyDescent="0.2">
      <c r="E2277" s="50"/>
      <c r="H2277" s="12"/>
      <c r="K2277"/>
    </row>
    <row r="2278" spans="5:11" x14ac:dyDescent="0.2">
      <c r="E2278" s="50"/>
      <c r="H2278" s="12"/>
      <c r="K2278"/>
    </row>
    <row r="2279" spans="5:11" x14ac:dyDescent="0.2">
      <c r="E2279" s="50"/>
      <c r="H2279" s="12"/>
      <c r="K2279"/>
    </row>
    <row r="2280" spans="5:11" x14ac:dyDescent="0.2">
      <c r="E2280" s="50"/>
      <c r="H2280" s="12"/>
      <c r="K2280"/>
    </row>
    <row r="2281" spans="5:11" x14ac:dyDescent="0.2">
      <c r="E2281" s="50"/>
      <c r="H2281" s="12"/>
      <c r="K2281"/>
    </row>
    <row r="2282" spans="5:11" x14ac:dyDescent="0.2">
      <c r="E2282" s="50"/>
      <c r="H2282" s="12"/>
      <c r="K2282"/>
    </row>
    <row r="2283" spans="5:11" x14ac:dyDescent="0.2">
      <c r="E2283" s="50"/>
      <c r="H2283" s="12"/>
      <c r="K2283"/>
    </row>
    <row r="2284" spans="5:11" x14ac:dyDescent="0.2">
      <c r="E2284" s="50"/>
      <c r="H2284" s="12"/>
      <c r="K2284"/>
    </row>
    <row r="2285" spans="5:11" x14ac:dyDescent="0.2">
      <c r="E2285" s="50"/>
      <c r="H2285" s="12"/>
      <c r="K2285"/>
    </row>
    <row r="2286" spans="5:11" x14ac:dyDescent="0.2">
      <c r="E2286" s="50"/>
      <c r="H2286" s="12"/>
      <c r="K2286"/>
    </row>
    <row r="2287" spans="5:11" x14ac:dyDescent="0.2">
      <c r="E2287" s="50"/>
      <c r="H2287" s="12"/>
      <c r="K2287"/>
    </row>
    <row r="2288" spans="5:11" x14ac:dyDescent="0.2">
      <c r="E2288" s="50"/>
      <c r="H2288" s="12"/>
      <c r="K2288"/>
    </row>
    <row r="2289" spans="5:11" x14ac:dyDescent="0.2">
      <c r="E2289" s="50"/>
      <c r="H2289" s="12"/>
      <c r="K2289"/>
    </row>
    <row r="2290" spans="5:11" x14ac:dyDescent="0.2">
      <c r="E2290" s="50"/>
      <c r="H2290" s="12"/>
      <c r="K2290"/>
    </row>
    <row r="2291" spans="5:11" x14ac:dyDescent="0.2">
      <c r="E2291" s="50"/>
      <c r="H2291" s="12"/>
      <c r="K2291"/>
    </row>
    <row r="2292" spans="5:11" x14ac:dyDescent="0.2">
      <c r="E2292" s="50"/>
      <c r="H2292" s="12"/>
      <c r="K2292"/>
    </row>
    <row r="2293" spans="5:11" x14ac:dyDescent="0.2">
      <c r="E2293" s="50"/>
      <c r="H2293" s="12"/>
      <c r="K2293"/>
    </row>
    <row r="2294" spans="5:11" x14ac:dyDescent="0.2">
      <c r="E2294" s="50"/>
      <c r="H2294" s="12"/>
      <c r="K2294"/>
    </row>
    <row r="2295" spans="5:11" x14ac:dyDescent="0.2">
      <c r="E2295" s="50"/>
      <c r="H2295" s="12"/>
      <c r="K2295"/>
    </row>
    <row r="2296" spans="5:11" x14ac:dyDescent="0.2">
      <c r="E2296" s="50"/>
      <c r="H2296" s="12"/>
      <c r="K2296"/>
    </row>
    <row r="2297" spans="5:11" x14ac:dyDescent="0.2">
      <c r="E2297" s="50"/>
      <c r="H2297" s="12"/>
      <c r="K2297"/>
    </row>
    <row r="2298" spans="5:11" x14ac:dyDescent="0.2">
      <c r="E2298" s="50"/>
      <c r="H2298" s="12"/>
      <c r="K2298"/>
    </row>
    <row r="2299" spans="5:11" x14ac:dyDescent="0.2">
      <c r="E2299" s="50"/>
      <c r="H2299" s="12"/>
      <c r="K2299"/>
    </row>
    <row r="2300" spans="5:11" x14ac:dyDescent="0.2">
      <c r="E2300" s="50"/>
      <c r="H2300" s="12"/>
      <c r="K2300"/>
    </row>
    <row r="2301" spans="5:11" x14ac:dyDescent="0.2">
      <c r="E2301" s="50"/>
      <c r="H2301" s="12"/>
      <c r="K2301"/>
    </row>
    <row r="2302" spans="5:11" x14ac:dyDescent="0.2">
      <c r="E2302" s="50"/>
      <c r="H2302" s="12"/>
      <c r="K2302"/>
    </row>
    <row r="2303" spans="5:11" x14ac:dyDescent="0.2">
      <c r="E2303" s="50"/>
      <c r="H2303" s="12"/>
      <c r="K2303"/>
    </row>
    <row r="2304" spans="5:11" x14ac:dyDescent="0.2">
      <c r="E2304" s="50"/>
      <c r="H2304" s="12"/>
      <c r="K2304"/>
    </row>
    <row r="2305" spans="5:11" x14ac:dyDescent="0.2">
      <c r="E2305" s="50"/>
      <c r="H2305" s="12"/>
      <c r="K2305"/>
    </row>
    <row r="2306" spans="5:11" x14ac:dyDescent="0.2">
      <c r="E2306" s="50"/>
      <c r="H2306" s="12"/>
      <c r="K2306"/>
    </row>
    <row r="2307" spans="5:11" x14ac:dyDescent="0.2">
      <c r="E2307" s="50"/>
      <c r="H2307" s="12"/>
      <c r="K2307"/>
    </row>
    <row r="2308" spans="5:11" x14ac:dyDescent="0.2">
      <c r="E2308" s="50"/>
      <c r="H2308" s="12"/>
      <c r="K2308"/>
    </row>
    <row r="2309" spans="5:11" x14ac:dyDescent="0.2">
      <c r="E2309" s="50"/>
      <c r="H2309" s="12"/>
      <c r="K2309"/>
    </row>
    <row r="2310" spans="5:11" x14ac:dyDescent="0.2">
      <c r="E2310" s="50"/>
      <c r="H2310" s="12"/>
      <c r="K2310"/>
    </row>
    <row r="2311" spans="5:11" x14ac:dyDescent="0.2">
      <c r="E2311" s="50"/>
      <c r="H2311" s="12"/>
      <c r="K2311"/>
    </row>
    <row r="2312" spans="5:11" x14ac:dyDescent="0.2">
      <c r="E2312" s="50"/>
      <c r="H2312" s="12"/>
      <c r="K2312"/>
    </row>
    <row r="2313" spans="5:11" x14ac:dyDescent="0.2">
      <c r="E2313" s="50"/>
      <c r="H2313" s="12"/>
      <c r="K2313"/>
    </row>
    <row r="2314" spans="5:11" x14ac:dyDescent="0.2">
      <c r="E2314" s="50"/>
      <c r="H2314" s="12"/>
      <c r="K2314"/>
    </row>
    <row r="2315" spans="5:11" x14ac:dyDescent="0.2">
      <c r="E2315" s="50"/>
      <c r="H2315" s="12"/>
      <c r="K2315"/>
    </row>
    <row r="2316" spans="5:11" x14ac:dyDescent="0.2">
      <c r="E2316" s="50"/>
      <c r="H2316" s="12"/>
      <c r="K2316"/>
    </row>
    <row r="2317" spans="5:11" x14ac:dyDescent="0.2">
      <c r="E2317" s="50"/>
      <c r="H2317" s="12"/>
      <c r="K2317"/>
    </row>
    <row r="2318" spans="5:11" x14ac:dyDescent="0.2">
      <c r="E2318" s="50"/>
      <c r="H2318" s="12"/>
      <c r="K2318"/>
    </row>
    <row r="2319" spans="5:11" x14ac:dyDescent="0.2">
      <c r="E2319" s="50"/>
      <c r="H2319" s="12"/>
      <c r="K2319"/>
    </row>
    <row r="2320" spans="5:11" x14ac:dyDescent="0.2">
      <c r="E2320" s="50"/>
      <c r="H2320" s="12"/>
      <c r="K2320"/>
    </row>
    <row r="2321" spans="5:11" x14ac:dyDescent="0.2">
      <c r="E2321" s="50"/>
      <c r="H2321" s="12"/>
      <c r="K2321"/>
    </row>
    <row r="2322" spans="5:11" x14ac:dyDescent="0.2">
      <c r="E2322" s="50"/>
      <c r="H2322" s="12"/>
      <c r="K2322"/>
    </row>
    <row r="2323" spans="5:11" x14ac:dyDescent="0.2">
      <c r="E2323" s="50"/>
      <c r="H2323" s="12"/>
      <c r="K2323"/>
    </row>
    <row r="2324" spans="5:11" x14ac:dyDescent="0.2">
      <c r="E2324" s="50"/>
      <c r="H2324" s="12"/>
      <c r="K2324"/>
    </row>
    <row r="2325" spans="5:11" x14ac:dyDescent="0.2">
      <c r="E2325" s="50"/>
      <c r="H2325" s="12"/>
      <c r="K2325"/>
    </row>
    <row r="2326" spans="5:11" x14ac:dyDescent="0.2">
      <c r="E2326" s="50"/>
      <c r="H2326" s="12"/>
      <c r="K2326"/>
    </row>
    <row r="2327" spans="5:11" x14ac:dyDescent="0.2">
      <c r="E2327" s="50"/>
      <c r="H2327" s="12"/>
      <c r="K2327"/>
    </row>
    <row r="2328" spans="5:11" x14ac:dyDescent="0.2">
      <c r="E2328" s="50"/>
      <c r="H2328" s="12"/>
      <c r="K2328"/>
    </row>
    <row r="2329" spans="5:11" x14ac:dyDescent="0.2">
      <c r="E2329" s="50"/>
      <c r="H2329" s="12"/>
      <c r="K2329"/>
    </row>
    <row r="2330" spans="5:11" x14ac:dyDescent="0.2">
      <c r="E2330" s="50"/>
      <c r="H2330" s="12"/>
      <c r="K2330"/>
    </row>
    <row r="2331" spans="5:11" x14ac:dyDescent="0.2">
      <c r="E2331" s="50"/>
      <c r="H2331" s="12"/>
      <c r="K2331"/>
    </row>
    <row r="2332" spans="5:11" x14ac:dyDescent="0.2">
      <c r="E2332" s="50"/>
      <c r="H2332" s="12"/>
      <c r="K2332"/>
    </row>
    <row r="2333" spans="5:11" x14ac:dyDescent="0.2">
      <c r="E2333" s="50"/>
      <c r="H2333" s="12"/>
      <c r="K2333"/>
    </row>
    <row r="2334" spans="5:11" x14ac:dyDescent="0.2">
      <c r="E2334" s="50"/>
      <c r="H2334" s="12"/>
      <c r="K2334"/>
    </row>
    <row r="2335" spans="5:11" x14ac:dyDescent="0.2">
      <c r="E2335" s="50"/>
      <c r="H2335" s="12"/>
      <c r="K2335"/>
    </row>
    <row r="2336" spans="5:11" x14ac:dyDescent="0.2">
      <c r="E2336" s="50"/>
      <c r="H2336" s="12"/>
      <c r="K2336"/>
    </row>
    <row r="2337" spans="5:11" x14ac:dyDescent="0.2">
      <c r="E2337" s="50"/>
      <c r="H2337" s="12"/>
      <c r="K2337"/>
    </row>
    <row r="2338" spans="5:11" x14ac:dyDescent="0.2">
      <c r="E2338" s="50"/>
      <c r="H2338" s="12"/>
      <c r="K2338"/>
    </row>
    <row r="2339" spans="5:11" x14ac:dyDescent="0.2">
      <c r="E2339" s="50"/>
      <c r="H2339" s="12"/>
      <c r="K2339"/>
    </row>
    <row r="2340" spans="5:11" x14ac:dyDescent="0.2">
      <c r="E2340" s="50"/>
      <c r="H2340" s="12"/>
      <c r="K2340"/>
    </row>
    <row r="2341" spans="5:11" x14ac:dyDescent="0.2">
      <c r="E2341" s="50"/>
      <c r="H2341" s="12"/>
      <c r="K2341"/>
    </row>
    <row r="2342" spans="5:11" x14ac:dyDescent="0.2">
      <c r="E2342" s="50"/>
      <c r="H2342" s="12"/>
      <c r="K2342"/>
    </row>
    <row r="2343" spans="5:11" x14ac:dyDescent="0.2">
      <c r="E2343" s="50"/>
      <c r="H2343" s="12"/>
      <c r="K2343"/>
    </row>
    <row r="2344" spans="5:11" x14ac:dyDescent="0.2">
      <c r="E2344" s="50"/>
      <c r="H2344" s="12"/>
      <c r="K2344"/>
    </row>
    <row r="2345" spans="5:11" x14ac:dyDescent="0.2">
      <c r="E2345" s="50"/>
      <c r="H2345" s="12"/>
      <c r="K2345"/>
    </row>
    <row r="2346" spans="5:11" x14ac:dyDescent="0.2">
      <c r="E2346" s="50"/>
      <c r="H2346" s="12"/>
      <c r="K2346"/>
    </row>
    <row r="2347" spans="5:11" x14ac:dyDescent="0.2">
      <c r="E2347" s="50"/>
      <c r="H2347" s="12"/>
      <c r="K2347"/>
    </row>
    <row r="2348" spans="5:11" x14ac:dyDescent="0.2">
      <c r="E2348" s="50"/>
      <c r="H2348" s="12"/>
      <c r="K2348"/>
    </row>
    <row r="2349" spans="5:11" x14ac:dyDescent="0.2">
      <c r="E2349" s="50"/>
      <c r="H2349" s="12"/>
      <c r="K2349"/>
    </row>
    <row r="2350" spans="5:11" x14ac:dyDescent="0.2">
      <c r="E2350" s="50"/>
      <c r="H2350" s="12"/>
      <c r="K2350"/>
    </row>
    <row r="2351" spans="5:11" x14ac:dyDescent="0.2">
      <c r="E2351" s="50"/>
      <c r="H2351" s="12"/>
      <c r="K2351"/>
    </row>
    <row r="2352" spans="5:11" x14ac:dyDescent="0.2">
      <c r="E2352" s="50"/>
      <c r="H2352" s="12"/>
      <c r="K2352"/>
    </row>
    <row r="2353" spans="5:11" x14ac:dyDescent="0.2">
      <c r="E2353" s="50"/>
      <c r="H2353" s="12"/>
      <c r="K2353"/>
    </row>
    <row r="2354" spans="5:11" x14ac:dyDescent="0.2">
      <c r="E2354" s="50"/>
      <c r="H2354" s="12"/>
      <c r="K2354"/>
    </row>
    <row r="2355" spans="5:11" x14ac:dyDescent="0.2">
      <c r="E2355" s="50"/>
      <c r="H2355" s="12"/>
      <c r="K2355"/>
    </row>
    <row r="2356" spans="5:11" x14ac:dyDescent="0.2">
      <c r="E2356" s="50"/>
      <c r="H2356" s="12"/>
      <c r="K2356"/>
    </row>
    <row r="2357" spans="5:11" x14ac:dyDescent="0.2">
      <c r="E2357" s="50"/>
      <c r="H2357" s="12"/>
      <c r="K2357"/>
    </row>
    <row r="2358" spans="5:11" x14ac:dyDescent="0.2">
      <c r="E2358" s="50"/>
      <c r="H2358" s="12"/>
      <c r="K2358"/>
    </row>
    <row r="2359" spans="5:11" x14ac:dyDescent="0.2">
      <c r="E2359" s="50"/>
      <c r="H2359" s="12"/>
      <c r="K2359"/>
    </row>
    <row r="2360" spans="5:11" x14ac:dyDescent="0.2">
      <c r="E2360" s="50"/>
      <c r="H2360" s="12"/>
      <c r="K2360"/>
    </row>
    <row r="2361" spans="5:11" x14ac:dyDescent="0.2">
      <c r="E2361" s="50"/>
      <c r="H2361" s="12"/>
      <c r="K2361"/>
    </row>
    <row r="2362" spans="5:11" x14ac:dyDescent="0.2">
      <c r="E2362" s="50"/>
      <c r="H2362" s="12"/>
      <c r="K2362"/>
    </row>
    <row r="2363" spans="5:11" x14ac:dyDescent="0.2">
      <c r="E2363" s="50"/>
      <c r="H2363" s="12"/>
      <c r="K2363"/>
    </row>
    <row r="2364" spans="5:11" x14ac:dyDescent="0.2">
      <c r="E2364" s="50"/>
      <c r="H2364" s="12"/>
      <c r="K2364"/>
    </row>
    <row r="2365" spans="5:11" x14ac:dyDescent="0.2">
      <c r="E2365" s="50"/>
      <c r="H2365" s="12"/>
      <c r="K2365"/>
    </row>
    <row r="2366" spans="5:11" x14ac:dyDescent="0.2">
      <c r="E2366" s="50"/>
      <c r="H2366" s="12"/>
      <c r="K2366"/>
    </row>
    <row r="2367" spans="5:11" x14ac:dyDescent="0.2">
      <c r="E2367" s="50"/>
      <c r="H2367" s="12"/>
      <c r="K2367"/>
    </row>
    <row r="2368" spans="5:11" x14ac:dyDescent="0.2">
      <c r="E2368" s="50"/>
      <c r="H2368" s="12"/>
      <c r="K2368"/>
    </row>
    <row r="2369" spans="5:11" x14ac:dyDescent="0.2">
      <c r="E2369" s="50"/>
      <c r="H2369" s="12"/>
      <c r="K2369"/>
    </row>
    <row r="2370" spans="5:11" x14ac:dyDescent="0.2">
      <c r="E2370" s="50"/>
      <c r="H2370" s="12"/>
      <c r="K2370"/>
    </row>
    <row r="2371" spans="5:11" x14ac:dyDescent="0.2">
      <c r="E2371" s="50"/>
      <c r="H2371" s="12"/>
      <c r="K2371"/>
    </row>
    <row r="2372" spans="5:11" x14ac:dyDescent="0.2">
      <c r="E2372" s="50"/>
      <c r="H2372" s="12"/>
      <c r="K2372"/>
    </row>
    <row r="2373" spans="5:11" x14ac:dyDescent="0.2">
      <c r="E2373" s="50"/>
      <c r="H2373" s="12"/>
      <c r="K2373"/>
    </row>
    <row r="2374" spans="5:11" x14ac:dyDescent="0.2">
      <c r="E2374" s="50"/>
      <c r="H2374" s="12"/>
      <c r="K2374"/>
    </row>
    <row r="2375" spans="5:11" x14ac:dyDescent="0.2">
      <c r="E2375" s="50"/>
      <c r="H2375" s="12"/>
      <c r="K2375"/>
    </row>
    <row r="2376" spans="5:11" x14ac:dyDescent="0.2">
      <c r="E2376" s="50"/>
      <c r="H2376" s="12"/>
      <c r="K2376"/>
    </row>
    <row r="2377" spans="5:11" x14ac:dyDescent="0.2">
      <c r="E2377" s="50"/>
      <c r="H2377" s="12"/>
      <c r="K2377"/>
    </row>
    <row r="2378" spans="5:11" x14ac:dyDescent="0.2">
      <c r="E2378" s="50"/>
      <c r="H2378" s="12"/>
      <c r="K2378"/>
    </row>
    <row r="2379" spans="5:11" x14ac:dyDescent="0.2">
      <c r="E2379" s="50"/>
      <c r="H2379" s="12"/>
      <c r="K2379"/>
    </row>
    <row r="2380" spans="5:11" x14ac:dyDescent="0.2">
      <c r="E2380" s="50"/>
      <c r="H2380" s="12"/>
      <c r="K2380"/>
    </row>
    <row r="2381" spans="5:11" x14ac:dyDescent="0.2">
      <c r="E2381" s="50"/>
      <c r="H2381" s="12"/>
      <c r="K2381"/>
    </row>
    <row r="2382" spans="5:11" x14ac:dyDescent="0.2">
      <c r="E2382" s="50"/>
      <c r="H2382" s="12"/>
      <c r="K2382"/>
    </row>
    <row r="2383" spans="5:11" x14ac:dyDescent="0.2">
      <c r="E2383" s="50"/>
      <c r="H2383" s="12"/>
      <c r="K2383"/>
    </row>
    <row r="2384" spans="5:11" x14ac:dyDescent="0.2">
      <c r="E2384" s="50"/>
      <c r="H2384" s="12"/>
      <c r="K2384"/>
    </row>
    <row r="2385" spans="5:11" x14ac:dyDescent="0.2">
      <c r="E2385" s="50"/>
      <c r="H2385" s="12"/>
      <c r="K2385"/>
    </row>
    <row r="2386" spans="5:11" x14ac:dyDescent="0.2">
      <c r="E2386" s="50"/>
      <c r="H2386" s="12"/>
      <c r="K2386"/>
    </row>
    <row r="2387" spans="5:11" x14ac:dyDescent="0.2">
      <c r="E2387" s="50"/>
      <c r="H2387" s="12"/>
      <c r="K2387"/>
    </row>
    <row r="2388" spans="5:11" x14ac:dyDescent="0.2">
      <c r="E2388" s="50"/>
      <c r="H2388" s="12"/>
      <c r="K2388"/>
    </row>
    <row r="2389" spans="5:11" x14ac:dyDescent="0.2">
      <c r="E2389" s="50"/>
      <c r="H2389" s="12"/>
      <c r="K2389"/>
    </row>
    <row r="2390" spans="5:11" x14ac:dyDescent="0.2">
      <c r="E2390" s="50"/>
      <c r="H2390" s="12"/>
      <c r="K2390"/>
    </row>
    <row r="2391" spans="5:11" x14ac:dyDescent="0.2">
      <c r="E2391" s="50"/>
      <c r="H2391" s="12"/>
      <c r="K2391"/>
    </row>
    <row r="2392" spans="5:11" x14ac:dyDescent="0.2">
      <c r="E2392" s="50"/>
      <c r="H2392" s="12"/>
      <c r="K2392"/>
    </row>
    <row r="2393" spans="5:11" x14ac:dyDescent="0.2">
      <c r="E2393" s="50"/>
      <c r="H2393" s="12"/>
      <c r="K2393"/>
    </row>
    <row r="2394" spans="5:11" x14ac:dyDescent="0.2">
      <c r="E2394" s="50"/>
      <c r="H2394" s="12"/>
      <c r="K2394"/>
    </row>
    <row r="2395" spans="5:11" x14ac:dyDescent="0.2">
      <c r="E2395" s="50"/>
      <c r="H2395" s="12"/>
      <c r="K2395"/>
    </row>
    <row r="2396" spans="5:11" x14ac:dyDescent="0.2">
      <c r="E2396" s="50"/>
      <c r="H2396" s="12"/>
      <c r="K2396"/>
    </row>
    <row r="2397" spans="5:11" x14ac:dyDescent="0.2">
      <c r="E2397" s="50"/>
      <c r="H2397" s="12"/>
      <c r="K2397"/>
    </row>
    <row r="2398" spans="5:11" x14ac:dyDescent="0.2">
      <c r="E2398" s="50"/>
      <c r="H2398" s="12"/>
      <c r="K2398"/>
    </row>
    <row r="2399" spans="5:11" x14ac:dyDescent="0.2">
      <c r="E2399" s="50"/>
      <c r="H2399" s="12"/>
      <c r="K2399"/>
    </row>
    <row r="2400" spans="5:11" x14ac:dyDescent="0.2">
      <c r="E2400" s="50"/>
      <c r="H2400" s="12"/>
      <c r="K2400"/>
    </row>
    <row r="2401" spans="5:11" x14ac:dyDescent="0.2">
      <c r="E2401" s="50"/>
      <c r="H2401" s="12"/>
      <c r="K2401"/>
    </row>
    <row r="2402" spans="5:11" x14ac:dyDescent="0.2">
      <c r="E2402" s="50"/>
      <c r="H2402" s="12"/>
      <c r="K2402"/>
    </row>
    <row r="2403" spans="5:11" x14ac:dyDescent="0.2">
      <c r="E2403" s="50"/>
      <c r="H2403" s="12"/>
      <c r="K2403"/>
    </row>
    <row r="2404" spans="5:11" x14ac:dyDescent="0.2">
      <c r="E2404" s="50"/>
      <c r="H2404" s="12"/>
      <c r="K2404"/>
    </row>
    <row r="2405" spans="5:11" x14ac:dyDescent="0.2">
      <c r="E2405" s="50"/>
      <c r="H2405" s="12"/>
      <c r="K2405"/>
    </row>
    <row r="2406" spans="5:11" x14ac:dyDescent="0.2">
      <c r="E2406" s="50"/>
      <c r="H2406" s="12"/>
      <c r="K2406"/>
    </row>
    <row r="2407" spans="5:11" x14ac:dyDescent="0.2">
      <c r="E2407" s="50"/>
      <c r="H2407" s="12"/>
      <c r="K2407"/>
    </row>
    <row r="2408" spans="5:11" x14ac:dyDescent="0.2">
      <c r="E2408" s="50"/>
      <c r="H2408" s="12"/>
      <c r="K2408"/>
    </row>
    <row r="2409" spans="5:11" x14ac:dyDescent="0.2">
      <c r="E2409" s="50"/>
      <c r="H2409" s="12"/>
      <c r="K2409"/>
    </row>
    <row r="2410" spans="5:11" x14ac:dyDescent="0.2">
      <c r="E2410" s="50"/>
      <c r="H2410" s="12"/>
      <c r="K2410"/>
    </row>
    <row r="2411" spans="5:11" x14ac:dyDescent="0.2">
      <c r="E2411" s="50"/>
      <c r="H2411" s="12"/>
      <c r="K2411"/>
    </row>
    <row r="2412" spans="5:11" x14ac:dyDescent="0.2">
      <c r="E2412" s="50"/>
      <c r="H2412" s="12"/>
      <c r="K2412"/>
    </row>
    <row r="2413" spans="5:11" x14ac:dyDescent="0.2">
      <c r="E2413" s="50"/>
      <c r="H2413" s="12"/>
      <c r="K2413"/>
    </row>
    <row r="2414" spans="5:11" x14ac:dyDescent="0.2">
      <c r="E2414" s="50"/>
      <c r="H2414" s="12"/>
      <c r="K2414"/>
    </row>
    <row r="2415" spans="5:11" x14ac:dyDescent="0.2">
      <c r="E2415" s="50"/>
      <c r="H2415" s="12"/>
      <c r="K2415"/>
    </row>
    <row r="2416" spans="5:11" x14ac:dyDescent="0.2">
      <c r="E2416" s="50"/>
      <c r="H2416" s="12"/>
      <c r="K2416"/>
    </row>
    <row r="2417" spans="5:11" x14ac:dyDescent="0.2">
      <c r="E2417" s="50"/>
      <c r="H2417" s="12"/>
      <c r="K2417"/>
    </row>
    <row r="2418" spans="5:11" x14ac:dyDescent="0.2">
      <c r="E2418" s="50"/>
      <c r="H2418" s="12"/>
      <c r="K2418"/>
    </row>
    <row r="2419" spans="5:11" x14ac:dyDescent="0.2">
      <c r="E2419" s="50"/>
      <c r="H2419" s="12"/>
      <c r="K2419"/>
    </row>
    <row r="2420" spans="5:11" x14ac:dyDescent="0.2">
      <c r="E2420" s="50"/>
      <c r="H2420" s="12"/>
      <c r="K2420"/>
    </row>
    <row r="2421" spans="5:11" x14ac:dyDescent="0.2">
      <c r="E2421" s="50"/>
      <c r="H2421" s="12"/>
      <c r="K2421"/>
    </row>
    <row r="2422" spans="5:11" x14ac:dyDescent="0.2">
      <c r="E2422" s="50"/>
      <c r="H2422" s="12"/>
      <c r="K2422"/>
    </row>
    <row r="2423" spans="5:11" x14ac:dyDescent="0.2">
      <c r="E2423" s="50"/>
      <c r="H2423" s="12"/>
      <c r="K2423"/>
    </row>
    <row r="2424" spans="5:11" x14ac:dyDescent="0.2">
      <c r="E2424" s="50"/>
      <c r="H2424" s="12"/>
      <c r="K2424"/>
    </row>
    <row r="2425" spans="5:11" x14ac:dyDescent="0.2">
      <c r="E2425" s="50"/>
      <c r="H2425" s="12"/>
      <c r="K2425"/>
    </row>
    <row r="2426" spans="5:11" x14ac:dyDescent="0.2">
      <c r="E2426" s="50"/>
      <c r="H2426" s="12"/>
      <c r="K2426"/>
    </row>
    <row r="2427" spans="5:11" x14ac:dyDescent="0.2">
      <c r="E2427" s="50"/>
      <c r="H2427" s="12"/>
      <c r="K2427"/>
    </row>
    <row r="2428" spans="5:11" x14ac:dyDescent="0.2">
      <c r="E2428" s="50"/>
      <c r="H2428" s="12"/>
      <c r="K2428"/>
    </row>
    <row r="2429" spans="5:11" x14ac:dyDescent="0.2">
      <c r="E2429" s="50"/>
      <c r="H2429" s="12"/>
      <c r="K2429"/>
    </row>
    <row r="2430" spans="5:11" x14ac:dyDescent="0.2">
      <c r="E2430" s="50"/>
      <c r="H2430" s="12"/>
      <c r="K2430"/>
    </row>
    <row r="2431" spans="5:11" x14ac:dyDescent="0.2">
      <c r="E2431" s="50"/>
      <c r="H2431" s="12"/>
      <c r="K2431"/>
    </row>
    <row r="2432" spans="5:11" x14ac:dyDescent="0.2">
      <c r="E2432" s="50"/>
      <c r="H2432" s="12"/>
      <c r="K2432"/>
    </row>
    <row r="2433" spans="5:11" x14ac:dyDescent="0.2">
      <c r="E2433" s="50"/>
      <c r="H2433" s="12"/>
      <c r="K2433"/>
    </row>
    <row r="2434" spans="5:11" x14ac:dyDescent="0.2">
      <c r="E2434" s="50"/>
      <c r="H2434" s="12"/>
      <c r="K2434"/>
    </row>
    <row r="2435" spans="5:11" x14ac:dyDescent="0.2">
      <c r="E2435" s="50"/>
      <c r="H2435" s="12"/>
      <c r="K2435"/>
    </row>
    <row r="2436" spans="5:11" x14ac:dyDescent="0.2">
      <c r="E2436" s="50"/>
      <c r="H2436" s="12"/>
      <c r="K2436"/>
    </row>
    <row r="2437" spans="5:11" x14ac:dyDescent="0.2">
      <c r="E2437" s="50"/>
      <c r="H2437" s="12"/>
      <c r="K2437"/>
    </row>
    <row r="2438" spans="5:11" x14ac:dyDescent="0.2">
      <c r="E2438" s="50"/>
      <c r="H2438" s="12"/>
      <c r="K2438"/>
    </row>
    <row r="2439" spans="5:11" x14ac:dyDescent="0.2">
      <c r="E2439" s="50"/>
      <c r="H2439" s="12"/>
      <c r="K2439"/>
    </row>
    <row r="2440" spans="5:11" x14ac:dyDescent="0.2">
      <c r="E2440" s="50"/>
      <c r="H2440" s="12"/>
      <c r="K2440"/>
    </row>
    <row r="2441" spans="5:11" x14ac:dyDescent="0.2">
      <c r="E2441" s="50"/>
      <c r="H2441" s="12"/>
      <c r="K2441"/>
    </row>
    <row r="2442" spans="5:11" x14ac:dyDescent="0.2">
      <c r="E2442" s="50"/>
      <c r="H2442" s="12"/>
      <c r="K2442"/>
    </row>
    <row r="2443" spans="5:11" x14ac:dyDescent="0.2">
      <c r="E2443" s="50"/>
      <c r="H2443" s="12"/>
      <c r="K2443"/>
    </row>
    <row r="2444" spans="5:11" x14ac:dyDescent="0.2">
      <c r="E2444" s="50"/>
      <c r="H2444" s="12"/>
      <c r="K2444"/>
    </row>
    <row r="2445" spans="5:11" x14ac:dyDescent="0.2">
      <c r="E2445" s="50"/>
      <c r="H2445" s="12"/>
      <c r="K2445"/>
    </row>
    <row r="2446" spans="5:11" x14ac:dyDescent="0.2">
      <c r="E2446" s="50"/>
      <c r="H2446" s="12"/>
      <c r="K2446"/>
    </row>
    <row r="2447" spans="5:11" x14ac:dyDescent="0.2">
      <c r="E2447" s="50"/>
      <c r="H2447" s="12"/>
      <c r="K2447"/>
    </row>
    <row r="2448" spans="5:11" x14ac:dyDescent="0.2">
      <c r="E2448" s="50"/>
      <c r="H2448" s="12"/>
      <c r="K2448"/>
    </row>
    <row r="2449" spans="5:11" x14ac:dyDescent="0.2">
      <c r="E2449" s="50"/>
      <c r="H2449" s="12"/>
      <c r="K2449"/>
    </row>
    <row r="2450" spans="5:11" x14ac:dyDescent="0.2">
      <c r="E2450" s="50"/>
      <c r="H2450" s="12"/>
      <c r="K2450"/>
    </row>
    <row r="2451" spans="5:11" x14ac:dyDescent="0.2">
      <c r="E2451" s="50"/>
      <c r="H2451" s="12"/>
      <c r="K2451"/>
    </row>
    <row r="2452" spans="5:11" x14ac:dyDescent="0.2">
      <c r="E2452" s="50"/>
      <c r="H2452" s="12"/>
      <c r="K2452"/>
    </row>
    <row r="2453" spans="5:11" x14ac:dyDescent="0.2">
      <c r="E2453" s="50"/>
      <c r="H2453" s="12"/>
      <c r="K2453"/>
    </row>
    <row r="2454" spans="5:11" x14ac:dyDescent="0.2">
      <c r="E2454" s="50"/>
      <c r="H2454" s="12"/>
      <c r="K2454"/>
    </row>
    <row r="2455" spans="5:11" x14ac:dyDescent="0.2">
      <c r="E2455" s="50"/>
      <c r="H2455" s="12"/>
      <c r="K2455"/>
    </row>
    <row r="2456" spans="5:11" x14ac:dyDescent="0.2">
      <c r="E2456" s="50"/>
      <c r="H2456" s="12"/>
      <c r="K2456"/>
    </row>
    <row r="2457" spans="5:11" x14ac:dyDescent="0.2">
      <c r="E2457" s="50"/>
      <c r="H2457" s="12"/>
      <c r="K2457"/>
    </row>
    <row r="2458" spans="5:11" x14ac:dyDescent="0.2">
      <c r="E2458" s="50"/>
      <c r="H2458" s="12"/>
      <c r="K2458"/>
    </row>
    <row r="2459" spans="5:11" x14ac:dyDescent="0.2">
      <c r="E2459" s="50"/>
      <c r="H2459" s="12"/>
      <c r="K2459"/>
    </row>
    <row r="2460" spans="5:11" x14ac:dyDescent="0.2">
      <c r="E2460" s="50"/>
      <c r="H2460" s="12"/>
      <c r="K2460"/>
    </row>
    <row r="2461" spans="5:11" x14ac:dyDescent="0.2">
      <c r="E2461" s="50"/>
      <c r="H2461" s="12"/>
      <c r="K2461"/>
    </row>
    <row r="2462" spans="5:11" x14ac:dyDescent="0.2">
      <c r="E2462" s="50"/>
      <c r="H2462" s="12"/>
      <c r="K2462"/>
    </row>
    <row r="2463" spans="5:11" x14ac:dyDescent="0.2">
      <c r="E2463" s="50"/>
      <c r="H2463" s="12"/>
      <c r="K2463"/>
    </row>
    <row r="2464" spans="5:11" x14ac:dyDescent="0.2">
      <c r="E2464" s="50"/>
      <c r="H2464" s="12"/>
      <c r="K2464"/>
    </row>
    <row r="2465" spans="5:11" x14ac:dyDescent="0.2">
      <c r="E2465" s="50"/>
      <c r="H2465" s="12"/>
      <c r="K2465"/>
    </row>
    <row r="2466" spans="5:11" x14ac:dyDescent="0.2">
      <c r="E2466" s="50"/>
      <c r="H2466" s="12"/>
      <c r="K2466"/>
    </row>
    <row r="2467" spans="5:11" x14ac:dyDescent="0.2">
      <c r="E2467" s="50"/>
      <c r="H2467" s="12"/>
      <c r="K2467"/>
    </row>
    <row r="2468" spans="5:11" x14ac:dyDescent="0.2">
      <c r="E2468" s="50"/>
      <c r="H2468" s="12"/>
      <c r="K2468"/>
    </row>
    <row r="2469" spans="5:11" x14ac:dyDescent="0.2">
      <c r="E2469" s="50"/>
      <c r="H2469" s="12"/>
      <c r="K2469"/>
    </row>
    <row r="2470" spans="5:11" x14ac:dyDescent="0.2">
      <c r="E2470" s="50"/>
      <c r="H2470" s="12"/>
      <c r="K2470"/>
    </row>
    <row r="2471" spans="5:11" x14ac:dyDescent="0.2">
      <c r="E2471" s="50"/>
      <c r="H2471" s="12"/>
      <c r="K2471"/>
    </row>
    <row r="2472" spans="5:11" x14ac:dyDescent="0.2">
      <c r="E2472" s="50"/>
      <c r="H2472" s="12"/>
      <c r="K2472"/>
    </row>
    <row r="2473" spans="5:11" x14ac:dyDescent="0.2">
      <c r="E2473" s="50"/>
      <c r="H2473" s="12"/>
      <c r="K2473"/>
    </row>
    <row r="2474" spans="5:11" x14ac:dyDescent="0.2">
      <c r="E2474" s="50"/>
      <c r="H2474" s="12"/>
      <c r="K2474"/>
    </row>
    <row r="2475" spans="5:11" x14ac:dyDescent="0.2">
      <c r="E2475" s="50"/>
      <c r="H2475" s="12"/>
      <c r="K2475"/>
    </row>
    <row r="2476" spans="5:11" x14ac:dyDescent="0.2">
      <c r="E2476" s="50"/>
      <c r="H2476" s="12"/>
      <c r="K2476"/>
    </row>
    <row r="2477" spans="5:11" x14ac:dyDescent="0.2">
      <c r="E2477" s="50"/>
      <c r="H2477" s="12"/>
      <c r="K2477"/>
    </row>
    <row r="2478" spans="5:11" x14ac:dyDescent="0.2">
      <c r="E2478" s="50"/>
      <c r="H2478" s="12"/>
      <c r="K2478"/>
    </row>
    <row r="2479" spans="5:11" x14ac:dyDescent="0.2">
      <c r="E2479" s="50"/>
      <c r="H2479" s="12"/>
      <c r="K2479"/>
    </row>
    <row r="2480" spans="5:11" x14ac:dyDescent="0.2">
      <c r="E2480" s="50"/>
      <c r="H2480" s="12"/>
      <c r="K2480"/>
    </row>
    <row r="2481" spans="5:11" x14ac:dyDescent="0.2">
      <c r="E2481" s="50"/>
      <c r="H2481" s="12"/>
      <c r="K2481"/>
    </row>
    <row r="2482" spans="5:11" x14ac:dyDescent="0.2">
      <c r="E2482" s="50"/>
      <c r="H2482" s="12"/>
      <c r="K2482"/>
    </row>
    <row r="2483" spans="5:11" x14ac:dyDescent="0.2">
      <c r="E2483" s="50"/>
      <c r="H2483" s="12"/>
      <c r="K2483"/>
    </row>
    <row r="2484" spans="5:11" x14ac:dyDescent="0.2">
      <c r="E2484" s="50"/>
      <c r="H2484" s="12"/>
      <c r="K2484"/>
    </row>
    <row r="2485" spans="5:11" x14ac:dyDescent="0.2">
      <c r="E2485" s="50"/>
      <c r="H2485" s="12"/>
      <c r="K2485"/>
    </row>
    <row r="2486" spans="5:11" x14ac:dyDescent="0.2">
      <c r="E2486" s="50"/>
      <c r="H2486" s="12"/>
      <c r="K2486"/>
    </row>
    <row r="2487" spans="5:11" x14ac:dyDescent="0.2">
      <c r="E2487" s="50"/>
      <c r="H2487" s="12"/>
      <c r="K2487"/>
    </row>
    <row r="2488" spans="5:11" x14ac:dyDescent="0.2">
      <c r="E2488" s="50"/>
      <c r="H2488" s="12"/>
      <c r="K2488"/>
    </row>
    <row r="2489" spans="5:11" x14ac:dyDescent="0.2">
      <c r="E2489" s="50"/>
      <c r="H2489" s="12"/>
      <c r="K2489"/>
    </row>
    <row r="2490" spans="5:11" x14ac:dyDescent="0.2">
      <c r="E2490" s="50"/>
      <c r="H2490" s="12"/>
      <c r="K2490"/>
    </row>
    <row r="2491" spans="5:11" x14ac:dyDescent="0.2">
      <c r="E2491" s="50"/>
      <c r="H2491" s="12"/>
      <c r="K2491"/>
    </row>
    <row r="2492" spans="5:11" x14ac:dyDescent="0.2">
      <c r="E2492" s="50"/>
      <c r="H2492" s="12"/>
      <c r="K2492"/>
    </row>
    <row r="2493" spans="5:11" x14ac:dyDescent="0.2">
      <c r="E2493" s="50"/>
      <c r="H2493" s="12"/>
      <c r="K2493"/>
    </row>
    <row r="2494" spans="5:11" x14ac:dyDescent="0.2">
      <c r="E2494" s="50"/>
      <c r="H2494" s="12"/>
      <c r="K2494"/>
    </row>
    <row r="2495" spans="5:11" x14ac:dyDescent="0.2">
      <c r="E2495" s="50"/>
      <c r="H2495" s="12"/>
      <c r="K2495"/>
    </row>
    <row r="2496" spans="5:11" x14ac:dyDescent="0.2">
      <c r="E2496" s="50"/>
      <c r="H2496" s="12"/>
      <c r="K2496"/>
    </row>
    <row r="2497" spans="5:11" x14ac:dyDescent="0.2">
      <c r="E2497" s="50"/>
      <c r="H2497" s="12"/>
      <c r="K2497"/>
    </row>
    <row r="2498" spans="5:11" x14ac:dyDescent="0.2">
      <c r="E2498" s="50"/>
      <c r="H2498" s="12"/>
      <c r="K2498"/>
    </row>
    <row r="2499" spans="5:11" x14ac:dyDescent="0.2">
      <c r="E2499" s="50"/>
      <c r="H2499" s="12"/>
      <c r="K2499"/>
    </row>
    <row r="2500" spans="5:11" x14ac:dyDescent="0.2">
      <c r="E2500" s="50"/>
      <c r="H2500" s="12"/>
      <c r="K2500"/>
    </row>
    <row r="2501" spans="5:11" x14ac:dyDescent="0.2">
      <c r="E2501" s="50"/>
      <c r="H2501" s="12"/>
      <c r="K2501"/>
    </row>
    <row r="2502" spans="5:11" x14ac:dyDescent="0.2">
      <c r="E2502" s="50"/>
      <c r="H2502" s="12"/>
      <c r="K2502"/>
    </row>
    <row r="2503" spans="5:11" x14ac:dyDescent="0.2">
      <c r="E2503" s="50"/>
      <c r="H2503" s="12"/>
      <c r="K2503"/>
    </row>
    <row r="2504" spans="5:11" x14ac:dyDescent="0.2">
      <c r="E2504" s="50"/>
      <c r="H2504" s="12"/>
      <c r="K2504"/>
    </row>
    <row r="2505" spans="5:11" x14ac:dyDescent="0.2">
      <c r="E2505" s="50"/>
      <c r="H2505" s="12"/>
      <c r="K2505"/>
    </row>
    <row r="2506" spans="5:11" x14ac:dyDescent="0.2">
      <c r="E2506" s="50"/>
      <c r="H2506" s="12"/>
      <c r="K2506"/>
    </row>
    <row r="2507" spans="5:11" x14ac:dyDescent="0.2">
      <c r="E2507" s="50"/>
      <c r="H2507" s="12"/>
      <c r="K2507"/>
    </row>
    <row r="2508" spans="5:11" x14ac:dyDescent="0.2">
      <c r="E2508" s="50"/>
      <c r="H2508" s="12"/>
      <c r="K2508"/>
    </row>
    <row r="2509" spans="5:11" x14ac:dyDescent="0.2">
      <c r="E2509" s="50"/>
      <c r="H2509" s="12"/>
      <c r="K2509"/>
    </row>
    <row r="2510" spans="5:11" x14ac:dyDescent="0.2">
      <c r="E2510" s="50"/>
      <c r="H2510" s="12"/>
      <c r="K2510"/>
    </row>
    <row r="2511" spans="5:11" x14ac:dyDescent="0.2">
      <c r="E2511" s="50"/>
      <c r="H2511" s="12"/>
      <c r="K2511"/>
    </row>
    <row r="2512" spans="5:11" x14ac:dyDescent="0.2">
      <c r="E2512" s="50"/>
      <c r="H2512" s="12"/>
      <c r="K2512"/>
    </row>
    <row r="2513" spans="5:11" x14ac:dyDescent="0.2">
      <c r="E2513" s="50"/>
      <c r="H2513" s="12"/>
      <c r="K2513"/>
    </row>
    <row r="2514" spans="5:11" x14ac:dyDescent="0.2">
      <c r="E2514" s="50"/>
      <c r="H2514" s="12"/>
      <c r="K2514"/>
    </row>
    <row r="2515" spans="5:11" x14ac:dyDescent="0.2">
      <c r="E2515" s="50"/>
      <c r="H2515" s="12"/>
      <c r="K2515"/>
    </row>
    <row r="2516" spans="5:11" x14ac:dyDescent="0.2">
      <c r="E2516" s="50"/>
      <c r="H2516" s="12"/>
      <c r="K2516"/>
    </row>
    <row r="2517" spans="5:11" x14ac:dyDescent="0.2">
      <c r="E2517" s="50"/>
      <c r="H2517" s="12"/>
      <c r="K2517"/>
    </row>
    <row r="2518" spans="5:11" x14ac:dyDescent="0.2">
      <c r="E2518" s="50"/>
      <c r="H2518" s="12"/>
      <c r="K2518"/>
    </row>
    <row r="2519" spans="5:11" x14ac:dyDescent="0.2">
      <c r="E2519" s="50"/>
      <c r="H2519" s="12"/>
      <c r="K2519"/>
    </row>
    <row r="2520" spans="5:11" x14ac:dyDescent="0.2">
      <c r="E2520" s="50"/>
      <c r="H2520" s="12"/>
      <c r="K2520"/>
    </row>
    <row r="2521" spans="5:11" x14ac:dyDescent="0.2">
      <c r="E2521" s="50"/>
      <c r="H2521" s="12"/>
      <c r="K2521"/>
    </row>
    <row r="2522" spans="5:11" x14ac:dyDescent="0.2">
      <c r="E2522" s="50"/>
      <c r="H2522" s="12"/>
      <c r="K2522"/>
    </row>
    <row r="2523" spans="5:11" x14ac:dyDescent="0.2">
      <c r="E2523" s="50"/>
      <c r="H2523" s="12"/>
      <c r="K2523"/>
    </row>
    <row r="2524" spans="5:11" x14ac:dyDescent="0.2">
      <c r="E2524" s="50"/>
      <c r="H2524" s="12"/>
      <c r="K2524"/>
    </row>
    <row r="2525" spans="5:11" x14ac:dyDescent="0.2">
      <c r="E2525" s="50"/>
      <c r="H2525" s="12"/>
      <c r="K2525"/>
    </row>
    <row r="2526" spans="5:11" x14ac:dyDescent="0.2">
      <c r="E2526" s="50"/>
      <c r="H2526" s="12"/>
      <c r="K2526"/>
    </row>
    <row r="2527" spans="5:11" x14ac:dyDescent="0.2">
      <c r="E2527" s="50"/>
      <c r="H2527" s="12"/>
      <c r="K2527"/>
    </row>
    <row r="2528" spans="5:11" x14ac:dyDescent="0.2">
      <c r="E2528" s="50"/>
      <c r="H2528" s="12"/>
      <c r="K2528"/>
    </row>
    <row r="2529" spans="5:11" x14ac:dyDescent="0.2">
      <c r="E2529" s="50"/>
      <c r="H2529" s="12"/>
      <c r="K2529"/>
    </row>
    <row r="2530" spans="5:11" x14ac:dyDescent="0.2">
      <c r="E2530" s="50"/>
      <c r="H2530" s="12"/>
      <c r="K2530"/>
    </row>
    <row r="2531" spans="5:11" x14ac:dyDescent="0.2">
      <c r="E2531" s="50"/>
      <c r="H2531" s="12"/>
      <c r="K2531"/>
    </row>
    <row r="2532" spans="5:11" x14ac:dyDescent="0.2">
      <c r="E2532" s="50"/>
      <c r="H2532" s="12"/>
      <c r="K2532"/>
    </row>
    <row r="2533" spans="5:11" x14ac:dyDescent="0.2">
      <c r="E2533" s="50"/>
      <c r="H2533" s="12"/>
      <c r="K2533"/>
    </row>
    <row r="2534" spans="5:11" x14ac:dyDescent="0.2">
      <c r="E2534" s="50"/>
      <c r="H2534" s="12"/>
      <c r="K2534"/>
    </row>
    <row r="2535" spans="5:11" x14ac:dyDescent="0.2">
      <c r="E2535" s="50"/>
      <c r="H2535" s="12"/>
      <c r="K2535"/>
    </row>
    <row r="2536" spans="5:11" x14ac:dyDescent="0.2">
      <c r="E2536" s="50"/>
      <c r="H2536" s="12"/>
      <c r="K2536"/>
    </row>
    <row r="2537" spans="5:11" x14ac:dyDescent="0.2">
      <c r="E2537" s="50"/>
      <c r="H2537" s="12"/>
      <c r="K2537"/>
    </row>
    <row r="2538" spans="5:11" x14ac:dyDescent="0.2">
      <c r="E2538" s="50"/>
      <c r="H2538" s="12"/>
      <c r="K2538"/>
    </row>
    <row r="2539" spans="5:11" x14ac:dyDescent="0.2">
      <c r="E2539" s="50"/>
      <c r="H2539" s="12"/>
      <c r="K2539"/>
    </row>
    <row r="2540" spans="5:11" x14ac:dyDescent="0.2">
      <c r="E2540" s="50"/>
      <c r="H2540" s="12"/>
      <c r="K2540"/>
    </row>
    <row r="2541" spans="5:11" x14ac:dyDescent="0.2">
      <c r="E2541" s="50"/>
      <c r="H2541" s="12"/>
      <c r="K2541"/>
    </row>
    <row r="2542" spans="5:11" x14ac:dyDescent="0.2">
      <c r="E2542" s="50"/>
      <c r="H2542" s="12"/>
      <c r="K2542"/>
    </row>
    <row r="2543" spans="5:11" x14ac:dyDescent="0.2">
      <c r="E2543" s="50"/>
      <c r="H2543" s="12"/>
      <c r="K2543"/>
    </row>
    <row r="2544" spans="5:11" x14ac:dyDescent="0.2">
      <c r="E2544" s="50"/>
      <c r="H2544" s="12"/>
      <c r="K2544"/>
    </row>
    <row r="2545" spans="5:11" x14ac:dyDescent="0.2">
      <c r="E2545" s="50"/>
      <c r="H2545" s="12"/>
      <c r="K2545"/>
    </row>
    <row r="2546" spans="5:11" x14ac:dyDescent="0.2">
      <c r="E2546" s="50"/>
      <c r="H2546" s="12"/>
      <c r="K2546"/>
    </row>
    <row r="2547" spans="5:11" x14ac:dyDescent="0.2">
      <c r="E2547" s="50"/>
      <c r="H2547" s="12"/>
      <c r="K2547"/>
    </row>
    <row r="2548" spans="5:11" x14ac:dyDescent="0.2">
      <c r="E2548" s="50"/>
      <c r="H2548" s="12"/>
      <c r="K2548"/>
    </row>
    <row r="2549" spans="5:11" x14ac:dyDescent="0.2">
      <c r="E2549" s="50"/>
      <c r="H2549" s="12"/>
      <c r="K2549"/>
    </row>
    <row r="2550" spans="5:11" x14ac:dyDescent="0.2">
      <c r="E2550" s="50"/>
      <c r="H2550" s="12"/>
      <c r="K2550"/>
    </row>
    <row r="2551" spans="5:11" x14ac:dyDescent="0.2">
      <c r="E2551" s="50"/>
      <c r="H2551" s="12"/>
      <c r="K2551"/>
    </row>
    <row r="2552" spans="5:11" x14ac:dyDescent="0.2">
      <c r="E2552" s="50"/>
      <c r="H2552" s="12"/>
      <c r="K2552"/>
    </row>
    <row r="2553" spans="5:11" x14ac:dyDescent="0.2">
      <c r="E2553" s="50"/>
      <c r="H2553" s="12"/>
      <c r="K2553"/>
    </row>
    <row r="2554" spans="5:11" x14ac:dyDescent="0.2">
      <c r="E2554" s="50"/>
      <c r="H2554" s="12"/>
      <c r="K2554"/>
    </row>
    <row r="2555" spans="5:11" x14ac:dyDescent="0.2">
      <c r="E2555" s="50"/>
      <c r="H2555" s="12"/>
      <c r="K2555"/>
    </row>
    <row r="2556" spans="5:11" x14ac:dyDescent="0.2">
      <c r="E2556" s="50"/>
      <c r="H2556" s="12"/>
      <c r="K2556"/>
    </row>
    <row r="2557" spans="5:11" x14ac:dyDescent="0.2">
      <c r="E2557" s="50"/>
      <c r="H2557" s="12"/>
      <c r="K2557"/>
    </row>
    <row r="2558" spans="5:11" x14ac:dyDescent="0.2">
      <c r="E2558" s="50"/>
      <c r="H2558" s="12"/>
      <c r="K2558"/>
    </row>
    <row r="2559" spans="5:11" x14ac:dyDescent="0.2">
      <c r="E2559" s="50"/>
      <c r="H2559" s="12"/>
      <c r="K2559"/>
    </row>
    <row r="2560" spans="5:11" x14ac:dyDescent="0.2">
      <c r="E2560" s="50"/>
      <c r="H2560" s="12"/>
      <c r="K2560"/>
    </row>
    <row r="2561" spans="5:11" x14ac:dyDescent="0.2">
      <c r="E2561" s="50"/>
      <c r="H2561" s="12"/>
      <c r="K2561"/>
    </row>
    <row r="2562" spans="5:11" x14ac:dyDescent="0.2">
      <c r="E2562" s="50"/>
      <c r="H2562" s="12"/>
      <c r="K2562"/>
    </row>
    <row r="2563" spans="5:11" x14ac:dyDescent="0.2">
      <c r="E2563" s="50"/>
      <c r="H2563" s="12"/>
      <c r="K2563"/>
    </row>
    <row r="2564" spans="5:11" x14ac:dyDescent="0.2">
      <c r="E2564" s="50"/>
      <c r="H2564" s="12"/>
      <c r="K2564"/>
    </row>
    <row r="2565" spans="5:11" x14ac:dyDescent="0.2">
      <c r="E2565" s="50"/>
      <c r="H2565" s="12"/>
      <c r="K2565"/>
    </row>
    <row r="2566" spans="5:11" x14ac:dyDescent="0.2">
      <c r="E2566" s="50"/>
      <c r="H2566" s="12"/>
      <c r="K2566"/>
    </row>
    <row r="2567" spans="5:11" x14ac:dyDescent="0.2">
      <c r="E2567" s="50"/>
      <c r="H2567" s="12"/>
      <c r="K2567"/>
    </row>
    <row r="2568" spans="5:11" x14ac:dyDescent="0.2">
      <c r="E2568" s="50"/>
      <c r="H2568" s="12"/>
      <c r="K2568"/>
    </row>
    <row r="2569" spans="5:11" x14ac:dyDescent="0.2">
      <c r="E2569" s="50"/>
      <c r="H2569" s="12"/>
      <c r="K2569"/>
    </row>
    <row r="2570" spans="5:11" x14ac:dyDescent="0.2">
      <c r="E2570" s="50"/>
      <c r="H2570" s="12"/>
      <c r="K2570"/>
    </row>
    <row r="2571" spans="5:11" x14ac:dyDescent="0.2">
      <c r="E2571" s="50"/>
      <c r="H2571" s="12"/>
      <c r="K2571"/>
    </row>
    <row r="2572" spans="5:11" x14ac:dyDescent="0.2">
      <c r="E2572" s="50"/>
      <c r="H2572" s="12"/>
      <c r="K2572"/>
    </row>
    <row r="2573" spans="5:11" x14ac:dyDescent="0.2">
      <c r="E2573" s="50"/>
      <c r="H2573" s="12"/>
      <c r="K2573"/>
    </row>
    <row r="2574" spans="5:11" x14ac:dyDescent="0.2">
      <c r="E2574" s="50"/>
      <c r="H2574" s="12"/>
      <c r="K2574"/>
    </row>
    <row r="2575" spans="5:11" x14ac:dyDescent="0.2">
      <c r="E2575" s="50"/>
      <c r="H2575" s="12"/>
      <c r="K2575"/>
    </row>
    <row r="2576" spans="5:11" x14ac:dyDescent="0.2">
      <c r="E2576" s="50"/>
      <c r="H2576" s="12"/>
      <c r="K2576"/>
    </row>
    <row r="2577" spans="5:11" x14ac:dyDescent="0.2">
      <c r="E2577" s="50"/>
      <c r="H2577" s="12"/>
      <c r="K2577"/>
    </row>
    <row r="2578" spans="5:11" x14ac:dyDescent="0.2">
      <c r="E2578" s="50"/>
      <c r="H2578" s="12"/>
      <c r="K2578"/>
    </row>
    <row r="2579" spans="5:11" x14ac:dyDescent="0.2">
      <c r="E2579" s="50"/>
      <c r="H2579" s="12"/>
      <c r="K2579"/>
    </row>
    <row r="2580" spans="5:11" x14ac:dyDescent="0.2">
      <c r="E2580" s="50"/>
      <c r="H2580" s="12"/>
      <c r="K2580"/>
    </row>
    <row r="2581" spans="5:11" x14ac:dyDescent="0.2">
      <c r="E2581" s="50"/>
      <c r="H2581" s="12"/>
      <c r="K2581"/>
    </row>
    <row r="2582" spans="5:11" x14ac:dyDescent="0.2">
      <c r="E2582" s="50"/>
      <c r="H2582" s="12"/>
      <c r="K2582"/>
    </row>
    <row r="2583" spans="5:11" x14ac:dyDescent="0.2">
      <c r="E2583" s="50"/>
      <c r="H2583" s="12"/>
      <c r="K2583"/>
    </row>
    <row r="2584" spans="5:11" x14ac:dyDescent="0.2">
      <c r="E2584" s="50"/>
      <c r="H2584" s="12"/>
      <c r="K2584"/>
    </row>
    <row r="2585" spans="5:11" x14ac:dyDescent="0.2">
      <c r="E2585" s="50"/>
      <c r="H2585" s="12"/>
      <c r="K2585"/>
    </row>
    <row r="2586" spans="5:11" x14ac:dyDescent="0.2">
      <c r="E2586" s="50"/>
      <c r="H2586" s="12"/>
      <c r="K2586"/>
    </row>
    <row r="2587" spans="5:11" x14ac:dyDescent="0.2">
      <c r="E2587" s="50"/>
      <c r="H2587" s="12"/>
      <c r="K2587"/>
    </row>
    <row r="2588" spans="5:11" x14ac:dyDescent="0.2">
      <c r="E2588" s="50"/>
      <c r="H2588" s="12"/>
      <c r="K2588"/>
    </row>
    <row r="2589" spans="5:11" x14ac:dyDescent="0.2">
      <c r="E2589" s="50"/>
      <c r="H2589" s="12"/>
      <c r="K2589"/>
    </row>
    <row r="2590" spans="5:11" x14ac:dyDescent="0.2">
      <c r="E2590" s="50"/>
      <c r="H2590" s="12"/>
      <c r="K2590"/>
    </row>
    <row r="2591" spans="5:11" x14ac:dyDescent="0.2">
      <c r="E2591" s="50"/>
      <c r="H2591" s="12"/>
      <c r="K2591"/>
    </row>
    <row r="2592" spans="5:11" x14ac:dyDescent="0.2">
      <c r="E2592" s="50"/>
      <c r="H2592" s="12"/>
      <c r="K2592"/>
    </row>
    <row r="2593" spans="5:11" x14ac:dyDescent="0.2">
      <c r="E2593" s="50"/>
      <c r="H2593" s="12"/>
      <c r="K2593"/>
    </row>
    <row r="2594" spans="5:11" x14ac:dyDescent="0.2">
      <c r="E2594" s="50"/>
      <c r="H2594" s="12"/>
      <c r="K2594"/>
    </row>
    <row r="2595" spans="5:11" x14ac:dyDescent="0.2">
      <c r="E2595" s="50"/>
      <c r="H2595" s="12"/>
      <c r="K2595"/>
    </row>
    <row r="2596" spans="5:11" x14ac:dyDescent="0.2">
      <c r="E2596" s="50"/>
      <c r="H2596" s="12"/>
      <c r="K2596"/>
    </row>
    <row r="2597" spans="5:11" x14ac:dyDescent="0.2">
      <c r="E2597" s="50"/>
      <c r="H2597" s="12"/>
      <c r="K2597"/>
    </row>
    <row r="2598" spans="5:11" x14ac:dyDescent="0.2">
      <c r="E2598" s="50"/>
      <c r="H2598" s="12"/>
      <c r="K2598"/>
    </row>
    <row r="2599" spans="5:11" x14ac:dyDescent="0.2">
      <c r="E2599" s="50"/>
      <c r="H2599" s="12"/>
      <c r="K2599"/>
    </row>
    <row r="2600" spans="5:11" x14ac:dyDescent="0.2">
      <c r="E2600" s="50"/>
      <c r="H2600" s="12"/>
      <c r="K2600"/>
    </row>
    <row r="2601" spans="5:11" x14ac:dyDescent="0.2">
      <c r="E2601" s="50"/>
      <c r="H2601" s="12"/>
      <c r="K2601"/>
    </row>
    <row r="2602" spans="5:11" x14ac:dyDescent="0.2">
      <c r="E2602" s="50"/>
      <c r="H2602" s="12"/>
      <c r="K2602"/>
    </row>
    <row r="2603" spans="5:11" x14ac:dyDescent="0.2">
      <c r="E2603" s="50"/>
      <c r="H2603" s="12"/>
      <c r="K2603"/>
    </row>
    <row r="2604" spans="5:11" x14ac:dyDescent="0.2">
      <c r="E2604" s="50"/>
      <c r="H2604" s="12"/>
      <c r="K2604"/>
    </row>
    <row r="2605" spans="5:11" x14ac:dyDescent="0.2">
      <c r="E2605" s="50"/>
      <c r="H2605" s="12"/>
      <c r="K2605"/>
    </row>
    <row r="2606" spans="5:11" x14ac:dyDescent="0.2">
      <c r="E2606" s="50"/>
      <c r="H2606" s="12"/>
      <c r="K2606"/>
    </row>
    <row r="2607" spans="5:11" x14ac:dyDescent="0.2">
      <c r="E2607" s="50"/>
      <c r="H2607" s="12"/>
      <c r="K2607"/>
    </row>
    <row r="2608" spans="5:11" x14ac:dyDescent="0.2">
      <c r="E2608" s="50"/>
      <c r="H2608" s="12"/>
      <c r="K2608"/>
    </row>
    <row r="2609" spans="5:11" x14ac:dyDescent="0.2">
      <c r="E2609" s="50"/>
      <c r="H2609" s="12"/>
      <c r="K2609"/>
    </row>
    <row r="2610" spans="5:11" x14ac:dyDescent="0.2">
      <c r="E2610" s="50"/>
      <c r="H2610" s="12"/>
      <c r="K2610"/>
    </row>
    <row r="2611" spans="5:11" x14ac:dyDescent="0.2">
      <c r="E2611" s="50"/>
      <c r="H2611" s="12"/>
      <c r="K2611"/>
    </row>
    <row r="2612" spans="5:11" x14ac:dyDescent="0.2">
      <c r="E2612" s="50"/>
      <c r="H2612" s="12"/>
      <c r="K2612"/>
    </row>
    <row r="2613" spans="5:11" x14ac:dyDescent="0.2">
      <c r="E2613" s="50"/>
      <c r="H2613" s="12"/>
      <c r="K2613"/>
    </row>
    <row r="2614" spans="5:11" x14ac:dyDescent="0.2">
      <c r="E2614" s="50"/>
      <c r="H2614" s="12"/>
      <c r="K2614"/>
    </row>
    <row r="2615" spans="5:11" x14ac:dyDescent="0.2">
      <c r="E2615" s="50"/>
      <c r="H2615" s="12"/>
      <c r="K2615"/>
    </row>
    <row r="2616" spans="5:11" x14ac:dyDescent="0.2">
      <c r="E2616" s="50"/>
      <c r="H2616" s="12"/>
      <c r="K2616"/>
    </row>
    <row r="2617" spans="5:11" x14ac:dyDescent="0.2">
      <c r="E2617" s="50"/>
      <c r="H2617" s="12"/>
      <c r="K2617"/>
    </row>
    <row r="2618" spans="5:11" x14ac:dyDescent="0.2">
      <c r="E2618" s="50"/>
      <c r="H2618" s="12"/>
      <c r="K2618"/>
    </row>
    <row r="2619" spans="5:11" x14ac:dyDescent="0.2">
      <c r="E2619" s="50"/>
      <c r="H2619" s="12"/>
      <c r="K2619"/>
    </row>
    <row r="2620" spans="5:11" x14ac:dyDescent="0.2">
      <c r="E2620" s="50"/>
      <c r="H2620" s="12"/>
      <c r="K2620"/>
    </row>
    <row r="2621" spans="5:11" x14ac:dyDescent="0.2">
      <c r="E2621" s="50"/>
      <c r="H2621" s="12"/>
      <c r="K2621"/>
    </row>
    <row r="2622" spans="5:11" x14ac:dyDescent="0.2">
      <c r="E2622" s="50"/>
      <c r="H2622" s="12"/>
      <c r="K2622"/>
    </row>
    <row r="2623" spans="5:11" x14ac:dyDescent="0.2">
      <c r="E2623" s="50"/>
      <c r="H2623" s="12"/>
      <c r="K2623"/>
    </row>
    <row r="2624" spans="5:11" x14ac:dyDescent="0.2">
      <c r="E2624" s="50"/>
      <c r="H2624" s="12"/>
      <c r="K2624"/>
    </row>
    <row r="2625" spans="5:11" x14ac:dyDescent="0.2">
      <c r="E2625" s="50"/>
      <c r="H2625" s="12"/>
      <c r="K2625"/>
    </row>
    <row r="2626" spans="5:11" x14ac:dyDescent="0.2">
      <c r="E2626" s="50"/>
      <c r="H2626" s="12"/>
      <c r="K2626"/>
    </row>
    <row r="2627" spans="5:11" x14ac:dyDescent="0.2">
      <c r="E2627" s="50"/>
      <c r="H2627" s="12"/>
      <c r="K2627"/>
    </row>
    <row r="2628" spans="5:11" x14ac:dyDescent="0.2">
      <c r="E2628" s="50"/>
      <c r="H2628" s="12"/>
      <c r="K2628"/>
    </row>
    <row r="2629" spans="5:11" x14ac:dyDescent="0.2">
      <c r="E2629" s="50"/>
      <c r="H2629" s="12"/>
      <c r="K2629"/>
    </row>
    <row r="2630" spans="5:11" x14ac:dyDescent="0.2">
      <c r="E2630" s="50"/>
      <c r="H2630" s="12"/>
      <c r="K2630"/>
    </row>
    <row r="2631" spans="5:11" x14ac:dyDescent="0.2">
      <c r="E2631" s="50"/>
      <c r="H2631" s="12"/>
      <c r="K2631"/>
    </row>
    <row r="2632" spans="5:11" x14ac:dyDescent="0.2">
      <c r="E2632" s="50"/>
      <c r="H2632" s="12"/>
      <c r="K2632"/>
    </row>
    <row r="2633" spans="5:11" x14ac:dyDescent="0.2">
      <c r="E2633" s="50"/>
      <c r="H2633" s="12"/>
      <c r="K2633"/>
    </row>
    <row r="2634" spans="5:11" x14ac:dyDescent="0.2">
      <c r="E2634" s="50"/>
      <c r="H2634" s="12"/>
      <c r="K2634"/>
    </row>
    <row r="2635" spans="5:11" x14ac:dyDescent="0.2">
      <c r="E2635" s="50"/>
      <c r="H2635" s="12"/>
      <c r="K2635"/>
    </row>
    <row r="2636" spans="5:11" x14ac:dyDescent="0.2">
      <c r="E2636" s="50"/>
      <c r="H2636" s="12"/>
      <c r="K2636"/>
    </row>
    <row r="2637" spans="5:11" x14ac:dyDescent="0.2">
      <c r="E2637" s="50"/>
      <c r="H2637" s="12"/>
      <c r="K2637"/>
    </row>
    <row r="2638" spans="5:11" x14ac:dyDescent="0.2">
      <c r="E2638" s="50"/>
      <c r="H2638" s="12"/>
      <c r="K2638"/>
    </row>
    <row r="2639" spans="5:11" x14ac:dyDescent="0.2">
      <c r="E2639" s="50"/>
      <c r="H2639" s="12"/>
      <c r="K2639"/>
    </row>
    <row r="2640" spans="5:11" x14ac:dyDescent="0.2">
      <c r="E2640" s="50"/>
      <c r="H2640" s="12"/>
      <c r="K2640"/>
    </row>
    <row r="2641" spans="5:11" x14ac:dyDescent="0.2">
      <c r="E2641" s="50"/>
      <c r="H2641" s="12"/>
      <c r="K2641"/>
    </row>
    <row r="2642" spans="5:11" x14ac:dyDescent="0.2">
      <c r="E2642" s="50"/>
      <c r="H2642" s="12"/>
      <c r="K2642"/>
    </row>
    <row r="2643" spans="5:11" x14ac:dyDescent="0.2">
      <c r="E2643" s="50"/>
      <c r="H2643" s="12"/>
      <c r="K2643"/>
    </row>
    <row r="2644" spans="5:11" x14ac:dyDescent="0.2">
      <c r="E2644" s="50"/>
      <c r="H2644" s="12"/>
      <c r="K2644"/>
    </row>
    <row r="2645" spans="5:11" x14ac:dyDescent="0.2">
      <c r="E2645" s="50"/>
      <c r="H2645" s="12"/>
      <c r="K2645"/>
    </row>
    <row r="2646" spans="5:11" x14ac:dyDescent="0.2">
      <c r="E2646" s="50"/>
      <c r="H2646" s="12"/>
      <c r="K2646"/>
    </row>
    <row r="2647" spans="5:11" x14ac:dyDescent="0.2">
      <c r="E2647" s="50"/>
      <c r="H2647" s="12"/>
      <c r="K2647"/>
    </row>
    <row r="2648" spans="5:11" x14ac:dyDescent="0.2">
      <c r="E2648" s="50"/>
      <c r="H2648" s="12"/>
      <c r="K2648"/>
    </row>
    <row r="2649" spans="5:11" x14ac:dyDescent="0.2">
      <c r="E2649" s="50"/>
      <c r="H2649" s="12"/>
      <c r="K2649"/>
    </row>
    <row r="2650" spans="5:11" x14ac:dyDescent="0.2">
      <c r="E2650" s="50"/>
      <c r="H2650" s="12"/>
      <c r="K2650"/>
    </row>
    <row r="2651" spans="5:11" x14ac:dyDescent="0.2">
      <c r="E2651" s="50"/>
      <c r="H2651" s="12"/>
      <c r="K2651"/>
    </row>
    <row r="2652" spans="5:11" x14ac:dyDescent="0.2">
      <c r="E2652" s="50"/>
      <c r="H2652" s="12"/>
      <c r="K2652"/>
    </row>
    <row r="2653" spans="5:11" x14ac:dyDescent="0.2">
      <c r="E2653" s="50"/>
      <c r="H2653" s="12"/>
      <c r="K2653"/>
    </row>
    <row r="2654" spans="5:11" x14ac:dyDescent="0.2">
      <c r="E2654" s="50"/>
      <c r="H2654" s="12"/>
      <c r="K2654"/>
    </row>
    <row r="2655" spans="5:11" x14ac:dyDescent="0.2">
      <c r="E2655" s="50"/>
      <c r="H2655" s="12"/>
      <c r="K2655"/>
    </row>
    <row r="2656" spans="5:11" x14ac:dyDescent="0.2">
      <c r="E2656" s="50"/>
      <c r="H2656" s="12"/>
      <c r="K2656"/>
    </row>
    <row r="2657" spans="5:11" x14ac:dyDescent="0.2">
      <c r="E2657" s="50"/>
      <c r="H2657" s="12"/>
      <c r="K2657"/>
    </row>
    <row r="2658" spans="5:11" x14ac:dyDescent="0.2">
      <c r="E2658" s="50"/>
      <c r="H2658" s="12"/>
      <c r="K2658"/>
    </row>
    <row r="2659" spans="5:11" x14ac:dyDescent="0.2">
      <c r="E2659" s="50"/>
      <c r="H2659" s="12"/>
      <c r="K2659"/>
    </row>
    <row r="2660" spans="5:11" x14ac:dyDescent="0.2">
      <c r="E2660" s="50"/>
      <c r="H2660" s="12"/>
      <c r="K2660"/>
    </row>
    <row r="2661" spans="5:11" x14ac:dyDescent="0.2">
      <c r="E2661" s="50"/>
      <c r="H2661" s="12"/>
      <c r="K2661"/>
    </row>
    <row r="2662" spans="5:11" x14ac:dyDescent="0.2">
      <c r="E2662" s="50"/>
      <c r="H2662" s="12"/>
      <c r="K2662"/>
    </row>
    <row r="2663" spans="5:11" x14ac:dyDescent="0.2">
      <c r="E2663" s="50"/>
      <c r="H2663" s="12"/>
      <c r="K2663"/>
    </row>
    <row r="2664" spans="5:11" x14ac:dyDescent="0.2">
      <c r="E2664" s="50"/>
      <c r="H2664" s="12"/>
      <c r="K2664"/>
    </row>
    <row r="2665" spans="5:11" x14ac:dyDescent="0.2">
      <c r="E2665" s="50"/>
      <c r="H2665" s="12"/>
      <c r="K2665"/>
    </row>
    <row r="2666" spans="5:11" x14ac:dyDescent="0.2">
      <c r="E2666" s="50"/>
      <c r="H2666" s="12"/>
      <c r="K2666"/>
    </row>
    <row r="2667" spans="5:11" x14ac:dyDescent="0.2">
      <c r="E2667" s="50"/>
      <c r="H2667" s="12"/>
      <c r="K2667"/>
    </row>
    <row r="2668" spans="5:11" x14ac:dyDescent="0.2">
      <c r="E2668" s="50"/>
      <c r="H2668" s="12"/>
      <c r="K2668"/>
    </row>
    <row r="2669" spans="5:11" x14ac:dyDescent="0.2">
      <c r="E2669" s="50"/>
      <c r="H2669" s="12"/>
      <c r="K2669"/>
    </row>
    <row r="2670" spans="5:11" x14ac:dyDescent="0.2">
      <c r="E2670" s="50"/>
      <c r="H2670" s="12"/>
      <c r="K2670"/>
    </row>
    <row r="2671" spans="5:11" x14ac:dyDescent="0.2">
      <c r="E2671" s="50"/>
      <c r="H2671" s="12"/>
      <c r="K2671"/>
    </row>
    <row r="2672" spans="5:11" x14ac:dyDescent="0.2">
      <c r="E2672" s="50"/>
      <c r="H2672" s="12"/>
      <c r="K2672"/>
    </row>
    <row r="2673" spans="5:11" x14ac:dyDescent="0.2">
      <c r="E2673" s="50"/>
      <c r="H2673" s="12"/>
      <c r="K2673"/>
    </row>
    <row r="2674" spans="5:11" x14ac:dyDescent="0.2">
      <c r="E2674" s="50"/>
      <c r="H2674" s="12"/>
      <c r="K2674"/>
    </row>
    <row r="2675" spans="5:11" x14ac:dyDescent="0.2">
      <c r="E2675" s="50"/>
      <c r="H2675" s="12"/>
      <c r="K2675"/>
    </row>
    <row r="2676" spans="5:11" x14ac:dyDescent="0.2">
      <c r="E2676" s="50"/>
      <c r="H2676" s="12"/>
      <c r="K2676"/>
    </row>
    <row r="2677" spans="5:11" x14ac:dyDescent="0.2">
      <c r="E2677" s="50"/>
      <c r="H2677" s="12"/>
      <c r="K2677"/>
    </row>
    <row r="2678" spans="5:11" x14ac:dyDescent="0.2">
      <c r="E2678" s="50"/>
      <c r="H2678" s="12"/>
      <c r="K2678"/>
    </row>
    <row r="2679" spans="5:11" x14ac:dyDescent="0.2">
      <c r="E2679" s="50"/>
      <c r="H2679" s="12"/>
      <c r="K2679"/>
    </row>
    <row r="2680" spans="5:11" x14ac:dyDescent="0.2">
      <c r="E2680" s="50"/>
      <c r="H2680" s="12"/>
      <c r="K2680"/>
    </row>
    <row r="2681" spans="5:11" x14ac:dyDescent="0.2">
      <c r="E2681" s="50"/>
      <c r="H2681" s="12"/>
      <c r="K2681"/>
    </row>
    <row r="2682" spans="5:11" x14ac:dyDescent="0.2">
      <c r="E2682" s="50"/>
      <c r="H2682" s="12"/>
      <c r="K2682"/>
    </row>
    <row r="2683" spans="5:11" x14ac:dyDescent="0.2">
      <c r="E2683" s="50"/>
      <c r="H2683" s="12"/>
      <c r="K2683"/>
    </row>
    <row r="2684" spans="5:11" x14ac:dyDescent="0.2">
      <c r="E2684" s="50"/>
      <c r="H2684" s="12"/>
      <c r="K2684"/>
    </row>
    <row r="2685" spans="5:11" x14ac:dyDescent="0.2">
      <c r="E2685" s="50"/>
      <c r="H2685" s="12"/>
      <c r="K2685"/>
    </row>
    <row r="2686" spans="5:11" x14ac:dyDescent="0.2">
      <c r="E2686" s="50"/>
      <c r="H2686" s="12"/>
      <c r="K2686"/>
    </row>
    <row r="2687" spans="5:11" x14ac:dyDescent="0.2">
      <c r="E2687" s="50"/>
      <c r="H2687" s="12"/>
      <c r="K2687"/>
    </row>
    <row r="2688" spans="5:11" x14ac:dyDescent="0.2">
      <c r="E2688" s="50"/>
      <c r="H2688" s="12"/>
      <c r="K2688"/>
    </row>
    <row r="2689" spans="5:11" x14ac:dyDescent="0.2">
      <c r="E2689" s="50"/>
      <c r="H2689" s="12"/>
      <c r="K2689"/>
    </row>
    <row r="2690" spans="5:11" x14ac:dyDescent="0.2">
      <c r="E2690" s="50"/>
      <c r="H2690" s="12"/>
      <c r="K2690"/>
    </row>
    <row r="2691" spans="5:11" x14ac:dyDescent="0.2">
      <c r="E2691" s="50"/>
      <c r="H2691" s="12"/>
      <c r="K2691"/>
    </row>
    <row r="2692" spans="5:11" x14ac:dyDescent="0.2">
      <c r="E2692" s="50"/>
      <c r="H2692" s="12"/>
      <c r="K2692"/>
    </row>
    <row r="2693" spans="5:11" x14ac:dyDescent="0.2">
      <c r="E2693" s="50"/>
      <c r="H2693" s="12"/>
      <c r="K2693"/>
    </row>
    <row r="2694" spans="5:11" x14ac:dyDescent="0.2">
      <c r="E2694" s="50"/>
      <c r="H2694" s="12"/>
      <c r="K2694"/>
    </row>
    <row r="2695" spans="5:11" x14ac:dyDescent="0.2">
      <c r="E2695" s="50"/>
      <c r="H2695" s="12"/>
      <c r="K2695"/>
    </row>
    <row r="2696" spans="5:11" x14ac:dyDescent="0.2">
      <c r="E2696" s="50"/>
      <c r="H2696" s="12"/>
      <c r="K2696"/>
    </row>
    <row r="2697" spans="5:11" x14ac:dyDescent="0.2">
      <c r="E2697" s="50"/>
      <c r="H2697" s="12"/>
      <c r="K2697"/>
    </row>
    <row r="2698" spans="5:11" x14ac:dyDescent="0.2">
      <c r="E2698" s="50"/>
      <c r="H2698" s="12"/>
      <c r="K2698"/>
    </row>
    <row r="2699" spans="5:11" x14ac:dyDescent="0.2">
      <c r="E2699" s="50"/>
      <c r="H2699" s="12"/>
      <c r="K2699"/>
    </row>
    <row r="2700" spans="5:11" x14ac:dyDescent="0.2">
      <c r="E2700" s="50"/>
      <c r="H2700" s="12"/>
      <c r="K2700"/>
    </row>
    <row r="2701" spans="5:11" x14ac:dyDescent="0.2">
      <c r="E2701" s="50"/>
      <c r="H2701" s="12"/>
      <c r="K2701"/>
    </row>
    <row r="2702" spans="5:11" x14ac:dyDescent="0.2">
      <c r="E2702" s="50"/>
      <c r="H2702" s="12"/>
      <c r="K2702"/>
    </row>
    <row r="2703" spans="5:11" x14ac:dyDescent="0.2">
      <c r="E2703" s="50"/>
      <c r="H2703" s="12"/>
      <c r="K2703"/>
    </row>
    <row r="2704" spans="5:11" x14ac:dyDescent="0.2">
      <c r="E2704" s="50"/>
      <c r="H2704" s="12"/>
      <c r="K2704"/>
    </row>
    <row r="2705" spans="5:11" x14ac:dyDescent="0.2">
      <c r="E2705" s="50"/>
      <c r="H2705" s="12"/>
      <c r="K2705"/>
    </row>
    <row r="2706" spans="5:11" x14ac:dyDescent="0.2">
      <c r="E2706" s="50"/>
      <c r="H2706" s="12"/>
      <c r="K2706"/>
    </row>
    <row r="2707" spans="5:11" x14ac:dyDescent="0.2">
      <c r="E2707" s="50"/>
      <c r="H2707" s="12"/>
      <c r="K2707"/>
    </row>
    <row r="2708" spans="5:11" x14ac:dyDescent="0.2">
      <c r="E2708" s="50"/>
      <c r="H2708" s="12"/>
      <c r="K2708"/>
    </row>
    <row r="2709" spans="5:11" x14ac:dyDescent="0.2">
      <c r="E2709" s="50"/>
      <c r="H2709" s="12"/>
      <c r="K2709"/>
    </row>
    <row r="2710" spans="5:11" x14ac:dyDescent="0.2">
      <c r="E2710" s="50"/>
      <c r="H2710" s="12"/>
      <c r="K2710"/>
    </row>
    <row r="2711" spans="5:11" x14ac:dyDescent="0.2">
      <c r="E2711" s="50"/>
      <c r="H2711" s="12"/>
      <c r="K2711"/>
    </row>
    <row r="2712" spans="5:11" x14ac:dyDescent="0.2">
      <c r="E2712" s="50"/>
      <c r="H2712" s="12"/>
      <c r="K2712"/>
    </row>
    <row r="2713" spans="5:11" x14ac:dyDescent="0.2">
      <c r="E2713" s="50"/>
      <c r="H2713" s="12"/>
      <c r="K2713"/>
    </row>
    <row r="2714" spans="5:11" x14ac:dyDescent="0.2">
      <c r="E2714" s="50"/>
      <c r="H2714" s="12"/>
      <c r="K2714"/>
    </row>
    <row r="2715" spans="5:11" x14ac:dyDescent="0.2">
      <c r="E2715" s="50"/>
      <c r="H2715" s="12"/>
      <c r="K2715"/>
    </row>
    <row r="2716" spans="5:11" x14ac:dyDescent="0.2">
      <c r="E2716" s="50"/>
      <c r="H2716" s="12"/>
      <c r="K2716"/>
    </row>
    <row r="2717" spans="5:11" x14ac:dyDescent="0.2">
      <c r="E2717" s="50"/>
      <c r="H2717" s="12"/>
      <c r="K2717"/>
    </row>
    <row r="2718" spans="5:11" x14ac:dyDescent="0.2">
      <c r="E2718" s="50"/>
      <c r="H2718" s="12"/>
      <c r="K2718"/>
    </row>
    <row r="2719" spans="5:11" x14ac:dyDescent="0.2">
      <c r="E2719" s="50"/>
      <c r="H2719" s="12"/>
      <c r="K2719"/>
    </row>
    <row r="2720" spans="5:11" x14ac:dyDescent="0.2">
      <c r="E2720" s="50"/>
      <c r="H2720" s="12"/>
      <c r="K2720"/>
    </row>
    <row r="2721" spans="5:11" x14ac:dyDescent="0.2">
      <c r="E2721" s="50"/>
      <c r="H2721" s="12"/>
      <c r="K2721"/>
    </row>
    <row r="2722" spans="5:11" x14ac:dyDescent="0.2">
      <c r="E2722" s="50"/>
      <c r="H2722" s="12"/>
      <c r="K2722"/>
    </row>
    <row r="2723" spans="5:11" x14ac:dyDescent="0.2">
      <c r="E2723" s="50"/>
      <c r="H2723" s="12"/>
      <c r="K2723"/>
    </row>
    <row r="2724" spans="5:11" x14ac:dyDescent="0.2">
      <c r="E2724" s="50"/>
      <c r="H2724" s="12"/>
      <c r="K2724"/>
    </row>
    <row r="2725" spans="5:11" x14ac:dyDescent="0.2">
      <c r="E2725" s="50"/>
      <c r="H2725" s="12"/>
      <c r="K2725"/>
    </row>
    <row r="2726" spans="5:11" x14ac:dyDescent="0.2">
      <c r="E2726" s="50"/>
      <c r="H2726" s="12"/>
      <c r="K2726"/>
    </row>
    <row r="2727" spans="5:11" x14ac:dyDescent="0.2">
      <c r="E2727" s="50"/>
      <c r="H2727" s="12"/>
      <c r="K2727"/>
    </row>
    <row r="2728" spans="5:11" x14ac:dyDescent="0.2">
      <c r="E2728" s="50"/>
      <c r="H2728" s="12"/>
      <c r="K2728"/>
    </row>
    <row r="2729" spans="5:11" x14ac:dyDescent="0.2">
      <c r="E2729" s="50"/>
      <c r="H2729" s="12"/>
      <c r="K2729"/>
    </row>
    <row r="2730" spans="5:11" x14ac:dyDescent="0.2">
      <c r="E2730" s="50"/>
      <c r="H2730" s="12"/>
      <c r="K2730"/>
    </row>
    <row r="2731" spans="5:11" x14ac:dyDescent="0.2">
      <c r="E2731" s="50"/>
      <c r="H2731" s="12"/>
      <c r="K2731"/>
    </row>
    <row r="2732" spans="5:11" x14ac:dyDescent="0.2">
      <c r="E2732" s="50"/>
      <c r="H2732" s="12"/>
      <c r="K2732"/>
    </row>
    <row r="2733" spans="5:11" x14ac:dyDescent="0.2">
      <c r="E2733" s="50"/>
      <c r="H2733" s="12"/>
      <c r="K2733"/>
    </row>
    <row r="2734" spans="5:11" x14ac:dyDescent="0.2">
      <c r="E2734" s="50"/>
      <c r="H2734" s="12"/>
      <c r="K2734"/>
    </row>
    <row r="2735" spans="5:11" x14ac:dyDescent="0.2">
      <c r="E2735" s="50"/>
      <c r="H2735" s="12"/>
      <c r="K2735"/>
    </row>
    <row r="2736" spans="5:11" x14ac:dyDescent="0.2">
      <c r="E2736" s="50"/>
      <c r="H2736" s="12"/>
      <c r="K2736"/>
    </row>
    <row r="2737" spans="5:11" x14ac:dyDescent="0.2">
      <c r="E2737" s="50"/>
      <c r="H2737" s="12"/>
      <c r="K2737"/>
    </row>
    <row r="2738" spans="5:11" x14ac:dyDescent="0.2">
      <c r="E2738" s="50"/>
      <c r="H2738" s="12"/>
      <c r="K2738"/>
    </row>
    <row r="2739" spans="5:11" x14ac:dyDescent="0.2">
      <c r="E2739" s="50"/>
      <c r="H2739" s="12"/>
      <c r="K2739"/>
    </row>
    <row r="2740" spans="5:11" x14ac:dyDescent="0.2">
      <c r="E2740" s="50"/>
      <c r="H2740" s="12"/>
      <c r="K2740"/>
    </row>
    <row r="2741" spans="5:11" x14ac:dyDescent="0.2">
      <c r="E2741" s="50"/>
      <c r="H2741" s="12"/>
      <c r="K2741"/>
    </row>
    <row r="2742" spans="5:11" x14ac:dyDescent="0.2">
      <c r="E2742" s="50"/>
      <c r="H2742" s="12"/>
      <c r="K2742"/>
    </row>
    <row r="2743" spans="5:11" x14ac:dyDescent="0.2">
      <c r="E2743" s="50"/>
      <c r="H2743" s="12"/>
      <c r="K2743"/>
    </row>
    <row r="2744" spans="5:11" x14ac:dyDescent="0.2">
      <c r="E2744" s="50"/>
      <c r="H2744" s="12"/>
      <c r="K2744"/>
    </row>
    <row r="2745" spans="5:11" x14ac:dyDescent="0.2">
      <c r="E2745" s="50"/>
      <c r="H2745" s="12"/>
      <c r="K2745"/>
    </row>
    <row r="2746" spans="5:11" x14ac:dyDescent="0.2">
      <c r="E2746" s="50"/>
      <c r="H2746" s="12"/>
      <c r="K2746"/>
    </row>
    <row r="2747" spans="5:11" x14ac:dyDescent="0.2">
      <c r="E2747" s="50"/>
      <c r="H2747" s="12"/>
      <c r="K2747"/>
    </row>
    <row r="2748" spans="5:11" x14ac:dyDescent="0.2">
      <c r="E2748" s="50"/>
      <c r="H2748" s="12"/>
      <c r="K2748"/>
    </row>
    <row r="2749" spans="5:11" x14ac:dyDescent="0.2">
      <c r="E2749" s="50"/>
      <c r="H2749" s="12"/>
      <c r="K2749"/>
    </row>
    <row r="2750" spans="5:11" x14ac:dyDescent="0.2">
      <c r="E2750" s="50"/>
      <c r="H2750" s="12"/>
      <c r="K2750"/>
    </row>
    <row r="2751" spans="5:11" x14ac:dyDescent="0.2">
      <c r="E2751" s="50"/>
      <c r="H2751" s="12"/>
      <c r="K2751"/>
    </row>
    <row r="2752" spans="5:11" x14ac:dyDescent="0.2">
      <c r="E2752" s="50"/>
      <c r="H2752" s="12"/>
      <c r="K2752"/>
    </row>
    <row r="2753" spans="5:11" x14ac:dyDescent="0.2">
      <c r="E2753" s="50"/>
      <c r="H2753" s="12"/>
      <c r="K2753"/>
    </row>
    <row r="2754" spans="5:11" x14ac:dyDescent="0.2">
      <c r="E2754" s="50"/>
      <c r="H2754" s="12"/>
      <c r="K2754"/>
    </row>
    <row r="2755" spans="5:11" x14ac:dyDescent="0.2">
      <c r="E2755" s="50"/>
      <c r="H2755" s="12"/>
      <c r="K2755"/>
    </row>
    <row r="2756" spans="5:11" x14ac:dyDescent="0.2">
      <c r="E2756" s="50"/>
      <c r="H2756" s="12"/>
      <c r="K2756"/>
    </row>
    <row r="2757" spans="5:11" x14ac:dyDescent="0.2">
      <c r="E2757" s="50"/>
      <c r="H2757" s="12"/>
      <c r="K2757"/>
    </row>
    <row r="2758" spans="5:11" x14ac:dyDescent="0.2">
      <c r="E2758" s="50"/>
      <c r="H2758" s="12"/>
      <c r="K2758"/>
    </row>
    <row r="2759" spans="5:11" x14ac:dyDescent="0.2">
      <c r="E2759" s="50"/>
      <c r="H2759" s="12"/>
      <c r="K2759"/>
    </row>
    <row r="2760" spans="5:11" x14ac:dyDescent="0.2">
      <c r="E2760" s="50"/>
      <c r="H2760" s="12"/>
      <c r="K2760"/>
    </row>
    <row r="2761" spans="5:11" x14ac:dyDescent="0.2">
      <c r="E2761" s="50"/>
      <c r="H2761" s="12"/>
      <c r="K2761"/>
    </row>
    <row r="2762" spans="5:11" x14ac:dyDescent="0.2">
      <c r="E2762" s="50"/>
      <c r="H2762" s="12"/>
      <c r="K2762"/>
    </row>
    <row r="2763" spans="5:11" x14ac:dyDescent="0.2">
      <c r="E2763" s="50"/>
      <c r="H2763" s="12"/>
      <c r="K2763"/>
    </row>
    <row r="2764" spans="5:11" x14ac:dyDescent="0.2">
      <c r="E2764" s="50"/>
      <c r="H2764" s="12"/>
      <c r="K2764"/>
    </row>
    <row r="2765" spans="5:11" x14ac:dyDescent="0.2">
      <c r="E2765" s="50"/>
      <c r="H2765" s="12"/>
      <c r="K2765"/>
    </row>
    <row r="2766" spans="5:11" x14ac:dyDescent="0.2">
      <c r="E2766" s="50"/>
      <c r="H2766" s="12"/>
      <c r="K2766"/>
    </row>
    <row r="2767" spans="5:11" x14ac:dyDescent="0.2">
      <c r="E2767" s="50"/>
      <c r="H2767" s="12"/>
      <c r="K2767"/>
    </row>
    <row r="2768" spans="5:11" x14ac:dyDescent="0.2">
      <c r="E2768" s="50"/>
      <c r="H2768" s="12"/>
      <c r="K2768"/>
    </row>
    <row r="2769" spans="5:11" x14ac:dyDescent="0.2">
      <c r="E2769" s="50"/>
      <c r="H2769" s="12"/>
      <c r="K2769"/>
    </row>
    <row r="2770" spans="5:11" x14ac:dyDescent="0.2">
      <c r="E2770" s="50"/>
      <c r="H2770" s="12"/>
      <c r="K2770"/>
    </row>
    <row r="2771" spans="5:11" x14ac:dyDescent="0.2">
      <c r="E2771" s="50"/>
      <c r="H2771" s="12"/>
      <c r="K2771"/>
    </row>
    <row r="2772" spans="5:11" x14ac:dyDescent="0.2">
      <c r="E2772" s="50"/>
      <c r="H2772" s="12"/>
      <c r="K2772"/>
    </row>
    <row r="2773" spans="5:11" x14ac:dyDescent="0.2">
      <c r="E2773" s="50"/>
      <c r="H2773" s="12"/>
      <c r="K2773"/>
    </row>
    <row r="2774" spans="5:11" x14ac:dyDescent="0.2">
      <c r="E2774" s="50"/>
      <c r="H2774" s="12"/>
      <c r="K2774"/>
    </row>
    <row r="2775" spans="5:11" x14ac:dyDescent="0.2">
      <c r="E2775" s="50"/>
      <c r="H2775" s="12"/>
      <c r="K2775"/>
    </row>
    <row r="2776" spans="5:11" x14ac:dyDescent="0.2">
      <c r="E2776" s="50"/>
      <c r="H2776" s="12"/>
      <c r="K2776"/>
    </row>
    <row r="2777" spans="5:11" x14ac:dyDescent="0.2">
      <c r="E2777" s="50"/>
      <c r="H2777" s="12"/>
      <c r="K2777"/>
    </row>
    <row r="2778" spans="5:11" x14ac:dyDescent="0.2">
      <c r="E2778" s="50"/>
      <c r="H2778" s="12"/>
      <c r="K2778"/>
    </row>
    <row r="2779" spans="5:11" x14ac:dyDescent="0.2">
      <c r="E2779" s="50"/>
      <c r="H2779" s="12"/>
      <c r="K2779"/>
    </row>
    <row r="2780" spans="5:11" x14ac:dyDescent="0.2">
      <c r="E2780" s="50"/>
      <c r="H2780" s="12"/>
      <c r="K2780"/>
    </row>
    <row r="2781" spans="5:11" x14ac:dyDescent="0.2">
      <c r="E2781" s="50"/>
      <c r="H2781" s="12"/>
      <c r="K2781"/>
    </row>
    <row r="2782" spans="5:11" x14ac:dyDescent="0.2">
      <c r="E2782" s="50"/>
      <c r="H2782" s="12"/>
      <c r="K2782"/>
    </row>
    <row r="2783" spans="5:11" x14ac:dyDescent="0.2">
      <c r="E2783" s="50"/>
      <c r="H2783" s="12"/>
      <c r="K2783"/>
    </row>
    <row r="2784" spans="5:11" x14ac:dyDescent="0.2">
      <c r="E2784" s="50"/>
      <c r="H2784" s="12"/>
      <c r="K2784"/>
    </row>
    <row r="2785" spans="5:11" x14ac:dyDescent="0.2">
      <c r="E2785" s="50"/>
      <c r="H2785" s="12"/>
      <c r="K2785"/>
    </row>
    <row r="2786" spans="5:11" x14ac:dyDescent="0.2">
      <c r="E2786" s="50"/>
      <c r="H2786" s="12"/>
      <c r="K2786"/>
    </row>
    <row r="2787" spans="5:11" x14ac:dyDescent="0.2">
      <c r="E2787" s="50"/>
      <c r="H2787" s="12"/>
      <c r="K2787"/>
    </row>
    <row r="2788" spans="5:11" x14ac:dyDescent="0.2">
      <c r="E2788" s="50"/>
      <c r="H2788" s="12"/>
      <c r="K2788"/>
    </row>
    <row r="2789" spans="5:11" x14ac:dyDescent="0.2">
      <c r="E2789" s="50"/>
      <c r="H2789" s="12"/>
      <c r="K2789"/>
    </row>
    <row r="2790" spans="5:11" x14ac:dyDescent="0.2">
      <c r="E2790" s="50"/>
      <c r="H2790" s="12"/>
      <c r="K2790"/>
    </row>
    <row r="2791" spans="5:11" x14ac:dyDescent="0.2">
      <c r="E2791" s="50"/>
      <c r="H2791" s="12"/>
      <c r="K2791"/>
    </row>
    <row r="2792" spans="5:11" x14ac:dyDescent="0.2">
      <c r="E2792" s="50"/>
      <c r="H2792" s="12"/>
      <c r="K2792"/>
    </row>
    <row r="2793" spans="5:11" x14ac:dyDescent="0.2">
      <c r="E2793" s="50"/>
      <c r="H2793" s="12"/>
      <c r="K2793"/>
    </row>
    <row r="2794" spans="5:11" x14ac:dyDescent="0.2">
      <c r="E2794" s="50"/>
      <c r="H2794" s="12"/>
      <c r="K2794"/>
    </row>
    <row r="2795" spans="5:11" x14ac:dyDescent="0.2">
      <c r="E2795" s="50"/>
      <c r="H2795" s="12"/>
      <c r="K2795"/>
    </row>
    <row r="2796" spans="5:11" x14ac:dyDescent="0.2">
      <c r="E2796" s="50"/>
      <c r="H2796" s="12"/>
      <c r="K2796"/>
    </row>
    <row r="2797" spans="5:11" x14ac:dyDescent="0.2">
      <c r="E2797" s="50"/>
      <c r="H2797" s="12"/>
      <c r="K2797"/>
    </row>
    <row r="2798" spans="5:11" x14ac:dyDescent="0.2">
      <c r="E2798" s="50"/>
      <c r="H2798" s="12"/>
      <c r="K2798"/>
    </row>
    <row r="2799" spans="5:11" x14ac:dyDescent="0.2">
      <c r="E2799" s="50"/>
      <c r="H2799" s="12"/>
      <c r="K2799"/>
    </row>
    <row r="2800" spans="5:11" x14ac:dyDescent="0.2">
      <c r="E2800" s="50"/>
      <c r="H2800" s="12"/>
      <c r="K2800"/>
    </row>
    <row r="2801" spans="5:11" x14ac:dyDescent="0.2">
      <c r="E2801" s="50"/>
      <c r="H2801" s="12"/>
      <c r="K2801"/>
    </row>
    <row r="2802" spans="5:11" x14ac:dyDescent="0.2">
      <c r="E2802" s="50"/>
      <c r="H2802" s="12"/>
      <c r="K2802"/>
    </row>
    <row r="2803" spans="5:11" x14ac:dyDescent="0.2">
      <c r="E2803" s="50"/>
      <c r="H2803" s="12"/>
      <c r="K2803"/>
    </row>
    <row r="2804" spans="5:11" x14ac:dyDescent="0.2">
      <c r="E2804" s="50"/>
      <c r="H2804" s="12"/>
      <c r="K2804"/>
    </row>
    <row r="2805" spans="5:11" x14ac:dyDescent="0.2">
      <c r="E2805" s="50"/>
      <c r="H2805" s="12"/>
      <c r="K2805"/>
    </row>
    <row r="2806" spans="5:11" x14ac:dyDescent="0.2">
      <c r="E2806" s="50"/>
      <c r="H2806" s="12"/>
      <c r="K2806"/>
    </row>
    <row r="2807" spans="5:11" x14ac:dyDescent="0.2">
      <c r="E2807" s="50"/>
      <c r="H2807" s="12"/>
      <c r="K2807"/>
    </row>
    <row r="2808" spans="5:11" x14ac:dyDescent="0.2">
      <c r="E2808" s="50"/>
      <c r="H2808" s="12"/>
      <c r="K2808"/>
    </row>
    <row r="2809" spans="5:11" x14ac:dyDescent="0.2">
      <c r="E2809" s="50"/>
      <c r="H2809" s="12"/>
      <c r="K2809"/>
    </row>
    <row r="2810" spans="5:11" x14ac:dyDescent="0.2">
      <c r="E2810" s="50"/>
      <c r="H2810" s="12"/>
      <c r="K2810"/>
    </row>
    <row r="2811" spans="5:11" x14ac:dyDescent="0.2">
      <c r="E2811" s="50"/>
      <c r="H2811" s="12"/>
      <c r="K2811"/>
    </row>
    <row r="2812" spans="5:11" x14ac:dyDescent="0.2">
      <c r="E2812" s="50"/>
      <c r="H2812" s="12"/>
      <c r="K2812"/>
    </row>
    <row r="2813" spans="5:11" x14ac:dyDescent="0.2">
      <c r="E2813" s="50"/>
      <c r="H2813" s="12"/>
      <c r="K2813"/>
    </row>
    <row r="2814" spans="5:11" x14ac:dyDescent="0.2">
      <c r="E2814" s="50"/>
      <c r="H2814" s="12"/>
      <c r="K2814"/>
    </row>
    <row r="2815" spans="5:11" x14ac:dyDescent="0.2">
      <c r="E2815" s="50"/>
      <c r="H2815" s="12"/>
      <c r="K2815"/>
    </row>
    <row r="2816" spans="5:11" x14ac:dyDescent="0.2">
      <c r="E2816" s="50"/>
      <c r="H2816" s="12"/>
      <c r="K2816"/>
    </row>
    <row r="2817" spans="5:11" x14ac:dyDescent="0.2">
      <c r="E2817" s="50"/>
      <c r="H2817" s="12"/>
      <c r="K2817"/>
    </row>
    <row r="2818" spans="5:11" x14ac:dyDescent="0.2">
      <c r="E2818" s="50"/>
      <c r="H2818" s="12"/>
      <c r="K2818"/>
    </row>
    <row r="2819" spans="5:11" x14ac:dyDescent="0.2">
      <c r="E2819" s="50"/>
      <c r="H2819" s="12"/>
      <c r="K2819"/>
    </row>
    <row r="2820" spans="5:11" x14ac:dyDescent="0.2">
      <c r="E2820" s="50"/>
      <c r="H2820" s="12"/>
      <c r="K2820"/>
    </row>
    <row r="2821" spans="5:11" x14ac:dyDescent="0.2">
      <c r="E2821" s="50"/>
      <c r="H2821" s="12"/>
      <c r="K2821"/>
    </row>
    <row r="2822" spans="5:11" x14ac:dyDescent="0.2">
      <c r="E2822" s="50"/>
      <c r="H2822" s="12"/>
      <c r="K2822"/>
    </row>
    <row r="2823" spans="5:11" x14ac:dyDescent="0.2">
      <c r="E2823" s="50"/>
      <c r="H2823" s="12"/>
      <c r="K2823"/>
    </row>
    <row r="2824" spans="5:11" x14ac:dyDescent="0.2">
      <c r="E2824" s="50"/>
      <c r="H2824" s="12"/>
      <c r="K2824"/>
    </row>
    <row r="2825" spans="5:11" x14ac:dyDescent="0.2">
      <c r="E2825" s="50"/>
      <c r="H2825" s="12"/>
      <c r="K2825"/>
    </row>
    <row r="2826" spans="5:11" x14ac:dyDescent="0.2">
      <c r="E2826" s="50"/>
      <c r="H2826" s="12"/>
      <c r="K2826"/>
    </row>
    <row r="2827" spans="5:11" x14ac:dyDescent="0.2">
      <c r="E2827" s="50"/>
      <c r="H2827" s="12"/>
      <c r="K2827"/>
    </row>
    <row r="2828" spans="5:11" x14ac:dyDescent="0.2">
      <c r="E2828" s="50"/>
      <c r="H2828" s="12"/>
      <c r="K2828"/>
    </row>
    <row r="2829" spans="5:11" x14ac:dyDescent="0.2">
      <c r="E2829" s="50"/>
      <c r="H2829" s="12"/>
      <c r="K2829"/>
    </row>
    <row r="2830" spans="5:11" x14ac:dyDescent="0.2">
      <c r="E2830" s="50"/>
      <c r="H2830" s="12"/>
      <c r="K2830"/>
    </row>
    <row r="2831" spans="5:11" x14ac:dyDescent="0.2">
      <c r="E2831" s="50"/>
      <c r="H2831" s="12"/>
      <c r="K2831"/>
    </row>
    <row r="2832" spans="5:11" x14ac:dyDescent="0.2">
      <c r="E2832" s="50"/>
      <c r="H2832" s="12"/>
      <c r="K2832"/>
    </row>
    <row r="2833" spans="5:11" x14ac:dyDescent="0.2">
      <c r="E2833" s="50"/>
      <c r="H2833" s="12"/>
      <c r="K2833"/>
    </row>
    <row r="2834" spans="5:11" x14ac:dyDescent="0.2">
      <c r="E2834" s="50"/>
      <c r="H2834" s="12"/>
      <c r="K2834"/>
    </row>
    <row r="2835" spans="5:11" x14ac:dyDescent="0.2">
      <c r="E2835" s="50"/>
      <c r="H2835" s="12"/>
      <c r="K2835"/>
    </row>
    <row r="2836" spans="5:11" x14ac:dyDescent="0.2">
      <c r="E2836" s="50"/>
      <c r="H2836" s="12"/>
      <c r="K2836"/>
    </row>
    <row r="2837" spans="5:11" x14ac:dyDescent="0.2">
      <c r="E2837" s="50"/>
      <c r="H2837" s="12"/>
      <c r="K2837"/>
    </row>
    <row r="2838" spans="5:11" x14ac:dyDescent="0.2">
      <c r="E2838" s="50"/>
      <c r="H2838" s="12"/>
      <c r="K2838"/>
    </row>
    <row r="2839" spans="5:11" x14ac:dyDescent="0.2">
      <c r="E2839" s="50"/>
      <c r="H2839" s="12"/>
      <c r="K2839"/>
    </row>
    <row r="2840" spans="5:11" x14ac:dyDescent="0.2">
      <c r="E2840" s="50"/>
      <c r="H2840" s="12"/>
      <c r="K2840"/>
    </row>
    <row r="2841" spans="5:11" x14ac:dyDescent="0.2">
      <c r="E2841" s="50"/>
      <c r="H2841" s="12"/>
      <c r="K2841"/>
    </row>
    <row r="2842" spans="5:11" x14ac:dyDescent="0.2">
      <c r="E2842" s="50"/>
      <c r="F2842" s="41"/>
      <c r="H2842" s="12"/>
      <c r="K2842"/>
    </row>
    <row r="2843" spans="5:11" x14ac:dyDescent="0.2">
      <c r="E2843" s="50"/>
      <c r="H2843" s="12"/>
      <c r="K2843"/>
    </row>
    <row r="2844" spans="5:11" x14ac:dyDescent="0.2">
      <c r="E2844" s="50"/>
      <c r="H2844" s="12"/>
      <c r="K2844"/>
    </row>
    <row r="2845" spans="5:11" x14ac:dyDescent="0.2">
      <c r="E2845" s="50"/>
      <c r="H2845" s="12"/>
      <c r="K2845"/>
    </row>
    <row r="2846" spans="5:11" x14ac:dyDescent="0.2">
      <c r="E2846" s="50"/>
      <c r="H2846" s="12"/>
      <c r="K2846"/>
    </row>
    <row r="2847" spans="5:11" x14ac:dyDescent="0.2">
      <c r="E2847" s="50"/>
      <c r="H2847" s="12"/>
      <c r="K2847"/>
    </row>
    <row r="2848" spans="5:11" x14ac:dyDescent="0.2">
      <c r="E2848" s="50"/>
      <c r="H2848" s="12"/>
      <c r="K2848"/>
    </row>
    <row r="2849" spans="5:11" x14ac:dyDescent="0.2">
      <c r="E2849" s="50"/>
      <c r="H2849" s="12"/>
      <c r="K2849"/>
    </row>
    <row r="2850" spans="5:11" x14ac:dyDescent="0.2">
      <c r="E2850" s="50"/>
      <c r="H2850" s="12"/>
      <c r="K2850"/>
    </row>
    <row r="2851" spans="5:11" x14ac:dyDescent="0.2">
      <c r="E2851" s="50"/>
      <c r="H2851" s="12"/>
      <c r="K2851"/>
    </row>
    <row r="2852" spans="5:11" x14ac:dyDescent="0.2">
      <c r="E2852" s="50"/>
      <c r="H2852" s="12"/>
      <c r="K2852"/>
    </row>
    <row r="2853" spans="5:11" x14ac:dyDescent="0.2">
      <c r="E2853" s="50"/>
      <c r="H2853" s="12"/>
      <c r="K2853"/>
    </row>
    <row r="2854" spans="5:11" x14ac:dyDescent="0.2">
      <c r="E2854" s="50"/>
      <c r="H2854" s="12"/>
      <c r="K2854"/>
    </row>
    <row r="2855" spans="5:11" x14ac:dyDescent="0.2">
      <c r="E2855" s="50"/>
      <c r="H2855" s="12"/>
      <c r="K2855"/>
    </row>
    <row r="2856" spans="5:11" x14ac:dyDescent="0.2">
      <c r="E2856" s="50"/>
      <c r="H2856" s="12"/>
      <c r="K2856"/>
    </row>
    <row r="2857" spans="5:11" x14ac:dyDescent="0.2">
      <c r="E2857" s="50"/>
      <c r="H2857" s="12"/>
      <c r="K2857"/>
    </row>
    <row r="2858" spans="5:11" x14ac:dyDescent="0.2">
      <c r="E2858" s="50"/>
      <c r="H2858" s="12"/>
      <c r="K2858"/>
    </row>
    <row r="2859" spans="5:11" x14ac:dyDescent="0.2">
      <c r="E2859" s="50"/>
      <c r="H2859" s="12"/>
      <c r="K2859"/>
    </row>
    <row r="2860" spans="5:11" x14ac:dyDescent="0.2">
      <c r="E2860" s="50"/>
      <c r="H2860" s="12"/>
      <c r="K2860"/>
    </row>
    <row r="2861" spans="5:11" x14ac:dyDescent="0.2">
      <c r="E2861" s="50"/>
      <c r="H2861" s="12"/>
      <c r="K2861"/>
    </row>
    <row r="2862" spans="5:11" x14ac:dyDescent="0.2">
      <c r="E2862" s="50"/>
      <c r="H2862" s="12"/>
      <c r="K2862"/>
    </row>
    <row r="2863" spans="5:11" x14ac:dyDescent="0.2">
      <c r="E2863" s="50"/>
      <c r="H2863" s="12"/>
      <c r="K2863"/>
    </row>
    <row r="2864" spans="5:11" x14ac:dyDescent="0.2">
      <c r="E2864" s="50"/>
      <c r="H2864" s="12"/>
      <c r="K2864"/>
    </row>
    <row r="2865" spans="1:11" x14ac:dyDescent="0.2">
      <c r="E2865" s="50"/>
      <c r="H2865" s="12"/>
      <c r="K2865"/>
    </row>
    <row r="2866" spans="1:11" x14ac:dyDescent="0.2">
      <c r="E2866" s="50"/>
      <c r="H2866" s="12"/>
      <c r="K2866"/>
    </row>
    <row r="2867" spans="1:11" x14ac:dyDescent="0.2">
      <c r="A2867" s="43"/>
      <c r="B2867" s="43"/>
      <c r="C2867" s="43"/>
      <c r="D2867" s="28" t="s">
        <v>55</v>
      </c>
      <c r="E2867" s="53" t="s">
        <v>43</v>
      </c>
      <c r="G2867" s="29"/>
      <c r="H2867" s="12"/>
    </row>
    <row r="2868" spans="1:11" ht="12" customHeight="1" x14ac:dyDescent="0.2">
      <c r="A2868" s="45" t="s">
        <v>0</v>
      </c>
      <c r="D2868" s="27" t="s">
        <v>17</v>
      </c>
      <c r="E2868" s="31">
        <v>44501</v>
      </c>
      <c r="G2868" s="26" t="s">
        <v>12</v>
      </c>
      <c r="H2868" s="31">
        <v>44501</v>
      </c>
      <c r="I2868" s="12" t="s">
        <v>53</v>
      </c>
    </row>
    <row r="2869" spans="1:11" x14ac:dyDescent="0.2">
      <c r="A2869" s="46" t="s">
        <v>41</v>
      </c>
      <c r="D2869" s="27" t="s">
        <v>17</v>
      </c>
      <c r="E2869" s="31">
        <v>44502</v>
      </c>
      <c r="G2869" s="26" t="s">
        <v>20</v>
      </c>
      <c r="H2869" s="31">
        <v>44503</v>
      </c>
      <c r="I2869" s="12" t="s">
        <v>53</v>
      </c>
    </row>
    <row r="2870" spans="1:11" x14ac:dyDescent="0.2">
      <c r="D2870" s="27" t="s">
        <v>17</v>
      </c>
      <c r="E2870" s="31">
        <v>44503</v>
      </c>
      <c r="G2870" s="26" t="s">
        <v>21</v>
      </c>
      <c r="H2870" s="31">
        <v>44503</v>
      </c>
      <c r="I2870" s="12" t="s">
        <v>53</v>
      </c>
    </row>
    <row r="2871" spans="1:11" x14ac:dyDescent="0.2">
      <c r="D2871" s="27" t="s">
        <v>17</v>
      </c>
      <c r="E2871" s="31">
        <v>44504</v>
      </c>
      <c r="G2871" s="26" t="s">
        <v>19</v>
      </c>
      <c r="H2871" s="31">
        <v>44504</v>
      </c>
      <c r="I2871" s="12" t="s">
        <v>53</v>
      </c>
    </row>
    <row r="2872" spans="1:11" x14ac:dyDescent="0.2">
      <c r="D2872" s="27" t="s">
        <v>17</v>
      </c>
      <c r="E2872" s="31">
        <v>44505</v>
      </c>
      <c r="G2872" s="26" t="s">
        <v>14</v>
      </c>
      <c r="H2872" s="31">
        <v>44505</v>
      </c>
      <c r="I2872" s="12" t="s">
        <v>53</v>
      </c>
    </row>
    <row r="2873" spans="1:11" x14ac:dyDescent="0.2">
      <c r="D2873" s="27" t="s">
        <v>17</v>
      </c>
      <c r="E2873" s="31">
        <v>44506</v>
      </c>
      <c r="G2873" s="26" t="s">
        <v>15</v>
      </c>
      <c r="H2873" s="31">
        <v>44508</v>
      </c>
      <c r="I2873" s="12" t="s">
        <v>53</v>
      </c>
    </row>
    <row r="2874" spans="1:11" x14ac:dyDescent="0.2">
      <c r="D2874" s="27" t="s">
        <v>17</v>
      </c>
      <c r="E2874" s="31">
        <v>44507</v>
      </c>
      <c r="G2874" s="26" t="s">
        <v>16</v>
      </c>
      <c r="H2874" s="31">
        <v>44508</v>
      </c>
      <c r="I2874" s="12" t="s">
        <v>53</v>
      </c>
    </row>
    <row r="2875" spans="1:11" x14ac:dyDescent="0.2">
      <c r="D2875" s="27" t="s">
        <v>17</v>
      </c>
      <c r="E2875" s="31">
        <v>44508</v>
      </c>
      <c r="G2875" s="26" t="s">
        <v>25</v>
      </c>
      <c r="H2875" s="31">
        <v>44508</v>
      </c>
      <c r="I2875" s="12" t="s">
        <v>53</v>
      </c>
    </row>
    <row r="2876" spans="1:11" x14ac:dyDescent="0.2">
      <c r="D2876" s="27" t="s">
        <v>17</v>
      </c>
      <c r="E2876" s="31">
        <v>44509</v>
      </c>
      <c r="G2876" s="26" t="s">
        <v>26</v>
      </c>
      <c r="H2876" s="31">
        <v>44509</v>
      </c>
      <c r="I2876" s="12" t="s">
        <v>53</v>
      </c>
    </row>
    <row r="2877" spans="1:11" x14ac:dyDescent="0.2">
      <c r="D2877" s="27" t="s">
        <v>17</v>
      </c>
      <c r="E2877" s="31">
        <v>44510</v>
      </c>
      <c r="G2877" s="26" t="s">
        <v>36</v>
      </c>
      <c r="H2877" s="31">
        <v>44510</v>
      </c>
      <c r="I2877" s="12" t="s">
        <v>53</v>
      </c>
    </row>
    <row r="2878" spans="1:11" x14ac:dyDescent="0.2">
      <c r="D2878" s="27" t="s">
        <v>17</v>
      </c>
      <c r="E2878" s="31">
        <v>44511</v>
      </c>
      <c r="G2878" s="26" t="s">
        <v>31</v>
      </c>
      <c r="H2878" s="31">
        <v>44511</v>
      </c>
      <c r="I2878" s="12" t="s">
        <v>53</v>
      </c>
    </row>
    <row r="2879" spans="1:11" x14ac:dyDescent="0.2">
      <c r="D2879" s="27" t="s">
        <v>17</v>
      </c>
      <c r="E2879" s="31">
        <v>44512</v>
      </c>
      <c r="G2879" s="26" t="s">
        <v>29</v>
      </c>
      <c r="H2879" s="31">
        <v>44512</v>
      </c>
      <c r="I2879" s="12" t="s">
        <v>53</v>
      </c>
    </row>
    <row r="2880" spans="1:11" x14ac:dyDescent="0.2">
      <c r="D2880" s="27" t="s">
        <v>17</v>
      </c>
      <c r="E2880" s="31">
        <v>44513</v>
      </c>
      <c r="G2880" s="26" t="s">
        <v>32</v>
      </c>
      <c r="H2880" s="31">
        <v>44516</v>
      </c>
      <c r="I2880" s="12" t="s">
        <v>53</v>
      </c>
    </row>
    <row r="2881" spans="4:11" x14ac:dyDescent="0.2">
      <c r="D2881" s="27" t="s">
        <v>17</v>
      </c>
      <c r="E2881" s="31">
        <v>44514</v>
      </c>
      <c r="G2881" s="26" t="s">
        <v>33</v>
      </c>
      <c r="H2881" s="31">
        <v>44516</v>
      </c>
      <c r="I2881" s="12" t="s">
        <v>53</v>
      </c>
    </row>
    <row r="2882" spans="4:11" x14ac:dyDescent="0.2">
      <c r="D2882" s="27" t="s">
        <v>17</v>
      </c>
      <c r="E2882" s="31">
        <v>44515</v>
      </c>
      <c r="G2882" s="26" t="s">
        <v>34</v>
      </c>
      <c r="H2882" s="31">
        <v>44516</v>
      </c>
      <c r="I2882" s="12" t="s">
        <v>53</v>
      </c>
      <c r="K2882"/>
    </row>
    <row r="2883" spans="4:11" x14ac:dyDescent="0.2">
      <c r="D2883" s="27" t="s">
        <v>17</v>
      </c>
      <c r="E2883" s="31">
        <v>44516</v>
      </c>
      <c r="G2883" s="26" t="s">
        <v>7</v>
      </c>
      <c r="H2883" s="31">
        <v>44516</v>
      </c>
      <c r="I2883" s="12" t="s">
        <v>53</v>
      </c>
      <c r="K2883"/>
    </row>
    <row r="2884" spans="4:11" x14ac:dyDescent="0.2">
      <c r="D2884" s="27" t="s">
        <v>17</v>
      </c>
      <c r="E2884" s="31">
        <v>44517</v>
      </c>
      <c r="G2884" s="26" t="s">
        <v>8</v>
      </c>
      <c r="H2884" s="31">
        <v>44517</v>
      </c>
      <c r="I2884" s="12" t="s">
        <v>53</v>
      </c>
      <c r="K2884"/>
    </row>
    <row r="2885" spans="4:11" x14ac:dyDescent="0.2">
      <c r="D2885" s="27" t="s">
        <v>17</v>
      </c>
      <c r="E2885" s="31">
        <v>44518</v>
      </c>
      <c r="G2885" s="26" t="s">
        <v>9</v>
      </c>
      <c r="H2885" s="31">
        <v>44518</v>
      </c>
      <c r="I2885" s="12" t="s">
        <v>53</v>
      </c>
      <c r="K2885"/>
    </row>
    <row r="2886" spans="4:11" x14ac:dyDescent="0.2">
      <c r="D2886" s="27" t="s">
        <v>17</v>
      </c>
      <c r="E2886" s="31">
        <v>44519</v>
      </c>
      <c r="G2886" s="26" t="s">
        <v>52</v>
      </c>
      <c r="H2886" s="31">
        <v>44519</v>
      </c>
      <c r="I2886" s="12" t="s">
        <v>53</v>
      </c>
      <c r="K2886"/>
    </row>
    <row r="2887" spans="4:11" x14ac:dyDescent="0.2">
      <c r="D2887" s="27" t="s">
        <v>17</v>
      </c>
      <c r="E2887" s="31">
        <v>44520</v>
      </c>
      <c r="G2887" s="26" t="s">
        <v>30</v>
      </c>
      <c r="H2887" s="31">
        <v>44522</v>
      </c>
      <c r="I2887" s="12" t="s">
        <v>53</v>
      </c>
      <c r="K2887"/>
    </row>
    <row r="2888" spans="4:11" x14ac:dyDescent="0.2">
      <c r="D2888" s="27" t="s">
        <v>17</v>
      </c>
      <c r="E2888" s="31">
        <v>44521</v>
      </c>
      <c r="G2888" s="26" t="s">
        <v>51</v>
      </c>
      <c r="H2888" s="31">
        <v>44522</v>
      </c>
      <c r="I2888" s="12" t="s">
        <v>53</v>
      </c>
      <c r="K2888"/>
    </row>
    <row r="2889" spans="4:11" x14ac:dyDescent="0.2">
      <c r="D2889" s="27" t="s">
        <v>17</v>
      </c>
      <c r="E2889" s="31">
        <v>44522</v>
      </c>
      <c r="G2889" s="26" t="s">
        <v>38</v>
      </c>
      <c r="H2889" s="31">
        <v>44522</v>
      </c>
      <c r="I2889" s="12" t="s">
        <v>53</v>
      </c>
      <c r="K2889"/>
    </row>
    <row r="2890" spans="4:11" x14ac:dyDescent="0.2">
      <c r="D2890" s="27" t="s">
        <v>17</v>
      </c>
      <c r="E2890" s="31">
        <v>44523</v>
      </c>
      <c r="G2890" s="26" t="s">
        <v>39</v>
      </c>
      <c r="H2890" s="31">
        <v>44523</v>
      </c>
      <c r="I2890" s="12" t="s">
        <v>53</v>
      </c>
      <c r="K2890"/>
    </row>
    <row r="2891" spans="4:11" x14ac:dyDescent="0.2">
      <c r="D2891" s="27" t="s">
        <v>17</v>
      </c>
      <c r="E2891" s="31">
        <v>44524</v>
      </c>
      <c r="G2891" s="26" t="s">
        <v>27</v>
      </c>
      <c r="H2891" s="31">
        <v>44524</v>
      </c>
      <c r="I2891" s="12" t="s">
        <v>53</v>
      </c>
      <c r="K2891"/>
    </row>
    <row r="2892" spans="4:11" x14ac:dyDescent="0.2">
      <c r="D2892" s="27" t="s">
        <v>17</v>
      </c>
      <c r="E2892" s="31">
        <v>44525</v>
      </c>
      <c r="G2892" s="26" t="s">
        <v>28</v>
      </c>
      <c r="H2892" s="31">
        <v>44525</v>
      </c>
      <c r="I2892" s="12" t="s">
        <v>53</v>
      </c>
      <c r="K2892"/>
    </row>
    <row r="2893" spans="4:11" x14ac:dyDescent="0.2">
      <c r="D2893" s="27" t="s">
        <v>17</v>
      </c>
      <c r="E2893" s="31">
        <v>44526</v>
      </c>
      <c r="G2893" s="26" t="s">
        <v>18</v>
      </c>
      <c r="H2893" s="31">
        <v>44526</v>
      </c>
      <c r="I2893" s="12" t="s">
        <v>53</v>
      </c>
      <c r="K2893"/>
    </row>
    <row r="2894" spans="4:11" x14ac:dyDescent="0.2">
      <c r="D2894" s="27" t="s">
        <v>17</v>
      </c>
      <c r="E2894" s="31">
        <v>44527</v>
      </c>
      <c r="G2894" s="26" t="s">
        <v>6</v>
      </c>
      <c r="H2894" s="31">
        <v>44529</v>
      </c>
      <c r="I2894" s="12" t="s">
        <v>53</v>
      </c>
      <c r="K2894"/>
    </row>
    <row r="2895" spans="4:11" x14ac:dyDescent="0.2">
      <c r="D2895" s="27" t="s">
        <v>17</v>
      </c>
      <c r="E2895" s="31">
        <v>44528</v>
      </c>
      <c r="G2895" s="26" t="s">
        <v>22</v>
      </c>
      <c r="H2895" s="31">
        <v>44529</v>
      </c>
      <c r="I2895" s="12" t="s">
        <v>53</v>
      </c>
      <c r="K2895"/>
    </row>
    <row r="2896" spans="4:11" x14ac:dyDescent="0.2">
      <c r="D2896" s="27" t="s">
        <v>17</v>
      </c>
      <c r="E2896" s="31">
        <v>44529</v>
      </c>
      <c r="G2896" s="26" t="s">
        <v>45</v>
      </c>
      <c r="H2896" s="31">
        <v>44529</v>
      </c>
      <c r="I2896" s="12" t="s">
        <v>53</v>
      </c>
      <c r="K2896"/>
    </row>
    <row r="2897" spans="4:11" x14ac:dyDescent="0.2">
      <c r="D2897" s="27" t="s">
        <v>17</v>
      </c>
      <c r="E2897" s="31">
        <v>44530</v>
      </c>
      <c r="G2897" s="26" t="s">
        <v>13</v>
      </c>
      <c r="H2897" s="31">
        <v>44530</v>
      </c>
      <c r="I2897" s="12" t="s">
        <v>53</v>
      </c>
      <c r="K2897"/>
    </row>
    <row r="2898" spans="4:11" x14ac:dyDescent="0.2">
      <c r="D2898" s="27" t="s">
        <v>17</v>
      </c>
      <c r="E2898" s="31"/>
      <c r="G2898" s="26"/>
      <c r="H2898" s="31"/>
      <c r="I2898" s="12" t="s">
        <v>53</v>
      </c>
      <c r="K2898"/>
    </row>
    <row r="2899" spans="4:11" x14ac:dyDescent="0.2">
      <c r="D2899" s="27" t="s">
        <v>44</v>
      </c>
      <c r="E2899" s="76">
        <v>44502</v>
      </c>
      <c r="G2899" s="26" t="s">
        <v>1</v>
      </c>
      <c r="H2899" s="76">
        <v>44502</v>
      </c>
      <c r="I2899" s="12"/>
      <c r="K2899"/>
    </row>
    <row r="2900" spans="4:11" x14ac:dyDescent="0.2">
      <c r="D2900" s="27" t="s">
        <v>44</v>
      </c>
      <c r="E2900" s="76">
        <v>44506</v>
      </c>
      <c r="G2900" s="26" t="s">
        <v>10</v>
      </c>
      <c r="H2900" s="76">
        <v>44506</v>
      </c>
      <c r="K2900"/>
    </row>
    <row r="2901" spans="4:11" x14ac:dyDescent="0.2">
      <c r="D2901" s="27" t="s">
        <v>44</v>
      </c>
      <c r="E2901" s="76">
        <v>44507</v>
      </c>
      <c r="G2901" s="26" t="s">
        <v>11</v>
      </c>
      <c r="H2901" s="76">
        <v>44507</v>
      </c>
      <c r="K2901"/>
    </row>
    <row r="2902" spans="4:11" x14ac:dyDescent="0.2">
      <c r="D2902" s="27" t="s">
        <v>44</v>
      </c>
      <c r="E2902" s="76">
        <v>44513</v>
      </c>
      <c r="G2902" s="26" t="s">
        <v>23</v>
      </c>
      <c r="H2902" s="76">
        <v>44513</v>
      </c>
      <c r="K2902"/>
    </row>
    <row r="2903" spans="4:11" x14ac:dyDescent="0.2">
      <c r="D2903" s="27" t="s">
        <v>44</v>
      </c>
      <c r="E2903" s="76">
        <v>44514</v>
      </c>
      <c r="G2903" s="26" t="s">
        <v>4</v>
      </c>
      <c r="H2903" s="76">
        <v>44514</v>
      </c>
      <c r="K2903"/>
    </row>
    <row r="2904" spans="4:11" x14ac:dyDescent="0.2">
      <c r="D2904" s="27" t="s">
        <v>44</v>
      </c>
      <c r="E2904" s="76">
        <v>44520</v>
      </c>
      <c r="G2904" s="26" t="s">
        <v>24</v>
      </c>
      <c r="H2904" s="76">
        <v>44520</v>
      </c>
      <c r="K2904"/>
    </row>
    <row r="2905" spans="4:11" x14ac:dyDescent="0.2">
      <c r="D2905" s="27" t="s">
        <v>44</v>
      </c>
      <c r="E2905" s="76">
        <v>44521</v>
      </c>
      <c r="G2905" s="26" t="s">
        <v>37</v>
      </c>
      <c r="H2905" s="76">
        <v>44521</v>
      </c>
      <c r="K2905"/>
    </row>
    <row r="2906" spans="4:11" x14ac:dyDescent="0.2">
      <c r="D2906" s="27" t="s">
        <v>44</v>
      </c>
      <c r="E2906" s="76">
        <v>44527</v>
      </c>
      <c r="G2906" s="26"/>
      <c r="H2906" s="76">
        <v>44527</v>
      </c>
      <c r="K2906"/>
    </row>
    <row r="2907" spans="4:11" x14ac:dyDescent="0.2">
      <c r="D2907" s="27" t="s">
        <v>44</v>
      </c>
      <c r="E2907" s="76">
        <v>44528</v>
      </c>
      <c r="H2907" s="76">
        <v>44528</v>
      </c>
      <c r="K2907"/>
    </row>
    <row r="2908" spans="4:11" x14ac:dyDescent="0.2">
      <c r="D2908" s="27"/>
      <c r="E2908" s="50"/>
      <c r="H2908" s="3"/>
      <c r="K2908"/>
    </row>
    <row r="2909" spans="4:11" x14ac:dyDescent="0.2">
      <c r="D2909" s="27"/>
      <c r="E2909" s="50"/>
      <c r="H2909" s="3"/>
      <c r="K2909"/>
    </row>
    <row r="2910" spans="4:11" x14ac:dyDescent="0.2">
      <c r="D2910" s="27"/>
      <c r="H2910" s="35"/>
      <c r="K2910"/>
    </row>
    <row r="2915" spans="9:9" customFormat="1" x14ac:dyDescent="0.2">
      <c r="I2915" s="30"/>
    </row>
    <row r="2916" spans="9:9" customFormat="1" x14ac:dyDescent="0.2">
      <c r="I2916" s="30"/>
    </row>
    <row r="2917" spans="9:9" customFormat="1" x14ac:dyDescent="0.2">
      <c r="I2917" s="30"/>
    </row>
    <row r="2918" spans="9:9" customFormat="1" x14ac:dyDescent="0.2">
      <c r="I2918" s="30"/>
    </row>
    <row r="2919" spans="9:9" customFormat="1" x14ac:dyDescent="0.2">
      <c r="I2919" s="30"/>
    </row>
    <row r="2920" spans="9:9" customFormat="1" x14ac:dyDescent="0.2">
      <c r="I2920" s="30"/>
    </row>
    <row r="2921" spans="9:9" customFormat="1" x14ac:dyDescent="0.2">
      <c r="I2921" s="30"/>
    </row>
    <row r="2922" spans="9:9" customFormat="1" x14ac:dyDescent="0.2">
      <c r="I2922" s="30"/>
    </row>
    <row r="2923" spans="9:9" customFormat="1" x14ac:dyDescent="0.2">
      <c r="I2923" s="30"/>
    </row>
    <row r="2924" spans="9:9" customFormat="1" x14ac:dyDescent="0.2">
      <c r="I2924" s="30"/>
    </row>
    <row r="2925" spans="9:9" customFormat="1" x14ac:dyDescent="0.2">
      <c r="I2925" s="30"/>
    </row>
    <row r="2926" spans="9:9" customFormat="1" x14ac:dyDescent="0.2">
      <c r="I2926" s="30"/>
    </row>
    <row r="2927" spans="9:9" customFormat="1" x14ac:dyDescent="0.2">
      <c r="I2927" s="30"/>
    </row>
    <row r="2928" spans="9:9" customFormat="1" x14ac:dyDescent="0.2">
      <c r="I2928" s="30"/>
    </row>
    <row r="2929" spans="9:9" customFormat="1" x14ac:dyDescent="0.2">
      <c r="I2929" s="30"/>
    </row>
    <row r="2930" spans="9:9" customFormat="1" x14ac:dyDescent="0.2">
      <c r="I2930" s="30"/>
    </row>
    <row r="2931" spans="9:9" customFormat="1" x14ac:dyDescent="0.2">
      <c r="I2931" s="30"/>
    </row>
    <row r="2932" spans="9:9" customFormat="1" x14ac:dyDescent="0.2">
      <c r="I2932" s="30"/>
    </row>
    <row r="2933" spans="9:9" customFormat="1" x14ac:dyDescent="0.2">
      <c r="I2933" s="30"/>
    </row>
    <row r="2934" spans="9:9" customFormat="1" x14ac:dyDescent="0.2">
      <c r="I2934" s="30"/>
    </row>
    <row r="2935" spans="9:9" customFormat="1" x14ac:dyDescent="0.2">
      <c r="I2935" s="30"/>
    </row>
    <row r="2936" spans="9:9" customFormat="1" x14ac:dyDescent="0.2">
      <c r="I2936" s="30"/>
    </row>
    <row r="2937" spans="9:9" customFormat="1" x14ac:dyDescent="0.2">
      <c r="I2937" s="30"/>
    </row>
    <row r="2938" spans="9:9" customFormat="1" x14ac:dyDescent="0.2">
      <c r="I2938" s="30"/>
    </row>
    <row r="2939" spans="9:9" customFormat="1" x14ac:dyDescent="0.2">
      <c r="I2939" s="30"/>
    </row>
    <row r="2940" spans="9:9" customFormat="1" x14ac:dyDescent="0.2">
      <c r="I2940" s="30"/>
    </row>
    <row r="2941" spans="9:9" customFormat="1" x14ac:dyDescent="0.2">
      <c r="I2941" s="30"/>
    </row>
    <row r="2942" spans="9:9" customFormat="1" x14ac:dyDescent="0.2">
      <c r="I2942" s="30"/>
    </row>
    <row r="2943" spans="9:9" customFormat="1" x14ac:dyDescent="0.2">
      <c r="I2943" s="30"/>
    </row>
    <row r="2944" spans="9:9" customFormat="1" x14ac:dyDescent="0.2">
      <c r="I2944" s="30"/>
    </row>
    <row r="2945" spans="9:9" customFormat="1" x14ac:dyDescent="0.2">
      <c r="I2945" s="30"/>
    </row>
  </sheetData>
  <autoFilter ref="A1:H133" xr:uid="{00000000-0009-0000-0000-000002000000}"/>
  <pageMargins left="0.78740157499999996" right="0.78740157499999996" top="0.984251969" bottom="0.984251969" header="0.49212598499999999" footer="0.49212598499999999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AF50"/>
  <sheetViews>
    <sheetView zoomScale="75" zoomScaleNormal="75" workbookViewId="0">
      <pane xSplit="1" ySplit="4" topLeftCell="M5" activePane="bottomRight" state="frozen"/>
      <selection activeCell="H2829" sqref="H2829"/>
      <selection pane="topRight" activeCell="H2829" sqref="H2829"/>
      <selection pane="bottomLeft" activeCell="H2829" sqref="H2829"/>
      <selection pane="bottomRight" activeCell="I23" sqref="I23"/>
    </sheetView>
  </sheetViews>
  <sheetFormatPr defaultColWidth="15.7109375" defaultRowHeight="12.75" x14ac:dyDescent="0.2"/>
  <cols>
    <col min="1" max="1" width="15.7109375" customWidth="1"/>
    <col min="2" max="12" width="15.7109375" style="1" customWidth="1"/>
    <col min="13" max="23" width="15.7109375" customWidth="1"/>
  </cols>
  <sheetData>
    <row r="1" spans="1:22" s="2" customFormat="1" x14ac:dyDescent="0.2">
      <c r="B1" s="2" t="str">
        <f>IF(B5=1,"Domingo",IF(B5=2,"Segunda",IF(B5=3,"Terça",IF(B5=4,"Quarta",IF(B5=5,"Quinta",IF(B5=6,"Sexta",IF(B5=7,"Sábado",0)))))))</f>
        <v>Segunda</v>
      </c>
      <c r="C1" s="2" t="str">
        <f t="shared" ref="C1:V1" si="0">IF(C5=1,"Domingo",IF(C5=2,"Segunda",IF(C5=3,"Terça",IF(C5=4,"Quarta",IF(C5=5,"Quinta",IF(C5=6,"Sexta",IF(C5=7,"Sábado",0)))))))</f>
        <v>Quarta</v>
      </c>
      <c r="D1" s="2" t="str">
        <f t="shared" si="0"/>
        <v>Quinta</v>
      </c>
      <c r="E1" s="2" t="str">
        <f t="shared" si="0"/>
        <v>Sexta</v>
      </c>
      <c r="F1" s="2" t="str">
        <f t="shared" si="0"/>
        <v>Segunda</v>
      </c>
      <c r="G1" s="2" t="str">
        <f t="shared" si="0"/>
        <v>Terça</v>
      </c>
      <c r="H1" s="2" t="str">
        <f t="shared" si="0"/>
        <v>Quarta</v>
      </c>
      <c r="I1" s="2" t="str">
        <f t="shared" si="0"/>
        <v>Quinta</v>
      </c>
      <c r="J1" s="2" t="str">
        <f t="shared" si="0"/>
        <v>Sexta</v>
      </c>
      <c r="K1" s="2" t="str">
        <f t="shared" si="0"/>
        <v>Terça</v>
      </c>
      <c r="L1" s="2" t="str">
        <f t="shared" si="0"/>
        <v>Quarta</v>
      </c>
      <c r="M1" s="2" t="str">
        <f t="shared" si="0"/>
        <v>Quinta</v>
      </c>
      <c r="N1" s="2" t="str">
        <f t="shared" si="0"/>
        <v>Sexta</v>
      </c>
      <c r="O1" s="2" t="str">
        <f t="shared" si="0"/>
        <v>Segunda</v>
      </c>
      <c r="P1" s="2" t="str">
        <f t="shared" si="0"/>
        <v>Terça</v>
      </c>
      <c r="Q1" s="2" t="str">
        <f t="shared" si="0"/>
        <v>Quarta</v>
      </c>
      <c r="R1" s="2" t="str">
        <f t="shared" si="0"/>
        <v>Quinta</v>
      </c>
      <c r="S1" s="2" t="str">
        <f t="shared" si="0"/>
        <v>Sexta</v>
      </c>
      <c r="T1" s="2" t="str">
        <f t="shared" si="0"/>
        <v>Segunda</v>
      </c>
      <c r="U1" s="2" t="str">
        <f t="shared" si="0"/>
        <v>Terça</v>
      </c>
      <c r="V1" s="2" t="e">
        <f t="shared" si="0"/>
        <v>#VALUE!</v>
      </c>
    </row>
    <row r="2" spans="1:22" s="3" customFormat="1" x14ac:dyDescent="0.2">
      <c r="A2" s="4" t="s">
        <v>2</v>
      </c>
      <c r="B2" s="3">
        <f t="shared" ref="B2:U2" si="1">B29</f>
        <v>44501</v>
      </c>
      <c r="C2" s="3">
        <f t="shared" si="1"/>
        <v>44503</v>
      </c>
      <c r="D2" s="3">
        <f t="shared" si="1"/>
        <v>44504</v>
      </c>
      <c r="E2" s="3">
        <f t="shared" si="1"/>
        <v>44505</v>
      </c>
      <c r="F2" s="3">
        <f t="shared" si="1"/>
        <v>44508</v>
      </c>
      <c r="G2" s="3">
        <f t="shared" si="1"/>
        <v>44509</v>
      </c>
      <c r="H2" s="3">
        <f t="shared" si="1"/>
        <v>44510</v>
      </c>
      <c r="I2" s="3">
        <f t="shared" si="1"/>
        <v>44511</v>
      </c>
      <c r="J2" s="3">
        <f t="shared" si="1"/>
        <v>44512</v>
      </c>
      <c r="K2" s="3">
        <f t="shared" si="1"/>
        <v>44516</v>
      </c>
      <c r="L2" s="3">
        <f t="shared" si="1"/>
        <v>44517</v>
      </c>
      <c r="M2" s="3">
        <f t="shared" si="1"/>
        <v>44518</v>
      </c>
      <c r="N2" s="3">
        <f t="shared" si="1"/>
        <v>44519</v>
      </c>
      <c r="O2" s="3">
        <f t="shared" si="1"/>
        <v>44522</v>
      </c>
      <c r="P2" s="3">
        <f t="shared" si="1"/>
        <v>44523</v>
      </c>
      <c r="Q2" s="3">
        <f t="shared" si="1"/>
        <v>44524</v>
      </c>
      <c r="R2" s="3">
        <f t="shared" si="1"/>
        <v>44525</v>
      </c>
      <c r="S2" s="3">
        <f t="shared" si="1"/>
        <v>44526</v>
      </c>
      <c r="T2" s="3">
        <f t="shared" si="1"/>
        <v>44529</v>
      </c>
      <c r="U2" s="3">
        <f t="shared" si="1"/>
        <v>44530</v>
      </c>
      <c r="V2" s="3" t="str">
        <f>V29</f>
        <v>Total Geral</v>
      </c>
    </row>
    <row r="3" spans="1:22" ht="3.75" customHeight="1" thickBo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22" ht="14.25" thickTop="1" thickBot="1" x14ac:dyDescent="0.25">
      <c r="A4" s="7" t="s">
        <v>40</v>
      </c>
      <c r="B4" s="8">
        <f>Fluxo_10_21!V38</f>
        <v>-17062.18199999991</v>
      </c>
      <c r="C4" s="8">
        <f>B38</f>
        <v>-19255.371999999908</v>
      </c>
      <c r="D4" s="8">
        <f>C38</f>
        <v>-19619.481999999909</v>
      </c>
      <c r="E4" s="8">
        <f>D38</f>
        <v>16045.168000000089</v>
      </c>
      <c r="F4" s="8">
        <f>E38</f>
        <v>-14776.441999999912</v>
      </c>
      <c r="G4" s="8">
        <f>F38</f>
        <v>-115327.81199999992</v>
      </c>
      <c r="H4" s="8">
        <f t="shared" ref="H4:U4" si="2">G38</f>
        <v>-104115.15199999991</v>
      </c>
      <c r="I4" s="8">
        <f t="shared" si="2"/>
        <v>-110649.78199999992</v>
      </c>
      <c r="J4" s="8">
        <f t="shared" si="2"/>
        <v>-121403.11199999992</v>
      </c>
      <c r="K4" s="8">
        <f t="shared" si="2"/>
        <v>-130731.60199999993</v>
      </c>
      <c r="L4" s="8">
        <f t="shared" si="2"/>
        <v>-124383.24199999994</v>
      </c>
      <c r="M4" s="8">
        <f t="shared" si="2"/>
        <v>-123428.28199999995</v>
      </c>
      <c r="N4" s="8">
        <f t="shared" si="2"/>
        <v>-126261.24199999994</v>
      </c>
      <c r="O4" s="8">
        <f t="shared" si="2"/>
        <v>-135259.71199999994</v>
      </c>
      <c r="P4" s="8">
        <f t="shared" si="2"/>
        <v>-168854.40199999994</v>
      </c>
      <c r="Q4" s="8">
        <f t="shared" si="2"/>
        <v>-170374.90199999994</v>
      </c>
      <c r="R4" s="8">
        <f t="shared" si="2"/>
        <v>-172906.26199999993</v>
      </c>
      <c r="S4" s="8">
        <f t="shared" si="2"/>
        <v>-190766.99199999994</v>
      </c>
      <c r="T4" s="8">
        <f t="shared" si="2"/>
        <v>-193827.06199999995</v>
      </c>
      <c r="U4" s="8">
        <f t="shared" si="2"/>
        <v>-225654.61199999996</v>
      </c>
      <c r="V4" s="8">
        <f>U38</f>
        <v>-242393.87199999997</v>
      </c>
    </row>
    <row r="5" spans="1:22" ht="6.95" customHeight="1" thickTop="1" x14ac:dyDescent="0.2">
      <c r="A5" s="9"/>
      <c r="B5" s="10">
        <f t="shared" ref="B5:U5" si="3">WEEKDAY(B2)</f>
        <v>2</v>
      </c>
      <c r="C5" s="10">
        <f t="shared" si="3"/>
        <v>4</v>
      </c>
      <c r="D5" s="10">
        <f t="shared" si="3"/>
        <v>5</v>
      </c>
      <c r="E5" s="10">
        <f t="shared" si="3"/>
        <v>6</v>
      </c>
      <c r="F5" s="10">
        <f t="shared" si="3"/>
        <v>2</v>
      </c>
      <c r="G5" s="10">
        <f t="shared" si="3"/>
        <v>3</v>
      </c>
      <c r="H5" s="10">
        <f t="shared" si="3"/>
        <v>4</v>
      </c>
      <c r="I5" s="10">
        <f t="shared" si="3"/>
        <v>5</v>
      </c>
      <c r="J5" s="10">
        <f t="shared" si="3"/>
        <v>6</v>
      </c>
      <c r="K5" s="10">
        <f t="shared" si="3"/>
        <v>3</v>
      </c>
      <c r="L5" s="10">
        <f t="shared" si="3"/>
        <v>4</v>
      </c>
      <c r="M5" s="10">
        <f t="shared" si="3"/>
        <v>5</v>
      </c>
      <c r="N5" s="10">
        <f t="shared" si="3"/>
        <v>6</v>
      </c>
      <c r="O5" s="10">
        <f t="shared" si="3"/>
        <v>2</v>
      </c>
      <c r="P5" s="10">
        <f t="shared" si="3"/>
        <v>3</v>
      </c>
      <c r="Q5" s="10">
        <f t="shared" si="3"/>
        <v>4</v>
      </c>
      <c r="R5" s="10">
        <f t="shared" si="3"/>
        <v>5</v>
      </c>
      <c r="S5" s="10">
        <f t="shared" si="3"/>
        <v>6</v>
      </c>
      <c r="T5" s="10">
        <f t="shared" si="3"/>
        <v>2</v>
      </c>
      <c r="U5" s="10">
        <f t="shared" si="3"/>
        <v>3</v>
      </c>
      <c r="V5" s="10" t="e">
        <f>WEEKDAY(V2)</f>
        <v>#VALUE!</v>
      </c>
    </row>
    <row r="6" spans="1:22" x14ac:dyDescent="0.2">
      <c r="A6" s="20" t="s">
        <v>3</v>
      </c>
      <c r="B6" s="23">
        <f t="shared" ref="B6:U6" si="4">SUM(B7:B26)</f>
        <v>0</v>
      </c>
      <c r="C6" s="23">
        <f t="shared" si="4"/>
        <v>10115.68</v>
      </c>
      <c r="D6" s="23">
        <f t="shared" si="4"/>
        <v>38901.35</v>
      </c>
      <c r="E6" s="23">
        <f t="shared" si="4"/>
        <v>0</v>
      </c>
      <c r="F6" s="23">
        <f t="shared" si="4"/>
        <v>14729.880000000001</v>
      </c>
      <c r="G6" s="23">
        <f t="shared" si="4"/>
        <v>14579.56</v>
      </c>
      <c r="H6" s="23">
        <f>SUM(H7:H26)</f>
        <v>0</v>
      </c>
      <c r="I6" s="23">
        <f t="shared" si="4"/>
        <v>0</v>
      </c>
      <c r="J6" s="23">
        <f t="shared" si="4"/>
        <v>0</v>
      </c>
      <c r="K6" s="23">
        <f t="shared" si="4"/>
        <v>42294.93</v>
      </c>
      <c r="L6" s="23">
        <f t="shared" si="4"/>
        <v>12000</v>
      </c>
      <c r="M6" s="23">
        <f t="shared" si="4"/>
        <v>9172.7999999999993</v>
      </c>
      <c r="N6" s="23">
        <f t="shared" si="4"/>
        <v>2185.89</v>
      </c>
      <c r="O6" s="23">
        <f t="shared" si="4"/>
        <v>0</v>
      </c>
      <c r="P6" s="23">
        <f t="shared" si="4"/>
        <v>0</v>
      </c>
      <c r="Q6" s="23">
        <f t="shared" si="4"/>
        <v>0</v>
      </c>
      <c r="R6" s="23">
        <f t="shared" si="4"/>
        <v>0</v>
      </c>
      <c r="S6" s="23">
        <f t="shared" si="4"/>
        <v>1749.12</v>
      </c>
      <c r="T6" s="23">
        <f t="shared" si="4"/>
        <v>37857.71</v>
      </c>
      <c r="U6" s="23">
        <f t="shared" si="4"/>
        <v>0</v>
      </c>
      <c r="V6" s="23">
        <f>SUM(V7:V26)</f>
        <v>0</v>
      </c>
    </row>
    <row r="7" spans="1:22" x14ac:dyDescent="0.2">
      <c r="A7" t="s">
        <v>137</v>
      </c>
      <c r="B7"/>
      <c r="C7"/>
      <c r="D7" s="106">
        <f>6762.08+11747+14518.35</f>
        <v>33027.43</v>
      </c>
      <c r="G7" s="1">
        <v>14579.56</v>
      </c>
      <c r="I7" s="15"/>
      <c r="J7" s="71"/>
      <c r="K7" s="15">
        <v>14606.55</v>
      </c>
      <c r="L7" s="15"/>
      <c r="M7" s="15"/>
      <c r="N7" s="15"/>
      <c r="O7" s="15"/>
      <c r="P7" s="15"/>
      <c r="Q7" s="71"/>
      <c r="R7" s="15"/>
      <c r="S7" s="15"/>
      <c r="T7" s="15"/>
      <c r="V7" s="15"/>
    </row>
    <row r="8" spans="1:22" x14ac:dyDescent="0.2">
      <c r="A8" t="s">
        <v>60</v>
      </c>
      <c r="B8"/>
      <c r="C8"/>
      <c r="D8" s="106">
        <f>5873.92</f>
        <v>5873.92</v>
      </c>
      <c r="E8"/>
      <c r="F8" s="71"/>
      <c r="G8" s="71"/>
      <c r="I8" s="71"/>
      <c r="J8" s="71"/>
      <c r="K8" s="72"/>
      <c r="M8" s="73"/>
      <c r="N8" s="1"/>
      <c r="O8" s="17"/>
      <c r="P8" s="1"/>
      <c r="Q8" s="17"/>
      <c r="R8" s="34"/>
      <c r="S8" s="17"/>
      <c r="T8" s="15"/>
      <c r="U8" s="1"/>
    </row>
    <row r="9" spans="1:22" x14ac:dyDescent="0.2">
      <c r="A9" t="s">
        <v>79</v>
      </c>
      <c r="B9"/>
      <c r="C9"/>
      <c r="D9"/>
      <c r="E9"/>
      <c r="F9">
        <f>4850+4850</f>
        <v>9700</v>
      </c>
      <c r="G9"/>
      <c r="H9"/>
      <c r="J9" s="72"/>
      <c r="K9">
        <f>648+2100+648</f>
        <v>3396</v>
      </c>
      <c r="L9" s="126">
        <v>12000</v>
      </c>
      <c r="M9" s="18"/>
      <c r="N9" s="1"/>
      <c r="O9" s="32"/>
      <c r="Q9" s="15"/>
      <c r="R9" s="15"/>
      <c r="S9" s="15"/>
      <c r="T9" s="1"/>
    </row>
    <row r="10" spans="1:22" x14ac:dyDescent="0.2">
      <c r="A10" t="s">
        <v>138</v>
      </c>
      <c r="B10"/>
      <c r="C10" s="15"/>
      <c r="D10" s="72"/>
      <c r="E10" s="72"/>
      <c r="F10" s="72"/>
      <c r="G10" s="71"/>
      <c r="H10" s="71"/>
      <c r="I10" s="71"/>
      <c r="J10" s="71"/>
      <c r="K10" s="71"/>
      <c r="L10" s="15"/>
      <c r="M10" s="15">
        <v>9172.7999999999993</v>
      </c>
      <c r="N10" s="15"/>
      <c r="P10" s="15"/>
      <c r="Q10" s="71"/>
      <c r="R10" s="15"/>
      <c r="S10" s="15"/>
      <c r="T10" s="15"/>
      <c r="V10" s="15"/>
    </row>
    <row r="11" spans="1:22" x14ac:dyDescent="0.2">
      <c r="A11" t="s">
        <v>61</v>
      </c>
      <c r="B11"/>
      <c r="C11"/>
      <c r="D11" s="73"/>
      <c r="E11" s="71"/>
      <c r="F11" s="71"/>
      <c r="G11" s="71"/>
      <c r="H11" s="71"/>
      <c r="I11" s="71"/>
      <c r="J11" s="71"/>
      <c r="K11" s="71"/>
      <c r="L11" s="15"/>
      <c r="M11" s="15"/>
      <c r="N11" s="15"/>
      <c r="O11" s="15"/>
      <c r="P11" s="15"/>
      <c r="Q11" s="14"/>
      <c r="R11" s="15"/>
    </row>
    <row r="12" spans="1:22" x14ac:dyDescent="0.2">
      <c r="A12" t="s">
        <v>58</v>
      </c>
      <c r="B12"/>
      <c r="C12"/>
      <c r="D12" s="73"/>
      <c r="E12" s="71"/>
      <c r="F12" s="71"/>
      <c r="G12" s="71"/>
      <c r="H12" s="71"/>
      <c r="I12" s="71"/>
      <c r="J12" s="72"/>
      <c r="K12" s="72"/>
      <c r="L12" s="15"/>
      <c r="N12">
        <v>2185.89</v>
      </c>
      <c r="O12" s="71"/>
      <c r="P12" s="15"/>
      <c r="S12">
        <v>1749.12</v>
      </c>
    </row>
    <row r="13" spans="1:22" x14ac:dyDescent="0.2">
      <c r="A13" t="s">
        <v>59</v>
      </c>
      <c r="B13"/>
      <c r="C13" s="15"/>
      <c r="D13" s="71"/>
      <c r="E13" s="71"/>
      <c r="F13" s="73"/>
      <c r="G13" s="71"/>
      <c r="H13" s="71"/>
      <c r="I13" s="71"/>
      <c r="J13" s="71"/>
      <c r="K13" s="71"/>
      <c r="L13" s="15"/>
      <c r="M13" s="15"/>
      <c r="N13" s="15"/>
      <c r="O13" s="71"/>
      <c r="P13" s="15"/>
      <c r="Q13" s="15"/>
      <c r="R13" s="15"/>
      <c r="S13" s="15"/>
      <c r="T13" s="15"/>
      <c r="V13" s="15"/>
    </row>
    <row r="14" spans="1:22" x14ac:dyDescent="0.2">
      <c r="A14" t="s">
        <v>139</v>
      </c>
      <c r="C14" s="104">
        <f>4252.83+5862.85</f>
        <v>10115.68</v>
      </c>
      <c r="F14" s="1">
        <v>5029.88</v>
      </c>
      <c r="G14" s="71"/>
      <c r="I14" s="15"/>
      <c r="J14" s="71"/>
      <c r="K14" s="15">
        <v>6087.41</v>
      </c>
      <c r="L14" s="15"/>
      <c r="M14" s="15"/>
      <c r="N14" s="15"/>
      <c r="O14" s="15"/>
      <c r="P14" s="15"/>
      <c r="Q14" s="15"/>
      <c r="R14" s="15"/>
      <c r="V14" s="15"/>
    </row>
    <row r="15" spans="1:22" x14ac:dyDescent="0.2">
      <c r="A15" t="s">
        <v>140</v>
      </c>
      <c r="B15"/>
      <c r="C15"/>
      <c r="D15" s="72"/>
      <c r="E15" s="72"/>
      <c r="F15" s="72"/>
      <c r="G15" s="72"/>
      <c r="H15" s="72"/>
      <c r="I15" s="72"/>
      <c r="J15" s="71"/>
      <c r="K15" s="15">
        <f>6731.83+6201.84+5271.3</f>
        <v>18204.97</v>
      </c>
      <c r="L15" s="15"/>
      <c r="M15" s="15"/>
      <c r="N15" s="15"/>
      <c r="O15" s="15"/>
      <c r="P15" s="15"/>
      <c r="Q15" s="15"/>
      <c r="R15" s="15"/>
      <c r="S15" s="15"/>
      <c r="T15" s="15">
        <f>5872.25+6946.83+5872.35+9583.14+9583.14</f>
        <v>37857.71</v>
      </c>
    </row>
    <row r="16" spans="1:22" x14ac:dyDescent="0.2">
      <c r="B16"/>
      <c r="C16"/>
      <c r="D16" s="73"/>
      <c r="E16" s="71"/>
      <c r="F16" s="71"/>
      <c r="G16" s="71"/>
      <c r="H16" s="71"/>
      <c r="I16" s="71"/>
      <c r="J16" s="71"/>
      <c r="K16" s="71"/>
      <c r="L16" s="71"/>
      <c r="M16" s="15"/>
      <c r="N16" s="15"/>
      <c r="O16" s="15"/>
      <c r="P16" s="15"/>
      <c r="Q16" s="15"/>
      <c r="R16" s="71"/>
      <c r="S16" s="15"/>
      <c r="T16" s="15"/>
    </row>
    <row r="17" spans="1:32" x14ac:dyDescent="0.2">
      <c r="B17"/>
      <c r="C17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32" x14ac:dyDescent="0.2">
      <c r="D18" s="13"/>
      <c r="E18" s="16"/>
      <c r="F18" s="15"/>
      <c r="G18" s="15"/>
      <c r="I18" s="15"/>
      <c r="J18" s="15"/>
      <c r="M18" s="15"/>
      <c r="N18" s="15"/>
      <c r="O18" s="17"/>
      <c r="P18" s="19"/>
      <c r="R18" s="15"/>
      <c r="S18" s="15"/>
      <c r="T18" s="19"/>
    </row>
    <row r="19" spans="1:32" x14ac:dyDescent="0.2">
      <c r="B19" s="15"/>
      <c r="C19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</row>
    <row r="20" spans="1:32" x14ac:dyDescent="0.2">
      <c r="A20" s="12"/>
      <c r="B20" s="15"/>
      <c r="C2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 spans="1:32" x14ac:dyDescent="0.2">
      <c r="A21" s="12"/>
      <c r="B21" s="15"/>
      <c r="C2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32" x14ac:dyDescent="0.2">
      <c r="B22"/>
      <c r="C22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spans="1:32" x14ac:dyDescent="0.2">
      <c r="D23" s="13"/>
      <c r="E23" s="16"/>
      <c r="F23" s="15"/>
      <c r="G23" s="15"/>
      <c r="I23" s="15"/>
      <c r="J23" s="15"/>
      <c r="M23" s="15"/>
      <c r="N23" s="15"/>
      <c r="O23" s="17"/>
      <c r="P23" s="19"/>
      <c r="R23" s="15"/>
      <c r="S23" s="15"/>
      <c r="T23" s="19"/>
    </row>
    <row r="24" spans="1:32" x14ac:dyDescent="0.2">
      <c r="D24" s="13"/>
      <c r="E24" s="16"/>
      <c r="F24" s="15"/>
      <c r="G24" s="15"/>
      <c r="I24" s="15"/>
      <c r="J24" s="15"/>
      <c r="M24" s="15"/>
      <c r="N24" s="15"/>
      <c r="O24" s="48"/>
      <c r="P24" s="19"/>
      <c r="R24" s="15"/>
      <c r="S24" s="15"/>
      <c r="T24" s="19"/>
    </row>
    <row r="25" spans="1:32" x14ac:dyDescent="0.2">
      <c r="A25" s="12"/>
      <c r="D25" s="13"/>
      <c r="E25" s="47"/>
      <c r="F25" s="15"/>
      <c r="G25" s="15"/>
      <c r="I25" s="15"/>
      <c r="J25" s="15"/>
      <c r="M25" s="15"/>
      <c r="N25" s="15"/>
      <c r="O25" s="17"/>
      <c r="P25" s="19"/>
      <c r="R25" s="15"/>
      <c r="S25" s="15"/>
      <c r="T25" s="19"/>
    </row>
    <row r="26" spans="1:32" x14ac:dyDescent="0.2">
      <c r="A26" s="12"/>
      <c r="B26"/>
      <c r="C26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</row>
    <row r="27" spans="1:32" x14ac:dyDescent="0.2">
      <c r="A27" s="21" t="s">
        <v>54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spans="1:32" x14ac:dyDescent="0.2">
      <c r="A28" s="169" t="s">
        <v>62</v>
      </c>
      <c r="B28" s="169" t="s">
        <v>42</v>
      </c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1"/>
    </row>
    <row r="29" spans="1:32" x14ac:dyDescent="0.2">
      <c r="A29" s="169" t="s">
        <v>50</v>
      </c>
      <c r="B29" s="172">
        <v>44501</v>
      </c>
      <c r="C29" s="173">
        <v>44503</v>
      </c>
      <c r="D29" s="173">
        <v>44504</v>
      </c>
      <c r="E29" s="173">
        <v>44505</v>
      </c>
      <c r="F29" s="173">
        <v>44508</v>
      </c>
      <c r="G29" s="173">
        <v>44509</v>
      </c>
      <c r="H29" s="173">
        <v>44510</v>
      </c>
      <c r="I29" s="173">
        <v>44511</v>
      </c>
      <c r="J29" s="173">
        <v>44512</v>
      </c>
      <c r="K29" s="173">
        <v>44516</v>
      </c>
      <c r="L29" s="173">
        <v>44517</v>
      </c>
      <c r="M29" s="173">
        <v>44518</v>
      </c>
      <c r="N29" s="173">
        <v>44519</v>
      </c>
      <c r="O29" s="173">
        <v>44522</v>
      </c>
      <c r="P29" s="173">
        <v>44523</v>
      </c>
      <c r="Q29" s="173">
        <v>44524</v>
      </c>
      <c r="R29" s="173">
        <v>44525</v>
      </c>
      <c r="S29" s="173">
        <v>44526</v>
      </c>
      <c r="T29" s="173">
        <v>44529</v>
      </c>
      <c r="U29" s="173">
        <v>44530</v>
      </c>
      <c r="V29" s="174" t="s">
        <v>71</v>
      </c>
    </row>
    <row r="30" spans="1:32" s="11" customFormat="1" x14ac:dyDescent="0.2">
      <c r="A30" s="175" t="s">
        <v>63</v>
      </c>
      <c r="B30" s="175"/>
      <c r="C30" s="176"/>
      <c r="D30" s="176">
        <v>404.41</v>
      </c>
      <c r="E30" s="176"/>
      <c r="F30" s="176">
        <v>1943.25</v>
      </c>
      <c r="G30" s="176"/>
      <c r="H30" s="176">
        <v>3000</v>
      </c>
      <c r="I30" s="176">
        <v>4500</v>
      </c>
      <c r="J30" s="176">
        <v>1299.44</v>
      </c>
      <c r="K30" s="176">
        <v>1691.05</v>
      </c>
      <c r="L30" s="176"/>
      <c r="M30" s="176">
        <v>4500</v>
      </c>
      <c r="N30" s="176">
        <v>246.8</v>
      </c>
      <c r="O30" s="176">
        <v>1286.71</v>
      </c>
      <c r="P30" s="176">
        <v>1020.5</v>
      </c>
      <c r="Q30" s="176"/>
      <c r="R30" s="176">
        <v>8000</v>
      </c>
      <c r="S30" s="176"/>
      <c r="T30" s="176"/>
      <c r="U30" s="176">
        <v>404.34</v>
      </c>
      <c r="V30" s="174">
        <v>28296.5</v>
      </c>
      <c r="W30"/>
      <c r="X30"/>
      <c r="Y30"/>
      <c r="Z30"/>
      <c r="AA30"/>
      <c r="AB30"/>
      <c r="AC30"/>
      <c r="AD30"/>
      <c r="AE30"/>
      <c r="AF30"/>
    </row>
    <row r="31" spans="1:32" s="11" customFormat="1" x14ac:dyDescent="0.2">
      <c r="A31" s="177" t="s">
        <v>67</v>
      </c>
      <c r="B31" s="177">
        <v>2193.19</v>
      </c>
      <c r="C31"/>
      <c r="D31"/>
      <c r="E31">
        <v>940.68</v>
      </c>
      <c r="F31">
        <v>9899.91</v>
      </c>
      <c r="G31"/>
      <c r="H31">
        <v>220</v>
      </c>
      <c r="I31">
        <v>1985.03</v>
      </c>
      <c r="J31">
        <v>862</v>
      </c>
      <c r="K31">
        <v>21950.79</v>
      </c>
      <c r="L31">
        <v>2369.85</v>
      </c>
      <c r="M31"/>
      <c r="N31">
        <v>2105.8000000000002</v>
      </c>
      <c r="O31">
        <v>5084.62</v>
      </c>
      <c r="P31"/>
      <c r="Q31">
        <v>888.36</v>
      </c>
      <c r="R31">
        <v>2576.04</v>
      </c>
      <c r="S31"/>
      <c r="T31">
        <v>5612.5</v>
      </c>
      <c r="U31"/>
      <c r="V31" s="178">
        <v>56688.770000000004</v>
      </c>
      <c r="W31"/>
      <c r="X31"/>
      <c r="Y31"/>
      <c r="Z31"/>
      <c r="AA31"/>
      <c r="AB31"/>
      <c r="AC31"/>
      <c r="AD31"/>
      <c r="AE31"/>
      <c r="AF31"/>
    </row>
    <row r="32" spans="1:32" s="11" customFormat="1" x14ac:dyDescent="0.2">
      <c r="A32" s="177" t="s">
        <v>68</v>
      </c>
      <c r="B32" s="177"/>
      <c r="C32"/>
      <c r="D32"/>
      <c r="E32"/>
      <c r="F32"/>
      <c r="G32"/>
      <c r="H32"/>
      <c r="I32"/>
      <c r="J32"/>
      <c r="K32">
        <v>1476.38</v>
      </c>
      <c r="L32"/>
      <c r="M32"/>
      <c r="N32"/>
      <c r="O32"/>
      <c r="P32">
        <v>500</v>
      </c>
      <c r="Q32"/>
      <c r="R32"/>
      <c r="S32"/>
      <c r="T32"/>
      <c r="U32"/>
      <c r="V32" s="178">
        <v>1976.38</v>
      </c>
      <c r="W32"/>
      <c r="X32"/>
      <c r="Y32"/>
      <c r="Z32"/>
      <c r="AA32"/>
      <c r="AB32"/>
      <c r="AC32"/>
      <c r="AD32"/>
      <c r="AE32"/>
      <c r="AF32"/>
    </row>
    <row r="33" spans="1:32" s="11" customFormat="1" x14ac:dyDescent="0.2">
      <c r="A33" s="177" t="s">
        <v>64</v>
      </c>
      <c r="B33" s="177"/>
      <c r="C33"/>
      <c r="D33"/>
      <c r="E33"/>
      <c r="F33">
        <v>3812.48</v>
      </c>
      <c r="G33"/>
      <c r="H33"/>
      <c r="I33"/>
      <c r="J33"/>
      <c r="K33"/>
      <c r="L33"/>
      <c r="M33">
        <v>3784.71</v>
      </c>
      <c r="N33"/>
      <c r="O33"/>
      <c r="P33"/>
      <c r="Q33"/>
      <c r="R33">
        <v>3337.71</v>
      </c>
      <c r="S33"/>
      <c r="T33"/>
      <c r="U33"/>
      <c r="V33" s="178">
        <v>10934.900000000001</v>
      </c>
      <c r="W33"/>
      <c r="X33"/>
      <c r="Y33"/>
      <c r="Z33"/>
      <c r="AA33"/>
      <c r="AB33"/>
      <c r="AC33"/>
      <c r="AD33"/>
      <c r="AE33"/>
      <c r="AF33"/>
    </row>
    <row r="34" spans="1:32" s="11" customFormat="1" x14ac:dyDescent="0.2">
      <c r="A34" s="177" t="s">
        <v>91</v>
      </c>
      <c r="B34" s="177"/>
      <c r="C34">
        <v>10479.790000000001</v>
      </c>
      <c r="D34">
        <v>2832.29</v>
      </c>
      <c r="E34">
        <v>29880.93</v>
      </c>
      <c r="F34">
        <v>99625.61</v>
      </c>
      <c r="G34">
        <v>3366.9</v>
      </c>
      <c r="H34">
        <v>3314.63</v>
      </c>
      <c r="I34">
        <v>4268.3</v>
      </c>
      <c r="J34">
        <v>7167.05</v>
      </c>
      <c r="K34">
        <v>10828.349999999999</v>
      </c>
      <c r="L34">
        <v>8675.19</v>
      </c>
      <c r="M34">
        <v>3721.05</v>
      </c>
      <c r="N34">
        <v>8831.76</v>
      </c>
      <c r="O34">
        <v>27223.360000000001</v>
      </c>
      <c r="P34"/>
      <c r="Q34">
        <v>1643</v>
      </c>
      <c r="R34">
        <v>3946.98</v>
      </c>
      <c r="S34">
        <v>4809.1899999999996</v>
      </c>
      <c r="T34">
        <v>64072.76</v>
      </c>
      <c r="U34">
        <v>16334.92</v>
      </c>
      <c r="V34" s="178">
        <v>311022.05999999994</v>
      </c>
      <c r="W34"/>
      <c r="X34"/>
      <c r="Y34"/>
      <c r="Z34"/>
      <c r="AA34"/>
      <c r="AB34"/>
      <c r="AC34"/>
      <c r="AD34"/>
      <c r="AE34"/>
      <c r="AF34"/>
    </row>
    <row r="35" spans="1:32" s="11" customFormat="1" x14ac:dyDescent="0.2">
      <c r="A35" s="179" t="s">
        <v>71</v>
      </c>
      <c r="B35" s="179">
        <v>2193.19</v>
      </c>
      <c r="C35" s="180">
        <v>10479.790000000001</v>
      </c>
      <c r="D35" s="180">
        <v>3236.7</v>
      </c>
      <c r="E35" s="180">
        <v>30821.61</v>
      </c>
      <c r="F35" s="180">
        <v>115281.25</v>
      </c>
      <c r="G35" s="180">
        <v>3366.9</v>
      </c>
      <c r="H35" s="180">
        <v>6534.63</v>
      </c>
      <c r="I35" s="180">
        <v>10753.33</v>
      </c>
      <c r="J35" s="180">
        <v>9328.49</v>
      </c>
      <c r="K35" s="180">
        <v>35946.57</v>
      </c>
      <c r="L35" s="180">
        <v>11045.04</v>
      </c>
      <c r="M35" s="180">
        <v>12005.759999999998</v>
      </c>
      <c r="N35" s="180">
        <v>11184.36</v>
      </c>
      <c r="O35" s="180">
        <v>33594.69</v>
      </c>
      <c r="P35" s="180">
        <v>1520.5</v>
      </c>
      <c r="Q35" s="180">
        <v>2531.36</v>
      </c>
      <c r="R35" s="180">
        <v>17860.73</v>
      </c>
      <c r="S35" s="180">
        <v>4809.1899999999996</v>
      </c>
      <c r="T35" s="180">
        <v>69685.260000000009</v>
      </c>
      <c r="U35" s="180">
        <v>16739.259999999998</v>
      </c>
      <c r="V35" s="181">
        <v>408918.61</v>
      </c>
      <c r="W35"/>
      <c r="X35"/>
      <c r="Y35"/>
      <c r="Z35"/>
      <c r="AA35"/>
      <c r="AB35"/>
      <c r="AC35"/>
      <c r="AD35"/>
      <c r="AE35"/>
      <c r="AF35"/>
    </row>
    <row r="36" spans="1:32" s="11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2" s="1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2" s="25" customFormat="1" ht="13.5" thickBot="1" x14ac:dyDescent="0.25">
      <c r="A38" s="24" t="s">
        <v>35</v>
      </c>
      <c r="B38" s="24">
        <f>B4+B6-GETPIVOTDATA("Valor",$A$28,"Pagto.",DATE(2021,11,1))</f>
        <v>-19255.371999999908</v>
      </c>
      <c r="C38" s="24">
        <f>C4+C6-GETPIVOTDATA("Valor",$A$28,"Pagto.",DATE(2021,11,3))</f>
        <v>-19619.481999999909</v>
      </c>
      <c r="D38" s="24">
        <f>D4+D6-GETPIVOTDATA("Valor",$A$28,"Pagto.",DATE(2021,11,4))</f>
        <v>16045.168000000089</v>
      </c>
      <c r="E38" s="24">
        <f>E4+E6-GETPIVOTDATA("Valor",$A$28,"Pagto.",DATE(2021,11,5))</f>
        <v>-14776.441999999912</v>
      </c>
      <c r="F38" s="24">
        <f>F4+F6-GETPIVOTDATA("Valor",$A$28,"Pagto.",DATE(2021,11,8))</f>
        <v>-115327.81199999992</v>
      </c>
      <c r="G38" s="24">
        <f>G4+G6-GETPIVOTDATA("Valor",$A$28,"Pagto.",DATE(2021,11,9))</f>
        <v>-104115.15199999991</v>
      </c>
      <c r="H38" s="24">
        <f>H4+H6-GETPIVOTDATA("Valor",$A$28,"Pagto.",DATE(2021,11,10))</f>
        <v>-110649.78199999992</v>
      </c>
      <c r="I38" s="24">
        <f>I4+I6-GETPIVOTDATA("Valor",$A$28,"Pagto.",DATE(2021,11,11))</f>
        <v>-121403.11199999992</v>
      </c>
      <c r="J38" s="24">
        <f>J4+J6-GETPIVOTDATA("Valor",$A$28,"Pagto.",DATE(2021,11,12))</f>
        <v>-130731.60199999993</v>
      </c>
      <c r="K38" s="24">
        <f>K4+K6-GETPIVOTDATA("Valor",$A$28,"Pagto.",DATE(2021,11,16))</f>
        <v>-124383.24199999994</v>
      </c>
      <c r="L38" s="24">
        <f>L4+L6-GETPIVOTDATA("Valor",$A$28,"Pagto.",DATE(2021,11,17))</f>
        <v>-123428.28199999995</v>
      </c>
      <c r="M38" s="24">
        <f>M4+M6-GETPIVOTDATA("Valor",$A$28,"Pagto.",DATE(2021,11,18))</f>
        <v>-126261.24199999994</v>
      </c>
      <c r="N38" s="24">
        <f>N4+N6-GETPIVOTDATA("Valor",$A$28,"Pagto.",DATE(2021,11,19))</f>
        <v>-135259.71199999994</v>
      </c>
      <c r="O38" s="24">
        <f>O4+O6-GETPIVOTDATA("Valor",$A$28,"Pagto.",DATE(2021,11,22))</f>
        <v>-168854.40199999994</v>
      </c>
      <c r="P38" s="24">
        <f>P4+P6-GETPIVOTDATA("Valor",$A$28,"Pagto.",DATE(2021,11,23))</f>
        <v>-170374.90199999994</v>
      </c>
      <c r="Q38" s="24">
        <f>Q4+Q6-GETPIVOTDATA("Valor",$A$28,"Pagto.",DATE(2021,11,24))</f>
        <v>-172906.26199999993</v>
      </c>
      <c r="R38" s="24">
        <f>R4+R6-GETPIVOTDATA("Valor",$A$28,"Pagto.",DATE(2021,11,25))</f>
        <v>-190766.99199999994</v>
      </c>
      <c r="S38" s="24">
        <f>S4+S6-GETPIVOTDATA("Valor",$A$28,"Pagto.",DATE(2021,11,26))</f>
        <v>-193827.06199999995</v>
      </c>
      <c r="T38" s="24">
        <f>T4+T6-GETPIVOTDATA("Valor",$A$28,"Pagto.",DATE(2021,11,29))</f>
        <v>-225654.61199999996</v>
      </c>
      <c r="U38" s="24">
        <f>U4+U6-GETPIVOTDATA("Valor",$A$28,"Pagto.",DATE(2021,11,30))</f>
        <v>-242393.87199999997</v>
      </c>
      <c r="V38" s="24"/>
    </row>
    <row r="39" spans="1:32" ht="13.5" thickTop="1" x14ac:dyDescent="0.2">
      <c r="B39"/>
      <c r="C39"/>
      <c r="D39"/>
      <c r="E39"/>
      <c r="F39"/>
      <c r="G39"/>
      <c r="H39"/>
      <c r="I39"/>
      <c r="J39"/>
      <c r="K39"/>
      <c r="L39"/>
    </row>
    <row r="40" spans="1:32" x14ac:dyDescent="0.2">
      <c r="B40"/>
      <c r="C40"/>
      <c r="D40"/>
      <c r="E40"/>
      <c r="F40"/>
      <c r="G40"/>
      <c r="H40"/>
      <c r="I40"/>
    </row>
    <row r="41" spans="1:32" x14ac:dyDescent="0.2">
      <c r="B41"/>
      <c r="C41"/>
      <c r="D41"/>
      <c r="E41"/>
      <c r="F41"/>
      <c r="G41"/>
      <c r="H41"/>
      <c r="I41"/>
    </row>
    <row r="42" spans="1:32" x14ac:dyDescent="0.2">
      <c r="B42"/>
      <c r="C42"/>
      <c r="D42"/>
      <c r="E42"/>
      <c r="F42"/>
      <c r="G42"/>
      <c r="H42"/>
      <c r="I42"/>
    </row>
    <row r="43" spans="1:32" x14ac:dyDescent="0.2">
      <c r="B43"/>
      <c r="C43"/>
      <c r="D43"/>
      <c r="E43"/>
      <c r="F43"/>
      <c r="G43"/>
      <c r="H43"/>
      <c r="I43"/>
    </row>
    <row r="44" spans="1:32" x14ac:dyDescent="0.2">
      <c r="B44"/>
      <c r="C44"/>
      <c r="D44"/>
      <c r="E44"/>
      <c r="F44"/>
      <c r="G44"/>
      <c r="H44"/>
      <c r="I44"/>
    </row>
    <row r="45" spans="1:32" x14ac:dyDescent="0.2">
      <c r="B45"/>
      <c r="C45"/>
      <c r="D45"/>
      <c r="E45"/>
      <c r="F45"/>
      <c r="G45"/>
      <c r="H45"/>
      <c r="I45"/>
    </row>
    <row r="46" spans="1:32" x14ac:dyDescent="0.2">
      <c r="B46"/>
      <c r="C46"/>
      <c r="D46"/>
      <c r="E46"/>
      <c r="F46"/>
      <c r="G46"/>
      <c r="H46"/>
      <c r="I46"/>
    </row>
    <row r="47" spans="1:32" x14ac:dyDescent="0.2">
      <c r="B47"/>
      <c r="C47"/>
      <c r="D47"/>
      <c r="E47"/>
      <c r="F47"/>
      <c r="G47"/>
      <c r="H47"/>
      <c r="I47"/>
    </row>
    <row r="48" spans="1:32" x14ac:dyDescent="0.2">
      <c r="B48"/>
      <c r="C48"/>
      <c r="D48"/>
      <c r="E48"/>
      <c r="F48"/>
      <c r="G48"/>
      <c r="H48"/>
      <c r="I48"/>
    </row>
    <row r="49" spans="2:9" x14ac:dyDescent="0.2">
      <c r="B49"/>
      <c r="C49"/>
      <c r="D49"/>
      <c r="E49"/>
      <c r="F49"/>
      <c r="G49"/>
      <c r="H49"/>
      <c r="I49"/>
    </row>
    <row r="50" spans="2:9" x14ac:dyDescent="0.2">
      <c r="B50"/>
      <c r="C50"/>
      <c r="D50"/>
      <c r="E50"/>
      <c r="F50"/>
      <c r="G50"/>
      <c r="H50"/>
      <c r="I50"/>
    </row>
  </sheetData>
  <conditionalFormatting sqref="A36 A4:XFD4 A38:XFD38">
    <cfRule type="cellIs" dxfId="32" priority="3" stopIfTrue="1" operator="lessThan">
      <formula>0</formula>
    </cfRule>
  </conditionalFormatting>
  <conditionalFormatting sqref="A1:XFD1">
    <cfRule type="cellIs" dxfId="31" priority="1" stopIfTrue="1" operator="equal">
      <formula>"Sábado"</formula>
    </cfRule>
    <cfRule type="cellIs" dxfId="30" priority="2" stopIfTrue="1" operator="equal">
      <formula>"Domingo"</formula>
    </cfRule>
  </conditionalFormatting>
  <pageMargins left="0.74791666666666667" right="0.74791666666666667" top="0.98402777777777783" bottom="0.98402777777777783" header="0.51180555555555562" footer="0.51180555555555562"/>
  <pageSetup paperSize="9" firstPageNumber="0" orientation="landscape" horizontalDpi="300" verticalDpi="300" r:id="rId2"/>
  <headerFooter alignWithMargins="0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L2949"/>
  <sheetViews>
    <sheetView zoomScale="90" zoomScaleNormal="90" workbookViewId="0">
      <pane ySplit="1" topLeftCell="A45" activePane="bottomLeft" state="frozen"/>
      <selection activeCell="G2826" sqref="G2826"/>
      <selection pane="bottomLeft" activeCell="D45" sqref="D45"/>
    </sheetView>
  </sheetViews>
  <sheetFormatPr defaultRowHeight="12.75" x14ac:dyDescent="0.2"/>
  <cols>
    <col min="1" max="1" width="7.140625" customWidth="1"/>
    <col min="2" max="2" width="5.7109375" customWidth="1"/>
    <col min="3" max="3" width="16.7109375" bestFit="1" customWidth="1"/>
    <col min="4" max="4" width="78.42578125" customWidth="1"/>
    <col min="5" max="5" width="12.5703125" style="49" customWidth="1"/>
    <col min="6" max="6" width="17.42578125" style="40" customWidth="1"/>
    <col min="7" max="7" width="13.42578125" customWidth="1"/>
    <col min="8" max="8" width="15.28515625" style="75" customWidth="1"/>
    <col min="9" max="9" width="21.7109375" bestFit="1" customWidth="1"/>
    <col min="10" max="10" width="19" customWidth="1"/>
    <col min="11" max="11" width="18.28515625" style="1" customWidth="1"/>
    <col min="12" max="12" width="17.28515625" customWidth="1"/>
    <col min="13" max="13" width="14.140625" customWidth="1"/>
    <col min="14" max="14" width="19.140625" customWidth="1"/>
  </cols>
  <sheetData>
    <row r="1" spans="1:11" s="36" customFormat="1" x14ac:dyDescent="0.2">
      <c r="A1" s="36">
        <v>0</v>
      </c>
      <c r="B1" s="36" t="s">
        <v>5</v>
      </c>
      <c r="C1" s="36" t="s">
        <v>46</v>
      </c>
      <c r="D1" s="36" t="s">
        <v>47</v>
      </c>
      <c r="E1" s="51" t="s">
        <v>48</v>
      </c>
      <c r="F1" s="38" t="s">
        <v>49</v>
      </c>
      <c r="G1" s="36" t="s">
        <v>50</v>
      </c>
      <c r="H1" s="33" t="s">
        <v>42</v>
      </c>
      <c r="K1" s="37"/>
    </row>
    <row r="2" spans="1:11" ht="13.5" customHeight="1" x14ac:dyDescent="0.2">
      <c r="C2" s="12" t="s">
        <v>199</v>
      </c>
      <c r="D2" s="57" t="s">
        <v>365</v>
      </c>
      <c r="E2" s="60">
        <v>44470</v>
      </c>
      <c r="F2" s="58">
        <f>2145.17+157.32+234.5+82.75+945+430.4</f>
        <v>3995.1400000000003</v>
      </c>
      <c r="G2" s="12" t="s">
        <v>1676</v>
      </c>
      <c r="H2" s="61">
        <f t="shared" ref="H2:H33" si="0">VLOOKUP(E2,$E$2698:$H$3009,4,FALSE)</f>
        <v>44470</v>
      </c>
    </row>
    <row r="3" spans="1:11" ht="13.5" customHeight="1" x14ac:dyDescent="0.2">
      <c r="C3" s="12" t="s">
        <v>135</v>
      </c>
      <c r="D3" s="57" t="s">
        <v>1522</v>
      </c>
      <c r="E3" s="60">
        <v>44470</v>
      </c>
      <c r="F3" s="58">
        <v>3135</v>
      </c>
      <c r="G3" s="12" t="s">
        <v>1676</v>
      </c>
      <c r="H3" s="61">
        <f t="shared" si="0"/>
        <v>44470</v>
      </c>
    </row>
    <row r="4" spans="1:11" ht="13.5" customHeight="1" x14ac:dyDescent="0.2">
      <c r="C4" s="12" t="s">
        <v>732</v>
      </c>
      <c r="D4" s="57" t="s">
        <v>1528</v>
      </c>
      <c r="E4" s="60">
        <v>44470</v>
      </c>
      <c r="F4" s="58">
        <v>145.55000000000001</v>
      </c>
      <c r="G4" s="12" t="s">
        <v>1676</v>
      </c>
      <c r="H4" s="61">
        <f t="shared" si="0"/>
        <v>44470</v>
      </c>
    </row>
    <row r="5" spans="1:11" ht="13.5" customHeight="1" x14ac:dyDescent="0.2">
      <c r="C5" s="12" t="s">
        <v>72</v>
      </c>
      <c r="D5" s="57" t="s">
        <v>1711</v>
      </c>
      <c r="E5" s="60">
        <v>44470</v>
      </c>
      <c r="F5" s="58">
        <v>1000</v>
      </c>
      <c r="G5" s="12" t="s">
        <v>1688</v>
      </c>
      <c r="H5" s="61">
        <f t="shared" si="0"/>
        <v>44470</v>
      </c>
    </row>
    <row r="6" spans="1:11" ht="13.5" customHeight="1" x14ac:dyDescent="0.2">
      <c r="C6" s="12" t="s">
        <v>159</v>
      </c>
      <c r="D6" s="57" t="s">
        <v>1531</v>
      </c>
      <c r="E6" s="60">
        <v>44470</v>
      </c>
      <c r="F6" s="58">
        <v>184.6</v>
      </c>
      <c r="G6" s="12" t="s">
        <v>1689</v>
      </c>
      <c r="H6" s="61">
        <f t="shared" si="0"/>
        <v>44470</v>
      </c>
    </row>
    <row r="7" spans="1:11" ht="13.5" customHeight="1" x14ac:dyDescent="0.2">
      <c r="C7" s="12" t="s">
        <v>74</v>
      </c>
      <c r="D7" s="57" t="s">
        <v>1525</v>
      </c>
      <c r="E7" s="60">
        <v>44470</v>
      </c>
      <c r="F7" s="58">
        <v>26.33</v>
      </c>
      <c r="G7" s="12" t="s">
        <v>1689</v>
      </c>
      <c r="H7" s="61">
        <f t="shared" si="0"/>
        <v>44470</v>
      </c>
    </row>
    <row r="8" spans="1:11" ht="13.5" customHeight="1" x14ac:dyDescent="0.2">
      <c r="C8" s="12" t="s">
        <v>76</v>
      </c>
      <c r="D8" s="57" t="s">
        <v>1509</v>
      </c>
      <c r="E8" s="60">
        <v>44471</v>
      </c>
      <c r="F8" s="58">
        <v>170.9</v>
      </c>
      <c r="G8" s="12" t="s">
        <v>1689</v>
      </c>
      <c r="H8" s="61">
        <f t="shared" si="0"/>
        <v>44473</v>
      </c>
    </row>
    <row r="9" spans="1:11" ht="13.5" customHeight="1" x14ac:dyDescent="0.2">
      <c r="C9" s="12" t="s">
        <v>72</v>
      </c>
      <c r="D9" s="57" t="s">
        <v>1520</v>
      </c>
      <c r="E9" s="60">
        <v>44472</v>
      </c>
      <c r="F9" s="58">
        <v>2046.92</v>
      </c>
      <c r="G9" s="12" t="s">
        <v>1688</v>
      </c>
      <c r="H9" s="61">
        <f t="shared" si="0"/>
        <v>44473</v>
      </c>
    </row>
    <row r="10" spans="1:11" ht="13.5" customHeight="1" x14ac:dyDescent="0.2">
      <c r="C10" s="12" t="s">
        <v>97</v>
      </c>
      <c r="D10" s="57" t="s">
        <v>273</v>
      </c>
      <c r="E10" s="60">
        <v>44473</v>
      </c>
      <c r="F10" s="58">
        <v>2256.0500000000002</v>
      </c>
      <c r="G10" s="12" t="s">
        <v>1689</v>
      </c>
      <c r="H10" s="61">
        <f t="shared" si="0"/>
        <v>44473</v>
      </c>
    </row>
    <row r="11" spans="1:11" ht="13.5" customHeight="1" x14ac:dyDescent="0.2">
      <c r="C11" s="12" t="s">
        <v>84</v>
      </c>
      <c r="D11" s="57" t="s">
        <v>1512</v>
      </c>
      <c r="E11" s="60">
        <v>44473</v>
      </c>
      <c r="F11" s="58">
        <v>380</v>
      </c>
      <c r="G11" s="12" t="s">
        <v>1689</v>
      </c>
      <c r="H11" s="61">
        <f t="shared" si="0"/>
        <v>44473</v>
      </c>
    </row>
    <row r="12" spans="1:11" ht="13.5" customHeight="1" x14ac:dyDescent="0.2">
      <c r="C12" s="12" t="s">
        <v>159</v>
      </c>
      <c r="D12" s="57" t="s">
        <v>214</v>
      </c>
      <c r="E12" s="60">
        <v>44474</v>
      </c>
      <c r="F12" s="58">
        <v>173.76</v>
      </c>
      <c r="G12" s="12" t="s">
        <v>1689</v>
      </c>
      <c r="H12" s="61">
        <f t="shared" si="0"/>
        <v>44474</v>
      </c>
    </row>
    <row r="13" spans="1:11" ht="13.5" customHeight="1" x14ac:dyDescent="0.2">
      <c r="C13" s="12" t="s">
        <v>72</v>
      </c>
      <c r="D13" s="57" t="s">
        <v>1711</v>
      </c>
      <c r="E13" s="60">
        <v>44474</v>
      </c>
      <c r="F13" s="58">
        <v>500</v>
      </c>
      <c r="G13" s="12" t="s">
        <v>1689</v>
      </c>
      <c r="H13" s="61">
        <f t="shared" si="0"/>
        <v>44474</v>
      </c>
    </row>
    <row r="14" spans="1:11" ht="13.5" customHeight="1" x14ac:dyDescent="0.2">
      <c r="C14" s="12" t="s">
        <v>77</v>
      </c>
      <c r="D14" s="57" t="s">
        <v>1435</v>
      </c>
      <c r="E14" s="60">
        <v>44475</v>
      </c>
      <c r="F14" s="58">
        <v>206.95</v>
      </c>
      <c r="G14" s="12" t="s">
        <v>1689</v>
      </c>
      <c r="H14" s="61">
        <f t="shared" si="0"/>
        <v>44475</v>
      </c>
    </row>
    <row r="15" spans="1:11" ht="13.5" customHeight="1" x14ac:dyDescent="0.2">
      <c r="C15" s="12" t="s">
        <v>97</v>
      </c>
      <c r="D15" s="57" t="s">
        <v>274</v>
      </c>
      <c r="E15" s="60">
        <v>44475</v>
      </c>
      <c r="F15" s="58">
        <v>2169.4699999999998</v>
      </c>
      <c r="G15" s="12" t="s">
        <v>1689</v>
      </c>
      <c r="H15" s="61">
        <f t="shared" si="0"/>
        <v>44475</v>
      </c>
    </row>
    <row r="16" spans="1:11" ht="13.5" customHeight="1" x14ac:dyDescent="0.2">
      <c r="C16" s="12" t="s">
        <v>80</v>
      </c>
      <c r="D16" s="57" t="s">
        <v>1537</v>
      </c>
      <c r="E16" s="60">
        <v>44475</v>
      </c>
      <c r="F16" s="58">
        <v>150</v>
      </c>
      <c r="G16" s="12" t="s">
        <v>1689</v>
      </c>
      <c r="H16" s="61">
        <f t="shared" si="0"/>
        <v>44475</v>
      </c>
    </row>
    <row r="17" spans="3:12" ht="13.5" customHeight="1" x14ac:dyDescent="0.2">
      <c r="C17" s="12" t="s">
        <v>159</v>
      </c>
      <c r="D17" s="57" t="s">
        <v>1541</v>
      </c>
      <c r="E17" s="60">
        <v>44475</v>
      </c>
      <c r="F17" s="58">
        <v>592.03</v>
      </c>
      <c r="G17" s="12" t="s">
        <v>1689</v>
      </c>
      <c r="H17" s="61">
        <f t="shared" si="0"/>
        <v>44475</v>
      </c>
    </row>
    <row r="18" spans="3:12" ht="13.5" customHeight="1" x14ac:dyDescent="0.2">
      <c r="C18" s="12" t="s">
        <v>56</v>
      </c>
      <c r="D18" s="57" t="s">
        <v>1529</v>
      </c>
      <c r="E18" s="60">
        <v>44475</v>
      </c>
      <c r="F18" s="58">
        <v>53975</v>
      </c>
      <c r="G18" s="12" t="s">
        <v>1689</v>
      </c>
      <c r="H18" s="61">
        <f t="shared" si="0"/>
        <v>44475</v>
      </c>
    </row>
    <row r="19" spans="3:12" ht="13.5" customHeight="1" x14ac:dyDescent="0.2">
      <c r="C19" s="12" t="s">
        <v>72</v>
      </c>
      <c r="D19" s="57" t="s">
        <v>1521</v>
      </c>
      <c r="E19" s="60">
        <v>44475</v>
      </c>
      <c r="F19" s="58">
        <v>2032.81</v>
      </c>
      <c r="G19" s="12" t="s">
        <v>1688</v>
      </c>
      <c r="H19" s="61">
        <f t="shared" si="0"/>
        <v>44475</v>
      </c>
    </row>
    <row r="20" spans="3:12" ht="13.5" customHeight="1" x14ac:dyDescent="0.2">
      <c r="C20" s="12" t="s">
        <v>74</v>
      </c>
      <c r="D20" s="57" t="s">
        <v>1649</v>
      </c>
      <c r="E20" s="60">
        <v>44476</v>
      </c>
      <c r="F20" s="58">
        <v>783.61</v>
      </c>
      <c r="G20" s="12" t="s">
        <v>1676</v>
      </c>
      <c r="H20" s="61">
        <f t="shared" si="0"/>
        <v>44476</v>
      </c>
    </row>
    <row r="21" spans="3:12" ht="13.5" customHeight="1" x14ac:dyDescent="0.2">
      <c r="C21" s="12" t="s">
        <v>88</v>
      </c>
      <c r="D21" s="57" t="s">
        <v>1445</v>
      </c>
      <c r="E21" s="60">
        <v>44476</v>
      </c>
      <c r="F21" s="58">
        <f>824-400</f>
        <v>424</v>
      </c>
      <c r="G21" s="12" t="s">
        <v>1689</v>
      </c>
      <c r="H21" s="61">
        <f t="shared" si="0"/>
        <v>44476</v>
      </c>
    </row>
    <row r="22" spans="3:12" ht="13.5" customHeight="1" x14ac:dyDescent="0.2">
      <c r="C22" s="12" t="s">
        <v>192</v>
      </c>
      <c r="D22" s="57" t="s">
        <v>1554</v>
      </c>
      <c r="E22" s="60">
        <v>44476</v>
      </c>
      <c r="F22" s="58">
        <v>525.02</v>
      </c>
      <c r="G22" s="12" t="s">
        <v>1689</v>
      </c>
      <c r="H22" s="61">
        <f t="shared" si="0"/>
        <v>44476</v>
      </c>
    </row>
    <row r="23" spans="3:12" ht="13.5" customHeight="1" x14ac:dyDescent="0.2">
      <c r="C23" s="12" t="s">
        <v>80</v>
      </c>
      <c r="D23" s="57" t="s">
        <v>235</v>
      </c>
      <c r="E23" s="60">
        <v>44476</v>
      </c>
      <c r="F23" s="58">
        <v>100</v>
      </c>
      <c r="G23" s="12" t="s">
        <v>1689</v>
      </c>
      <c r="H23" s="61">
        <f t="shared" si="0"/>
        <v>44476</v>
      </c>
    </row>
    <row r="24" spans="3:12" ht="13.5" customHeight="1" x14ac:dyDescent="0.2">
      <c r="C24" s="12" t="s">
        <v>83</v>
      </c>
      <c r="D24" s="57" t="s">
        <v>1535</v>
      </c>
      <c r="E24" s="60">
        <v>44476</v>
      </c>
      <c r="F24" s="58">
        <v>1811</v>
      </c>
      <c r="G24" s="12" t="s">
        <v>1689</v>
      </c>
      <c r="H24" s="61">
        <f t="shared" si="0"/>
        <v>44476</v>
      </c>
    </row>
    <row r="25" spans="3:12" ht="13.5" customHeight="1" x14ac:dyDescent="0.2">
      <c r="C25" s="12" t="s">
        <v>192</v>
      </c>
      <c r="D25" s="57" t="s">
        <v>1394</v>
      </c>
      <c r="E25" s="60">
        <v>44476</v>
      </c>
      <c r="F25" s="58">
        <v>520.65</v>
      </c>
      <c r="G25" s="12" t="s">
        <v>1689</v>
      </c>
      <c r="H25" s="61">
        <f t="shared" si="0"/>
        <v>44476</v>
      </c>
    </row>
    <row r="26" spans="3:12" ht="13.5" customHeight="1" x14ac:dyDescent="0.2">
      <c r="C26" s="12" t="s">
        <v>83</v>
      </c>
      <c r="D26" s="57" t="s">
        <v>1550</v>
      </c>
      <c r="E26" s="60">
        <v>44477</v>
      </c>
      <c r="F26" s="58">
        <v>452</v>
      </c>
      <c r="G26" s="12" t="s">
        <v>1689</v>
      </c>
      <c r="H26" s="61">
        <f t="shared" si="0"/>
        <v>44477</v>
      </c>
    </row>
    <row r="27" spans="3:12" ht="13.5" customHeight="1" x14ac:dyDescent="0.2">
      <c r="C27" s="12" t="s">
        <v>56</v>
      </c>
      <c r="D27" s="57" t="s">
        <v>1549</v>
      </c>
      <c r="E27" s="60">
        <v>44477</v>
      </c>
      <c r="F27" s="58">
        <f>3625+3159</f>
        <v>6784</v>
      </c>
      <c r="G27" s="12" t="s">
        <v>1689</v>
      </c>
      <c r="H27" s="61">
        <f t="shared" si="0"/>
        <v>44477</v>
      </c>
    </row>
    <row r="28" spans="3:12" ht="13.5" customHeight="1" x14ac:dyDescent="0.2">
      <c r="C28" s="12" t="s">
        <v>56</v>
      </c>
      <c r="D28" s="57" t="s">
        <v>1570</v>
      </c>
      <c r="E28" s="60">
        <v>44477</v>
      </c>
      <c r="F28" s="58">
        <v>1000</v>
      </c>
      <c r="G28" s="12" t="s">
        <v>1689</v>
      </c>
      <c r="H28" s="61">
        <f t="shared" si="0"/>
        <v>44477</v>
      </c>
    </row>
    <row r="29" spans="3:12" ht="13.5" customHeight="1" x14ac:dyDescent="0.2">
      <c r="C29" s="12" t="s">
        <v>96</v>
      </c>
      <c r="D29" s="57" t="s">
        <v>1546</v>
      </c>
      <c r="E29" s="60">
        <v>44477</v>
      </c>
      <c r="F29" s="58">
        <v>1504.26</v>
      </c>
      <c r="G29" s="12" t="s">
        <v>1689</v>
      </c>
      <c r="H29" s="61">
        <f t="shared" si="0"/>
        <v>44477</v>
      </c>
    </row>
    <row r="30" spans="3:12" ht="13.5" customHeight="1" x14ac:dyDescent="0.2">
      <c r="C30" s="12" t="s">
        <v>159</v>
      </c>
      <c r="D30" s="57" t="s">
        <v>1510</v>
      </c>
      <c r="E30" s="60">
        <v>44477</v>
      </c>
      <c r="F30" s="58">
        <v>787.5</v>
      </c>
      <c r="G30" s="12" t="s">
        <v>1689</v>
      </c>
      <c r="H30" s="61">
        <f t="shared" si="0"/>
        <v>44477</v>
      </c>
    </row>
    <row r="31" spans="3:12" ht="13.5" customHeight="1" x14ac:dyDescent="0.2">
      <c r="C31" s="12" t="s">
        <v>72</v>
      </c>
      <c r="D31" s="57" t="s">
        <v>1731</v>
      </c>
      <c r="E31" s="60">
        <v>44477</v>
      </c>
      <c r="F31" s="58">
        <v>246.8</v>
      </c>
      <c r="G31" s="12" t="s">
        <v>1688</v>
      </c>
      <c r="H31" s="61">
        <f t="shared" si="0"/>
        <v>44477</v>
      </c>
      <c r="L31" s="54"/>
    </row>
    <row r="32" spans="3:12" ht="13.5" customHeight="1" x14ac:dyDescent="0.2">
      <c r="C32" s="12" t="s">
        <v>76</v>
      </c>
      <c r="D32" s="57" t="s">
        <v>1555</v>
      </c>
      <c r="E32" s="60">
        <v>44477</v>
      </c>
      <c r="F32" s="58">
        <v>3000</v>
      </c>
      <c r="G32" s="12" t="s">
        <v>1689</v>
      </c>
      <c r="H32" s="61">
        <f t="shared" si="0"/>
        <v>44477</v>
      </c>
      <c r="L32" s="54"/>
    </row>
    <row r="33" spans="3:12" ht="13.5" customHeight="1" x14ac:dyDescent="0.2">
      <c r="C33" s="12" t="s">
        <v>229</v>
      </c>
      <c r="D33" s="57" t="s">
        <v>1501</v>
      </c>
      <c r="E33" s="60">
        <v>44477</v>
      </c>
      <c r="F33" s="58">
        <v>950</v>
      </c>
      <c r="G33" s="12" t="s">
        <v>1689</v>
      </c>
      <c r="H33" s="61">
        <f t="shared" si="0"/>
        <v>44477</v>
      </c>
      <c r="L33" s="54"/>
    </row>
    <row r="34" spans="3:12" ht="13.5" customHeight="1" x14ac:dyDescent="0.2">
      <c r="C34" s="12" t="s">
        <v>83</v>
      </c>
      <c r="D34" s="57" t="s">
        <v>1588</v>
      </c>
      <c r="E34" s="60">
        <v>44477</v>
      </c>
      <c r="F34" s="58">
        <f>224+460</f>
        <v>684</v>
      </c>
      <c r="G34" s="12" t="s">
        <v>1689</v>
      </c>
      <c r="H34" s="61">
        <f t="shared" ref="H34:H65" si="1">VLOOKUP(E34,$E$2698:$H$3009,4,FALSE)</f>
        <v>44477</v>
      </c>
      <c r="L34" s="54"/>
    </row>
    <row r="35" spans="3:12" ht="13.5" customHeight="1" x14ac:dyDescent="0.2">
      <c r="C35" s="12" t="s">
        <v>159</v>
      </c>
      <c r="D35" s="57" t="s">
        <v>1567</v>
      </c>
      <c r="E35" s="60">
        <v>44477</v>
      </c>
      <c r="F35" s="58">
        <v>90</v>
      </c>
      <c r="G35" s="12" t="s">
        <v>1689</v>
      </c>
      <c r="H35" s="61">
        <f t="shared" si="1"/>
        <v>44477</v>
      </c>
      <c r="L35" s="54"/>
    </row>
    <row r="36" spans="3:12" ht="13.5" customHeight="1" x14ac:dyDescent="0.2">
      <c r="C36" s="12" t="s">
        <v>56</v>
      </c>
      <c r="D36" s="57" t="s">
        <v>1571</v>
      </c>
      <c r="E36" s="60">
        <v>44478</v>
      </c>
      <c r="F36" s="58">
        <f>658+629+91</f>
        <v>1378</v>
      </c>
      <c r="G36" s="12" t="s">
        <v>1689</v>
      </c>
      <c r="H36" s="61">
        <f t="shared" si="1"/>
        <v>44480</v>
      </c>
      <c r="L36" s="54"/>
    </row>
    <row r="37" spans="3:12" ht="13.5" customHeight="1" x14ac:dyDescent="0.2">
      <c r="C37" s="12" t="s">
        <v>74</v>
      </c>
      <c r="D37" s="57" t="s">
        <v>1565</v>
      </c>
      <c r="E37" s="60">
        <v>44480</v>
      </c>
      <c r="F37" s="58">
        <v>30</v>
      </c>
      <c r="G37" s="12" t="s">
        <v>1689</v>
      </c>
      <c r="H37" s="61">
        <f t="shared" si="1"/>
        <v>44480</v>
      </c>
      <c r="L37" s="54"/>
    </row>
    <row r="38" spans="3:12" ht="13.5" customHeight="1" x14ac:dyDescent="0.2">
      <c r="D38" s="56"/>
      <c r="E38" s="60">
        <v>44481</v>
      </c>
      <c r="F38" s="58">
        <v>0</v>
      </c>
      <c r="G38" s="12" t="s">
        <v>1689</v>
      </c>
      <c r="H38" s="61">
        <f t="shared" si="1"/>
        <v>44481</v>
      </c>
      <c r="L38" s="54"/>
    </row>
    <row r="39" spans="3:12" ht="13.5" customHeight="1" x14ac:dyDescent="0.2">
      <c r="C39" s="12" t="s">
        <v>56</v>
      </c>
      <c r="D39" s="57" t="s">
        <v>1571</v>
      </c>
      <c r="E39" s="60">
        <v>44482</v>
      </c>
      <c r="F39" s="58">
        <f>1288+424</f>
        <v>1712</v>
      </c>
      <c r="G39" s="12" t="s">
        <v>1689</v>
      </c>
      <c r="H39" s="61">
        <f t="shared" si="1"/>
        <v>44482</v>
      </c>
      <c r="L39" s="54"/>
    </row>
    <row r="40" spans="3:12" ht="13.5" customHeight="1" x14ac:dyDescent="0.2">
      <c r="C40" s="12" t="s">
        <v>56</v>
      </c>
      <c r="D40" s="57" t="s">
        <v>1577</v>
      </c>
      <c r="E40" s="60">
        <v>44482</v>
      </c>
      <c r="F40" s="58">
        <f>1075+1260+1876+2587+2000</f>
        <v>8798</v>
      </c>
      <c r="G40" s="12" t="s">
        <v>1689</v>
      </c>
      <c r="H40" s="61">
        <f t="shared" si="1"/>
        <v>44482</v>
      </c>
      <c r="L40" s="54"/>
    </row>
    <row r="41" spans="3:12" ht="13.5" customHeight="1" x14ac:dyDescent="0.2">
      <c r="C41" s="12" t="s">
        <v>56</v>
      </c>
      <c r="D41" s="57" t="s">
        <v>1576</v>
      </c>
      <c r="E41" s="60">
        <v>44482</v>
      </c>
      <c r="F41" s="58">
        <f>3139+4550+3175</f>
        <v>10864</v>
      </c>
      <c r="G41" s="12" t="s">
        <v>1689</v>
      </c>
      <c r="H41" s="61">
        <f t="shared" si="1"/>
        <v>44482</v>
      </c>
      <c r="L41" s="54"/>
    </row>
    <row r="42" spans="3:12" ht="13.5" customHeight="1" x14ac:dyDescent="0.2">
      <c r="C42" s="12" t="s">
        <v>77</v>
      </c>
      <c r="D42" s="57" t="s">
        <v>1568</v>
      </c>
      <c r="E42" s="60">
        <v>44482</v>
      </c>
      <c r="F42" s="58">
        <f>44.11+1283.39+189.39</f>
        <v>1516.8899999999999</v>
      </c>
      <c r="G42" s="12" t="s">
        <v>1676</v>
      </c>
      <c r="H42" s="61">
        <f t="shared" si="1"/>
        <v>44482</v>
      </c>
      <c r="L42" s="54"/>
    </row>
    <row r="43" spans="3:12" ht="13.5" customHeight="1" x14ac:dyDescent="0.2">
      <c r="C43" s="12" t="s">
        <v>159</v>
      </c>
      <c r="D43" s="57" t="s">
        <v>1527</v>
      </c>
      <c r="E43" s="60">
        <v>44482</v>
      </c>
      <c r="F43" s="58">
        <v>1037.97</v>
      </c>
      <c r="G43" s="12" t="s">
        <v>1689</v>
      </c>
      <c r="H43" s="61">
        <f t="shared" si="1"/>
        <v>44482</v>
      </c>
      <c r="L43" s="54"/>
    </row>
    <row r="44" spans="3:12" ht="13.5" customHeight="1" x14ac:dyDescent="0.2">
      <c r="C44" s="12" t="s">
        <v>164</v>
      </c>
      <c r="D44" s="57" t="s">
        <v>1464</v>
      </c>
      <c r="E44" s="60">
        <v>44482</v>
      </c>
      <c r="F44" s="58">
        <v>903.27</v>
      </c>
      <c r="G44" s="12" t="s">
        <v>1689</v>
      </c>
      <c r="H44" s="61">
        <f t="shared" si="1"/>
        <v>44482</v>
      </c>
      <c r="L44" s="54"/>
    </row>
    <row r="45" spans="3:12" ht="13.5" customHeight="1" x14ac:dyDescent="0.2">
      <c r="C45" s="12" t="s">
        <v>96</v>
      </c>
      <c r="D45" s="57" t="s">
        <v>1800</v>
      </c>
      <c r="E45" s="60">
        <v>44482</v>
      </c>
      <c r="F45" s="58">
        <v>3390</v>
      </c>
      <c r="G45" s="12" t="s">
        <v>1676</v>
      </c>
      <c r="H45" s="61">
        <f t="shared" si="1"/>
        <v>44482</v>
      </c>
    </row>
    <row r="46" spans="3:12" ht="13.5" customHeight="1" x14ac:dyDescent="0.2">
      <c r="C46" s="12" t="s">
        <v>56</v>
      </c>
      <c r="D46" s="57" t="s">
        <v>236</v>
      </c>
      <c r="E46" s="60">
        <v>44483</v>
      </c>
      <c r="F46" s="58">
        <v>4143.8999999999996</v>
      </c>
      <c r="G46" s="12" t="s">
        <v>1689</v>
      </c>
      <c r="H46" s="61">
        <f t="shared" si="1"/>
        <v>44483</v>
      </c>
    </row>
    <row r="47" spans="3:12" ht="13.5" customHeight="1" x14ac:dyDescent="0.2">
      <c r="C47" s="12" t="s">
        <v>56</v>
      </c>
      <c r="D47" s="57" t="s">
        <v>1580</v>
      </c>
      <c r="E47" s="60">
        <v>44483</v>
      </c>
      <c r="F47" s="58">
        <v>1562</v>
      </c>
      <c r="G47" s="12" t="s">
        <v>1689</v>
      </c>
      <c r="H47" s="61">
        <f t="shared" si="1"/>
        <v>44483</v>
      </c>
    </row>
    <row r="48" spans="3:12" ht="13.5" customHeight="1" x14ac:dyDescent="0.2">
      <c r="C48" s="12" t="s">
        <v>131</v>
      </c>
      <c r="D48" s="57" t="s">
        <v>1448</v>
      </c>
      <c r="E48" s="60">
        <v>44484</v>
      </c>
      <c r="F48" s="58">
        <v>415.09</v>
      </c>
      <c r="G48" s="12" t="s">
        <v>1688</v>
      </c>
      <c r="H48" s="61">
        <f t="shared" si="1"/>
        <v>44484</v>
      </c>
    </row>
    <row r="49" spans="3:8" ht="13.5" customHeight="1" x14ac:dyDescent="0.2">
      <c r="C49" s="12" t="s">
        <v>84</v>
      </c>
      <c r="D49" s="57" t="s">
        <v>1581</v>
      </c>
      <c r="E49" s="60">
        <v>44484</v>
      </c>
      <c r="F49" s="58">
        <v>92.95</v>
      </c>
      <c r="G49" s="12" t="s">
        <v>1689</v>
      </c>
      <c r="H49" s="61">
        <f t="shared" si="1"/>
        <v>44484</v>
      </c>
    </row>
    <row r="50" spans="3:8" ht="13.5" customHeight="1" x14ac:dyDescent="0.2">
      <c r="C50" s="12" t="s">
        <v>84</v>
      </c>
      <c r="D50" s="57" t="s">
        <v>1582</v>
      </c>
      <c r="E50" s="60">
        <v>44484</v>
      </c>
      <c r="F50" s="58">
        <v>95</v>
      </c>
      <c r="G50" s="12" t="s">
        <v>1689</v>
      </c>
      <c r="H50" s="61">
        <f t="shared" si="1"/>
        <v>44484</v>
      </c>
    </row>
    <row r="51" spans="3:8" ht="13.5" customHeight="1" x14ac:dyDescent="0.2">
      <c r="C51" s="12" t="s">
        <v>192</v>
      </c>
      <c r="D51" s="57" t="s">
        <v>1573</v>
      </c>
      <c r="E51" s="60">
        <v>44484</v>
      </c>
      <c r="F51" s="58">
        <v>16.72</v>
      </c>
      <c r="G51" s="12" t="s">
        <v>1689</v>
      </c>
      <c r="H51" s="61">
        <f t="shared" si="1"/>
        <v>44484</v>
      </c>
    </row>
    <row r="52" spans="3:8" ht="13.5" customHeight="1" x14ac:dyDescent="0.2">
      <c r="C52" s="12" t="s">
        <v>83</v>
      </c>
      <c r="D52" s="57" t="s">
        <v>1569</v>
      </c>
      <c r="E52" s="60">
        <v>44484</v>
      </c>
      <c r="F52" s="58">
        <v>158.16</v>
      </c>
      <c r="G52" s="12" t="s">
        <v>1689</v>
      </c>
      <c r="H52" s="61">
        <f t="shared" si="1"/>
        <v>44484</v>
      </c>
    </row>
    <row r="53" spans="3:8" ht="13.5" customHeight="1" x14ac:dyDescent="0.2">
      <c r="C53" s="12" t="s">
        <v>170</v>
      </c>
      <c r="D53" s="57" t="s">
        <v>514</v>
      </c>
      <c r="E53" s="60">
        <v>44484</v>
      </c>
      <c r="F53" s="58">
        <v>248</v>
      </c>
      <c r="G53" s="12" t="s">
        <v>1689</v>
      </c>
      <c r="H53" s="61">
        <f t="shared" si="1"/>
        <v>44484</v>
      </c>
    </row>
    <row r="54" spans="3:8" ht="13.5" customHeight="1" x14ac:dyDescent="0.2">
      <c r="C54" s="12" t="s">
        <v>56</v>
      </c>
      <c r="D54" s="57" t="s">
        <v>1571</v>
      </c>
      <c r="E54" s="60">
        <v>44484</v>
      </c>
      <c r="F54" s="58">
        <v>454</v>
      </c>
      <c r="G54" s="12" t="s">
        <v>1689</v>
      </c>
      <c r="H54" s="61">
        <f t="shared" si="1"/>
        <v>44484</v>
      </c>
    </row>
    <row r="55" spans="3:8" ht="13.5" customHeight="1" x14ac:dyDescent="0.2">
      <c r="C55" s="12" t="s">
        <v>80</v>
      </c>
      <c r="D55" s="57" t="s">
        <v>1501</v>
      </c>
      <c r="E55" s="60">
        <v>44484</v>
      </c>
      <c r="F55" s="58">
        <v>200</v>
      </c>
      <c r="G55" s="12" t="s">
        <v>1689</v>
      </c>
      <c r="H55" s="61">
        <f t="shared" si="1"/>
        <v>44484</v>
      </c>
    </row>
    <row r="56" spans="3:8" ht="13.5" customHeight="1" x14ac:dyDescent="0.2">
      <c r="C56" s="12" t="s">
        <v>56</v>
      </c>
      <c r="D56" s="57" t="s">
        <v>1586</v>
      </c>
      <c r="E56" s="60">
        <v>44484</v>
      </c>
      <c r="F56" s="58">
        <v>400</v>
      </c>
      <c r="G56" s="12" t="s">
        <v>1689</v>
      </c>
      <c r="H56" s="61">
        <f t="shared" si="1"/>
        <v>44484</v>
      </c>
    </row>
    <row r="57" spans="3:8" ht="13.5" customHeight="1" x14ac:dyDescent="0.2">
      <c r="C57" s="12" t="s">
        <v>72</v>
      </c>
      <c r="D57" s="57" t="s">
        <v>1775</v>
      </c>
      <c r="E57" s="60">
        <v>44485</v>
      </c>
      <c r="F57" s="58">
        <v>2505</v>
      </c>
      <c r="G57" s="12" t="s">
        <v>1688</v>
      </c>
      <c r="H57" s="61">
        <f t="shared" si="1"/>
        <v>44487</v>
      </c>
    </row>
    <row r="58" spans="3:8" ht="13.5" customHeight="1" x14ac:dyDescent="0.2">
      <c r="C58" s="12" t="s">
        <v>76</v>
      </c>
      <c r="D58" s="57" t="s">
        <v>1466</v>
      </c>
      <c r="E58" s="60">
        <v>44486</v>
      </c>
      <c r="F58" s="58">
        <v>1000</v>
      </c>
      <c r="G58" s="12" t="s">
        <v>1689</v>
      </c>
      <c r="H58" s="61">
        <f t="shared" si="1"/>
        <v>44487</v>
      </c>
    </row>
    <row r="59" spans="3:8" ht="13.5" customHeight="1" x14ac:dyDescent="0.2">
      <c r="C59" s="12" t="s">
        <v>192</v>
      </c>
      <c r="D59" s="57" t="s">
        <v>807</v>
      </c>
      <c r="E59" s="60">
        <v>44487</v>
      </c>
      <c r="F59" s="58">
        <f>25.31+32.64</f>
        <v>57.95</v>
      </c>
      <c r="G59" s="12" t="s">
        <v>1689</v>
      </c>
      <c r="H59" s="61">
        <f t="shared" si="1"/>
        <v>44487</v>
      </c>
    </row>
    <row r="60" spans="3:8" ht="13.5" customHeight="1" x14ac:dyDescent="0.2">
      <c r="C60" s="12" t="s">
        <v>56</v>
      </c>
      <c r="D60" s="57" t="s">
        <v>196</v>
      </c>
      <c r="E60" s="60">
        <v>44488</v>
      </c>
      <c r="F60" s="58">
        <f>673.39+749.36</f>
        <v>1422.75</v>
      </c>
      <c r="G60" s="12" t="s">
        <v>1689</v>
      </c>
      <c r="H60" s="61">
        <f t="shared" si="1"/>
        <v>44488</v>
      </c>
    </row>
    <row r="61" spans="3:8" ht="13.5" customHeight="1" x14ac:dyDescent="0.2">
      <c r="C61" s="12" t="s">
        <v>73</v>
      </c>
      <c r="D61" s="57" t="s">
        <v>1620</v>
      </c>
      <c r="E61" s="60">
        <v>44489</v>
      </c>
      <c r="F61" s="58">
        <v>168.85</v>
      </c>
      <c r="G61" s="12" t="s">
        <v>1689</v>
      </c>
      <c r="H61" s="61">
        <f t="shared" si="1"/>
        <v>44489</v>
      </c>
    </row>
    <row r="62" spans="3:8" ht="13.5" customHeight="1" x14ac:dyDescent="0.2">
      <c r="C62" s="12" t="s">
        <v>56</v>
      </c>
      <c r="D62" s="57" t="s">
        <v>1615</v>
      </c>
      <c r="E62" s="60">
        <v>44489</v>
      </c>
      <c r="F62" s="58">
        <v>4078</v>
      </c>
      <c r="G62" s="12" t="s">
        <v>1689</v>
      </c>
      <c r="H62" s="61">
        <f t="shared" si="1"/>
        <v>44489</v>
      </c>
    </row>
    <row r="63" spans="3:8" ht="13.5" customHeight="1" x14ac:dyDescent="0.2">
      <c r="C63" s="12" t="s">
        <v>153</v>
      </c>
      <c r="D63" s="57" t="s">
        <v>1561</v>
      </c>
      <c r="E63" s="60">
        <v>44489</v>
      </c>
      <c r="F63" s="58">
        <v>1111.29</v>
      </c>
      <c r="G63" s="12" t="s">
        <v>1689</v>
      </c>
      <c r="H63" s="61">
        <f t="shared" si="1"/>
        <v>44489</v>
      </c>
    </row>
    <row r="64" spans="3:8" ht="13.5" customHeight="1" x14ac:dyDescent="0.2">
      <c r="C64" s="12" t="s">
        <v>83</v>
      </c>
      <c r="D64" s="57" t="s">
        <v>1517</v>
      </c>
      <c r="E64" s="60">
        <v>44489</v>
      </c>
      <c r="F64" s="58">
        <v>815</v>
      </c>
      <c r="G64" s="12" t="s">
        <v>1689</v>
      </c>
      <c r="H64" s="61">
        <f t="shared" si="1"/>
        <v>44489</v>
      </c>
    </row>
    <row r="65" spans="3:8" ht="13.5" customHeight="1" x14ac:dyDescent="0.2">
      <c r="C65" s="12" t="s">
        <v>149</v>
      </c>
      <c r="D65" s="57" t="s">
        <v>1617</v>
      </c>
      <c r="E65" s="60">
        <v>44489</v>
      </c>
      <c r="F65" s="58">
        <f>318.68+318.68</f>
        <v>637.36</v>
      </c>
      <c r="G65" s="12" t="s">
        <v>1676</v>
      </c>
      <c r="H65" s="61">
        <f t="shared" si="1"/>
        <v>44489</v>
      </c>
    </row>
    <row r="66" spans="3:8" ht="13.5" customHeight="1" x14ac:dyDescent="0.2">
      <c r="C66" s="12" t="s">
        <v>72</v>
      </c>
      <c r="D66" s="57" t="s">
        <v>1732</v>
      </c>
      <c r="E66" s="60">
        <v>44489</v>
      </c>
      <c r="F66" s="58">
        <v>84.73</v>
      </c>
      <c r="G66" s="12" t="s">
        <v>1688</v>
      </c>
      <c r="H66" s="61">
        <f t="shared" ref="H66:H97" si="2">VLOOKUP(E66,$E$2698:$H$3009,4,FALSE)</f>
        <v>44489</v>
      </c>
    </row>
    <row r="67" spans="3:8" ht="13.5" customHeight="1" x14ac:dyDescent="0.2">
      <c r="C67" s="12" t="s">
        <v>56</v>
      </c>
      <c r="D67" s="57" t="s">
        <v>197</v>
      </c>
      <c r="E67" s="60">
        <v>44489</v>
      </c>
      <c r="F67" s="58">
        <f>2800-700-180+10+30</f>
        <v>1960</v>
      </c>
      <c r="G67" s="12" t="s">
        <v>1676</v>
      </c>
      <c r="H67" s="61">
        <f t="shared" si="2"/>
        <v>44489</v>
      </c>
    </row>
    <row r="68" spans="3:8" ht="13.5" customHeight="1" x14ac:dyDescent="0.2">
      <c r="C68" s="12" t="s">
        <v>74</v>
      </c>
      <c r="D68" s="57" t="s">
        <v>1622</v>
      </c>
      <c r="E68" s="60">
        <v>44490</v>
      </c>
      <c r="F68" s="58">
        <v>33.409999999999997</v>
      </c>
      <c r="G68" s="12" t="s">
        <v>1689</v>
      </c>
      <c r="H68" s="61">
        <f t="shared" si="2"/>
        <v>44490</v>
      </c>
    </row>
    <row r="69" spans="3:8" ht="13.5" customHeight="1" x14ac:dyDescent="0.2">
      <c r="C69" s="12" t="s">
        <v>83</v>
      </c>
      <c r="D69" s="57" t="s">
        <v>1733</v>
      </c>
      <c r="E69" s="60">
        <v>44490</v>
      </c>
      <c r="F69" s="58">
        <v>500</v>
      </c>
      <c r="G69" s="12" t="s">
        <v>1689</v>
      </c>
      <c r="H69" s="61">
        <f t="shared" si="2"/>
        <v>44490</v>
      </c>
    </row>
    <row r="70" spans="3:8" ht="13.5" customHeight="1" x14ac:dyDescent="0.2">
      <c r="C70" s="12" t="s">
        <v>159</v>
      </c>
      <c r="D70" s="57" t="s">
        <v>521</v>
      </c>
      <c r="E70" s="60">
        <v>44490</v>
      </c>
      <c r="F70" s="58">
        <v>210</v>
      </c>
      <c r="G70" s="12" t="s">
        <v>1689</v>
      </c>
      <c r="H70" s="61">
        <f t="shared" si="2"/>
        <v>44490</v>
      </c>
    </row>
    <row r="71" spans="3:8" ht="13.5" customHeight="1" x14ac:dyDescent="0.2">
      <c r="C71" s="12" t="s">
        <v>80</v>
      </c>
      <c r="D71" s="57" t="s">
        <v>1621</v>
      </c>
      <c r="E71" s="60">
        <v>44490</v>
      </c>
      <c r="F71" s="58">
        <v>200</v>
      </c>
      <c r="G71" s="12" t="s">
        <v>1689</v>
      </c>
      <c r="H71" s="61">
        <f t="shared" si="2"/>
        <v>44490</v>
      </c>
    </row>
    <row r="72" spans="3:8" ht="13.5" customHeight="1" x14ac:dyDescent="0.2">
      <c r="C72" s="12" t="s">
        <v>76</v>
      </c>
      <c r="D72" s="57" t="s">
        <v>1494</v>
      </c>
      <c r="E72" s="60">
        <v>44490</v>
      </c>
      <c r="F72" s="58">
        <v>2010</v>
      </c>
      <c r="G72" s="12" t="s">
        <v>1676</v>
      </c>
      <c r="H72" s="61">
        <f t="shared" si="2"/>
        <v>44490</v>
      </c>
    </row>
    <row r="73" spans="3:8" ht="13.5" customHeight="1" x14ac:dyDescent="0.2">
      <c r="C73" s="12" t="s">
        <v>56</v>
      </c>
      <c r="D73" s="57" t="s">
        <v>1571</v>
      </c>
      <c r="E73" s="60">
        <v>44491</v>
      </c>
      <c r="F73" s="58">
        <v>112</v>
      </c>
      <c r="G73" s="12" t="s">
        <v>1689</v>
      </c>
      <c r="H73" s="61">
        <f t="shared" si="2"/>
        <v>44491</v>
      </c>
    </row>
    <row r="74" spans="3:8" ht="13.5" customHeight="1" x14ac:dyDescent="0.2">
      <c r="C74" s="12" t="s">
        <v>192</v>
      </c>
      <c r="D74" s="57" t="s">
        <v>1552</v>
      </c>
      <c r="E74" s="60">
        <v>44491</v>
      </c>
      <c r="F74" s="58">
        <v>394.16</v>
      </c>
      <c r="G74" s="12" t="s">
        <v>1689</v>
      </c>
      <c r="H74" s="61">
        <f t="shared" si="2"/>
        <v>44491</v>
      </c>
    </row>
    <row r="75" spans="3:8" ht="13.5" customHeight="1" x14ac:dyDescent="0.2">
      <c r="C75" s="12" t="s">
        <v>76</v>
      </c>
      <c r="D75" s="57" t="s">
        <v>1624</v>
      </c>
      <c r="E75" s="60">
        <v>44491</v>
      </c>
      <c r="F75" s="58">
        <v>3000</v>
      </c>
      <c r="G75" s="12" t="s">
        <v>1689</v>
      </c>
      <c r="H75" s="61">
        <f t="shared" si="2"/>
        <v>44491</v>
      </c>
    </row>
    <row r="76" spans="3:8" ht="13.5" customHeight="1" x14ac:dyDescent="0.2">
      <c r="C76" s="12" t="s">
        <v>83</v>
      </c>
      <c r="D76" s="57" t="s">
        <v>1536</v>
      </c>
      <c r="E76" s="60">
        <v>44491</v>
      </c>
      <c r="F76" s="58">
        <v>1811</v>
      </c>
      <c r="G76" s="12" t="s">
        <v>1689</v>
      </c>
      <c r="H76" s="61">
        <f t="shared" si="2"/>
        <v>44491</v>
      </c>
    </row>
    <row r="77" spans="3:8" ht="13.5" customHeight="1" x14ac:dyDescent="0.2">
      <c r="C77" s="12" t="s">
        <v>584</v>
      </c>
      <c r="D77" s="57" t="s">
        <v>1137</v>
      </c>
      <c r="E77" s="60">
        <v>44491</v>
      </c>
      <c r="F77" s="58">
        <v>3200</v>
      </c>
      <c r="G77" s="12" t="s">
        <v>1689</v>
      </c>
      <c r="H77" s="61">
        <f t="shared" si="2"/>
        <v>44491</v>
      </c>
    </row>
    <row r="78" spans="3:8" ht="13.5" customHeight="1" x14ac:dyDescent="0.2">
      <c r="C78" s="12" t="s">
        <v>56</v>
      </c>
      <c r="D78" s="57" t="s">
        <v>1627</v>
      </c>
      <c r="E78" s="60">
        <v>44491</v>
      </c>
      <c r="F78" s="58">
        <v>1209</v>
      </c>
      <c r="G78" s="12" t="s">
        <v>1689</v>
      </c>
      <c r="H78" s="61">
        <f t="shared" si="2"/>
        <v>44491</v>
      </c>
    </row>
    <row r="79" spans="3:8" ht="13.5" customHeight="1" x14ac:dyDescent="0.2">
      <c r="C79" s="12" t="s">
        <v>192</v>
      </c>
      <c r="D79" s="57" t="s">
        <v>1626</v>
      </c>
      <c r="E79" s="60">
        <v>44491</v>
      </c>
      <c r="F79" s="58">
        <v>520.04999999999995</v>
      </c>
      <c r="G79" s="12" t="s">
        <v>1689</v>
      </c>
      <c r="H79" s="61">
        <f t="shared" si="2"/>
        <v>44491</v>
      </c>
    </row>
    <row r="80" spans="3:8" ht="13.5" customHeight="1" x14ac:dyDescent="0.2">
      <c r="C80" s="12" t="s">
        <v>159</v>
      </c>
      <c r="D80" s="57" t="s">
        <v>513</v>
      </c>
      <c r="E80" s="60">
        <v>44491</v>
      </c>
      <c r="F80" s="58">
        <v>75.5</v>
      </c>
      <c r="G80" s="12" t="s">
        <v>1689</v>
      </c>
      <c r="H80" s="61">
        <f t="shared" si="2"/>
        <v>44491</v>
      </c>
    </row>
    <row r="81" spans="3:8" ht="13.5" customHeight="1" x14ac:dyDescent="0.2">
      <c r="C81" s="12" t="s">
        <v>96</v>
      </c>
      <c r="D81" s="57" t="s">
        <v>1558</v>
      </c>
      <c r="E81" s="60">
        <v>44491</v>
      </c>
      <c r="F81" s="58">
        <v>1500</v>
      </c>
      <c r="G81" s="12" t="s">
        <v>1689</v>
      </c>
      <c r="H81" s="61">
        <f t="shared" si="2"/>
        <v>44491</v>
      </c>
    </row>
    <row r="82" spans="3:8" ht="13.5" customHeight="1" x14ac:dyDescent="0.2">
      <c r="C82" s="12" t="s">
        <v>96</v>
      </c>
      <c r="D82" s="57" t="s">
        <v>1542</v>
      </c>
      <c r="E82" s="60">
        <v>44491</v>
      </c>
      <c r="F82" s="58">
        <v>3000</v>
      </c>
      <c r="G82" s="12" t="s">
        <v>1689</v>
      </c>
      <c r="H82" s="61">
        <f t="shared" si="2"/>
        <v>44491</v>
      </c>
    </row>
    <row r="83" spans="3:8" ht="13.5" customHeight="1" x14ac:dyDescent="0.2">
      <c r="C83" s="12" t="s">
        <v>86</v>
      </c>
      <c r="D83" s="57" t="s">
        <v>212</v>
      </c>
      <c r="E83" s="60">
        <v>44491</v>
      </c>
      <c r="F83" s="58">
        <v>94.39</v>
      </c>
      <c r="G83" s="12" t="s">
        <v>1676</v>
      </c>
      <c r="H83" s="61">
        <f t="shared" si="2"/>
        <v>44491</v>
      </c>
    </row>
    <row r="84" spans="3:8" ht="13.5" customHeight="1" x14ac:dyDescent="0.2">
      <c r="C84" s="12" t="s">
        <v>171</v>
      </c>
      <c r="D84" s="57" t="s">
        <v>172</v>
      </c>
      <c r="E84" s="60">
        <v>44491</v>
      </c>
      <c r="F84" s="58">
        <v>78.56</v>
      </c>
      <c r="G84" s="12" t="s">
        <v>1676</v>
      </c>
      <c r="H84" s="61">
        <f t="shared" si="2"/>
        <v>44491</v>
      </c>
    </row>
    <row r="85" spans="3:8" ht="13.5" customHeight="1" x14ac:dyDescent="0.2">
      <c r="C85" s="12" t="s">
        <v>86</v>
      </c>
      <c r="D85" s="57" t="s">
        <v>1578</v>
      </c>
      <c r="E85" s="60">
        <v>44491</v>
      </c>
      <c r="F85" s="58">
        <v>92.62</v>
      </c>
      <c r="G85" s="12" t="s">
        <v>1676</v>
      </c>
      <c r="H85" s="61">
        <f t="shared" si="2"/>
        <v>44491</v>
      </c>
    </row>
    <row r="86" spans="3:8" ht="13.5" customHeight="1" x14ac:dyDescent="0.2">
      <c r="C86" s="12" t="s">
        <v>84</v>
      </c>
      <c r="D86" s="57" t="s">
        <v>1323</v>
      </c>
      <c r="E86" s="60">
        <v>44491</v>
      </c>
      <c r="F86" s="58">
        <v>2500</v>
      </c>
      <c r="G86" s="12" t="s">
        <v>1689</v>
      </c>
      <c r="H86" s="61">
        <f t="shared" si="2"/>
        <v>44491</v>
      </c>
    </row>
    <row r="87" spans="3:8" ht="13.5" customHeight="1" x14ac:dyDescent="0.2">
      <c r="C87" s="12" t="s">
        <v>88</v>
      </c>
      <c r="D87" s="57" t="s">
        <v>1797</v>
      </c>
      <c r="E87" s="60">
        <v>44491</v>
      </c>
      <c r="F87" s="58">
        <v>584</v>
      </c>
      <c r="G87" s="12" t="s">
        <v>1689</v>
      </c>
      <c r="H87" s="61">
        <f t="shared" si="2"/>
        <v>44491</v>
      </c>
    </row>
    <row r="88" spans="3:8" ht="13.5" customHeight="1" x14ac:dyDescent="0.2">
      <c r="C88" s="12" t="s">
        <v>89</v>
      </c>
      <c r="D88" s="57" t="s">
        <v>1641</v>
      </c>
      <c r="E88" s="60">
        <v>44491</v>
      </c>
      <c r="F88" s="58">
        <v>91.05</v>
      </c>
      <c r="G88" s="12" t="s">
        <v>64</v>
      </c>
      <c r="H88" s="61">
        <f t="shared" si="2"/>
        <v>44491</v>
      </c>
    </row>
    <row r="89" spans="3:8" ht="13.5" customHeight="1" x14ac:dyDescent="0.2">
      <c r="C89" s="12" t="s">
        <v>56</v>
      </c>
      <c r="D89" s="57" t="s">
        <v>1630</v>
      </c>
      <c r="E89" s="60">
        <v>44492</v>
      </c>
      <c r="F89" s="58">
        <v>2541</v>
      </c>
      <c r="G89" s="12" t="s">
        <v>1689</v>
      </c>
      <c r="H89" s="61">
        <f t="shared" si="2"/>
        <v>44494</v>
      </c>
    </row>
    <row r="90" spans="3:8" ht="13.5" customHeight="1" x14ac:dyDescent="0.2">
      <c r="C90" s="12" t="s">
        <v>80</v>
      </c>
      <c r="D90" s="57" t="s">
        <v>240</v>
      </c>
      <c r="E90" s="60">
        <v>44493</v>
      </c>
      <c r="F90" s="58">
        <v>200</v>
      </c>
      <c r="G90" s="12" t="s">
        <v>1688</v>
      </c>
      <c r="H90" s="61">
        <f t="shared" si="2"/>
        <v>44494</v>
      </c>
    </row>
    <row r="91" spans="3:8" ht="13.5" customHeight="1" x14ac:dyDescent="0.2">
      <c r="C91" s="12" t="s">
        <v>56</v>
      </c>
      <c r="D91" s="57" t="s">
        <v>1571</v>
      </c>
      <c r="E91" s="60">
        <v>44494</v>
      </c>
      <c r="F91" s="58">
        <v>694</v>
      </c>
      <c r="G91" s="12" t="s">
        <v>1689</v>
      </c>
      <c r="H91" s="61">
        <f t="shared" si="2"/>
        <v>44494</v>
      </c>
    </row>
    <row r="92" spans="3:8" ht="13.5" customHeight="1" x14ac:dyDescent="0.2">
      <c r="C92" s="12" t="s">
        <v>72</v>
      </c>
      <c r="D92" s="57" t="s">
        <v>1711</v>
      </c>
      <c r="E92" s="60">
        <v>44494</v>
      </c>
      <c r="F92" s="58">
        <v>100</v>
      </c>
      <c r="G92" s="12" t="s">
        <v>1688</v>
      </c>
      <c r="H92" s="61">
        <f t="shared" si="2"/>
        <v>44494</v>
      </c>
    </row>
    <row r="93" spans="3:8" ht="13.5" customHeight="1" x14ac:dyDescent="0.2">
      <c r="C93" s="12" t="s">
        <v>192</v>
      </c>
      <c r="D93" s="57" t="s">
        <v>1583</v>
      </c>
      <c r="E93" s="60">
        <v>44494</v>
      </c>
      <c r="F93" s="58">
        <v>365.74</v>
      </c>
      <c r="G93" s="12" t="s">
        <v>1689</v>
      </c>
      <c r="H93" s="61">
        <f t="shared" si="2"/>
        <v>44494</v>
      </c>
    </row>
    <row r="94" spans="3:8" ht="13.5" customHeight="1" x14ac:dyDescent="0.2">
      <c r="C94" s="12" t="s">
        <v>74</v>
      </c>
      <c r="D94" s="57" t="s">
        <v>1599</v>
      </c>
      <c r="E94" s="60">
        <v>44494</v>
      </c>
      <c r="F94" s="58">
        <f>12156.93+201.92</f>
        <v>12358.85</v>
      </c>
      <c r="G94" s="12" t="s">
        <v>1689</v>
      </c>
      <c r="H94" s="61">
        <f t="shared" si="2"/>
        <v>44494</v>
      </c>
    </row>
    <row r="95" spans="3:8" ht="13.5" customHeight="1" x14ac:dyDescent="0.2">
      <c r="C95" s="12" t="s">
        <v>56</v>
      </c>
      <c r="D95" s="57" t="s">
        <v>1631</v>
      </c>
      <c r="E95" s="60">
        <v>44494</v>
      </c>
      <c r="F95" s="58">
        <v>2541</v>
      </c>
      <c r="G95" s="12" t="s">
        <v>1689</v>
      </c>
      <c r="H95" s="61">
        <f t="shared" si="2"/>
        <v>44494</v>
      </c>
    </row>
    <row r="96" spans="3:8" ht="13.5" customHeight="1" x14ac:dyDescent="0.2">
      <c r="C96" s="12" t="s">
        <v>97</v>
      </c>
      <c r="D96" s="57" t="s">
        <v>1603</v>
      </c>
      <c r="E96" s="60">
        <v>44494</v>
      </c>
      <c r="F96" s="58">
        <v>7587</v>
      </c>
      <c r="G96" s="12" t="s">
        <v>1676</v>
      </c>
      <c r="H96" s="61">
        <f t="shared" si="2"/>
        <v>44494</v>
      </c>
    </row>
    <row r="97" spans="3:8" ht="13.5" customHeight="1" x14ac:dyDescent="0.2">
      <c r="C97" s="12" t="s">
        <v>97</v>
      </c>
      <c r="D97" s="57" t="s">
        <v>1604</v>
      </c>
      <c r="E97" s="60">
        <v>44494</v>
      </c>
      <c r="F97" s="58">
        <f>14028.3+985.75</f>
        <v>15014.05</v>
      </c>
      <c r="G97" s="12" t="s">
        <v>1676</v>
      </c>
      <c r="H97" s="61">
        <f t="shared" si="2"/>
        <v>44494</v>
      </c>
    </row>
    <row r="98" spans="3:8" ht="13.5" customHeight="1" x14ac:dyDescent="0.2">
      <c r="C98" s="12" t="s">
        <v>97</v>
      </c>
      <c r="D98" s="57" t="s">
        <v>1605</v>
      </c>
      <c r="E98" s="60">
        <v>44494</v>
      </c>
      <c r="F98" s="58">
        <v>14028.3</v>
      </c>
      <c r="G98" s="12" t="s">
        <v>1676</v>
      </c>
      <c r="H98" s="61">
        <f t="shared" ref="H98:H118" si="3">VLOOKUP(E98,$E$2698:$H$3009,4,FALSE)</f>
        <v>44494</v>
      </c>
    </row>
    <row r="99" spans="3:8" ht="13.5" customHeight="1" x14ac:dyDescent="0.2">
      <c r="C99" s="12" t="s">
        <v>159</v>
      </c>
      <c r="D99" s="57" t="s">
        <v>1342</v>
      </c>
      <c r="E99" s="60">
        <v>44495</v>
      </c>
      <c r="F99" s="58">
        <v>642.4</v>
      </c>
      <c r="G99" s="12" t="s">
        <v>1689</v>
      </c>
      <c r="H99" s="61">
        <f t="shared" si="3"/>
        <v>44495</v>
      </c>
    </row>
    <row r="100" spans="3:8" ht="13.5" customHeight="1" x14ac:dyDescent="0.2">
      <c r="C100" s="12" t="s">
        <v>243</v>
      </c>
      <c r="D100" s="57" t="s">
        <v>254</v>
      </c>
      <c r="E100" s="60">
        <v>44495</v>
      </c>
      <c r="F100" s="58">
        <v>1000</v>
      </c>
      <c r="G100" s="12" t="s">
        <v>1689</v>
      </c>
      <c r="H100" s="61">
        <f t="shared" si="3"/>
        <v>44495</v>
      </c>
    </row>
    <row r="101" spans="3:8" ht="13.5" customHeight="1" x14ac:dyDescent="0.2">
      <c r="C101" s="12"/>
      <c r="D101" s="57"/>
      <c r="E101" s="60">
        <v>44496</v>
      </c>
      <c r="F101" s="58">
        <v>0</v>
      </c>
      <c r="G101" s="12" t="s">
        <v>1689</v>
      </c>
      <c r="H101" s="61">
        <f t="shared" si="3"/>
        <v>44496</v>
      </c>
    </row>
    <row r="102" spans="3:8" ht="13.5" customHeight="1" x14ac:dyDescent="0.2">
      <c r="C102" s="12" t="s">
        <v>75</v>
      </c>
      <c r="D102" s="57" t="s">
        <v>1637</v>
      </c>
      <c r="E102" s="60">
        <v>44497</v>
      </c>
      <c r="F102" s="58">
        <v>20000</v>
      </c>
      <c r="G102" s="12" t="s">
        <v>1689</v>
      </c>
      <c r="H102" s="61">
        <f t="shared" si="3"/>
        <v>44497</v>
      </c>
    </row>
    <row r="103" spans="3:8" ht="13.5" customHeight="1" x14ac:dyDescent="0.2">
      <c r="C103" s="12" t="s">
        <v>164</v>
      </c>
      <c r="D103" s="57" t="s">
        <v>1706</v>
      </c>
      <c r="E103" s="60">
        <v>44498</v>
      </c>
      <c r="F103" s="58">
        <v>210</v>
      </c>
      <c r="G103" s="12" t="s">
        <v>1676</v>
      </c>
      <c r="H103" s="61">
        <f t="shared" si="3"/>
        <v>44498</v>
      </c>
    </row>
    <row r="104" spans="3:8" ht="13.5" customHeight="1" x14ac:dyDescent="0.2">
      <c r="C104" s="12" t="s">
        <v>56</v>
      </c>
      <c r="D104" s="57" t="s">
        <v>1650</v>
      </c>
      <c r="E104" s="60">
        <v>44498</v>
      </c>
      <c r="F104" s="58">
        <v>120</v>
      </c>
      <c r="G104" s="12" t="s">
        <v>1689</v>
      </c>
      <c r="H104" s="61">
        <f t="shared" si="3"/>
        <v>44498</v>
      </c>
    </row>
    <row r="105" spans="3:8" ht="13.5" customHeight="1" x14ac:dyDescent="0.2">
      <c r="C105" s="12" t="s">
        <v>192</v>
      </c>
      <c r="D105" s="57" t="s">
        <v>1632</v>
      </c>
      <c r="E105" s="60">
        <v>44498</v>
      </c>
      <c r="F105" s="58">
        <v>144.88999999999999</v>
      </c>
      <c r="G105" s="12" t="s">
        <v>1689</v>
      </c>
      <c r="H105" s="61">
        <f t="shared" si="3"/>
        <v>44498</v>
      </c>
    </row>
    <row r="106" spans="3:8" ht="13.5" customHeight="1" x14ac:dyDescent="0.2">
      <c r="C106" s="12" t="s">
        <v>72</v>
      </c>
      <c r="D106" s="57" t="s">
        <v>781</v>
      </c>
      <c r="E106" s="60">
        <v>44498</v>
      </c>
      <c r="F106" s="58">
        <v>242.81</v>
      </c>
      <c r="G106" s="12" t="s">
        <v>1689</v>
      </c>
      <c r="H106" s="61">
        <f t="shared" si="3"/>
        <v>44498</v>
      </c>
    </row>
    <row r="107" spans="3:8" ht="13.5" customHeight="1" x14ac:dyDescent="0.2">
      <c r="C107" s="12" t="s">
        <v>89</v>
      </c>
      <c r="D107" s="57" t="s">
        <v>1592</v>
      </c>
      <c r="E107" s="60">
        <v>44498</v>
      </c>
      <c r="F107" s="58">
        <v>1088.78</v>
      </c>
      <c r="G107" s="12" t="s">
        <v>1689</v>
      </c>
      <c r="H107" s="61">
        <f t="shared" si="3"/>
        <v>44498</v>
      </c>
    </row>
    <row r="108" spans="3:8" ht="13.5" customHeight="1" x14ac:dyDescent="0.2">
      <c r="C108" s="12" t="s">
        <v>56</v>
      </c>
      <c r="D108" s="57" t="s">
        <v>1585</v>
      </c>
      <c r="E108" s="60">
        <v>44498</v>
      </c>
      <c r="F108" s="58">
        <v>600</v>
      </c>
      <c r="G108" s="12" t="s">
        <v>1689</v>
      </c>
      <c r="H108" s="61">
        <f t="shared" si="3"/>
        <v>44498</v>
      </c>
    </row>
    <row r="109" spans="3:8" ht="13.5" customHeight="1" x14ac:dyDescent="0.2">
      <c r="C109" s="12" t="s">
        <v>76</v>
      </c>
      <c r="D109" s="57" t="s">
        <v>1625</v>
      </c>
      <c r="E109" s="60">
        <v>44498</v>
      </c>
      <c r="F109" s="58">
        <v>2276</v>
      </c>
      <c r="G109" s="12" t="s">
        <v>1689</v>
      </c>
      <c r="H109" s="61">
        <f t="shared" si="3"/>
        <v>44498</v>
      </c>
    </row>
    <row r="110" spans="3:8" ht="13.5" customHeight="1" x14ac:dyDescent="0.2">
      <c r="C110" s="12" t="s">
        <v>72</v>
      </c>
      <c r="D110" s="57" t="s">
        <v>1742</v>
      </c>
      <c r="E110" s="60">
        <v>44498</v>
      </c>
      <c r="F110" s="58">
        <v>1020.5</v>
      </c>
      <c r="G110" s="12" t="s">
        <v>1688</v>
      </c>
      <c r="H110" s="61">
        <f t="shared" si="3"/>
        <v>44498</v>
      </c>
    </row>
    <row r="111" spans="3:8" ht="13.5" customHeight="1" x14ac:dyDescent="0.2">
      <c r="C111" s="12" t="s">
        <v>82</v>
      </c>
      <c r="D111" s="12" t="s">
        <v>1447</v>
      </c>
      <c r="E111" s="60">
        <v>44498</v>
      </c>
      <c r="F111" s="58">
        <v>1081.5899999999999</v>
      </c>
      <c r="G111" s="12" t="s">
        <v>1676</v>
      </c>
      <c r="H111" s="61">
        <f t="shared" si="3"/>
        <v>44498</v>
      </c>
    </row>
    <row r="112" spans="3:8" ht="13.5" customHeight="1" x14ac:dyDescent="0.2">
      <c r="C112" s="12" t="s">
        <v>56</v>
      </c>
      <c r="D112" s="57" t="s">
        <v>1654</v>
      </c>
      <c r="E112" s="60">
        <v>44498</v>
      </c>
      <c r="F112" s="58">
        <v>1560</v>
      </c>
      <c r="G112" s="12" t="s">
        <v>1689</v>
      </c>
      <c r="H112" s="61">
        <f t="shared" si="3"/>
        <v>44498</v>
      </c>
    </row>
    <row r="113" spans="2:8" ht="13.5" customHeight="1" x14ac:dyDescent="0.2">
      <c r="C113" s="12" t="s">
        <v>84</v>
      </c>
      <c r="D113" s="57" t="s">
        <v>1323</v>
      </c>
      <c r="E113" s="60">
        <v>44498</v>
      </c>
      <c r="F113" s="58">
        <v>2000</v>
      </c>
      <c r="G113" s="12" t="s">
        <v>1689</v>
      </c>
      <c r="H113" s="61">
        <f t="shared" si="3"/>
        <v>44498</v>
      </c>
    </row>
    <row r="114" spans="2:8" ht="13.5" customHeight="1" x14ac:dyDescent="0.2">
      <c r="C114" s="12" t="s">
        <v>83</v>
      </c>
      <c r="D114" s="57" t="s">
        <v>1652</v>
      </c>
      <c r="E114" s="60">
        <v>44498</v>
      </c>
      <c r="F114" s="58">
        <v>500</v>
      </c>
      <c r="G114" s="12" t="s">
        <v>1689</v>
      </c>
      <c r="H114" s="61">
        <f t="shared" si="3"/>
        <v>44498</v>
      </c>
    </row>
    <row r="115" spans="2:8" ht="13.5" customHeight="1" x14ac:dyDescent="0.2">
      <c r="C115" s="12" t="s">
        <v>83</v>
      </c>
      <c r="D115" s="57" t="s">
        <v>1651</v>
      </c>
      <c r="E115" s="60">
        <v>44498</v>
      </c>
      <c r="F115" s="58">
        <v>1500</v>
      </c>
      <c r="G115" s="12" t="s">
        <v>1689</v>
      </c>
      <c r="H115" s="61">
        <f t="shared" si="3"/>
        <v>44498</v>
      </c>
    </row>
    <row r="116" spans="2:8" ht="13.5" customHeight="1" x14ac:dyDescent="0.2">
      <c r="C116" s="12" t="s">
        <v>80</v>
      </c>
      <c r="D116" s="57" t="s">
        <v>236</v>
      </c>
      <c r="E116" s="60">
        <v>44498</v>
      </c>
      <c r="F116" s="58">
        <v>150</v>
      </c>
      <c r="G116" s="12" t="s">
        <v>1689</v>
      </c>
      <c r="H116" s="61">
        <f t="shared" si="3"/>
        <v>44498</v>
      </c>
    </row>
    <row r="117" spans="2:8" ht="13.5" customHeight="1" x14ac:dyDescent="0.2">
      <c r="C117" s="12" t="s">
        <v>192</v>
      </c>
      <c r="D117" s="57" t="s">
        <v>1633</v>
      </c>
      <c r="E117" s="60">
        <v>44498</v>
      </c>
      <c r="F117" s="58">
        <v>13.12</v>
      </c>
      <c r="G117" s="12" t="s">
        <v>1689</v>
      </c>
      <c r="H117" s="61">
        <f t="shared" si="3"/>
        <v>44498</v>
      </c>
    </row>
    <row r="118" spans="2:8" ht="13.5" customHeight="1" x14ac:dyDescent="0.2">
      <c r="C118" s="12" t="s">
        <v>97</v>
      </c>
      <c r="D118" s="57" t="s">
        <v>348</v>
      </c>
      <c r="E118" s="60">
        <v>44498</v>
      </c>
      <c r="F118" s="58">
        <v>534.79</v>
      </c>
      <c r="G118" s="12" t="s">
        <v>1689</v>
      </c>
      <c r="H118" s="61">
        <f t="shared" si="3"/>
        <v>44498</v>
      </c>
    </row>
    <row r="119" spans="2:8" ht="13.5" customHeight="1" x14ac:dyDescent="0.2">
      <c r="B119" s="156"/>
      <c r="C119" s="161"/>
      <c r="D119" s="162"/>
      <c r="E119" s="163"/>
      <c r="F119" s="157"/>
      <c r="G119" s="161"/>
      <c r="H119" s="164"/>
    </row>
    <row r="120" spans="2:8" ht="13.5" customHeight="1" x14ac:dyDescent="0.2">
      <c r="B120" s="156"/>
      <c r="C120" s="145" t="s">
        <v>96</v>
      </c>
      <c r="D120" s="146" t="s">
        <v>1482</v>
      </c>
      <c r="E120" s="154">
        <v>44501</v>
      </c>
      <c r="F120" s="147">
        <v>1100</v>
      </c>
      <c r="G120" s="145" t="s">
        <v>1689</v>
      </c>
      <c r="H120" s="164" t="e">
        <f t="shared" ref="H120:H148" si="4">VLOOKUP(E120,$E$2698:$H$3009,4,FALSE)</f>
        <v>#N/A</v>
      </c>
    </row>
    <row r="121" spans="2:8" ht="13.5" customHeight="1" x14ac:dyDescent="0.2">
      <c r="B121" s="156"/>
      <c r="C121" s="158" t="s">
        <v>86</v>
      </c>
      <c r="D121" s="159" t="s">
        <v>1557</v>
      </c>
      <c r="E121" s="154">
        <v>44501</v>
      </c>
      <c r="F121" s="160">
        <v>1281.23</v>
      </c>
      <c r="G121" s="158" t="s">
        <v>68</v>
      </c>
      <c r="H121" s="164" t="e">
        <f t="shared" si="4"/>
        <v>#N/A</v>
      </c>
    </row>
    <row r="122" spans="2:8" ht="13.5" customHeight="1" x14ac:dyDescent="0.2">
      <c r="B122" s="156"/>
      <c r="C122" s="145" t="s">
        <v>56</v>
      </c>
      <c r="D122" s="146" t="s">
        <v>1655</v>
      </c>
      <c r="E122" s="154">
        <v>44501</v>
      </c>
      <c r="F122" s="147">
        <v>1209</v>
      </c>
      <c r="G122" s="145" t="s">
        <v>1689</v>
      </c>
      <c r="H122" s="164" t="e">
        <f t="shared" si="4"/>
        <v>#N/A</v>
      </c>
    </row>
    <row r="123" spans="2:8" ht="13.5" customHeight="1" x14ac:dyDescent="0.2">
      <c r="B123" s="156"/>
      <c r="C123" s="145" t="s">
        <v>159</v>
      </c>
      <c r="D123" s="145" t="s">
        <v>1526</v>
      </c>
      <c r="E123" s="154">
        <v>44501</v>
      </c>
      <c r="F123" s="147">
        <v>562.5</v>
      </c>
      <c r="G123" s="145" t="s">
        <v>1689</v>
      </c>
      <c r="H123" s="164" t="e">
        <f t="shared" si="4"/>
        <v>#N/A</v>
      </c>
    </row>
    <row r="124" spans="2:8" ht="13.5" customHeight="1" x14ac:dyDescent="0.2">
      <c r="B124" s="156"/>
      <c r="C124" s="158" t="s">
        <v>149</v>
      </c>
      <c r="D124" s="159" t="s">
        <v>1639</v>
      </c>
      <c r="E124" s="154">
        <v>44501</v>
      </c>
      <c r="F124" s="160">
        <v>315</v>
      </c>
      <c r="G124" s="158" t="s">
        <v>1676</v>
      </c>
      <c r="H124" s="164" t="e">
        <f t="shared" si="4"/>
        <v>#N/A</v>
      </c>
    </row>
    <row r="125" spans="2:8" ht="13.5" customHeight="1" x14ac:dyDescent="0.2">
      <c r="B125" s="156"/>
      <c r="C125" s="145" t="s">
        <v>96</v>
      </c>
      <c r="D125" s="146" t="s">
        <v>1450</v>
      </c>
      <c r="E125" s="154">
        <v>44501</v>
      </c>
      <c r="F125" s="147">
        <v>1500</v>
      </c>
      <c r="G125" s="145" t="s">
        <v>1689</v>
      </c>
      <c r="H125" s="164" t="e">
        <f t="shared" si="4"/>
        <v>#N/A</v>
      </c>
    </row>
    <row r="126" spans="2:8" ht="13.5" customHeight="1" x14ac:dyDescent="0.2">
      <c r="C126" s="145" t="s">
        <v>159</v>
      </c>
      <c r="D126" s="146" t="s">
        <v>1640</v>
      </c>
      <c r="E126" s="154">
        <v>44501</v>
      </c>
      <c r="F126" s="147">
        <v>336.56</v>
      </c>
      <c r="G126" s="145" t="s">
        <v>1689</v>
      </c>
      <c r="H126" s="61" t="e">
        <f t="shared" si="4"/>
        <v>#N/A</v>
      </c>
    </row>
    <row r="127" spans="2:8" ht="13.5" customHeight="1" x14ac:dyDescent="0.2">
      <c r="C127" s="145" t="s">
        <v>56</v>
      </c>
      <c r="D127" s="146" t="s">
        <v>1628</v>
      </c>
      <c r="E127" s="154">
        <v>44501</v>
      </c>
      <c r="F127" s="147">
        <f>5166+5166-1209-1209</f>
        <v>7914</v>
      </c>
      <c r="G127" s="145" t="s">
        <v>1689</v>
      </c>
      <c r="H127" s="61" t="e">
        <f t="shared" si="4"/>
        <v>#N/A</v>
      </c>
    </row>
    <row r="128" spans="2:8" ht="13.5" customHeight="1" x14ac:dyDescent="0.2">
      <c r="C128" s="145" t="s">
        <v>96</v>
      </c>
      <c r="D128" s="146" t="s">
        <v>1241</v>
      </c>
      <c r="E128" s="154">
        <v>44501</v>
      </c>
      <c r="F128" s="147">
        <v>1758.2</v>
      </c>
      <c r="G128" s="145" t="s">
        <v>1689</v>
      </c>
      <c r="H128" s="61" t="e">
        <f t="shared" si="4"/>
        <v>#N/A</v>
      </c>
    </row>
    <row r="129" spans="3:8" ht="13.5" customHeight="1" x14ac:dyDescent="0.2">
      <c r="C129" s="145" t="s">
        <v>96</v>
      </c>
      <c r="D129" s="146" t="s">
        <v>1262</v>
      </c>
      <c r="E129" s="154">
        <v>44501</v>
      </c>
      <c r="F129" s="147">
        <v>1350</v>
      </c>
      <c r="G129" s="145" t="s">
        <v>1689</v>
      </c>
      <c r="H129" s="61" t="e">
        <f t="shared" si="4"/>
        <v>#N/A</v>
      </c>
    </row>
    <row r="130" spans="3:8" ht="13.5" customHeight="1" x14ac:dyDescent="0.2">
      <c r="C130" s="145" t="s">
        <v>96</v>
      </c>
      <c r="D130" s="146" t="s">
        <v>1449</v>
      </c>
      <c r="E130" s="154">
        <v>44501</v>
      </c>
      <c r="F130" s="147">
        <v>1500</v>
      </c>
      <c r="G130" s="145" t="s">
        <v>1689</v>
      </c>
      <c r="H130" s="61" t="e">
        <f t="shared" si="4"/>
        <v>#N/A</v>
      </c>
    </row>
    <row r="131" spans="3:8" ht="13.5" customHeight="1" x14ac:dyDescent="0.2">
      <c r="C131" s="145" t="s">
        <v>96</v>
      </c>
      <c r="D131" s="146" t="s">
        <v>1478</v>
      </c>
      <c r="E131" s="154">
        <v>44501</v>
      </c>
      <c r="F131" s="147">
        <v>1643</v>
      </c>
      <c r="G131" s="145" t="s">
        <v>1689</v>
      </c>
      <c r="H131" s="61" t="e">
        <f t="shared" si="4"/>
        <v>#N/A</v>
      </c>
    </row>
    <row r="132" spans="3:8" ht="13.5" customHeight="1" x14ac:dyDescent="0.2">
      <c r="C132" s="145" t="s">
        <v>56</v>
      </c>
      <c r="D132" s="146" t="s">
        <v>1653</v>
      </c>
      <c r="E132" s="154">
        <v>44501</v>
      </c>
      <c r="F132" s="147">
        <v>500</v>
      </c>
      <c r="G132" s="145" t="s">
        <v>1689</v>
      </c>
      <c r="H132" s="61" t="e">
        <f t="shared" si="4"/>
        <v>#N/A</v>
      </c>
    </row>
    <row r="133" spans="3:8" ht="13.5" customHeight="1" x14ac:dyDescent="0.2">
      <c r="C133" s="145" t="s">
        <v>76</v>
      </c>
      <c r="D133" s="146" t="s">
        <v>1530</v>
      </c>
      <c r="E133" s="154">
        <v>44501</v>
      </c>
      <c r="F133" s="147">
        <v>3241</v>
      </c>
      <c r="G133" s="145" t="s">
        <v>1689</v>
      </c>
      <c r="H133" s="61" t="e">
        <f t="shared" si="4"/>
        <v>#N/A</v>
      </c>
    </row>
    <row r="134" spans="3:8" ht="13.5" customHeight="1" x14ac:dyDescent="0.2">
      <c r="C134" s="145" t="s">
        <v>84</v>
      </c>
      <c r="D134" s="146" t="s">
        <v>1602</v>
      </c>
      <c r="E134" s="154">
        <v>44501</v>
      </c>
      <c r="F134" s="147">
        <v>3150</v>
      </c>
      <c r="G134" s="145" t="s">
        <v>1689</v>
      </c>
      <c r="H134" s="61" t="e">
        <f t="shared" si="4"/>
        <v>#N/A</v>
      </c>
    </row>
    <row r="135" spans="3:8" ht="13.5" customHeight="1" x14ac:dyDescent="0.2">
      <c r="C135" s="145" t="s">
        <v>86</v>
      </c>
      <c r="D135" s="146" t="s">
        <v>85</v>
      </c>
      <c r="E135" s="154">
        <v>44501</v>
      </c>
      <c r="F135" s="155">
        <v>84</v>
      </c>
      <c r="G135" s="145" t="s">
        <v>1689</v>
      </c>
      <c r="H135" s="61" t="e">
        <f t="shared" si="4"/>
        <v>#N/A</v>
      </c>
    </row>
    <row r="136" spans="3:8" ht="13.5" customHeight="1" x14ac:dyDescent="0.2">
      <c r="C136" s="145" t="s">
        <v>584</v>
      </c>
      <c r="D136" s="146" t="s">
        <v>1629</v>
      </c>
      <c r="E136" s="154">
        <v>44501</v>
      </c>
      <c r="F136" s="147">
        <v>2000</v>
      </c>
      <c r="G136" s="145" t="s">
        <v>1689</v>
      </c>
      <c r="H136" s="61" t="e">
        <f t="shared" si="4"/>
        <v>#N/A</v>
      </c>
    </row>
    <row r="137" spans="3:8" ht="13.5" customHeight="1" x14ac:dyDescent="0.2">
      <c r="C137" s="145" t="s">
        <v>88</v>
      </c>
      <c r="D137" s="146" t="s">
        <v>1197</v>
      </c>
      <c r="E137" s="154">
        <v>44501</v>
      </c>
      <c r="F137" s="147">
        <v>1380</v>
      </c>
      <c r="G137" s="145" t="s">
        <v>1689</v>
      </c>
      <c r="H137" s="61" t="e">
        <f t="shared" si="4"/>
        <v>#N/A</v>
      </c>
    </row>
    <row r="138" spans="3:8" ht="13.5" customHeight="1" x14ac:dyDescent="0.2">
      <c r="C138" s="145" t="s">
        <v>56</v>
      </c>
      <c r="D138" s="146" t="s">
        <v>1634</v>
      </c>
      <c r="E138" s="154">
        <v>44501</v>
      </c>
      <c r="F138" s="147">
        <v>1000</v>
      </c>
      <c r="G138" s="145" t="s">
        <v>1689</v>
      </c>
      <c r="H138" s="61" t="e">
        <f t="shared" si="4"/>
        <v>#N/A</v>
      </c>
    </row>
    <row r="139" spans="3:8" ht="13.5" customHeight="1" x14ac:dyDescent="0.2">
      <c r="C139" s="145" t="s">
        <v>135</v>
      </c>
      <c r="D139" s="146" t="s">
        <v>1579</v>
      </c>
      <c r="E139" s="154">
        <v>44501</v>
      </c>
      <c r="F139" s="147">
        <v>100</v>
      </c>
      <c r="G139" s="145" t="s">
        <v>1689</v>
      </c>
      <c r="H139" s="61" t="e">
        <f t="shared" si="4"/>
        <v>#N/A</v>
      </c>
    </row>
    <row r="140" spans="3:8" ht="13.5" customHeight="1" x14ac:dyDescent="0.2">
      <c r="C140" s="145" t="s">
        <v>80</v>
      </c>
      <c r="D140" s="146" t="s">
        <v>240</v>
      </c>
      <c r="E140" s="154">
        <v>44501</v>
      </c>
      <c r="F140" s="147">
        <v>400</v>
      </c>
      <c r="G140" s="145" t="s">
        <v>1688</v>
      </c>
      <c r="H140" s="61" t="e">
        <f t="shared" si="4"/>
        <v>#N/A</v>
      </c>
    </row>
    <row r="141" spans="3:8" ht="12.75" customHeight="1" x14ac:dyDescent="0.2">
      <c r="C141" s="145" t="s">
        <v>135</v>
      </c>
      <c r="D141" s="146" t="s">
        <v>1556</v>
      </c>
      <c r="E141" s="154">
        <v>44501</v>
      </c>
      <c r="F141" s="147">
        <v>550</v>
      </c>
      <c r="G141" s="145" t="s">
        <v>1689</v>
      </c>
      <c r="H141" s="61" t="e">
        <f t="shared" si="4"/>
        <v>#N/A</v>
      </c>
    </row>
    <row r="142" spans="3:8" ht="13.5" customHeight="1" x14ac:dyDescent="0.2">
      <c r="C142" s="145" t="s">
        <v>96</v>
      </c>
      <c r="D142" s="146" t="s">
        <v>1609</v>
      </c>
      <c r="E142" s="154">
        <v>44501</v>
      </c>
      <c r="F142" s="147">
        <v>1100</v>
      </c>
      <c r="G142" s="145" t="s">
        <v>1689</v>
      </c>
      <c r="H142" s="61" t="e">
        <f t="shared" si="4"/>
        <v>#N/A</v>
      </c>
    </row>
    <row r="143" spans="3:8" ht="13.5" customHeight="1" x14ac:dyDescent="0.2">
      <c r="C143" s="145" t="s">
        <v>96</v>
      </c>
      <c r="D143" s="146" t="s">
        <v>1255</v>
      </c>
      <c r="E143" s="154">
        <v>44501</v>
      </c>
      <c r="F143" s="147">
        <v>1500</v>
      </c>
      <c r="G143" s="145" t="s">
        <v>68</v>
      </c>
      <c r="H143" s="61" t="e">
        <f t="shared" si="4"/>
        <v>#N/A</v>
      </c>
    </row>
    <row r="144" spans="3:8" ht="13.5" customHeight="1" x14ac:dyDescent="0.2">
      <c r="C144" s="145" t="s">
        <v>159</v>
      </c>
      <c r="D144" s="145" t="s">
        <v>1551</v>
      </c>
      <c r="E144" s="154">
        <v>44501</v>
      </c>
      <c r="F144" s="147">
        <v>1012.5</v>
      </c>
      <c r="G144" s="145" t="s">
        <v>1689</v>
      </c>
      <c r="H144" s="61" t="e">
        <f t="shared" si="4"/>
        <v>#N/A</v>
      </c>
    </row>
    <row r="145" spans="3:8" ht="13.5" customHeight="1" x14ac:dyDescent="0.2">
      <c r="C145" s="145" t="s">
        <v>96</v>
      </c>
      <c r="D145" s="146" t="s">
        <v>1172</v>
      </c>
      <c r="E145" s="154">
        <v>44501</v>
      </c>
      <c r="F145" s="147">
        <v>1571.61</v>
      </c>
      <c r="G145" s="145" t="s">
        <v>1689</v>
      </c>
      <c r="H145" s="61" t="e">
        <f t="shared" si="4"/>
        <v>#N/A</v>
      </c>
    </row>
    <row r="146" spans="3:8" ht="13.5" customHeight="1" x14ac:dyDescent="0.2">
      <c r="C146" s="145" t="s">
        <v>229</v>
      </c>
      <c r="D146" s="146" t="s">
        <v>1532</v>
      </c>
      <c r="E146" s="154">
        <v>44501</v>
      </c>
      <c r="F146" s="147">
        <v>220</v>
      </c>
      <c r="G146" s="145" t="s">
        <v>1676</v>
      </c>
      <c r="H146" s="61" t="e">
        <f t="shared" si="4"/>
        <v>#N/A</v>
      </c>
    </row>
    <row r="147" spans="3:8" ht="13.5" customHeight="1" x14ac:dyDescent="0.2">
      <c r="C147" s="145" t="s">
        <v>164</v>
      </c>
      <c r="D147" s="146" t="s">
        <v>1461</v>
      </c>
      <c r="E147" s="154">
        <v>44501</v>
      </c>
      <c r="F147" s="147">
        <v>220</v>
      </c>
      <c r="G147" s="145" t="s">
        <v>1676</v>
      </c>
      <c r="H147" s="61" t="e">
        <f t="shared" si="4"/>
        <v>#N/A</v>
      </c>
    </row>
    <row r="148" spans="3:8" ht="13.5" customHeight="1" x14ac:dyDescent="0.2">
      <c r="C148" s="145" t="s">
        <v>96</v>
      </c>
      <c r="D148" s="146" t="s">
        <v>543</v>
      </c>
      <c r="E148" s="154">
        <v>44501</v>
      </c>
      <c r="F148" s="147">
        <v>500</v>
      </c>
      <c r="G148" s="145" t="s">
        <v>68</v>
      </c>
      <c r="H148" s="61" t="e">
        <f t="shared" si="4"/>
        <v>#N/A</v>
      </c>
    </row>
    <row r="149" spans="3:8" ht="13.5" customHeight="1" x14ac:dyDescent="0.2">
      <c r="C149" s="145" t="s">
        <v>96</v>
      </c>
      <c r="D149" s="146" t="s">
        <v>1256</v>
      </c>
      <c r="E149" s="154">
        <v>44501</v>
      </c>
      <c r="F149" s="147">
        <f>444.18+444.18</f>
        <v>888.36</v>
      </c>
      <c r="G149" s="145" t="s">
        <v>1676</v>
      </c>
      <c r="H149" s="61" t="e">
        <f t="shared" ref="H149:H175" si="5">VLOOKUP(E149,$E$2698:$H$3009,4,FALSE)</f>
        <v>#N/A</v>
      </c>
    </row>
    <row r="150" spans="3:8" ht="13.5" customHeight="1" x14ac:dyDescent="0.2">
      <c r="C150" s="145" t="s">
        <v>80</v>
      </c>
      <c r="D150" s="146" t="s">
        <v>1524</v>
      </c>
      <c r="E150" s="154">
        <v>44501</v>
      </c>
      <c r="F150" s="147">
        <v>563</v>
      </c>
      <c r="G150" s="145" t="s">
        <v>1688</v>
      </c>
      <c r="H150" s="61" t="e">
        <f t="shared" si="5"/>
        <v>#N/A</v>
      </c>
    </row>
    <row r="151" spans="3:8" ht="13.5" customHeight="1" x14ac:dyDescent="0.2">
      <c r="C151" s="145" t="s">
        <v>164</v>
      </c>
      <c r="D151" s="146" t="s">
        <v>1572</v>
      </c>
      <c r="E151" s="154">
        <v>44501</v>
      </c>
      <c r="F151" s="147">
        <v>88.78</v>
      </c>
      <c r="G151" s="145" t="s">
        <v>1676</v>
      </c>
      <c r="H151" s="61" t="e">
        <f t="shared" si="5"/>
        <v>#N/A</v>
      </c>
    </row>
    <row r="152" spans="3:8" ht="13.5" customHeight="1" x14ac:dyDescent="0.2">
      <c r="C152" s="145" t="s">
        <v>97</v>
      </c>
      <c r="D152" s="146" t="s">
        <v>1190</v>
      </c>
      <c r="E152" s="154">
        <v>44501</v>
      </c>
      <c r="F152" s="147">
        <v>695.57</v>
      </c>
      <c r="G152" s="145" t="s">
        <v>1689</v>
      </c>
      <c r="H152" s="61" t="e">
        <f t="shared" si="5"/>
        <v>#N/A</v>
      </c>
    </row>
    <row r="153" spans="3:8" ht="13.5" customHeight="1" x14ac:dyDescent="0.2">
      <c r="C153" s="145" t="s">
        <v>97</v>
      </c>
      <c r="D153" s="146" t="s">
        <v>1216</v>
      </c>
      <c r="E153" s="154">
        <v>44501</v>
      </c>
      <c r="F153" s="147">
        <v>401.05</v>
      </c>
      <c r="G153" s="145" t="s">
        <v>1689</v>
      </c>
      <c r="H153" s="61" t="e">
        <f t="shared" si="5"/>
        <v>#N/A</v>
      </c>
    </row>
    <row r="154" spans="3:8" ht="13.5" customHeight="1" x14ac:dyDescent="0.2">
      <c r="C154" s="145" t="s">
        <v>97</v>
      </c>
      <c r="D154" s="146" t="s">
        <v>1597</v>
      </c>
      <c r="E154" s="154">
        <v>44501</v>
      </c>
      <c r="F154" s="147">
        <v>695.57</v>
      </c>
      <c r="G154" s="145" t="s">
        <v>1689</v>
      </c>
      <c r="H154" s="61" t="e">
        <f t="shared" si="5"/>
        <v>#N/A</v>
      </c>
    </row>
    <row r="155" spans="3:8" ht="13.5" customHeight="1" x14ac:dyDescent="0.2">
      <c r="C155" s="145" t="s">
        <v>97</v>
      </c>
      <c r="D155" s="146" t="s">
        <v>1598</v>
      </c>
      <c r="E155" s="154">
        <v>44501</v>
      </c>
      <c r="F155" s="147">
        <v>401.05</v>
      </c>
      <c r="G155" s="145" t="s">
        <v>1689</v>
      </c>
      <c r="H155" s="61" t="e">
        <f t="shared" si="5"/>
        <v>#N/A</v>
      </c>
    </row>
    <row r="156" spans="3:8" ht="13.5" customHeight="1" x14ac:dyDescent="0.2">
      <c r="C156" s="145" t="s">
        <v>149</v>
      </c>
      <c r="D156" s="146" t="s">
        <v>327</v>
      </c>
      <c r="E156" s="154">
        <v>44501</v>
      </c>
      <c r="F156" s="147">
        <v>120</v>
      </c>
      <c r="G156" s="145" t="s">
        <v>1676</v>
      </c>
      <c r="H156" s="61" t="e">
        <f t="shared" si="5"/>
        <v>#N/A</v>
      </c>
    </row>
    <row r="157" spans="3:8" ht="13.5" customHeight="1" x14ac:dyDescent="0.2">
      <c r="C157" s="145" t="s">
        <v>180</v>
      </c>
      <c r="D157" s="146" t="s">
        <v>183</v>
      </c>
      <c r="E157" s="154">
        <v>44501</v>
      </c>
      <c r="F157" s="147">
        <v>1045</v>
      </c>
      <c r="G157" s="145" t="s">
        <v>68</v>
      </c>
      <c r="H157" s="61" t="e">
        <f t="shared" si="5"/>
        <v>#N/A</v>
      </c>
    </row>
    <row r="158" spans="3:8" ht="13.5" customHeight="1" x14ac:dyDescent="0.2">
      <c r="C158" s="145" t="s">
        <v>72</v>
      </c>
      <c r="D158" s="146" t="s">
        <v>65</v>
      </c>
      <c r="E158" s="154">
        <v>44501</v>
      </c>
      <c r="F158" s="147">
        <v>3000</v>
      </c>
      <c r="G158" s="145" t="s">
        <v>1688</v>
      </c>
      <c r="H158" s="61" t="e">
        <f t="shared" si="5"/>
        <v>#N/A</v>
      </c>
    </row>
    <row r="159" spans="3:8" ht="13.5" customHeight="1" x14ac:dyDescent="0.2">
      <c r="C159" s="145" t="s">
        <v>72</v>
      </c>
      <c r="D159" s="146" t="s">
        <v>1734</v>
      </c>
      <c r="E159" s="154">
        <v>44501</v>
      </c>
      <c r="F159" s="147">
        <v>1286.71</v>
      </c>
      <c r="G159" s="145" t="s">
        <v>1688</v>
      </c>
      <c r="H159" s="61" t="e">
        <f t="shared" si="5"/>
        <v>#N/A</v>
      </c>
    </row>
    <row r="160" spans="3:8" ht="13.5" customHeight="1" x14ac:dyDescent="0.2">
      <c r="C160" s="145" t="s">
        <v>135</v>
      </c>
      <c r="D160" s="146" t="s">
        <v>1391</v>
      </c>
      <c r="E160" s="154">
        <v>44501</v>
      </c>
      <c r="F160" s="147">
        <v>1000</v>
      </c>
      <c r="G160" s="145" t="s">
        <v>1676</v>
      </c>
      <c r="H160" s="61" t="e">
        <f t="shared" si="5"/>
        <v>#N/A</v>
      </c>
    </row>
    <row r="161" spans="3:8" ht="13.5" customHeight="1" x14ac:dyDescent="0.2">
      <c r="C161" s="145" t="s">
        <v>72</v>
      </c>
      <c r="D161" s="145" t="s">
        <v>1775</v>
      </c>
      <c r="E161" s="154">
        <v>44501</v>
      </c>
      <c r="F161" s="147">
        <v>3000</v>
      </c>
      <c r="G161" s="145" t="s">
        <v>1688</v>
      </c>
      <c r="H161" s="61" t="e">
        <f t="shared" si="5"/>
        <v>#N/A</v>
      </c>
    </row>
    <row r="162" spans="3:8" ht="13.5" customHeight="1" x14ac:dyDescent="0.2">
      <c r="C162" s="145" t="s">
        <v>89</v>
      </c>
      <c r="D162" s="146" t="s">
        <v>1539</v>
      </c>
      <c r="E162" s="154">
        <v>44501</v>
      </c>
      <c r="F162" s="147">
        <v>2885.33</v>
      </c>
      <c r="G162" s="145" t="s">
        <v>1689</v>
      </c>
      <c r="H162" s="61" t="e">
        <f t="shared" si="5"/>
        <v>#N/A</v>
      </c>
    </row>
    <row r="163" spans="3:8" ht="13.5" customHeight="1" x14ac:dyDescent="0.2">
      <c r="C163" s="145" t="s">
        <v>149</v>
      </c>
      <c r="D163" s="146" t="s">
        <v>1488</v>
      </c>
      <c r="E163" s="154">
        <v>44501</v>
      </c>
      <c r="F163" s="147">
        <v>577</v>
      </c>
      <c r="G163" s="145" t="s">
        <v>1676</v>
      </c>
      <c r="H163" s="61" t="e">
        <f t="shared" si="5"/>
        <v>#N/A</v>
      </c>
    </row>
    <row r="164" spans="3:8" ht="13.5" customHeight="1" x14ac:dyDescent="0.2">
      <c r="C164" s="145" t="s">
        <v>80</v>
      </c>
      <c r="D164" s="146" t="s">
        <v>1743</v>
      </c>
      <c r="E164" s="154">
        <v>44501</v>
      </c>
      <c r="F164" s="147">
        <v>200</v>
      </c>
      <c r="G164" s="145" t="s">
        <v>1688</v>
      </c>
      <c r="H164" s="61" t="e">
        <f t="shared" si="5"/>
        <v>#N/A</v>
      </c>
    </row>
    <row r="165" spans="3:8" ht="13.5" customHeight="1" x14ac:dyDescent="0.2">
      <c r="C165" s="145" t="s">
        <v>170</v>
      </c>
      <c r="D165" s="146" t="s">
        <v>1519</v>
      </c>
      <c r="E165" s="154">
        <v>44501</v>
      </c>
      <c r="F165" s="147">
        <v>192</v>
      </c>
      <c r="G165" s="145" t="s">
        <v>1689</v>
      </c>
      <c r="H165" s="61" t="e">
        <f t="shared" si="5"/>
        <v>#N/A</v>
      </c>
    </row>
    <row r="166" spans="3:8" ht="13.5" customHeight="1" x14ac:dyDescent="0.2">
      <c r="C166" s="145" t="s">
        <v>159</v>
      </c>
      <c r="D166" s="146" t="s">
        <v>1610</v>
      </c>
      <c r="E166" s="154">
        <v>44501</v>
      </c>
      <c r="F166" s="147">
        <v>617.71</v>
      </c>
      <c r="G166" s="145" t="s">
        <v>1689</v>
      </c>
      <c r="H166" s="61" t="e">
        <f t="shared" si="5"/>
        <v>#N/A</v>
      </c>
    </row>
    <row r="167" spans="3:8" ht="13.5" customHeight="1" x14ac:dyDescent="0.2">
      <c r="C167" s="145" t="s">
        <v>159</v>
      </c>
      <c r="D167" s="146" t="s">
        <v>1611</v>
      </c>
      <c r="E167" s="154">
        <v>44501</v>
      </c>
      <c r="F167" s="147">
        <v>169.8</v>
      </c>
      <c r="G167" s="145" t="s">
        <v>1689</v>
      </c>
      <c r="H167" s="61" t="e">
        <f t="shared" si="5"/>
        <v>#N/A</v>
      </c>
    </row>
    <row r="168" spans="3:8" ht="13.5" customHeight="1" x14ac:dyDescent="0.2">
      <c r="C168" s="145" t="s">
        <v>159</v>
      </c>
      <c r="D168" s="146" t="s">
        <v>1612</v>
      </c>
      <c r="E168" s="154">
        <v>44501</v>
      </c>
      <c r="F168" s="147">
        <v>602.29999999999995</v>
      </c>
      <c r="G168" s="145" t="s">
        <v>1689</v>
      </c>
      <c r="H168" s="61" t="e">
        <f t="shared" si="5"/>
        <v>#N/A</v>
      </c>
    </row>
    <row r="169" spans="3:8" ht="13.5" customHeight="1" x14ac:dyDescent="0.2">
      <c r="C169" s="145" t="s">
        <v>159</v>
      </c>
      <c r="D169" s="146" t="s">
        <v>1611</v>
      </c>
      <c r="E169" s="154">
        <v>44501</v>
      </c>
      <c r="F169" s="147">
        <v>966.9</v>
      </c>
      <c r="G169" s="145" t="s">
        <v>1689</v>
      </c>
      <c r="H169" s="61" t="e">
        <f t="shared" si="5"/>
        <v>#N/A</v>
      </c>
    </row>
    <row r="170" spans="3:8" ht="13.5" customHeight="1" x14ac:dyDescent="0.2">
      <c r="C170" s="145" t="s">
        <v>149</v>
      </c>
      <c r="D170" s="146" t="s">
        <v>1287</v>
      </c>
      <c r="E170" s="154">
        <v>44501</v>
      </c>
      <c r="F170" s="147">
        <v>500</v>
      </c>
      <c r="G170" s="145" t="s">
        <v>1689</v>
      </c>
      <c r="H170" s="61" t="e">
        <f t="shared" si="5"/>
        <v>#N/A</v>
      </c>
    </row>
    <row r="171" spans="3:8" ht="13.5" customHeight="1" x14ac:dyDescent="0.2">
      <c r="C171" s="145" t="s">
        <v>83</v>
      </c>
      <c r="D171" s="146" t="s">
        <v>1596</v>
      </c>
      <c r="E171" s="154">
        <v>44501</v>
      </c>
      <c r="F171" s="147">
        <v>228</v>
      </c>
      <c r="G171" s="145" t="s">
        <v>1689</v>
      </c>
      <c r="H171" s="61" t="e">
        <f t="shared" si="5"/>
        <v>#N/A</v>
      </c>
    </row>
    <row r="172" spans="3:8" ht="13.5" customHeight="1" x14ac:dyDescent="0.2">
      <c r="C172" s="145" t="s">
        <v>97</v>
      </c>
      <c r="D172" s="146" t="s">
        <v>1502</v>
      </c>
      <c r="E172" s="154">
        <v>44501</v>
      </c>
      <c r="F172" s="147">
        <v>1289.4000000000001</v>
      </c>
      <c r="G172" s="145" t="s">
        <v>1689</v>
      </c>
      <c r="H172" s="61" t="e">
        <f t="shared" si="5"/>
        <v>#N/A</v>
      </c>
    </row>
    <row r="173" spans="3:8" ht="13.5" customHeight="1" x14ac:dyDescent="0.2">
      <c r="C173" s="145" t="s">
        <v>97</v>
      </c>
      <c r="D173" s="146" t="s">
        <v>1503</v>
      </c>
      <c r="E173" s="154">
        <v>44501</v>
      </c>
      <c r="F173" s="147">
        <v>625.07000000000005</v>
      </c>
      <c r="G173" s="145" t="s">
        <v>1689</v>
      </c>
      <c r="H173" s="61" t="e">
        <f t="shared" si="5"/>
        <v>#N/A</v>
      </c>
    </row>
    <row r="174" spans="3:8" ht="12.75" customHeight="1" x14ac:dyDescent="0.2">
      <c r="C174" s="145" t="s">
        <v>97</v>
      </c>
      <c r="D174" s="146" t="s">
        <v>69</v>
      </c>
      <c r="E174" s="154">
        <v>44501</v>
      </c>
      <c r="F174" s="147">
        <v>1289.4000000000001</v>
      </c>
      <c r="G174" s="145" t="s">
        <v>1689</v>
      </c>
      <c r="H174" s="61" t="e">
        <f t="shared" si="5"/>
        <v>#N/A</v>
      </c>
    </row>
    <row r="175" spans="3:8" ht="13.5" customHeight="1" x14ac:dyDescent="0.2">
      <c r="C175" s="145" t="s">
        <v>97</v>
      </c>
      <c r="D175" s="146" t="s">
        <v>1075</v>
      </c>
      <c r="E175" s="154">
        <v>44501</v>
      </c>
      <c r="F175" s="147">
        <v>625.07000000000005</v>
      </c>
      <c r="G175" s="145" t="s">
        <v>1689</v>
      </c>
      <c r="H175" s="61" t="e">
        <f t="shared" si="5"/>
        <v>#N/A</v>
      </c>
    </row>
    <row r="176" spans="3:8" ht="13.5" customHeight="1" x14ac:dyDescent="0.2">
      <c r="E176" s="52"/>
      <c r="F176" s="16">
        <f>SUM(F120:F175)</f>
        <v>62951.67000000002</v>
      </c>
      <c r="H176" s="61"/>
    </row>
    <row r="177" spans="5:8" ht="13.5" customHeight="1" x14ac:dyDescent="0.2">
      <c r="E177" s="52"/>
      <c r="F177" s="41"/>
      <c r="H177" s="61"/>
    </row>
    <row r="178" spans="5:8" ht="13.5" customHeight="1" x14ac:dyDescent="0.2">
      <c r="E178" s="52"/>
      <c r="F178" s="41"/>
      <c r="H178" s="61"/>
    </row>
    <row r="179" spans="5:8" ht="13.5" customHeight="1" x14ac:dyDescent="0.2">
      <c r="E179" s="52"/>
      <c r="F179" s="41"/>
      <c r="H179" s="61"/>
    </row>
    <row r="180" spans="5:8" ht="13.5" customHeight="1" x14ac:dyDescent="0.2">
      <c r="E180" s="52"/>
      <c r="F180" s="41"/>
      <c r="H180" s="61"/>
    </row>
    <row r="181" spans="5:8" ht="13.5" customHeight="1" x14ac:dyDescent="0.2">
      <c r="E181" s="52"/>
      <c r="F181" s="41"/>
      <c r="H181" s="61"/>
    </row>
    <row r="182" spans="5:8" ht="13.5" customHeight="1" x14ac:dyDescent="0.2">
      <c r="E182" s="52"/>
      <c r="F182" s="41"/>
      <c r="H182" s="61"/>
    </row>
    <row r="183" spans="5:8" ht="13.5" customHeight="1" x14ac:dyDescent="0.2">
      <c r="E183" s="52"/>
      <c r="F183" s="41"/>
      <c r="H183" s="61"/>
    </row>
    <row r="184" spans="5:8" ht="13.5" customHeight="1" x14ac:dyDescent="0.2">
      <c r="E184" s="52"/>
      <c r="F184" s="41"/>
      <c r="H184" s="61"/>
    </row>
    <row r="185" spans="5:8" ht="13.5" customHeight="1" x14ac:dyDescent="0.2">
      <c r="E185" s="52"/>
      <c r="F185" s="41"/>
      <c r="H185" s="61"/>
    </row>
    <row r="186" spans="5:8" ht="13.5" customHeight="1" x14ac:dyDescent="0.2">
      <c r="E186" s="52"/>
      <c r="F186" s="41"/>
      <c r="H186" s="61"/>
    </row>
    <row r="187" spans="5:8" ht="13.5" customHeight="1" x14ac:dyDescent="0.2">
      <c r="E187" s="52"/>
      <c r="F187" s="41"/>
      <c r="H187" s="61"/>
    </row>
    <row r="188" spans="5:8" ht="13.5" customHeight="1" x14ac:dyDescent="0.2">
      <c r="E188" s="52"/>
      <c r="F188" s="41"/>
      <c r="H188" s="61"/>
    </row>
    <row r="189" spans="5:8" ht="13.5" customHeight="1" x14ac:dyDescent="0.2">
      <c r="E189" s="52"/>
      <c r="F189" s="41"/>
      <c r="H189" s="61"/>
    </row>
    <row r="190" spans="5:8" ht="13.5" customHeight="1" x14ac:dyDescent="0.2">
      <c r="E190" s="52"/>
      <c r="F190" s="41"/>
      <c r="H190" s="61"/>
    </row>
    <row r="191" spans="5:8" ht="13.5" customHeight="1" x14ac:dyDescent="0.2">
      <c r="E191" s="52"/>
      <c r="F191" s="41"/>
      <c r="H191" s="61"/>
    </row>
    <row r="192" spans="5:8" ht="13.5" customHeight="1" x14ac:dyDescent="0.2">
      <c r="E192" s="52"/>
      <c r="F192" s="41"/>
      <c r="H192" s="61"/>
    </row>
    <row r="193" spans="5:8" ht="13.5" customHeight="1" x14ac:dyDescent="0.2">
      <c r="E193" s="52"/>
      <c r="F193" s="41"/>
      <c r="H193" s="61"/>
    </row>
    <row r="194" spans="5:8" ht="13.5" customHeight="1" x14ac:dyDescent="0.2">
      <c r="E194" s="52"/>
      <c r="F194" s="41"/>
      <c r="H194" s="61"/>
    </row>
    <row r="195" spans="5:8" ht="13.5" customHeight="1" x14ac:dyDescent="0.2">
      <c r="E195" s="52"/>
      <c r="F195" s="41"/>
      <c r="H195" s="61"/>
    </row>
    <row r="196" spans="5:8" ht="13.5" customHeight="1" x14ac:dyDescent="0.2">
      <c r="E196" s="52"/>
      <c r="F196" s="41"/>
      <c r="H196" s="61"/>
    </row>
    <row r="197" spans="5:8" ht="13.5" customHeight="1" x14ac:dyDescent="0.2">
      <c r="E197" s="52"/>
      <c r="F197" s="41"/>
      <c r="H197" s="61"/>
    </row>
    <row r="198" spans="5:8" ht="13.5" customHeight="1" x14ac:dyDescent="0.2">
      <c r="E198" s="52"/>
      <c r="F198" s="41"/>
      <c r="H198" s="61"/>
    </row>
    <row r="199" spans="5:8" ht="13.5" customHeight="1" x14ac:dyDescent="0.2">
      <c r="E199" s="52"/>
      <c r="F199" s="41"/>
      <c r="H199" s="61"/>
    </row>
    <row r="200" spans="5:8" ht="13.5" customHeight="1" x14ac:dyDescent="0.2">
      <c r="E200" s="52"/>
      <c r="F200" s="41"/>
      <c r="H200" s="61"/>
    </row>
    <row r="201" spans="5:8" ht="13.5" customHeight="1" x14ac:dyDescent="0.2">
      <c r="E201" s="52"/>
      <c r="F201" s="41"/>
      <c r="H201" s="61"/>
    </row>
    <row r="202" spans="5:8" ht="13.5" customHeight="1" x14ac:dyDescent="0.2">
      <c r="E202" s="52"/>
      <c r="F202" s="41"/>
      <c r="H202" s="61"/>
    </row>
    <row r="203" spans="5:8" ht="13.5" customHeight="1" x14ac:dyDescent="0.2">
      <c r="E203" s="52"/>
      <c r="F203" s="41"/>
      <c r="H203" s="61"/>
    </row>
    <row r="204" spans="5:8" ht="13.5" customHeight="1" x14ac:dyDescent="0.2">
      <c r="E204" s="52"/>
      <c r="F204" s="41"/>
      <c r="H204" s="61"/>
    </row>
    <row r="205" spans="5:8" ht="13.5" customHeight="1" x14ac:dyDescent="0.2">
      <c r="E205" s="52"/>
      <c r="F205" s="41"/>
      <c r="H205" s="61"/>
    </row>
    <row r="206" spans="5:8" ht="13.5" customHeight="1" x14ac:dyDescent="0.2">
      <c r="E206" s="52"/>
      <c r="F206" s="41"/>
      <c r="H206" s="61"/>
    </row>
    <row r="207" spans="5:8" ht="13.5" customHeight="1" x14ac:dyDescent="0.2">
      <c r="E207" s="52"/>
      <c r="H207" s="61"/>
    </row>
    <row r="208" spans="5:8" ht="13.5" customHeight="1" x14ac:dyDescent="0.2">
      <c r="E208" s="52"/>
      <c r="H208" s="61"/>
    </row>
    <row r="209" spans="5:11" ht="13.5" customHeight="1" x14ac:dyDescent="0.2">
      <c r="E209" s="52"/>
      <c r="H209" s="61"/>
    </row>
    <row r="210" spans="5:11" ht="13.5" customHeight="1" x14ac:dyDescent="0.2">
      <c r="E210" s="52"/>
      <c r="H210" s="61"/>
      <c r="K210"/>
    </row>
    <row r="211" spans="5:11" ht="13.5" customHeight="1" x14ac:dyDescent="0.2">
      <c r="E211" s="52"/>
      <c r="H211" s="61"/>
      <c r="K211"/>
    </row>
    <row r="212" spans="5:11" ht="13.5" customHeight="1" x14ac:dyDescent="0.2">
      <c r="E212" s="52"/>
      <c r="H212" s="61"/>
      <c r="K212"/>
    </row>
    <row r="213" spans="5:11" ht="13.5" customHeight="1" x14ac:dyDescent="0.2">
      <c r="E213" s="52"/>
      <c r="H213" s="61"/>
      <c r="K213"/>
    </row>
    <row r="214" spans="5:11" ht="13.5" customHeight="1" x14ac:dyDescent="0.2">
      <c r="E214" s="52"/>
      <c r="H214" s="61"/>
      <c r="K214"/>
    </row>
    <row r="215" spans="5:11" ht="13.5" customHeight="1" x14ac:dyDescent="0.2">
      <c r="E215" s="52"/>
      <c r="H215" s="61"/>
      <c r="K215"/>
    </row>
    <row r="216" spans="5:11" ht="13.5" customHeight="1" x14ac:dyDescent="0.2">
      <c r="E216" s="52"/>
      <c r="H216" s="61"/>
      <c r="K216"/>
    </row>
    <row r="217" spans="5:11" ht="13.5" customHeight="1" x14ac:dyDescent="0.2">
      <c r="E217" s="52"/>
      <c r="H217" s="61"/>
      <c r="K217"/>
    </row>
    <row r="218" spans="5:11" ht="13.5" customHeight="1" x14ac:dyDescent="0.2">
      <c r="E218" s="52"/>
      <c r="H218" s="61"/>
      <c r="K218"/>
    </row>
    <row r="219" spans="5:11" ht="13.5" customHeight="1" x14ac:dyDescent="0.2">
      <c r="E219" s="52"/>
      <c r="H219" s="61"/>
      <c r="K219"/>
    </row>
    <row r="220" spans="5:11" ht="13.5" customHeight="1" x14ac:dyDescent="0.2">
      <c r="E220" s="52"/>
      <c r="H220" s="61"/>
      <c r="K220"/>
    </row>
    <row r="221" spans="5:11" ht="13.5" customHeight="1" x14ac:dyDescent="0.2">
      <c r="E221" s="52"/>
      <c r="H221" s="61"/>
      <c r="K221"/>
    </row>
    <row r="222" spans="5:11" ht="13.5" customHeight="1" x14ac:dyDescent="0.2">
      <c r="E222" s="52"/>
      <c r="H222" s="61"/>
      <c r="K222"/>
    </row>
    <row r="223" spans="5:11" ht="13.5" customHeight="1" x14ac:dyDescent="0.2">
      <c r="E223" s="52"/>
      <c r="H223" s="61"/>
      <c r="K223"/>
    </row>
    <row r="224" spans="5:11" ht="13.5" customHeight="1" x14ac:dyDescent="0.2">
      <c r="E224" s="52"/>
      <c r="H224" s="61"/>
      <c r="K224"/>
    </row>
    <row r="225" spans="5:11" ht="13.5" customHeight="1" x14ac:dyDescent="0.2">
      <c r="E225" s="52"/>
      <c r="H225" s="61"/>
      <c r="K225"/>
    </row>
    <row r="226" spans="5:11" ht="13.5" customHeight="1" x14ac:dyDescent="0.2">
      <c r="E226" s="52"/>
      <c r="H226" s="61"/>
      <c r="K226"/>
    </row>
    <row r="227" spans="5:11" ht="13.5" customHeight="1" x14ac:dyDescent="0.2">
      <c r="E227" s="52"/>
      <c r="H227" s="61"/>
      <c r="K227"/>
    </row>
    <row r="228" spans="5:11" ht="13.5" customHeight="1" x14ac:dyDescent="0.2">
      <c r="E228" s="52"/>
      <c r="H228" s="61"/>
      <c r="K228"/>
    </row>
    <row r="229" spans="5:11" ht="13.5" customHeight="1" x14ac:dyDescent="0.2">
      <c r="E229" s="52"/>
      <c r="H229" s="61"/>
      <c r="K229"/>
    </row>
    <row r="230" spans="5:11" ht="13.5" customHeight="1" x14ac:dyDescent="0.2">
      <c r="E230" s="52"/>
      <c r="H230" s="61"/>
      <c r="K230"/>
    </row>
    <row r="231" spans="5:11" ht="13.5" customHeight="1" x14ac:dyDescent="0.2">
      <c r="E231" s="52"/>
      <c r="H231" s="61"/>
      <c r="K231"/>
    </row>
    <row r="232" spans="5:11" ht="13.5" customHeight="1" x14ac:dyDescent="0.2">
      <c r="E232" s="52"/>
      <c r="H232" s="61"/>
      <c r="K232"/>
    </row>
    <row r="233" spans="5:11" ht="13.5" customHeight="1" x14ac:dyDescent="0.2">
      <c r="E233" s="52"/>
      <c r="H233" s="61"/>
      <c r="K233"/>
    </row>
    <row r="234" spans="5:11" ht="13.5" customHeight="1" x14ac:dyDescent="0.2">
      <c r="E234" s="52"/>
      <c r="H234" s="61"/>
      <c r="K234"/>
    </row>
    <row r="235" spans="5:11" ht="13.5" customHeight="1" x14ac:dyDescent="0.2">
      <c r="E235" s="52"/>
      <c r="H235" s="61"/>
      <c r="K235"/>
    </row>
    <row r="236" spans="5:11" ht="13.5" customHeight="1" x14ac:dyDescent="0.2">
      <c r="E236" s="52"/>
      <c r="H236" s="61"/>
      <c r="K236"/>
    </row>
    <row r="237" spans="5:11" ht="13.5" customHeight="1" x14ac:dyDescent="0.2">
      <c r="E237" s="52"/>
      <c r="H237" s="61"/>
      <c r="K237"/>
    </row>
    <row r="238" spans="5:11" ht="13.5" customHeight="1" x14ac:dyDescent="0.2">
      <c r="E238" s="52"/>
      <c r="H238" s="61"/>
      <c r="K238"/>
    </row>
    <row r="239" spans="5:11" ht="13.5" customHeight="1" x14ac:dyDescent="0.2">
      <c r="E239" s="52"/>
      <c r="H239" s="61"/>
      <c r="K239"/>
    </row>
    <row r="240" spans="5:11" ht="13.5" customHeight="1" x14ac:dyDescent="0.2">
      <c r="E240" s="52"/>
      <c r="H240" s="61"/>
      <c r="K240"/>
    </row>
    <row r="241" spans="5:11" ht="13.5" customHeight="1" x14ac:dyDescent="0.2">
      <c r="E241" s="52"/>
      <c r="H241" s="61"/>
      <c r="K241"/>
    </row>
    <row r="242" spans="5:11" ht="13.5" customHeight="1" x14ac:dyDescent="0.2">
      <c r="E242" s="52"/>
      <c r="H242" s="61"/>
      <c r="K242"/>
    </row>
    <row r="243" spans="5:11" ht="13.5" customHeight="1" x14ac:dyDescent="0.2">
      <c r="E243" s="52"/>
      <c r="H243" s="61"/>
      <c r="K243"/>
    </row>
    <row r="244" spans="5:11" ht="13.5" customHeight="1" x14ac:dyDescent="0.2">
      <c r="E244" s="52"/>
      <c r="H244" s="61"/>
      <c r="K244"/>
    </row>
    <row r="245" spans="5:11" ht="13.5" customHeight="1" x14ac:dyDescent="0.2">
      <c r="E245" s="52"/>
      <c r="H245" s="61"/>
      <c r="K245"/>
    </row>
    <row r="246" spans="5:11" ht="13.5" customHeight="1" x14ac:dyDescent="0.2">
      <c r="E246" s="52"/>
      <c r="H246" s="61"/>
      <c r="K246"/>
    </row>
    <row r="247" spans="5:11" ht="13.5" customHeight="1" x14ac:dyDescent="0.2">
      <c r="E247" s="52"/>
      <c r="H247" s="61"/>
      <c r="K247"/>
    </row>
    <row r="248" spans="5:11" ht="13.5" customHeight="1" x14ac:dyDescent="0.2">
      <c r="E248" s="52"/>
      <c r="H248" s="61"/>
      <c r="K248"/>
    </row>
    <row r="249" spans="5:11" ht="13.5" customHeight="1" x14ac:dyDescent="0.2">
      <c r="E249" s="52"/>
      <c r="H249" s="61"/>
      <c r="K249"/>
    </row>
    <row r="250" spans="5:11" ht="13.5" customHeight="1" x14ac:dyDescent="0.2">
      <c r="E250" s="52"/>
      <c r="H250" s="61"/>
      <c r="K250"/>
    </row>
    <row r="251" spans="5:11" ht="13.5" customHeight="1" x14ac:dyDescent="0.2">
      <c r="E251" s="52"/>
      <c r="H251" s="61"/>
      <c r="K251"/>
    </row>
    <row r="252" spans="5:11" ht="13.5" customHeight="1" x14ac:dyDescent="0.2">
      <c r="E252" s="52"/>
      <c r="H252" s="61"/>
      <c r="K252"/>
    </row>
    <row r="253" spans="5:11" ht="13.5" customHeight="1" x14ac:dyDescent="0.2">
      <c r="E253" s="52"/>
      <c r="H253" s="61"/>
      <c r="K253"/>
    </row>
    <row r="254" spans="5:11" ht="13.5" customHeight="1" x14ac:dyDescent="0.2">
      <c r="E254" s="52"/>
      <c r="H254" s="61"/>
      <c r="K254"/>
    </row>
    <row r="255" spans="5:11" ht="13.5" customHeight="1" x14ac:dyDescent="0.2">
      <c r="E255" s="52"/>
      <c r="H255" s="61"/>
      <c r="K255"/>
    </row>
    <row r="256" spans="5:11" ht="13.5" customHeight="1" x14ac:dyDescent="0.2">
      <c r="E256" s="52"/>
      <c r="H256" s="61"/>
      <c r="K256"/>
    </row>
    <row r="257" spans="5:11" ht="13.5" customHeight="1" x14ac:dyDescent="0.2">
      <c r="E257" s="52"/>
      <c r="H257" s="61"/>
      <c r="K257"/>
    </row>
    <row r="258" spans="5:11" ht="13.5" customHeight="1" x14ac:dyDescent="0.2">
      <c r="E258" s="52"/>
      <c r="H258" s="61"/>
      <c r="K258"/>
    </row>
    <row r="259" spans="5:11" ht="13.5" customHeight="1" x14ac:dyDescent="0.2">
      <c r="E259" s="52"/>
      <c r="H259" s="61"/>
      <c r="K259"/>
    </row>
    <row r="260" spans="5:11" ht="13.5" customHeight="1" x14ac:dyDescent="0.2">
      <c r="E260" s="52"/>
      <c r="H260" s="61"/>
      <c r="K260"/>
    </row>
    <row r="261" spans="5:11" ht="13.5" customHeight="1" x14ac:dyDescent="0.2">
      <c r="E261" s="52"/>
      <c r="H261" s="61"/>
      <c r="K261"/>
    </row>
    <row r="262" spans="5:11" ht="13.5" customHeight="1" x14ac:dyDescent="0.2">
      <c r="E262" s="52"/>
      <c r="H262" s="61"/>
      <c r="K262"/>
    </row>
    <row r="263" spans="5:11" ht="13.5" customHeight="1" x14ac:dyDescent="0.2">
      <c r="E263" s="52"/>
      <c r="H263" s="61"/>
      <c r="K263"/>
    </row>
    <row r="264" spans="5:11" ht="13.5" customHeight="1" x14ac:dyDescent="0.2">
      <c r="E264" s="52"/>
      <c r="H264" s="61"/>
      <c r="K264"/>
    </row>
    <row r="265" spans="5:11" ht="13.5" customHeight="1" x14ac:dyDescent="0.2">
      <c r="E265" s="52"/>
      <c r="H265" s="61"/>
      <c r="K265"/>
    </row>
    <row r="266" spans="5:11" ht="13.5" customHeight="1" x14ac:dyDescent="0.2">
      <c r="E266" s="52"/>
      <c r="H266" s="61"/>
      <c r="K266"/>
    </row>
    <row r="267" spans="5:11" ht="13.5" customHeight="1" x14ac:dyDescent="0.2">
      <c r="E267" s="52"/>
      <c r="H267" s="61"/>
      <c r="K267"/>
    </row>
    <row r="268" spans="5:11" ht="13.5" customHeight="1" x14ac:dyDescent="0.2">
      <c r="E268" s="52"/>
      <c r="H268" s="61"/>
      <c r="K268"/>
    </row>
    <row r="269" spans="5:11" ht="13.5" customHeight="1" x14ac:dyDescent="0.2">
      <c r="E269" s="52"/>
      <c r="H269" s="61"/>
      <c r="K269"/>
    </row>
    <row r="270" spans="5:11" ht="13.5" customHeight="1" x14ac:dyDescent="0.2">
      <c r="E270" s="52"/>
      <c r="H270" s="61"/>
      <c r="K270"/>
    </row>
    <row r="271" spans="5:11" ht="13.5" customHeight="1" x14ac:dyDescent="0.2">
      <c r="E271" s="52"/>
      <c r="H271" s="61"/>
      <c r="K271"/>
    </row>
    <row r="272" spans="5:11" ht="13.5" customHeight="1" x14ac:dyDescent="0.2">
      <c r="E272" s="52"/>
      <c r="H272" s="61"/>
      <c r="K272"/>
    </row>
    <row r="273" spans="5:11" ht="13.5" customHeight="1" x14ac:dyDescent="0.2">
      <c r="E273" s="52"/>
      <c r="H273" s="61"/>
      <c r="K273"/>
    </row>
    <row r="274" spans="5:11" ht="13.5" customHeight="1" x14ac:dyDescent="0.2">
      <c r="E274" s="52"/>
      <c r="H274" s="61"/>
      <c r="K274"/>
    </row>
    <row r="275" spans="5:11" ht="13.5" customHeight="1" x14ac:dyDescent="0.2">
      <c r="E275" s="52"/>
      <c r="H275" s="61"/>
      <c r="K275"/>
    </row>
    <row r="276" spans="5:11" ht="13.5" customHeight="1" x14ac:dyDescent="0.2">
      <c r="E276" s="52"/>
      <c r="H276" s="61"/>
      <c r="K276"/>
    </row>
    <row r="277" spans="5:11" ht="13.5" customHeight="1" x14ac:dyDescent="0.2">
      <c r="E277" s="52"/>
      <c r="H277" s="61"/>
      <c r="K277"/>
    </row>
    <row r="278" spans="5:11" ht="13.5" customHeight="1" x14ac:dyDescent="0.2">
      <c r="E278" s="52"/>
      <c r="H278" s="61"/>
      <c r="K278"/>
    </row>
    <row r="279" spans="5:11" ht="13.5" customHeight="1" x14ac:dyDescent="0.2">
      <c r="E279" s="52"/>
      <c r="H279" s="61"/>
      <c r="K279"/>
    </row>
    <row r="280" spans="5:11" ht="13.5" customHeight="1" x14ac:dyDescent="0.2">
      <c r="E280" s="52"/>
      <c r="H280" s="61"/>
      <c r="K280"/>
    </row>
    <row r="281" spans="5:11" ht="13.5" customHeight="1" x14ac:dyDescent="0.2">
      <c r="E281" s="52"/>
      <c r="H281" s="61"/>
      <c r="K281"/>
    </row>
    <row r="282" spans="5:11" ht="13.5" customHeight="1" x14ac:dyDescent="0.2">
      <c r="E282" s="52"/>
      <c r="H282" s="61"/>
      <c r="K282"/>
    </row>
    <row r="283" spans="5:11" ht="13.5" customHeight="1" x14ac:dyDescent="0.2">
      <c r="E283" s="52"/>
      <c r="H283" s="61"/>
      <c r="K283"/>
    </row>
    <row r="284" spans="5:11" ht="13.5" customHeight="1" x14ac:dyDescent="0.2">
      <c r="E284" s="52"/>
      <c r="H284" s="61"/>
      <c r="K284"/>
    </row>
    <row r="285" spans="5:11" ht="13.5" customHeight="1" x14ac:dyDescent="0.2">
      <c r="E285" s="52"/>
      <c r="H285" s="61"/>
      <c r="K285"/>
    </row>
    <row r="286" spans="5:11" ht="13.5" customHeight="1" x14ac:dyDescent="0.2">
      <c r="E286" s="52"/>
      <c r="H286" s="61"/>
      <c r="K286"/>
    </row>
    <row r="287" spans="5:11" ht="13.5" customHeight="1" x14ac:dyDescent="0.2">
      <c r="E287" s="52"/>
      <c r="H287" s="61"/>
      <c r="K287"/>
    </row>
    <row r="288" spans="5:11" ht="13.5" customHeight="1" x14ac:dyDescent="0.2">
      <c r="E288" s="52"/>
      <c r="H288" s="61"/>
      <c r="K288"/>
    </row>
    <row r="289" spans="5:11" ht="13.5" customHeight="1" x14ac:dyDescent="0.2">
      <c r="E289" s="52"/>
      <c r="H289" s="61"/>
      <c r="K289"/>
    </row>
    <row r="290" spans="5:11" ht="13.5" customHeight="1" x14ac:dyDescent="0.2">
      <c r="E290" s="52"/>
      <c r="H290" s="61"/>
      <c r="K290"/>
    </row>
    <row r="291" spans="5:11" ht="13.5" customHeight="1" x14ac:dyDescent="0.2">
      <c r="E291" s="52"/>
      <c r="H291" s="61"/>
      <c r="K291"/>
    </row>
    <row r="292" spans="5:11" ht="13.5" customHeight="1" x14ac:dyDescent="0.2">
      <c r="E292" s="52"/>
      <c r="H292" s="61"/>
      <c r="K292"/>
    </row>
    <row r="293" spans="5:11" ht="13.5" customHeight="1" x14ac:dyDescent="0.2">
      <c r="E293" s="52"/>
      <c r="H293" s="61"/>
      <c r="K293"/>
    </row>
    <row r="294" spans="5:11" ht="13.5" customHeight="1" x14ac:dyDescent="0.2">
      <c r="E294" s="52"/>
      <c r="H294" s="61"/>
      <c r="K294"/>
    </row>
    <row r="295" spans="5:11" ht="13.5" customHeight="1" x14ac:dyDescent="0.2">
      <c r="E295" s="52"/>
      <c r="H295" s="61"/>
      <c r="K295"/>
    </row>
    <row r="296" spans="5:11" ht="13.5" customHeight="1" x14ac:dyDescent="0.2">
      <c r="E296" s="52"/>
      <c r="H296" s="61"/>
      <c r="K296"/>
    </row>
    <row r="297" spans="5:11" ht="13.5" customHeight="1" x14ac:dyDescent="0.2">
      <c r="E297" s="52"/>
      <c r="H297" s="61"/>
      <c r="K297"/>
    </row>
    <row r="298" spans="5:11" ht="13.5" customHeight="1" x14ac:dyDescent="0.2">
      <c r="E298" s="52"/>
      <c r="H298" s="61"/>
      <c r="K298"/>
    </row>
    <row r="299" spans="5:11" ht="13.5" customHeight="1" x14ac:dyDescent="0.2">
      <c r="E299" s="52"/>
      <c r="H299" s="61"/>
      <c r="K299"/>
    </row>
    <row r="300" spans="5:11" ht="13.5" customHeight="1" x14ac:dyDescent="0.2">
      <c r="E300" s="52"/>
      <c r="H300" s="61"/>
      <c r="K300"/>
    </row>
    <row r="301" spans="5:11" ht="13.5" customHeight="1" x14ac:dyDescent="0.2">
      <c r="E301" s="52"/>
      <c r="H301" s="61"/>
      <c r="K301"/>
    </row>
    <row r="302" spans="5:11" ht="13.5" customHeight="1" x14ac:dyDescent="0.2">
      <c r="E302" s="52"/>
      <c r="H302" s="61"/>
      <c r="K302"/>
    </row>
    <row r="303" spans="5:11" ht="13.5" customHeight="1" x14ac:dyDescent="0.2">
      <c r="E303" s="52"/>
      <c r="H303" s="61"/>
      <c r="K303"/>
    </row>
    <row r="304" spans="5:11" ht="13.5" customHeight="1" x14ac:dyDescent="0.2">
      <c r="E304" s="52"/>
      <c r="H304" s="61"/>
      <c r="K304"/>
    </row>
    <row r="305" spans="5:11" ht="13.5" customHeight="1" x14ac:dyDescent="0.2">
      <c r="E305" s="52"/>
      <c r="H305" s="61"/>
      <c r="K305"/>
    </row>
    <row r="306" spans="5:11" ht="13.5" customHeight="1" x14ac:dyDescent="0.2">
      <c r="E306" s="52"/>
      <c r="H306" s="61"/>
      <c r="K306"/>
    </row>
    <row r="307" spans="5:11" ht="13.5" customHeight="1" x14ac:dyDescent="0.2">
      <c r="E307" s="52"/>
      <c r="H307" s="61"/>
      <c r="K307"/>
    </row>
    <row r="308" spans="5:11" ht="13.5" customHeight="1" x14ac:dyDescent="0.2">
      <c r="E308" s="52"/>
      <c r="H308" s="61"/>
      <c r="K308"/>
    </row>
    <row r="309" spans="5:11" ht="13.5" customHeight="1" x14ac:dyDescent="0.2">
      <c r="E309" s="52"/>
      <c r="H309" s="61"/>
      <c r="K309"/>
    </row>
    <row r="310" spans="5:11" ht="13.5" customHeight="1" x14ac:dyDescent="0.2">
      <c r="E310" s="52"/>
      <c r="H310" s="61"/>
      <c r="K310"/>
    </row>
    <row r="311" spans="5:11" ht="13.5" customHeight="1" x14ac:dyDescent="0.2">
      <c r="E311" s="52"/>
      <c r="H311" s="61"/>
      <c r="K311"/>
    </row>
    <row r="312" spans="5:11" ht="13.5" customHeight="1" x14ac:dyDescent="0.2">
      <c r="E312" s="52"/>
      <c r="H312" s="61"/>
      <c r="K312"/>
    </row>
    <row r="313" spans="5:11" ht="13.5" customHeight="1" x14ac:dyDescent="0.2">
      <c r="E313" s="52"/>
      <c r="H313" s="61"/>
      <c r="K313"/>
    </row>
    <row r="314" spans="5:11" ht="13.5" customHeight="1" x14ac:dyDescent="0.2">
      <c r="E314" s="52"/>
      <c r="H314" s="61"/>
      <c r="K314"/>
    </row>
    <row r="315" spans="5:11" ht="13.5" customHeight="1" x14ac:dyDescent="0.2">
      <c r="E315" s="52"/>
      <c r="H315" s="61"/>
      <c r="K315"/>
    </row>
    <row r="316" spans="5:11" ht="13.5" customHeight="1" x14ac:dyDescent="0.2">
      <c r="E316" s="52"/>
      <c r="H316" s="61"/>
      <c r="K316"/>
    </row>
    <row r="317" spans="5:11" ht="13.5" customHeight="1" x14ac:dyDescent="0.2">
      <c r="E317" s="52"/>
      <c r="H317" s="61"/>
      <c r="K317"/>
    </row>
    <row r="318" spans="5:11" ht="13.5" customHeight="1" x14ac:dyDescent="0.2">
      <c r="E318" s="52"/>
      <c r="H318" s="61"/>
      <c r="K318"/>
    </row>
    <row r="319" spans="5:11" ht="13.5" customHeight="1" x14ac:dyDescent="0.2">
      <c r="E319" s="52"/>
      <c r="H319" s="61"/>
      <c r="K319"/>
    </row>
    <row r="320" spans="5:11" ht="13.5" customHeight="1" x14ac:dyDescent="0.2">
      <c r="E320" s="52"/>
      <c r="H320" s="61"/>
      <c r="K320"/>
    </row>
    <row r="321" spans="5:11" ht="13.5" customHeight="1" x14ac:dyDescent="0.2">
      <c r="E321" s="52"/>
      <c r="H321" s="61"/>
      <c r="K321"/>
    </row>
    <row r="322" spans="5:11" ht="13.5" customHeight="1" x14ac:dyDescent="0.2">
      <c r="E322" s="52"/>
      <c r="H322" s="61"/>
      <c r="K322"/>
    </row>
    <row r="323" spans="5:11" ht="13.5" customHeight="1" x14ac:dyDescent="0.2">
      <c r="E323" s="52"/>
      <c r="H323" s="61"/>
      <c r="K323"/>
    </row>
    <row r="324" spans="5:11" ht="13.5" customHeight="1" x14ac:dyDescent="0.2">
      <c r="E324" s="52"/>
      <c r="H324" s="61"/>
      <c r="K324"/>
    </row>
    <row r="325" spans="5:11" ht="13.5" customHeight="1" x14ac:dyDescent="0.2">
      <c r="E325" s="52"/>
      <c r="H325" s="61"/>
      <c r="K325"/>
    </row>
    <row r="326" spans="5:11" ht="13.5" customHeight="1" x14ac:dyDescent="0.2">
      <c r="E326" s="52"/>
      <c r="H326" s="61"/>
      <c r="K326"/>
    </row>
    <row r="327" spans="5:11" ht="13.5" customHeight="1" x14ac:dyDescent="0.2">
      <c r="E327" s="52"/>
      <c r="H327" s="61"/>
      <c r="K327"/>
    </row>
    <row r="328" spans="5:11" ht="13.5" customHeight="1" x14ac:dyDescent="0.2">
      <c r="E328" s="52"/>
      <c r="H328" s="61"/>
      <c r="K328"/>
    </row>
    <row r="329" spans="5:11" ht="13.5" customHeight="1" x14ac:dyDescent="0.2">
      <c r="E329" s="52"/>
      <c r="H329" s="61"/>
      <c r="K329"/>
    </row>
    <row r="330" spans="5:11" ht="13.5" customHeight="1" x14ac:dyDescent="0.2">
      <c r="E330" s="52"/>
      <c r="H330" s="61"/>
      <c r="K330"/>
    </row>
    <row r="331" spans="5:11" ht="13.5" customHeight="1" x14ac:dyDescent="0.2">
      <c r="E331" s="52"/>
      <c r="H331" s="61"/>
      <c r="K331"/>
    </row>
    <row r="332" spans="5:11" ht="13.5" customHeight="1" x14ac:dyDescent="0.2">
      <c r="E332" s="52"/>
      <c r="H332" s="61"/>
      <c r="K332"/>
    </row>
    <row r="333" spans="5:11" ht="13.5" customHeight="1" x14ac:dyDescent="0.2">
      <c r="E333" s="52"/>
      <c r="H333" s="61"/>
      <c r="K333"/>
    </row>
    <row r="334" spans="5:11" ht="13.5" customHeight="1" x14ac:dyDescent="0.2">
      <c r="E334" s="52"/>
      <c r="H334" s="61"/>
      <c r="K334"/>
    </row>
    <row r="335" spans="5:11" ht="13.5" customHeight="1" x14ac:dyDescent="0.2">
      <c r="E335" s="52"/>
      <c r="H335" s="61"/>
      <c r="K335"/>
    </row>
    <row r="336" spans="5:11" ht="13.5" customHeight="1" x14ac:dyDescent="0.2">
      <c r="E336" s="52"/>
      <c r="H336" s="61"/>
      <c r="K336"/>
    </row>
    <row r="337" spans="5:11" ht="13.5" customHeight="1" x14ac:dyDescent="0.2">
      <c r="E337" s="52"/>
      <c r="H337" s="61"/>
      <c r="K337"/>
    </row>
    <row r="338" spans="5:11" ht="13.5" customHeight="1" x14ac:dyDescent="0.2">
      <c r="E338" s="52"/>
      <c r="H338" s="61"/>
      <c r="K338"/>
    </row>
    <row r="339" spans="5:11" ht="13.5" customHeight="1" x14ac:dyDescent="0.2">
      <c r="E339" s="52"/>
      <c r="H339" s="61"/>
      <c r="K339"/>
    </row>
    <row r="340" spans="5:11" ht="13.5" customHeight="1" x14ac:dyDescent="0.2">
      <c r="E340" s="52"/>
      <c r="H340" s="61"/>
      <c r="K340"/>
    </row>
    <row r="341" spans="5:11" ht="13.5" customHeight="1" x14ac:dyDescent="0.2">
      <c r="E341" s="52"/>
      <c r="H341" s="61"/>
      <c r="K341"/>
    </row>
    <row r="342" spans="5:11" ht="13.5" customHeight="1" x14ac:dyDescent="0.2">
      <c r="E342" s="52"/>
      <c r="H342" s="61"/>
      <c r="K342"/>
    </row>
    <row r="343" spans="5:11" ht="13.5" customHeight="1" x14ac:dyDescent="0.2">
      <c r="E343" s="52"/>
      <c r="H343" s="61"/>
      <c r="K343"/>
    </row>
    <row r="344" spans="5:11" ht="13.5" customHeight="1" x14ac:dyDescent="0.2">
      <c r="E344" s="52"/>
      <c r="H344" s="61"/>
      <c r="K344"/>
    </row>
    <row r="345" spans="5:11" ht="13.5" customHeight="1" x14ac:dyDescent="0.2">
      <c r="E345" s="52"/>
      <c r="H345" s="61"/>
      <c r="K345"/>
    </row>
    <row r="346" spans="5:11" ht="13.5" customHeight="1" x14ac:dyDescent="0.2">
      <c r="E346" s="52"/>
      <c r="H346" s="61"/>
      <c r="K346"/>
    </row>
    <row r="347" spans="5:11" ht="13.5" customHeight="1" x14ac:dyDescent="0.2">
      <c r="E347" s="52"/>
      <c r="H347" s="61"/>
      <c r="K347"/>
    </row>
    <row r="348" spans="5:11" ht="13.5" customHeight="1" x14ac:dyDescent="0.2">
      <c r="E348" s="52"/>
      <c r="H348" s="61"/>
      <c r="K348"/>
    </row>
    <row r="349" spans="5:11" ht="13.5" customHeight="1" x14ac:dyDescent="0.2">
      <c r="E349" s="52"/>
      <c r="H349" s="61"/>
      <c r="K349"/>
    </row>
    <row r="350" spans="5:11" ht="13.5" customHeight="1" x14ac:dyDescent="0.2">
      <c r="E350" s="52"/>
      <c r="H350" s="61"/>
      <c r="K350"/>
    </row>
    <row r="351" spans="5:11" ht="13.5" customHeight="1" x14ac:dyDescent="0.2">
      <c r="E351" s="52"/>
      <c r="H351" s="61"/>
      <c r="K351"/>
    </row>
    <row r="352" spans="5:11" ht="13.5" customHeight="1" x14ac:dyDescent="0.2">
      <c r="E352" s="52"/>
      <c r="H352" s="61"/>
      <c r="K352"/>
    </row>
    <row r="353" spans="5:11" ht="13.5" customHeight="1" x14ac:dyDescent="0.2">
      <c r="E353" s="52"/>
      <c r="H353" s="61"/>
      <c r="K353"/>
    </row>
    <row r="354" spans="5:11" ht="13.5" customHeight="1" x14ac:dyDescent="0.2">
      <c r="E354" s="52"/>
      <c r="H354" s="61"/>
      <c r="K354"/>
    </row>
    <row r="355" spans="5:11" ht="13.5" customHeight="1" x14ac:dyDescent="0.2">
      <c r="E355" s="52"/>
      <c r="H355" s="61"/>
      <c r="K355"/>
    </row>
    <row r="356" spans="5:11" ht="14.25" customHeight="1" x14ac:dyDescent="0.2">
      <c r="E356" s="52"/>
      <c r="H356" s="61"/>
      <c r="K356"/>
    </row>
    <row r="357" spans="5:11" ht="14.25" customHeight="1" x14ac:dyDescent="0.2">
      <c r="E357" s="52"/>
      <c r="H357" s="61"/>
      <c r="K357"/>
    </row>
    <row r="358" spans="5:11" ht="14.25" customHeight="1" x14ac:dyDescent="0.2">
      <c r="E358" s="52"/>
      <c r="H358" s="61"/>
      <c r="K358"/>
    </row>
    <row r="359" spans="5:11" ht="14.25" customHeight="1" x14ac:dyDescent="0.2">
      <c r="E359" s="52"/>
      <c r="H359" s="61"/>
      <c r="K359"/>
    </row>
    <row r="360" spans="5:11" ht="14.25" customHeight="1" x14ac:dyDescent="0.2">
      <c r="E360" s="52"/>
      <c r="H360" s="61"/>
      <c r="K360"/>
    </row>
    <row r="361" spans="5:11" ht="14.25" customHeight="1" x14ac:dyDescent="0.2">
      <c r="E361" s="52"/>
      <c r="H361" s="61"/>
      <c r="K361"/>
    </row>
    <row r="362" spans="5:11" ht="14.25" customHeight="1" x14ac:dyDescent="0.2">
      <c r="E362" s="52"/>
      <c r="H362" s="61"/>
      <c r="K362"/>
    </row>
    <row r="363" spans="5:11" ht="14.25" customHeight="1" x14ac:dyDescent="0.2">
      <c r="E363" s="52"/>
      <c r="H363" s="61"/>
      <c r="K363"/>
    </row>
    <row r="364" spans="5:11" ht="14.25" customHeight="1" x14ac:dyDescent="0.2">
      <c r="E364" s="52"/>
      <c r="H364" s="61"/>
      <c r="K364"/>
    </row>
    <row r="365" spans="5:11" ht="14.25" customHeight="1" x14ac:dyDescent="0.2">
      <c r="E365" s="52"/>
      <c r="H365" s="61"/>
      <c r="K365"/>
    </row>
    <row r="366" spans="5:11" ht="14.25" customHeight="1" x14ac:dyDescent="0.2">
      <c r="E366" s="52"/>
      <c r="H366" s="61"/>
      <c r="K366"/>
    </row>
    <row r="367" spans="5:11" ht="14.25" customHeight="1" x14ac:dyDescent="0.2">
      <c r="E367" s="52"/>
      <c r="H367" s="61"/>
      <c r="K367"/>
    </row>
    <row r="368" spans="5:11" ht="14.25" customHeight="1" x14ac:dyDescent="0.2">
      <c r="E368" s="52"/>
      <c r="H368" s="61"/>
      <c r="K368"/>
    </row>
    <row r="369" spans="5:11" ht="14.25" customHeight="1" x14ac:dyDescent="0.2">
      <c r="E369" s="52"/>
      <c r="H369" s="61"/>
      <c r="K369"/>
    </row>
    <row r="370" spans="5:11" ht="14.25" customHeight="1" x14ac:dyDescent="0.2">
      <c r="E370" s="52"/>
      <c r="H370" s="61"/>
      <c r="K370"/>
    </row>
    <row r="371" spans="5:11" ht="14.25" customHeight="1" x14ac:dyDescent="0.2">
      <c r="E371" s="52"/>
      <c r="H371" s="61"/>
      <c r="K371"/>
    </row>
    <row r="372" spans="5:11" ht="14.25" customHeight="1" x14ac:dyDescent="0.2">
      <c r="E372" s="52"/>
      <c r="H372" s="61"/>
      <c r="K372"/>
    </row>
    <row r="373" spans="5:11" ht="14.25" customHeight="1" x14ac:dyDescent="0.2">
      <c r="E373" s="52"/>
      <c r="H373" s="61"/>
      <c r="K373"/>
    </row>
    <row r="374" spans="5:11" ht="14.25" customHeight="1" x14ac:dyDescent="0.2">
      <c r="E374" s="52"/>
      <c r="H374" s="61"/>
      <c r="K374"/>
    </row>
    <row r="375" spans="5:11" ht="14.25" customHeight="1" x14ac:dyDescent="0.2">
      <c r="E375" s="52"/>
      <c r="H375" s="61"/>
      <c r="K375"/>
    </row>
    <row r="376" spans="5:11" ht="14.25" customHeight="1" x14ac:dyDescent="0.2">
      <c r="E376" s="52"/>
      <c r="H376" s="61"/>
      <c r="K376"/>
    </row>
    <row r="377" spans="5:11" ht="14.25" customHeight="1" x14ac:dyDescent="0.2">
      <c r="E377" s="52"/>
      <c r="H377" s="61"/>
      <c r="K377"/>
    </row>
    <row r="378" spans="5:11" ht="14.25" customHeight="1" x14ac:dyDescent="0.2">
      <c r="E378" s="52"/>
      <c r="H378" s="61"/>
      <c r="K378"/>
    </row>
    <row r="379" spans="5:11" ht="14.25" customHeight="1" x14ac:dyDescent="0.2">
      <c r="E379" s="52"/>
      <c r="H379" s="61"/>
      <c r="K379"/>
    </row>
    <row r="380" spans="5:11" ht="14.25" customHeight="1" x14ac:dyDescent="0.2">
      <c r="E380" s="52"/>
      <c r="H380" s="61"/>
      <c r="K380"/>
    </row>
    <row r="381" spans="5:11" ht="14.25" customHeight="1" x14ac:dyDescent="0.2">
      <c r="E381" s="52"/>
      <c r="H381" s="61"/>
      <c r="K381"/>
    </row>
    <row r="382" spans="5:11" ht="14.25" customHeight="1" x14ac:dyDescent="0.2">
      <c r="E382" s="52"/>
      <c r="H382" s="61"/>
      <c r="K382"/>
    </row>
    <row r="383" spans="5:11" ht="14.25" customHeight="1" x14ac:dyDescent="0.2">
      <c r="E383" s="52"/>
      <c r="H383" s="61"/>
      <c r="K383"/>
    </row>
    <row r="384" spans="5:11" ht="14.25" customHeight="1" x14ac:dyDescent="0.2">
      <c r="E384" s="52"/>
      <c r="H384" s="61"/>
      <c r="K384"/>
    </row>
    <row r="385" spans="5:11" ht="14.25" customHeight="1" x14ac:dyDescent="0.2">
      <c r="E385" s="52"/>
      <c r="H385" s="61"/>
      <c r="K385"/>
    </row>
    <row r="386" spans="5:11" ht="14.25" customHeight="1" x14ac:dyDescent="0.2">
      <c r="E386" s="52"/>
      <c r="H386" s="61"/>
      <c r="K386"/>
    </row>
    <row r="387" spans="5:11" ht="14.25" customHeight="1" x14ac:dyDescent="0.2">
      <c r="E387" s="52"/>
      <c r="H387" s="61"/>
      <c r="K387"/>
    </row>
    <row r="388" spans="5:11" ht="14.25" customHeight="1" x14ac:dyDescent="0.2">
      <c r="E388" s="52"/>
      <c r="H388" s="61"/>
      <c r="K388"/>
    </row>
    <row r="389" spans="5:11" ht="14.25" customHeight="1" x14ac:dyDescent="0.2">
      <c r="E389" s="52"/>
      <c r="H389" s="61"/>
      <c r="K389"/>
    </row>
    <row r="390" spans="5:11" ht="14.25" customHeight="1" x14ac:dyDescent="0.2">
      <c r="E390" s="52"/>
      <c r="H390" s="61"/>
      <c r="K390"/>
    </row>
    <row r="391" spans="5:11" ht="14.25" customHeight="1" x14ac:dyDescent="0.2">
      <c r="E391" s="52"/>
      <c r="H391" s="61"/>
      <c r="K391"/>
    </row>
    <row r="392" spans="5:11" ht="14.25" customHeight="1" x14ac:dyDescent="0.2">
      <c r="E392" s="52"/>
      <c r="H392" s="61"/>
      <c r="K392"/>
    </row>
    <row r="393" spans="5:11" ht="14.25" customHeight="1" x14ac:dyDescent="0.2">
      <c r="E393" s="52"/>
      <c r="H393" s="61"/>
      <c r="K393"/>
    </row>
    <row r="394" spans="5:11" ht="14.25" customHeight="1" x14ac:dyDescent="0.2">
      <c r="E394" s="52"/>
      <c r="H394" s="61"/>
      <c r="K394"/>
    </row>
    <row r="395" spans="5:11" ht="14.25" customHeight="1" x14ac:dyDescent="0.2">
      <c r="E395" s="52"/>
      <c r="H395" s="61"/>
      <c r="K395"/>
    </row>
    <row r="396" spans="5:11" ht="14.25" customHeight="1" x14ac:dyDescent="0.2">
      <c r="E396" s="52"/>
      <c r="H396" s="61"/>
      <c r="K396"/>
    </row>
    <row r="397" spans="5:11" ht="14.25" customHeight="1" x14ac:dyDescent="0.2">
      <c r="E397" s="52"/>
      <c r="H397" s="61"/>
      <c r="K397"/>
    </row>
    <row r="398" spans="5:11" ht="14.25" customHeight="1" x14ac:dyDescent="0.2">
      <c r="E398" s="52"/>
      <c r="H398" s="61"/>
      <c r="K398"/>
    </row>
    <row r="399" spans="5:11" ht="14.25" customHeight="1" x14ac:dyDescent="0.2">
      <c r="E399" s="52"/>
      <c r="H399" s="61"/>
      <c r="K399"/>
    </row>
    <row r="400" spans="5:11" ht="14.25" customHeight="1" x14ac:dyDescent="0.2">
      <c r="E400" s="52"/>
      <c r="H400" s="61"/>
      <c r="K400"/>
    </row>
    <row r="401" spans="5:11" ht="14.25" customHeight="1" x14ac:dyDescent="0.2">
      <c r="E401" s="52"/>
      <c r="H401" s="61"/>
      <c r="K401"/>
    </row>
    <row r="402" spans="5:11" ht="14.25" customHeight="1" x14ac:dyDescent="0.2">
      <c r="E402" s="52"/>
      <c r="H402" s="61"/>
      <c r="K402"/>
    </row>
    <row r="403" spans="5:11" ht="14.25" customHeight="1" x14ac:dyDescent="0.2">
      <c r="E403" s="52"/>
      <c r="H403" s="61"/>
      <c r="K403"/>
    </row>
    <row r="404" spans="5:11" ht="14.25" customHeight="1" x14ac:dyDescent="0.2">
      <c r="E404" s="52"/>
      <c r="H404" s="61"/>
      <c r="K404"/>
    </row>
    <row r="405" spans="5:11" ht="14.25" customHeight="1" x14ac:dyDescent="0.2">
      <c r="E405" s="52"/>
      <c r="H405" s="61"/>
      <c r="K405"/>
    </row>
    <row r="406" spans="5:11" ht="14.25" customHeight="1" x14ac:dyDescent="0.2">
      <c r="E406" s="52"/>
      <c r="H406" s="61"/>
      <c r="K406"/>
    </row>
    <row r="407" spans="5:11" ht="14.25" customHeight="1" x14ac:dyDescent="0.2">
      <c r="E407" s="52"/>
      <c r="H407" s="61"/>
      <c r="K407"/>
    </row>
    <row r="408" spans="5:11" ht="14.25" customHeight="1" x14ac:dyDescent="0.2">
      <c r="E408" s="52"/>
      <c r="H408" s="61"/>
      <c r="K408"/>
    </row>
    <row r="409" spans="5:11" ht="14.25" customHeight="1" x14ac:dyDescent="0.2">
      <c r="E409" s="52"/>
      <c r="H409" s="61"/>
      <c r="K409"/>
    </row>
    <row r="410" spans="5:11" ht="14.25" customHeight="1" x14ac:dyDescent="0.2">
      <c r="E410" s="52"/>
      <c r="H410" s="61"/>
      <c r="K410"/>
    </row>
    <row r="411" spans="5:11" ht="14.25" customHeight="1" x14ac:dyDescent="0.2">
      <c r="E411" s="52"/>
      <c r="H411" s="61"/>
      <c r="K411"/>
    </row>
    <row r="412" spans="5:11" ht="14.25" customHeight="1" x14ac:dyDescent="0.2">
      <c r="E412" s="52"/>
      <c r="H412" s="61"/>
      <c r="K412"/>
    </row>
    <row r="413" spans="5:11" ht="14.25" customHeight="1" x14ac:dyDescent="0.2">
      <c r="E413" s="52"/>
      <c r="H413" s="61"/>
      <c r="K413"/>
    </row>
    <row r="414" spans="5:11" ht="14.25" customHeight="1" x14ac:dyDescent="0.2">
      <c r="E414" s="52"/>
      <c r="H414" s="61"/>
      <c r="K414"/>
    </row>
    <row r="415" spans="5:11" ht="14.25" customHeight="1" x14ac:dyDescent="0.2">
      <c r="E415" s="52"/>
      <c r="H415" s="61"/>
      <c r="K415"/>
    </row>
    <row r="416" spans="5:11" ht="14.25" customHeight="1" x14ac:dyDescent="0.2">
      <c r="E416" s="52"/>
      <c r="H416" s="61"/>
      <c r="K416"/>
    </row>
    <row r="417" spans="5:11" ht="14.25" customHeight="1" x14ac:dyDescent="0.2">
      <c r="E417" s="52"/>
      <c r="H417" s="61"/>
      <c r="K417"/>
    </row>
    <row r="418" spans="5:11" ht="14.25" customHeight="1" x14ac:dyDescent="0.2">
      <c r="E418" s="52"/>
      <c r="H418" s="61"/>
      <c r="K418"/>
    </row>
    <row r="419" spans="5:11" ht="14.25" customHeight="1" x14ac:dyDescent="0.2">
      <c r="E419" s="52"/>
      <c r="H419" s="61"/>
      <c r="K419"/>
    </row>
    <row r="420" spans="5:11" ht="14.25" customHeight="1" x14ac:dyDescent="0.2">
      <c r="E420" s="52"/>
      <c r="H420" s="61"/>
      <c r="K420"/>
    </row>
    <row r="421" spans="5:11" ht="14.25" customHeight="1" x14ac:dyDescent="0.2">
      <c r="E421" s="52"/>
      <c r="H421" s="61"/>
      <c r="K421"/>
    </row>
    <row r="422" spans="5:11" ht="14.25" customHeight="1" x14ac:dyDescent="0.2">
      <c r="E422" s="52"/>
      <c r="H422" s="61"/>
      <c r="K422"/>
    </row>
    <row r="423" spans="5:11" ht="14.25" customHeight="1" x14ac:dyDescent="0.2">
      <c r="E423" s="52"/>
      <c r="H423" s="61"/>
      <c r="K423"/>
    </row>
    <row r="424" spans="5:11" ht="14.25" customHeight="1" x14ac:dyDescent="0.2">
      <c r="E424" s="52"/>
      <c r="H424" s="61"/>
      <c r="K424"/>
    </row>
    <row r="425" spans="5:11" ht="14.25" customHeight="1" x14ac:dyDescent="0.2">
      <c r="E425" s="52"/>
      <c r="H425" s="61"/>
      <c r="K425"/>
    </row>
    <row r="426" spans="5:11" ht="14.25" customHeight="1" x14ac:dyDescent="0.2">
      <c r="E426" s="52"/>
      <c r="H426" s="61"/>
      <c r="K426"/>
    </row>
    <row r="427" spans="5:11" ht="14.25" customHeight="1" x14ac:dyDescent="0.2">
      <c r="E427" s="52"/>
      <c r="H427" s="61"/>
      <c r="K427"/>
    </row>
    <row r="428" spans="5:11" ht="14.25" customHeight="1" x14ac:dyDescent="0.2">
      <c r="E428" s="52"/>
      <c r="H428" s="61"/>
      <c r="K428"/>
    </row>
    <row r="429" spans="5:11" ht="14.25" customHeight="1" x14ac:dyDescent="0.2">
      <c r="E429" s="52"/>
      <c r="H429" s="61"/>
      <c r="K429"/>
    </row>
    <row r="430" spans="5:11" ht="14.25" customHeight="1" x14ac:dyDescent="0.2">
      <c r="E430" s="52"/>
      <c r="H430" s="61"/>
      <c r="K430"/>
    </row>
    <row r="431" spans="5:11" ht="14.25" customHeight="1" x14ac:dyDescent="0.2">
      <c r="E431" s="52"/>
      <c r="H431" s="61"/>
      <c r="K431"/>
    </row>
    <row r="432" spans="5:11" ht="14.25" customHeight="1" x14ac:dyDescent="0.2">
      <c r="E432" s="52"/>
      <c r="H432" s="61"/>
      <c r="K432"/>
    </row>
    <row r="433" spans="5:11" ht="14.25" customHeight="1" x14ac:dyDescent="0.2">
      <c r="E433" s="52"/>
      <c r="H433" s="61"/>
      <c r="K433"/>
    </row>
    <row r="434" spans="5:11" ht="14.25" customHeight="1" x14ac:dyDescent="0.2">
      <c r="E434" s="52"/>
      <c r="H434" s="61"/>
      <c r="K434"/>
    </row>
    <row r="435" spans="5:11" ht="14.25" customHeight="1" x14ac:dyDescent="0.2">
      <c r="E435" s="52"/>
      <c r="H435" s="61"/>
      <c r="K435"/>
    </row>
    <row r="436" spans="5:11" ht="14.25" customHeight="1" x14ac:dyDescent="0.2">
      <c r="E436" s="52"/>
      <c r="H436" s="61"/>
      <c r="K436"/>
    </row>
    <row r="437" spans="5:11" ht="14.25" customHeight="1" x14ac:dyDescent="0.2">
      <c r="E437" s="52"/>
      <c r="H437" s="61"/>
      <c r="K437"/>
    </row>
    <row r="438" spans="5:11" ht="14.25" customHeight="1" x14ac:dyDescent="0.2">
      <c r="E438" s="52"/>
      <c r="H438" s="61"/>
      <c r="K438"/>
    </row>
    <row r="439" spans="5:11" ht="14.25" customHeight="1" x14ac:dyDescent="0.2">
      <c r="E439" s="52"/>
      <c r="H439" s="61"/>
      <c r="K439"/>
    </row>
    <row r="440" spans="5:11" ht="14.25" customHeight="1" x14ac:dyDescent="0.2">
      <c r="E440" s="52"/>
      <c r="H440" s="61"/>
      <c r="K440"/>
    </row>
    <row r="441" spans="5:11" ht="14.25" customHeight="1" x14ac:dyDescent="0.2">
      <c r="E441" s="52"/>
      <c r="H441" s="61"/>
      <c r="K441"/>
    </row>
    <row r="442" spans="5:11" ht="14.25" customHeight="1" x14ac:dyDescent="0.2">
      <c r="E442" s="52"/>
      <c r="H442" s="61"/>
      <c r="K442"/>
    </row>
    <row r="443" spans="5:11" ht="14.25" customHeight="1" x14ac:dyDescent="0.2">
      <c r="E443" s="52"/>
      <c r="H443" s="61"/>
      <c r="K443"/>
    </row>
    <row r="444" spans="5:11" ht="14.25" customHeight="1" x14ac:dyDescent="0.2">
      <c r="E444" s="52"/>
      <c r="H444" s="61"/>
      <c r="K444"/>
    </row>
    <row r="445" spans="5:11" ht="14.25" customHeight="1" x14ac:dyDescent="0.2">
      <c r="E445" s="52"/>
      <c r="H445" s="61"/>
      <c r="K445"/>
    </row>
    <row r="446" spans="5:11" ht="14.25" customHeight="1" x14ac:dyDescent="0.2">
      <c r="E446" s="52"/>
      <c r="H446" s="61"/>
      <c r="K446"/>
    </row>
    <row r="447" spans="5:11" ht="14.25" customHeight="1" x14ac:dyDescent="0.2">
      <c r="E447" s="52"/>
      <c r="H447" s="61"/>
      <c r="K447"/>
    </row>
    <row r="448" spans="5:11" ht="14.25" customHeight="1" x14ac:dyDescent="0.2">
      <c r="E448" s="52"/>
      <c r="H448" s="61"/>
      <c r="K448"/>
    </row>
    <row r="449" spans="5:11" ht="14.25" customHeight="1" x14ac:dyDescent="0.2">
      <c r="E449" s="52"/>
      <c r="H449" s="61"/>
      <c r="K449"/>
    </row>
    <row r="450" spans="5:11" ht="14.25" customHeight="1" x14ac:dyDescent="0.2">
      <c r="E450" s="52"/>
      <c r="H450" s="61"/>
      <c r="K450"/>
    </row>
    <row r="451" spans="5:11" ht="14.25" customHeight="1" x14ac:dyDescent="0.2">
      <c r="E451" s="52"/>
      <c r="H451" s="61"/>
      <c r="K451"/>
    </row>
    <row r="452" spans="5:11" ht="14.25" customHeight="1" x14ac:dyDescent="0.2">
      <c r="E452" s="52"/>
      <c r="H452" s="61"/>
      <c r="K452"/>
    </row>
    <row r="453" spans="5:11" ht="14.25" customHeight="1" x14ac:dyDescent="0.2">
      <c r="E453" s="52"/>
      <c r="H453" s="61"/>
      <c r="K453"/>
    </row>
    <row r="454" spans="5:11" ht="14.25" customHeight="1" x14ac:dyDescent="0.2">
      <c r="E454" s="52"/>
      <c r="H454" s="61"/>
      <c r="K454"/>
    </row>
    <row r="455" spans="5:11" ht="14.25" customHeight="1" x14ac:dyDescent="0.2">
      <c r="E455" s="52"/>
      <c r="H455" s="61"/>
      <c r="K455"/>
    </row>
    <row r="456" spans="5:11" ht="14.25" customHeight="1" x14ac:dyDescent="0.2">
      <c r="E456" s="52"/>
      <c r="H456" s="61"/>
      <c r="K456"/>
    </row>
    <row r="457" spans="5:11" ht="14.25" customHeight="1" x14ac:dyDescent="0.2">
      <c r="E457" s="52"/>
      <c r="H457" s="61"/>
      <c r="K457"/>
    </row>
    <row r="458" spans="5:11" ht="14.25" customHeight="1" x14ac:dyDescent="0.2">
      <c r="E458" s="52"/>
      <c r="H458" s="61"/>
      <c r="K458"/>
    </row>
    <row r="459" spans="5:11" ht="14.25" customHeight="1" x14ac:dyDescent="0.2">
      <c r="E459" s="52"/>
      <c r="H459" s="61"/>
      <c r="K459"/>
    </row>
    <row r="460" spans="5:11" ht="14.25" customHeight="1" x14ac:dyDescent="0.2">
      <c r="E460" s="52"/>
      <c r="H460" s="61"/>
      <c r="K460"/>
    </row>
    <row r="461" spans="5:11" ht="14.25" customHeight="1" x14ac:dyDescent="0.2">
      <c r="E461" s="52"/>
      <c r="H461" s="61"/>
      <c r="K461"/>
    </row>
    <row r="462" spans="5:11" ht="14.25" customHeight="1" x14ac:dyDescent="0.2">
      <c r="E462" s="52"/>
      <c r="H462" s="61"/>
      <c r="K462"/>
    </row>
    <row r="463" spans="5:11" ht="14.25" customHeight="1" x14ac:dyDescent="0.2">
      <c r="E463" s="52"/>
      <c r="H463" s="61"/>
      <c r="K463"/>
    </row>
    <row r="464" spans="5:11" ht="14.25" customHeight="1" x14ac:dyDescent="0.2">
      <c r="E464" s="52"/>
      <c r="H464" s="61"/>
      <c r="K464"/>
    </row>
    <row r="465" spans="5:11" ht="14.25" customHeight="1" x14ac:dyDescent="0.2">
      <c r="E465" s="52"/>
      <c r="H465" s="61"/>
      <c r="K465"/>
    </row>
    <row r="466" spans="5:11" ht="14.25" customHeight="1" x14ac:dyDescent="0.2">
      <c r="E466" s="52"/>
      <c r="H466" s="61"/>
      <c r="K466"/>
    </row>
    <row r="467" spans="5:11" ht="14.25" customHeight="1" x14ac:dyDescent="0.2">
      <c r="E467" s="52"/>
      <c r="H467" s="61"/>
      <c r="K467"/>
    </row>
    <row r="468" spans="5:11" ht="14.25" customHeight="1" x14ac:dyDescent="0.2">
      <c r="E468" s="52"/>
      <c r="H468" s="61"/>
      <c r="K468"/>
    </row>
    <row r="469" spans="5:11" ht="14.25" customHeight="1" x14ac:dyDescent="0.2">
      <c r="E469" s="52"/>
      <c r="H469" s="61"/>
      <c r="K469"/>
    </row>
    <row r="470" spans="5:11" ht="14.25" customHeight="1" x14ac:dyDescent="0.2">
      <c r="E470" s="52"/>
      <c r="H470" s="61"/>
      <c r="K470"/>
    </row>
    <row r="471" spans="5:11" ht="14.25" customHeight="1" x14ac:dyDescent="0.2">
      <c r="E471" s="52"/>
      <c r="H471" s="61"/>
      <c r="K471"/>
    </row>
    <row r="472" spans="5:11" ht="14.25" customHeight="1" x14ac:dyDescent="0.2">
      <c r="E472" s="52"/>
      <c r="H472" s="61"/>
      <c r="K472"/>
    </row>
    <row r="473" spans="5:11" ht="14.25" customHeight="1" x14ac:dyDescent="0.2">
      <c r="E473" s="52"/>
      <c r="H473" s="61"/>
      <c r="K473"/>
    </row>
    <row r="474" spans="5:11" ht="14.25" customHeight="1" x14ac:dyDescent="0.2">
      <c r="E474" s="52"/>
      <c r="H474" s="61"/>
      <c r="K474"/>
    </row>
    <row r="475" spans="5:11" ht="14.25" customHeight="1" x14ac:dyDescent="0.2">
      <c r="E475" s="52"/>
      <c r="H475" s="61"/>
      <c r="K475"/>
    </row>
    <row r="476" spans="5:11" ht="14.25" customHeight="1" x14ac:dyDescent="0.2">
      <c r="E476" s="52"/>
      <c r="H476" s="61"/>
      <c r="K476"/>
    </row>
    <row r="477" spans="5:11" ht="14.25" customHeight="1" x14ac:dyDescent="0.2">
      <c r="E477" s="52"/>
      <c r="H477" s="61"/>
      <c r="K477"/>
    </row>
    <row r="478" spans="5:11" ht="14.25" customHeight="1" x14ac:dyDescent="0.2">
      <c r="E478" s="52"/>
      <c r="H478" s="61"/>
      <c r="K478"/>
    </row>
    <row r="479" spans="5:11" ht="14.25" customHeight="1" x14ac:dyDescent="0.2">
      <c r="E479" s="52"/>
      <c r="H479" s="61"/>
      <c r="K479"/>
    </row>
    <row r="480" spans="5:11" ht="14.25" customHeight="1" x14ac:dyDescent="0.2">
      <c r="E480" s="52"/>
      <c r="H480" s="61"/>
      <c r="K480"/>
    </row>
    <row r="481" spans="5:11" ht="14.25" customHeight="1" x14ac:dyDescent="0.2">
      <c r="E481" s="52"/>
      <c r="H481" s="61"/>
      <c r="K481"/>
    </row>
    <row r="482" spans="5:11" ht="14.25" customHeight="1" x14ac:dyDescent="0.2">
      <c r="E482" s="52"/>
      <c r="H482" s="61"/>
      <c r="K482"/>
    </row>
    <row r="483" spans="5:11" ht="14.25" customHeight="1" x14ac:dyDescent="0.2">
      <c r="E483" s="52"/>
      <c r="H483" s="61"/>
      <c r="K483"/>
    </row>
    <row r="484" spans="5:11" ht="14.25" customHeight="1" x14ac:dyDescent="0.2">
      <c r="E484" s="52"/>
      <c r="H484" s="61"/>
      <c r="K484"/>
    </row>
    <row r="485" spans="5:11" ht="14.25" customHeight="1" x14ac:dyDescent="0.2">
      <c r="E485" s="52"/>
      <c r="H485" s="61"/>
      <c r="K485"/>
    </row>
    <row r="486" spans="5:11" ht="14.25" customHeight="1" x14ac:dyDescent="0.2">
      <c r="E486" s="52"/>
      <c r="H486" s="61"/>
      <c r="K486"/>
    </row>
    <row r="487" spans="5:11" ht="14.25" customHeight="1" x14ac:dyDescent="0.2">
      <c r="E487" s="52"/>
      <c r="H487" s="61"/>
      <c r="K487"/>
    </row>
    <row r="488" spans="5:11" ht="14.25" customHeight="1" x14ac:dyDescent="0.2">
      <c r="E488" s="52"/>
      <c r="F488" s="41"/>
      <c r="H488" s="61"/>
      <c r="K488"/>
    </row>
    <row r="489" spans="5:11" ht="14.25" customHeight="1" x14ac:dyDescent="0.2">
      <c r="E489" s="52"/>
      <c r="F489" s="41"/>
      <c r="H489" s="61"/>
      <c r="K489"/>
    </row>
    <row r="490" spans="5:11" ht="14.25" customHeight="1" x14ac:dyDescent="0.2">
      <c r="E490" s="52"/>
      <c r="F490" s="41"/>
      <c r="H490" s="61"/>
      <c r="K490"/>
    </row>
    <row r="491" spans="5:11" ht="14.25" customHeight="1" x14ac:dyDescent="0.2">
      <c r="E491" s="52"/>
      <c r="F491" s="41"/>
      <c r="H491" s="61"/>
      <c r="K491"/>
    </row>
    <row r="492" spans="5:11" ht="14.25" customHeight="1" x14ac:dyDescent="0.2">
      <c r="E492" s="52"/>
      <c r="F492" s="41"/>
      <c r="H492" s="61"/>
      <c r="K492"/>
    </row>
    <row r="493" spans="5:11" ht="14.25" customHeight="1" x14ac:dyDescent="0.2">
      <c r="E493" s="52"/>
      <c r="F493" s="41"/>
      <c r="H493" s="61"/>
      <c r="K493"/>
    </row>
    <row r="494" spans="5:11" ht="14.25" customHeight="1" x14ac:dyDescent="0.2">
      <c r="E494" s="52"/>
      <c r="F494" s="41"/>
      <c r="H494" s="61"/>
      <c r="K494"/>
    </row>
    <row r="495" spans="5:11" ht="14.25" customHeight="1" x14ac:dyDescent="0.2">
      <c r="E495" s="52"/>
      <c r="F495" s="41"/>
      <c r="H495" s="61"/>
      <c r="K495"/>
    </row>
    <row r="496" spans="5:11" ht="14.25" customHeight="1" x14ac:dyDescent="0.2">
      <c r="E496" s="52"/>
      <c r="F496" s="41"/>
      <c r="H496" s="61"/>
      <c r="K496"/>
    </row>
    <row r="497" spans="5:11" ht="14.25" customHeight="1" x14ac:dyDescent="0.2">
      <c r="E497" s="52"/>
      <c r="F497" s="41"/>
      <c r="H497" s="61"/>
      <c r="K497"/>
    </row>
    <row r="498" spans="5:11" ht="14.25" customHeight="1" x14ac:dyDescent="0.2">
      <c r="E498" s="52"/>
      <c r="F498" s="41"/>
      <c r="H498" s="61"/>
      <c r="K498"/>
    </row>
    <row r="499" spans="5:11" ht="14.25" customHeight="1" x14ac:dyDescent="0.2">
      <c r="E499" s="52"/>
      <c r="F499" s="41"/>
      <c r="H499" s="61"/>
      <c r="K499"/>
    </row>
    <row r="500" spans="5:11" ht="13.5" customHeight="1" x14ac:dyDescent="0.2">
      <c r="E500" s="52"/>
      <c r="F500" s="41"/>
      <c r="H500" s="61"/>
      <c r="K500"/>
    </row>
    <row r="501" spans="5:11" ht="13.5" customHeight="1" x14ac:dyDescent="0.2">
      <c r="E501" s="52"/>
      <c r="F501" s="41"/>
      <c r="H501" s="61"/>
      <c r="K501"/>
    </row>
    <row r="502" spans="5:11" ht="13.5" customHeight="1" x14ac:dyDescent="0.2">
      <c r="E502" s="52"/>
      <c r="F502" s="41"/>
      <c r="H502" s="61"/>
      <c r="K502"/>
    </row>
    <row r="503" spans="5:11" ht="13.5" customHeight="1" x14ac:dyDescent="0.2">
      <c r="E503" s="52"/>
      <c r="F503" s="41"/>
      <c r="H503" s="61"/>
      <c r="K503"/>
    </row>
    <row r="504" spans="5:11" ht="13.5" customHeight="1" x14ac:dyDescent="0.2">
      <c r="E504" s="52"/>
      <c r="F504" s="41"/>
      <c r="H504" s="61"/>
      <c r="K504"/>
    </row>
    <row r="505" spans="5:11" ht="13.5" customHeight="1" x14ac:dyDescent="0.2">
      <c r="E505" s="52"/>
      <c r="F505" s="41"/>
      <c r="H505" s="61"/>
      <c r="K505"/>
    </row>
    <row r="506" spans="5:11" ht="13.5" customHeight="1" x14ac:dyDescent="0.2">
      <c r="E506" s="52"/>
      <c r="F506" s="41"/>
      <c r="H506" s="61"/>
      <c r="K506"/>
    </row>
    <row r="507" spans="5:11" ht="13.5" customHeight="1" x14ac:dyDescent="0.2">
      <c r="E507" s="52"/>
      <c r="F507" s="41"/>
      <c r="H507" s="61"/>
      <c r="K507"/>
    </row>
    <row r="508" spans="5:11" ht="13.5" customHeight="1" x14ac:dyDescent="0.2">
      <c r="E508" s="52"/>
      <c r="F508" s="41"/>
      <c r="H508" s="61"/>
      <c r="K508"/>
    </row>
    <row r="509" spans="5:11" ht="13.5" customHeight="1" x14ac:dyDescent="0.2">
      <c r="E509" s="52"/>
      <c r="F509" s="41"/>
      <c r="H509" s="61"/>
      <c r="K509"/>
    </row>
    <row r="510" spans="5:11" ht="13.5" customHeight="1" x14ac:dyDescent="0.2">
      <c r="E510" s="52"/>
      <c r="F510" s="41"/>
      <c r="H510" s="61"/>
      <c r="K510"/>
    </row>
    <row r="511" spans="5:11" ht="13.5" customHeight="1" x14ac:dyDescent="0.2">
      <c r="E511" s="52"/>
      <c r="F511" s="41"/>
      <c r="H511" s="61"/>
      <c r="K511"/>
    </row>
    <row r="512" spans="5:11" ht="13.5" customHeight="1" x14ac:dyDescent="0.2">
      <c r="E512" s="52"/>
      <c r="F512" s="41"/>
      <c r="H512" s="61"/>
      <c r="K512"/>
    </row>
    <row r="513" spans="5:11" ht="13.5" customHeight="1" x14ac:dyDescent="0.2">
      <c r="E513" s="52"/>
      <c r="F513" s="41"/>
      <c r="H513" s="61"/>
      <c r="K513"/>
    </row>
    <row r="514" spans="5:11" ht="13.5" customHeight="1" x14ac:dyDescent="0.2">
      <c r="E514" s="52"/>
      <c r="F514" s="41"/>
      <c r="H514" s="61"/>
      <c r="K514"/>
    </row>
    <row r="515" spans="5:11" ht="13.5" customHeight="1" x14ac:dyDescent="0.2">
      <c r="E515" s="52"/>
      <c r="F515" s="41"/>
      <c r="H515" s="61"/>
      <c r="K515"/>
    </row>
    <row r="516" spans="5:11" ht="13.5" customHeight="1" x14ac:dyDescent="0.2">
      <c r="E516" s="52"/>
      <c r="F516" s="41"/>
      <c r="H516" s="61"/>
      <c r="K516"/>
    </row>
    <row r="517" spans="5:11" ht="13.5" customHeight="1" x14ac:dyDescent="0.2">
      <c r="E517" s="52"/>
      <c r="F517" s="41"/>
      <c r="H517" s="61"/>
      <c r="K517"/>
    </row>
    <row r="518" spans="5:11" ht="13.5" customHeight="1" x14ac:dyDescent="0.2">
      <c r="E518" s="52"/>
      <c r="F518" s="41"/>
      <c r="H518" s="61"/>
      <c r="K518"/>
    </row>
    <row r="519" spans="5:11" ht="13.5" customHeight="1" x14ac:dyDescent="0.2">
      <c r="E519" s="52"/>
      <c r="F519" s="41"/>
      <c r="H519" s="61"/>
      <c r="K519"/>
    </row>
    <row r="520" spans="5:11" ht="13.5" customHeight="1" x14ac:dyDescent="0.2">
      <c r="E520" s="52"/>
      <c r="F520" s="41"/>
      <c r="H520" s="61"/>
      <c r="K520"/>
    </row>
    <row r="521" spans="5:11" ht="13.5" customHeight="1" x14ac:dyDescent="0.2">
      <c r="E521" s="52"/>
      <c r="F521" s="41"/>
      <c r="H521" s="61"/>
      <c r="K521"/>
    </row>
    <row r="522" spans="5:11" ht="13.5" customHeight="1" x14ac:dyDescent="0.2">
      <c r="E522" s="52"/>
      <c r="F522" s="41"/>
      <c r="H522" s="61"/>
      <c r="K522"/>
    </row>
    <row r="523" spans="5:11" ht="13.5" customHeight="1" x14ac:dyDescent="0.2">
      <c r="E523" s="52"/>
      <c r="F523" s="41"/>
      <c r="H523" s="61"/>
      <c r="K523"/>
    </row>
    <row r="524" spans="5:11" ht="13.5" customHeight="1" x14ac:dyDescent="0.2">
      <c r="E524" s="52"/>
      <c r="H524" s="61"/>
      <c r="K524"/>
    </row>
    <row r="525" spans="5:11" ht="13.5" customHeight="1" x14ac:dyDescent="0.2">
      <c r="E525" s="52"/>
      <c r="H525" s="61"/>
      <c r="K525"/>
    </row>
    <row r="526" spans="5:11" ht="13.5" customHeight="1" x14ac:dyDescent="0.2">
      <c r="E526" s="52"/>
      <c r="H526" s="61"/>
      <c r="K526"/>
    </row>
    <row r="527" spans="5:11" ht="13.5" customHeight="1" x14ac:dyDescent="0.2">
      <c r="E527" s="52"/>
      <c r="H527" s="61"/>
      <c r="K527"/>
    </row>
    <row r="528" spans="5:11" ht="13.5" customHeight="1" x14ac:dyDescent="0.2">
      <c r="E528" s="52"/>
      <c r="H528" s="61"/>
      <c r="K528"/>
    </row>
    <row r="529" spans="5:11" ht="13.5" customHeight="1" x14ac:dyDescent="0.2">
      <c r="E529" s="52"/>
      <c r="H529" s="61"/>
      <c r="K529"/>
    </row>
    <row r="530" spans="5:11" ht="13.5" customHeight="1" x14ac:dyDescent="0.2">
      <c r="E530" s="52"/>
      <c r="H530" s="61"/>
      <c r="K530"/>
    </row>
    <row r="531" spans="5:11" ht="13.5" customHeight="1" x14ac:dyDescent="0.2">
      <c r="E531" s="52"/>
      <c r="H531" s="61"/>
      <c r="K531"/>
    </row>
    <row r="532" spans="5:11" ht="13.5" customHeight="1" x14ac:dyDescent="0.2">
      <c r="E532" s="52"/>
      <c r="H532" s="61"/>
      <c r="K532"/>
    </row>
    <row r="533" spans="5:11" ht="13.5" customHeight="1" x14ac:dyDescent="0.2">
      <c r="E533" s="52"/>
      <c r="H533" s="61"/>
      <c r="K533"/>
    </row>
    <row r="534" spans="5:11" ht="13.5" customHeight="1" x14ac:dyDescent="0.2">
      <c r="E534" s="52"/>
      <c r="H534" s="61"/>
      <c r="K534"/>
    </row>
    <row r="535" spans="5:11" ht="13.5" customHeight="1" x14ac:dyDescent="0.2">
      <c r="E535" s="52"/>
      <c r="H535" s="61"/>
      <c r="K535"/>
    </row>
    <row r="536" spans="5:11" ht="13.5" customHeight="1" x14ac:dyDescent="0.2">
      <c r="E536" s="52"/>
      <c r="H536" s="61"/>
      <c r="K536"/>
    </row>
    <row r="537" spans="5:11" ht="13.5" customHeight="1" x14ac:dyDescent="0.2">
      <c r="E537" s="52"/>
      <c r="H537" s="61"/>
      <c r="K537"/>
    </row>
    <row r="538" spans="5:11" ht="13.5" customHeight="1" x14ac:dyDescent="0.2">
      <c r="E538" s="52"/>
      <c r="H538" s="61"/>
      <c r="K538"/>
    </row>
    <row r="539" spans="5:11" ht="13.5" customHeight="1" x14ac:dyDescent="0.2">
      <c r="E539" s="52"/>
      <c r="H539" s="61"/>
      <c r="K539"/>
    </row>
    <row r="540" spans="5:11" ht="13.5" customHeight="1" x14ac:dyDescent="0.2">
      <c r="E540" s="52"/>
      <c r="H540" s="61"/>
      <c r="K540"/>
    </row>
    <row r="541" spans="5:11" ht="13.5" customHeight="1" x14ac:dyDescent="0.2">
      <c r="E541" s="52"/>
      <c r="H541" s="61"/>
      <c r="K541"/>
    </row>
    <row r="542" spans="5:11" ht="13.5" customHeight="1" x14ac:dyDescent="0.2">
      <c r="E542" s="52"/>
      <c r="H542" s="61"/>
      <c r="K542"/>
    </row>
    <row r="543" spans="5:11" ht="13.5" customHeight="1" x14ac:dyDescent="0.2">
      <c r="E543" s="52"/>
      <c r="H543" s="61"/>
      <c r="K543"/>
    </row>
    <row r="544" spans="5:11" ht="13.5" customHeight="1" x14ac:dyDescent="0.2">
      <c r="E544" s="52"/>
      <c r="H544" s="61"/>
      <c r="K544"/>
    </row>
    <row r="545" spans="5:11" ht="13.5" customHeight="1" x14ac:dyDescent="0.2">
      <c r="E545" s="52"/>
      <c r="H545" s="61"/>
      <c r="K545"/>
    </row>
    <row r="546" spans="5:11" ht="13.5" customHeight="1" x14ac:dyDescent="0.2">
      <c r="E546" s="52"/>
      <c r="H546" s="61"/>
      <c r="K546"/>
    </row>
    <row r="547" spans="5:11" ht="13.5" customHeight="1" x14ac:dyDescent="0.2">
      <c r="E547" s="52"/>
      <c r="H547" s="61"/>
      <c r="K547"/>
    </row>
    <row r="548" spans="5:11" ht="13.5" customHeight="1" x14ac:dyDescent="0.2">
      <c r="E548" s="52"/>
      <c r="H548" s="61"/>
      <c r="K548"/>
    </row>
    <row r="549" spans="5:11" ht="13.5" customHeight="1" x14ac:dyDescent="0.2">
      <c r="E549" s="52"/>
      <c r="H549" s="61"/>
      <c r="K549"/>
    </row>
    <row r="550" spans="5:11" ht="13.5" customHeight="1" x14ac:dyDescent="0.2">
      <c r="E550" s="52"/>
      <c r="H550" s="61"/>
      <c r="K550"/>
    </row>
    <row r="551" spans="5:11" ht="13.5" customHeight="1" x14ac:dyDescent="0.2">
      <c r="E551" s="52"/>
      <c r="H551" s="61"/>
      <c r="K551"/>
    </row>
    <row r="552" spans="5:11" ht="13.5" customHeight="1" x14ac:dyDescent="0.2">
      <c r="E552" s="52"/>
      <c r="H552" s="61"/>
      <c r="K552"/>
    </row>
    <row r="553" spans="5:11" ht="13.5" customHeight="1" x14ac:dyDescent="0.2">
      <c r="E553" s="52"/>
      <c r="H553" s="61"/>
      <c r="K553"/>
    </row>
    <row r="554" spans="5:11" ht="13.5" customHeight="1" x14ac:dyDescent="0.2">
      <c r="E554" s="52"/>
      <c r="H554" s="61"/>
      <c r="K554"/>
    </row>
    <row r="555" spans="5:11" ht="13.5" customHeight="1" x14ac:dyDescent="0.2">
      <c r="E555" s="52"/>
      <c r="H555" s="61"/>
      <c r="K555"/>
    </row>
    <row r="556" spans="5:11" ht="13.5" customHeight="1" x14ac:dyDescent="0.2">
      <c r="E556" s="52"/>
      <c r="H556" s="61"/>
      <c r="K556"/>
    </row>
    <row r="557" spans="5:11" ht="13.5" customHeight="1" x14ac:dyDescent="0.2">
      <c r="E557" s="52"/>
      <c r="H557" s="61"/>
      <c r="K557"/>
    </row>
    <row r="558" spans="5:11" ht="13.5" customHeight="1" x14ac:dyDescent="0.2">
      <c r="E558" s="52"/>
      <c r="H558" s="61"/>
      <c r="K558"/>
    </row>
    <row r="559" spans="5:11" ht="13.5" customHeight="1" x14ac:dyDescent="0.2">
      <c r="E559" s="52"/>
      <c r="H559" s="61"/>
      <c r="K559"/>
    </row>
    <row r="560" spans="5:11" ht="13.5" customHeight="1" x14ac:dyDescent="0.2">
      <c r="E560" s="52"/>
      <c r="H560" s="61"/>
      <c r="K560"/>
    </row>
    <row r="561" spans="5:11" ht="13.5" customHeight="1" x14ac:dyDescent="0.2">
      <c r="E561" s="52"/>
      <c r="H561" s="61"/>
      <c r="K561"/>
    </row>
    <row r="562" spans="5:11" ht="13.5" customHeight="1" x14ac:dyDescent="0.2">
      <c r="E562" s="52"/>
      <c r="H562" s="61"/>
      <c r="K562"/>
    </row>
    <row r="563" spans="5:11" ht="13.5" customHeight="1" x14ac:dyDescent="0.2">
      <c r="E563" s="52"/>
      <c r="H563" s="61"/>
      <c r="K563"/>
    </row>
    <row r="564" spans="5:11" ht="13.5" customHeight="1" x14ac:dyDescent="0.2">
      <c r="E564" s="52"/>
      <c r="H564" s="61"/>
      <c r="K564"/>
    </row>
    <row r="565" spans="5:11" ht="13.5" customHeight="1" x14ac:dyDescent="0.2">
      <c r="E565" s="52"/>
      <c r="H565" s="61"/>
      <c r="K565"/>
    </row>
    <row r="566" spans="5:11" ht="13.5" customHeight="1" x14ac:dyDescent="0.2">
      <c r="E566" s="52"/>
      <c r="H566" s="61"/>
      <c r="K566"/>
    </row>
    <row r="567" spans="5:11" ht="13.5" customHeight="1" x14ac:dyDescent="0.2">
      <c r="E567" s="52"/>
      <c r="H567" s="61"/>
      <c r="K567"/>
    </row>
    <row r="568" spans="5:11" ht="13.5" customHeight="1" x14ac:dyDescent="0.2">
      <c r="E568" s="52"/>
      <c r="H568" s="61"/>
      <c r="K568"/>
    </row>
    <row r="569" spans="5:11" ht="13.5" customHeight="1" x14ac:dyDescent="0.2">
      <c r="E569" s="52"/>
      <c r="H569" s="61"/>
      <c r="K569"/>
    </row>
    <row r="570" spans="5:11" ht="13.5" customHeight="1" x14ac:dyDescent="0.2">
      <c r="E570" s="52"/>
      <c r="H570" s="61"/>
      <c r="K570"/>
    </row>
    <row r="571" spans="5:11" ht="13.5" customHeight="1" x14ac:dyDescent="0.2">
      <c r="E571" s="52"/>
      <c r="H571" s="61"/>
      <c r="K571"/>
    </row>
    <row r="572" spans="5:11" ht="13.5" customHeight="1" x14ac:dyDescent="0.2">
      <c r="E572" s="52"/>
      <c r="H572" s="61"/>
      <c r="K572"/>
    </row>
    <row r="573" spans="5:11" ht="13.5" customHeight="1" x14ac:dyDescent="0.2">
      <c r="E573" s="52"/>
      <c r="H573" s="61"/>
      <c r="K573"/>
    </row>
    <row r="574" spans="5:11" ht="13.5" customHeight="1" x14ac:dyDescent="0.2">
      <c r="E574" s="52"/>
      <c r="H574" s="61"/>
      <c r="K574"/>
    </row>
    <row r="575" spans="5:11" ht="13.5" customHeight="1" x14ac:dyDescent="0.2">
      <c r="E575" s="52"/>
      <c r="H575" s="61"/>
      <c r="K575"/>
    </row>
    <row r="576" spans="5:11" ht="13.5" customHeight="1" x14ac:dyDescent="0.2">
      <c r="E576" s="52"/>
      <c r="H576" s="61"/>
      <c r="K576"/>
    </row>
    <row r="577" spans="5:11" ht="13.5" customHeight="1" x14ac:dyDescent="0.2">
      <c r="E577" s="52"/>
      <c r="H577" s="61"/>
      <c r="K577"/>
    </row>
    <row r="578" spans="5:11" ht="13.5" customHeight="1" x14ac:dyDescent="0.2">
      <c r="E578" s="52"/>
      <c r="H578" s="61"/>
      <c r="K578"/>
    </row>
    <row r="579" spans="5:11" ht="13.5" customHeight="1" x14ac:dyDescent="0.2">
      <c r="E579" s="52"/>
      <c r="H579" s="61"/>
      <c r="K579"/>
    </row>
    <row r="580" spans="5:11" ht="13.5" customHeight="1" x14ac:dyDescent="0.2">
      <c r="E580" s="52"/>
      <c r="H580" s="61"/>
      <c r="K580"/>
    </row>
    <row r="581" spans="5:11" ht="13.5" customHeight="1" x14ac:dyDescent="0.2">
      <c r="E581" s="52"/>
      <c r="H581" s="61"/>
      <c r="K581"/>
    </row>
    <row r="582" spans="5:11" ht="13.5" customHeight="1" x14ac:dyDescent="0.2">
      <c r="E582" s="52"/>
      <c r="H582" s="61"/>
      <c r="K582"/>
    </row>
    <row r="583" spans="5:11" ht="13.5" customHeight="1" x14ac:dyDescent="0.2">
      <c r="E583" s="52"/>
      <c r="H583" s="61"/>
      <c r="K583"/>
    </row>
    <row r="584" spans="5:11" ht="13.5" customHeight="1" x14ac:dyDescent="0.2">
      <c r="E584" s="52"/>
      <c r="H584" s="61"/>
      <c r="K584"/>
    </row>
    <row r="585" spans="5:11" ht="13.5" customHeight="1" x14ac:dyDescent="0.2">
      <c r="E585" s="52"/>
      <c r="H585" s="61"/>
      <c r="K585"/>
    </row>
    <row r="586" spans="5:11" ht="13.5" customHeight="1" x14ac:dyDescent="0.2">
      <c r="E586" s="52"/>
      <c r="H586" s="61"/>
      <c r="K586"/>
    </row>
    <row r="587" spans="5:11" ht="13.5" customHeight="1" x14ac:dyDescent="0.2">
      <c r="E587" s="52"/>
      <c r="H587" s="61"/>
      <c r="K587"/>
    </row>
    <row r="588" spans="5:11" ht="13.5" customHeight="1" x14ac:dyDescent="0.2">
      <c r="E588" s="52"/>
      <c r="H588" s="61"/>
      <c r="K588"/>
    </row>
    <row r="589" spans="5:11" ht="13.5" customHeight="1" x14ac:dyDescent="0.2">
      <c r="E589" s="52"/>
      <c r="H589" s="61"/>
      <c r="K589"/>
    </row>
    <row r="590" spans="5:11" ht="13.5" customHeight="1" x14ac:dyDescent="0.2">
      <c r="E590" s="52"/>
      <c r="H590" s="61"/>
      <c r="K590"/>
    </row>
    <row r="591" spans="5:11" ht="13.5" customHeight="1" x14ac:dyDescent="0.2">
      <c r="E591" s="52"/>
      <c r="H591" s="61"/>
      <c r="K591"/>
    </row>
    <row r="592" spans="5:11" ht="13.5" customHeight="1" x14ac:dyDescent="0.2">
      <c r="E592" s="52"/>
      <c r="H592" s="61"/>
      <c r="K592"/>
    </row>
    <row r="593" spans="5:11" ht="13.5" customHeight="1" x14ac:dyDescent="0.2">
      <c r="E593" s="52"/>
      <c r="H593" s="61"/>
      <c r="K593"/>
    </row>
    <row r="594" spans="5:11" ht="13.5" customHeight="1" x14ac:dyDescent="0.2">
      <c r="E594" s="52"/>
      <c r="H594" s="61"/>
      <c r="K594"/>
    </row>
    <row r="595" spans="5:11" ht="13.5" customHeight="1" x14ac:dyDescent="0.2">
      <c r="E595" s="52"/>
      <c r="H595" s="61"/>
      <c r="K595"/>
    </row>
    <row r="596" spans="5:11" ht="13.5" customHeight="1" x14ac:dyDescent="0.2">
      <c r="E596" s="52"/>
      <c r="H596" s="61"/>
      <c r="K596"/>
    </row>
    <row r="597" spans="5:11" ht="13.5" customHeight="1" x14ac:dyDescent="0.2">
      <c r="E597" s="52"/>
      <c r="H597" s="61"/>
      <c r="K597"/>
    </row>
    <row r="598" spans="5:11" ht="13.5" customHeight="1" x14ac:dyDescent="0.2">
      <c r="E598" s="52"/>
      <c r="H598" s="61"/>
      <c r="K598"/>
    </row>
    <row r="599" spans="5:11" ht="13.5" customHeight="1" x14ac:dyDescent="0.2">
      <c r="E599" s="52"/>
      <c r="H599" s="61"/>
      <c r="K599"/>
    </row>
    <row r="600" spans="5:11" ht="13.5" customHeight="1" x14ac:dyDescent="0.2">
      <c r="E600" s="52"/>
      <c r="H600" s="61"/>
      <c r="K600"/>
    </row>
    <row r="601" spans="5:11" ht="13.5" customHeight="1" x14ac:dyDescent="0.2">
      <c r="E601" s="52"/>
      <c r="H601" s="61"/>
      <c r="K601"/>
    </row>
    <row r="602" spans="5:11" ht="13.5" customHeight="1" x14ac:dyDescent="0.2">
      <c r="E602" s="52"/>
      <c r="H602" s="61"/>
      <c r="K602"/>
    </row>
    <row r="603" spans="5:11" ht="13.5" customHeight="1" x14ac:dyDescent="0.2">
      <c r="E603" s="52"/>
      <c r="H603" s="61"/>
      <c r="K603"/>
    </row>
    <row r="604" spans="5:11" ht="13.5" customHeight="1" x14ac:dyDescent="0.2">
      <c r="E604" s="52"/>
      <c r="H604" s="61"/>
      <c r="K604"/>
    </row>
    <row r="605" spans="5:11" ht="13.5" customHeight="1" x14ac:dyDescent="0.2">
      <c r="E605" s="52"/>
      <c r="H605" s="61"/>
      <c r="K605"/>
    </row>
    <row r="606" spans="5:11" ht="13.5" customHeight="1" x14ac:dyDescent="0.2">
      <c r="E606" s="52"/>
      <c r="H606" s="61"/>
      <c r="K606"/>
    </row>
    <row r="607" spans="5:11" ht="13.5" customHeight="1" x14ac:dyDescent="0.2">
      <c r="E607" s="52"/>
      <c r="H607" s="61"/>
      <c r="K607"/>
    </row>
    <row r="608" spans="5:11" ht="13.5" customHeight="1" x14ac:dyDescent="0.2">
      <c r="E608" s="52"/>
      <c r="H608" s="61"/>
      <c r="K608"/>
    </row>
    <row r="609" spans="5:11" ht="13.5" customHeight="1" x14ac:dyDescent="0.2">
      <c r="E609" s="52"/>
      <c r="H609" s="61"/>
      <c r="K609"/>
    </row>
    <row r="610" spans="5:11" ht="13.5" customHeight="1" x14ac:dyDescent="0.2">
      <c r="E610" s="52"/>
      <c r="H610" s="61"/>
      <c r="K610"/>
    </row>
    <row r="611" spans="5:11" ht="13.5" customHeight="1" x14ac:dyDescent="0.2">
      <c r="E611" s="52"/>
      <c r="H611" s="61"/>
      <c r="K611"/>
    </row>
    <row r="612" spans="5:11" ht="13.5" customHeight="1" x14ac:dyDescent="0.2">
      <c r="E612" s="52"/>
      <c r="H612" s="61"/>
      <c r="K612"/>
    </row>
    <row r="613" spans="5:11" ht="13.5" customHeight="1" x14ac:dyDescent="0.2">
      <c r="E613" s="52"/>
      <c r="H613" s="61"/>
      <c r="K613"/>
    </row>
    <row r="614" spans="5:11" ht="13.5" customHeight="1" x14ac:dyDescent="0.2">
      <c r="E614" s="52"/>
      <c r="H614" s="61"/>
      <c r="K614"/>
    </row>
    <row r="615" spans="5:11" ht="13.5" customHeight="1" x14ac:dyDescent="0.2">
      <c r="E615" s="52"/>
      <c r="H615" s="61"/>
      <c r="K615"/>
    </row>
    <row r="616" spans="5:11" ht="13.5" customHeight="1" x14ac:dyDescent="0.2">
      <c r="E616" s="52"/>
      <c r="H616" s="61"/>
      <c r="K616"/>
    </row>
    <row r="617" spans="5:11" ht="13.5" customHeight="1" x14ac:dyDescent="0.2">
      <c r="E617" s="52"/>
      <c r="H617" s="61"/>
      <c r="K617"/>
    </row>
    <row r="618" spans="5:11" ht="13.5" customHeight="1" x14ac:dyDescent="0.2">
      <c r="E618" s="52"/>
      <c r="H618" s="61"/>
      <c r="K618"/>
    </row>
    <row r="619" spans="5:11" ht="13.5" customHeight="1" x14ac:dyDescent="0.2">
      <c r="E619" s="52"/>
      <c r="H619" s="61"/>
      <c r="K619"/>
    </row>
    <row r="620" spans="5:11" ht="13.5" customHeight="1" x14ac:dyDescent="0.2">
      <c r="E620" s="52"/>
      <c r="H620" s="61"/>
      <c r="K620"/>
    </row>
    <row r="621" spans="5:11" ht="13.5" customHeight="1" x14ac:dyDescent="0.2">
      <c r="E621" s="52"/>
      <c r="H621" s="61"/>
      <c r="K621"/>
    </row>
    <row r="622" spans="5:11" ht="13.5" customHeight="1" x14ac:dyDescent="0.2">
      <c r="E622" s="52"/>
      <c r="H622" s="61"/>
      <c r="K622"/>
    </row>
    <row r="623" spans="5:11" ht="13.5" customHeight="1" x14ac:dyDescent="0.2">
      <c r="E623" s="52"/>
      <c r="H623" s="61"/>
      <c r="K623"/>
    </row>
    <row r="624" spans="5:11" ht="13.5" customHeight="1" x14ac:dyDescent="0.2">
      <c r="E624" s="52"/>
      <c r="H624" s="61"/>
      <c r="K624"/>
    </row>
    <row r="625" spans="5:11" ht="13.5" customHeight="1" x14ac:dyDescent="0.2">
      <c r="E625" s="52"/>
      <c r="H625" s="61"/>
      <c r="K625"/>
    </row>
    <row r="626" spans="5:11" ht="13.5" customHeight="1" x14ac:dyDescent="0.2">
      <c r="E626" s="52"/>
      <c r="H626" s="61"/>
      <c r="K626"/>
    </row>
    <row r="627" spans="5:11" ht="13.5" customHeight="1" x14ac:dyDescent="0.2">
      <c r="E627" s="52"/>
      <c r="H627" s="61"/>
      <c r="K627"/>
    </row>
    <row r="628" spans="5:11" ht="13.5" customHeight="1" x14ac:dyDescent="0.2">
      <c r="E628" s="52"/>
      <c r="H628" s="61"/>
      <c r="K628"/>
    </row>
    <row r="629" spans="5:11" ht="13.5" customHeight="1" x14ac:dyDescent="0.2">
      <c r="E629" s="52"/>
      <c r="H629" s="61"/>
      <c r="K629"/>
    </row>
    <row r="630" spans="5:11" ht="13.5" customHeight="1" x14ac:dyDescent="0.2">
      <c r="E630" s="52"/>
      <c r="H630" s="61"/>
      <c r="K630"/>
    </row>
    <row r="631" spans="5:11" ht="13.5" customHeight="1" x14ac:dyDescent="0.2">
      <c r="E631" s="52"/>
      <c r="H631" s="61"/>
      <c r="K631"/>
    </row>
    <row r="632" spans="5:11" ht="13.5" customHeight="1" x14ac:dyDescent="0.2">
      <c r="E632" s="52"/>
      <c r="H632" s="61"/>
      <c r="K632"/>
    </row>
    <row r="633" spans="5:11" ht="13.5" customHeight="1" x14ac:dyDescent="0.2">
      <c r="E633" s="52"/>
      <c r="H633" s="61"/>
      <c r="K633"/>
    </row>
    <row r="634" spans="5:11" ht="13.5" customHeight="1" x14ac:dyDescent="0.2">
      <c r="E634" s="52"/>
      <c r="H634" s="61"/>
      <c r="K634"/>
    </row>
    <row r="635" spans="5:11" ht="13.5" customHeight="1" x14ac:dyDescent="0.2">
      <c r="E635" s="52"/>
      <c r="H635" s="61"/>
      <c r="K635"/>
    </row>
    <row r="636" spans="5:11" ht="13.5" customHeight="1" x14ac:dyDescent="0.2">
      <c r="E636" s="52"/>
      <c r="H636" s="61"/>
      <c r="K636"/>
    </row>
    <row r="637" spans="5:11" ht="13.5" customHeight="1" x14ac:dyDescent="0.2">
      <c r="E637" s="52"/>
      <c r="H637" s="61"/>
      <c r="K637"/>
    </row>
    <row r="638" spans="5:11" ht="13.5" customHeight="1" x14ac:dyDescent="0.2">
      <c r="E638" s="52"/>
      <c r="H638" s="61"/>
      <c r="K638"/>
    </row>
    <row r="639" spans="5:11" ht="13.5" customHeight="1" x14ac:dyDescent="0.2">
      <c r="E639" s="52"/>
      <c r="H639" s="61"/>
      <c r="K639"/>
    </row>
    <row r="640" spans="5:11" ht="13.5" customHeight="1" x14ac:dyDescent="0.2">
      <c r="E640" s="52"/>
      <c r="H640" s="61"/>
      <c r="K640"/>
    </row>
    <row r="641" spans="5:11" ht="13.5" customHeight="1" x14ac:dyDescent="0.2">
      <c r="E641" s="52"/>
      <c r="H641" s="61"/>
      <c r="K641"/>
    </row>
    <row r="642" spans="5:11" ht="13.5" customHeight="1" x14ac:dyDescent="0.2">
      <c r="E642" s="52"/>
      <c r="H642" s="61"/>
      <c r="K642"/>
    </row>
    <row r="643" spans="5:11" ht="13.5" customHeight="1" x14ac:dyDescent="0.2">
      <c r="E643" s="52"/>
      <c r="H643" s="61"/>
      <c r="K643"/>
    </row>
    <row r="644" spans="5:11" ht="13.5" customHeight="1" x14ac:dyDescent="0.2">
      <c r="E644" s="52"/>
      <c r="H644" s="61"/>
      <c r="K644"/>
    </row>
    <row r="645" spans="5:11" ht="13.5" customHeight="1" x14ac:dyDescent="0.2">
      <c r="E645" s="52"/>
      <c r="H645" s="61"/>
      <c r="K645"/>
    </row>
    <row r="646" spans="5:11" ht="13.5" customHeight="1" x14ac:dyDescent="0.2">
      <c r="E646" s="52"/>
      <c r="H646" s="61"/>
      <c r="K646"/>
    </row>
    <row r="647" spans="5:11" ht="13.5" customHeight="1" x14ac:dyDescent="0.2">
      <c r="E647" s="52"/>
      <c r="H647" s="61"/>
      <c r="K647"/>
    </row>
    <row r="648" spans="5:11" ht="13.5" customHeight="1" x14ac:dyDescent="0.2">
      <c r="E648" s="52"/>
      <c r="H648" s="61"/>
      <c r="K648"/>
    </row>
    <row r="649" spans="5:11" ht="13.5" customHeight="1" x14ac:dyDescent="0.2">
      <c r="E649" s="52"/>
      <c r="H649" s="61"/>
      <c r="K649"/>
    </row>
    <row r="650" spans="5:11" ht="13.5" customHeight="1" x14ac:dyDescent="0.2">
      <c r="E650" s="52"/>
      <c r="H650" s="61"/>
      <c r="K650"/>
    </row>
    <row r="651" spans="5:11" ht="13.5" customHeight="1" x14ac:dyDescent="0.2">
      <c r="E651" s="52"/>
      <c r="H651" s="61"/>
      <c r="K651"/>
    </row>
    <row r="652" spans="5:11" ht="13.5" customHeight="1" x14ac:dyDescent="0.2">
      <c r="E652" s="52"/>
      <c r="H652" s="61"/>
      <c r="K652"/>
    </row>
    <row r="653" spans="5:11" ht="13.5" customHeight="1" x14ac:dyDescent="0.2">
      <c r="E653" s="52"/>
      <c r="H653" s="61"/>
      <c r="K653"/>
    </row>
    <row r="654" spans="5:11" ht="13.5" customHeight="1" x14ac:dyDescent="0.2">
      <c r="E654" s="52"/>
      <c r="H654" s="61"/>
      <c r="K654"/>
    </row>
    <row r="655" spans="5:11" ht="13.5" customHeight="1" x14ac:dyDescent="0.2">
      <c r="E655" s="52"/>
      <c r="H655" s="61"/>
      <c r="K655"/>
    </row>
    <row r="656" spans="5:11" ht="13.5" customHeight="1" x14ac:dyDescent="0.2">
      <c r="E656" s="52"/>
      <c r="H656" s="61"/>
      <c r="K656"/>
    </row>
    <row r="657" spans="5:11" ht="13.5" customHeight="1" x14ac:dyDescent="0.2">
      <c r="E657" s="52"/>
      <c r="H657" s="61"/>
      <c r="K657"/>
    </row>
    <row r="658" spans="5:11" ht="13.5" customHeight="1" x14ac:dyDescent="0.2">
      <c r="E658" s="52"/>
      <c r="H658" s="61"/>
      <c r="K658"/>
    </row>
    <row r="659" spans="5:11" ht="13.5" customHeight="1" x14ac:dyDescent="0.2">
      <c r="E659" s="52"/>
      <c r="H659" s="61"/>
      <c r="K659"/>
    </row>
    <row r="660" spans="5:11" ht="13.5" customHeight="1" x14ac:dyDescent="0.2">
      <c r="E660" s="52"/>
      <c r="H660" s="61"/>
      <c r="K660"/>
    </row>
    <row r="661" spans="5:11" ht="13.5" customHeight="1" x14ac:dyDescent="0.2">
      <c r="E661" s="52"/>
      <c r="H661" s="61"/>
      <c r="K661"/>
    </row>
    <row r="662" spans="5:11" ht="13.5" customHeight="1" x14ac:dyDescent="0.2">
      <c r="E662" s="52"/>
      <c r="H662" s="61"/>
      <c r="K662"/>
    </row>
    <row r="663" spans="5:11" ht="13.5" customHeight="1" x14ac:dyDescent="0.2">
      <c r="E663" s="52"/>
      <c r="H663" s="61"/>
      <c r="K663"/>
    </row>
    <row r="664" spans="5:11" ht="13.5" customHeight="1" x14ac:dyDescent="0.2">
      <c r="E664" s="52"/>
      <c r="H664" s="61"/>
      <c r="K664"/>
    </row>
    <row r="665" spans="5:11" ht="13.5" customHeight="1" x14ac:dyDescent="0.2">
      <c r="E665" s="52"/>
      <c r="H665" s="61"/>
      <c r="K665"/>
    </row>
    <row r="666" spans="5:11" ht="13.5" customHeight="1" x14ac:dyDescent="0.2">
      <c r="E666" s="52"/>
      <c r="H666" s="61"/>
      <c r="K666"/>
    </row>
    <row r="667" spans="5:11" ht="13.5" customHeight="1" x14ac:dyDescent="0.2">
      <c r="E667" s="52"/>
      <c r="H667" s="61"/>
      <c r="K667"/>
    </row>
    <row r="668" spans="5:11" ht="13.5" customHeight="1" x14ac:dyDescent="0.2">
      <c r="E668" s="52"/>
      <c r="H668" s="61"/>
      <c r="K668"/>
    </row>
    <row r="669" spans="5:11" ht="13.5" customHeight="1" x14ac:dyDescent="0.2">
      <c r="E669" s="52"/>
      <c r="H669" s="61"/>
      <c r="K669"/>
    </row>
    <row r="670" spans="5:11" ht="13.5" customHeight="1" x14ac:dyDescent="0.2">
      <c r="E670" s="52"/>
      <c r="H670" s="61"/>
      <c r="K670"/>
    </row>
    <row r="671" spans="5:11" ht="13.5" customHeight="1" x14ac:dyDescent="0.2">
      <c r="E671" s="52"/>
      <c r="H671" s="61"/>
      <c r="K671"/>
    </row>
    <row r="672" spans="5:11" ht="13.5" customHeight="1" x14ac:dyDescent="0.2">
      <c r="E672" s="52"/>
      <c r="H672" s="61"/>
      <c r="K672"/>
    </row>
    <row r="673" spans="5:11" ht="13.5" customHeight="1" x14ac:dyDescent="0.2">
      <c r="E673" s="52"/>
      <c r="H673" s="61"/>
      <c r="K673"/>
    </row>
    <row r="674" spans="5:11" ht="13.5" customHeight="1" x14ac:dyDescent="0.2">
      <c r="E674" s="52"/>
      <c r="H674" s="61"/>
      <c r="K674"/>
    </row>
    <row r="675" spans="5:11" ht="13.5" customHeight="1" x14ac:dyDescent="0.2">
      <c r="E675" s="52"/>
      <c r="H675" s="61"/>
      <c r="K675"/>
    </row>
    <row r="676" spans="5:11" ht="13.5" customHeight="1" x14ac:dyDescent="0.2">
      <c r="E676" s="52"/>
      <c r="H676" s="61"/>
      <c r="K676"/>
    </row>
    <row r="677" spans="5:11" ht="13.5" customHeight="1" x14ac:dyDescent="0.2">
      <c r="E677" s="52"/>
      <c r="H677" s="61"/>
      <c r="K677"/>
    </row>
    <row r="678" spans="5:11" ht="13.5" customHeight="1" x14ac:dyDescent="0.2">
      <c r="E678" s="52"/>
      <c r="H678" s="61"/>
      <c r="K678"/>
    </row>
    <row r="679" spans="5:11" ht="13.5" customHeight="1" x14ac:dyDescent="0.2">
      <c r="E679" s="52"/>
      <c r="H679" s="61"/>
      <c r="K679"/>
    </row>
    <row r="680" spans="5:11" ht="13.5" customHeight="1" x14ac:dyDescent="0.2">
      <c r="E680" s="52"/>
      <c r="H680" s="61"/>
      <c r="K680"/>
    </row>
    <row r="681" spans="5:11" ht="13.5" customHeight="1" x14ac:dyDescent="0.2">
      <c r="E681" s="52"/>
      <c r="H681" s="61"/>
      <c r="K681"/>
    </row>
    <row r="682" spans="5:11" ht="13.5" customHeight="1" x14ac:dyDescent="0.2">
      <c r="E682" s="52"/>
      <c r="H682" s="61"/>
      <c r="K682"/>
    </row>
    <row r="683" spans="5:11" ht="13.5" customHeight="1" x14ac:dyDescent="0.2">
      <c r="E683" s="52"/>
      <c r="H683" s="61"/>
      <c r="K683"/>
    </row>
    <row r="684" spans="5:11" ht="13.5" customHeight="1" x14ac:dyDescent="0.2">
      <c r="E684" s="52"/>
      <c r="H684" s="61"/>
      <c r="K684"/>
    </row>
    <row r="685" spans="5:11" ht="13.5" customHeight="1" x14ac:dyDescent="0.2">
      <c r="E685" s="52"/>
      <c r="H685" s="61"/>
      <c r="K685"/>
    </row>
    <row r="686" spans="5:11" ht="13.5" customHeight="1" x14ac:dyDescent="0.2">
      <c r="E686" s="52"/>
      <c r="H686" s="61"/>
      <c r="K686"/>
    </row>
    <row r="687" spans="5:11" ht="13.5" customHeight="1" x14ac:dyDescent="0.2">
      <c r="E687" s="52"/>
      <c r="H687" s="61"/>
      <c r="K687"/>
    </row>
    <row r="688" spans="5:11" ht="13.5" customHeight="1" x14ac:dyDescent="0.2">
      <c r="E688" s="52"/>
      <c r="H688" s="61"/>
      <c r="K688"/>
    </row>
    <row r="689" spans="5:11" ht="13.5" customHeight="1" x14ac:dyDescent="0.2">
      <c r="E689" s="52"/>
      <c r="H689" s="61"/>
      <c r="K689"/>
    </row>
    <row r="690" spans="5:11" ht="13.5" customHeight="1" x14ac:dyDescent="0.2">
      <c r="E690" s="52"/>
      <c r="H690" s="61"/>
      <c r="K690"/>
    </row>
    <row r="691" spans="5:11" ht="13.5" customHeight="1" x14ac:dyDescent="0.2">
      <c r="E691" s="52"/>
      <c r="H691" s="61"/>
      <c r="K691"/>
    </row>
    <row r="692" spans="5:11" ht="13.5" customHeight="1" x14ac:dyDescent="0.2">
      <c r="E692" s="52"/>
      <c r="H692" s="61"/>
      <c r="K692"/>
    </row>
    <row r="693" spans="5:11" ht="13.5" customHeight="1" x14ac:dyDescent="0.2">
      <c r="E693" s="52"/>
      <c r="H693" s="61"/>
      <c r="K693"/>
    </row>
    <row r="694" spans="5:11" ht="13.5" customHeight="1" x14ac:dyDescent="0.2">
      <c r="E694" s="52"/>
      <c r="H694" s="61"/>
      <c r="K694"/>
    </row>
    <row r="695" spans="5:11" ht="13.5" customHeight="1" x14ac:dyDescent="0.2">
      <c r="E695" s="52"/>
      <c r="H695" s="61"/>
      <c r="K695"/>
    </row>
    <row r="696" spans="5:11" ht="13.5" customHeight="1" x14ac:dyDescent="0.2">
      <c r="E696" s="52"/>
      <c r="H696" s="61"/>
      <c r="K696"/>
    </row>
    <row r="697" spans="5:11" ht="13.5" customHeight="1" x14ac:dyDescent="0.2">
      <c r="E697" s="52"/>
      <c r="H697" s="61"/>
      <c r="K697"/>
    </row>
    <row r="698" spans="5:11" ht="13.5" customHeight="1" x14ac:dyDescent="0.2">
      <c r="E698" s="52"/>
      <c r="H698" s="61"/>
      <c r="K698"/>
    </row>
    <row r="699" spans="5:11" ht="13.5" customHeight="1" x14ac:dyDescent="0.2">
      <c r="E699" s="52"/>
      <c r="H699" s="61"/>
      <c r="K699"/>
    </row>
    <row r="700" spans="5:11" ht="13.5" customHeight="1" x14ac:dyDescent="0.2">
      <c r="E700" s="52"/>
      <c r="H700" s="61"/>
      <c r="K700"/>
    </row>
    <row r="701" spans="5:11" ht="13.5" customHeight="1" x14ac:dyDescent="0.2">
      <c r="E701" s="52"/>
      <c r="H701" s="61"/>
      <c r="K701"/>
    </row>
    <row r="702" spans="5:11" ht="13.5" customHeight="1" x14ac:dyDescent="0.2">
      <c r="E702" s="52"/>
      <c r="H702" s="61"/>
      <c r="K702"/>
    </row>
    <row r="703" spans="5:11" ht="13.5" customHeight="1" x14ac:dyDescent="0.2">
      <c r="E703" s="52"/>
      <c r="H703" s="61"/>
      <c r="K703"/>
    </row>
    <row r="704" spans="5:11" ht="13.5" customHeight="1" x14ac:dyDescent="0.2">
      <c r="E704" s="52"/>
      <c r="H704" s="61"/>
      <c r="K704"/>
    </row>
    <row r="705" spans="5:11" ht="13.5" customHeight="1" x14ac:dyDescent="0.2">
      <c r="E705" s="52"/>
      <c r="H705" s="61"/>
      <c r="K705"/>
    </row>
    <row r="706" spans="5:11" ht="13.5" customHeight="1" x14ac:dyDescent="0.2">
      <c r="E706" s="52"/>
      <c r="H706" s="61"/>
      <c r="K706"/>
    </row>
    <row r="707" spans="5:11" ht="13.5" customHeight="1" x14ac:dyDescent="0.2">
      <c r="E707" s="52"/>
      <c r="H707" s="61"/>
      <c r="K707"/>
    </row>
    <row r="708" spans="5:11" ht="13.5" customHeight="1" x14ac:dyDescent="0.2">
      <c r="E708" s="52"/>
      <c r="H708" s="61"/>
      <c r="K708"/>
    </row>
    <row r="709" spans="5:11" ht="13.5" customHeight="1" x14ac:dyDescent="0.2">
      <c r="E709" s="52"/>
      <c r="H709" s="61"/>
      <c r="K709"/>
    </row>
    <row r="710" spans="5:11" ht="13.5" customHeight="1" x14ac:dyDescent="0.2">
      <c r="E710" s="52"/>
      <c r="H710" s="61"/>
      <c r="K710"/>
    </row>
    <row r="711" spans="5:11" ht="13.5" customHeight="1" x14ac:dyDescent="0.2">
      <c r="E711" s="52"/>
      <c r="H711" s="61"/>
      <c r="K711"/>
    </row>
    <row r="712" spans="5:11" ht="13.5" customHeight="1" x14ac:dyDescent="0.2">
      <c r="E712" s="52"/>
      <c r="H712" s="61"/>
      <c r="K712"/>
    </row>
    <row r="713" spans="5:11" ht="13.5" customHeight="1" x14ac:dyDescent="0.2">
      <c r="E713" s="52"/>
      <c r="H713" s="61"/>
      <c r="K713"/>
    </row>
    <row r="714" spans="5:11" ht="13.5" customHeight="1" x14ac:dyDescent="0.2">
      <c r="E714" s="52"/>
      <c r="H714" s="61"/>
      <c r="K714"/>
    </row>
    <row r="715" spans="5:11" ht="13.5" customHeight="1" x14ac:dyDescent="0.2">
      <c r="E715" s="52"/>
      <c r="H715" s="61"/>
      <c r="K715"/>
    </row>
    <row r="716" spans="5:11" ht="13.5" customHeight="1" x14ac:dyDescent="0.2">
      <c r="E716" s="52"/>
      <c r="H716" s="61"/>
      <c r="K716"/>
    </row>
    <row r="717" spans="5:11" ht="13.5" customHeight="1" x14ac:dyDescent="0.2">
      <c r="E717" s="52"/>
      <c r="H717" s="61"/>
      <c r="K717"/>
    </row>
    <row r="718" spans="5:11" ht="13.5" customHeight="1" x14ac:dyDescent="0.2">
      <c r="E718" s="52"/>
      <c r="H718" s="61"/>
      <c r="K718"/>
    </row>
    <row r="719" spans="5:11" ht="13.5" customHeight="1" x14ac:dyDescent="0.2">
      <c r="E719" s="52"/>
      <c r="H719" s="61"/>
      <c r="K719"/>
    </row>
    <row r="720" spans="5:11" ht="13.5" customHeight="1" x14ac:dyDescent="0.2">
      <c r="E720" s="52"/>
      <c r="H720" s="61"/>
      <c r="K720"/>
    </row>
    <row r="721" spans="5:11" ht="13.5" customHeight="1" x14ac:dyDescent="0.2">
      <c r="E721" s="52"/>
      <c r="H721" s="61"/>
      <c r="K721"/>
    </row>
    <row r="722" spans="5:11" ht="13.5" customHeight="1" x14ac:dyDescent="0.2">
      <c r="E722" s="52"/>
      <c r="H722" s="61"/>
      <c r="K722"/>
    </row>
    <row r="723" spans="5:11" ht="13.5" customHeight="1" x14ac:dyDescent="0.2">
      <c r="E723" s="52"/>
      <c r="H723" s="61"/>
      <c r="K723"/>
    </row>
    <row r="724" spans="5:11" ht="13.5" customHeight="1" x14ac:dyDescent="0.2">
      <c r="E724" s="52"/>
      <c r="H724" s="61"/>
      <c r="K724"/>
    </row>
    <row r="725" spans="5:11" ht="13.5" customHeight="1" x14ac:dyDescent="0.2">
      <c r="E725" s="52"/>
      <c r="H725" s="61"/>
      <c r="K725"/>
    </row>
    <row r="726" spans="5:11" ht="13.5" customHeight="1" x14ac:dyDescent="0.2">
      <c r="E726" s="52"/>
      <c r="H726" s="61"/>
      <c r="K726"/>
    </row>
    <row r="727" spans="5:11" ht="13.5" customHeight="1" x14ac:dyDescent="0.2">
      <c r="E727" s="52"/>
      <c r="H727" s="61"/>
      <c r="K727"/>
    </row>
    <row r="728" spans="5:11" ht="13.5" customHeight="1" x14ac:dyDescent="0.2">
      <c r="E728" s="52"/>
      <c r="H728" s="61"/>
      <c r="K728"/>
    </row>
    <row r="729" spans="5:11" ht="13.5" customHeight="1" x14ac:dyDescent="0.2">
      <c r="E729" s="52"/>
      <c r="H729" s="61"/>
      <c r="K729"/>
    </row>
    <row r="730" spans="5:11" ht="13.5" customHeight="1" x14ac:dyDescent="0.2">
      <c r="E730" s="52"/>
      <c r="H730" s="61"/>
      <c r="K730"/>
    </row>
    <row r="731" spans="5:11" ht="13.5" customHeight="1" x14ac:dyDescent="0.2">
      <c r="E731" s="52"/>
      <c r="H731" s="61"/>
      <c r="K731"/>
    </row>
    <row r="732" spans="5:11" ht="13.5" customHeight="1" x14ac:dyDescent="0.2">
      <c r="E732" s="52"/>
      <c r="H732" s="61"/>
      <c r="K732"/>
    </row>
    <row r="733" spans="5:11" ht="13.5" customHeight="1" x14ac:dyDescent="0.2">
      <c r="E733" s="52"/>
      <c r="H733" s="61"/>
      <c r="K733"/>
    </row>
    <row r="734" spans="5:11" ht="13.5" customHeight="1" x14ac:dyDescent="0.2">
      <c r="E734" s="52"/>
      <c r="H734" s="61"/>
      <c r="K734"/>
    </row>
    <row r="735" spans="5:11" ht="13.5" customHeight="1" x14ac:dyDescent="0.2">
      <c r="E735" s="52"/>
      <c r="H735" s="61"/>
      <c r="K735"/>
    </row>
    <row r="736" spans="5:11" ht="13.5" customHeight="1" x14ac:dyDescent="0.2">
      <c r="E736" s="52"/>
      <c r="H736" s="61"/>
      <c r="K736"/>
    </row>
    <row r="737" spans="5:11" ht="13.5" customHeight="1" x14ac:dyDescent="0.2">
      <c r="E737" s="52"/>
      <c r="H737" s="61"/>
      <c r="K737"/>
    </row>
    <row r="738" spans="5:11" ht="13.5" customHeight="1" x14ac:dyDescent="0.2">
      <c r="E738" s="52"/>
      <c r="H738" s="61"/>
      <c r="K738"/>
    </row>
    <row r="739" spans="5:11" ht="13.5" customHeight="1" x14ac:dyDescent="0.2">
      <c r="E739" s="52"/>
      <c r="H739" s="61"/>
      <c r="K739"/>
    </row>
    <row r="740" spans="5:11" ht="13.5" customHeight="1" x14ac:dyDescent="0.2">
      <c r="E740" s="52"/>
      <c r="H740" s="61"/>
      <c r="K740"/>
    </row>
    <row r="741" spans="5:11" ht="13.5" customHeight="1" x14ac:dyDescent="0.2">
      <c r="E741" s="52"/>
      <c r="H741" s="61"/>
      <c r="K741"/>
    </row>
    <row r="742" spans="5:11" ht="13.5" customHeight="1" x14ac:dyDescent="0.2">
      <c r="E742" s="52"/>
      <c r="H742" s="61"/>
      <c r="K742"/>
    </row>
    <row r="743" spans="5:11" ht="13.5" customHeight="1" x14ac:dyDescent="0.2">
      <c r="E743" s="52"/>
      <c r="H743" s="61"/>
      <c r="K743"/>
    </row>
    <row r="744" spans="5:11" ht="13.5" customHeight="1" x14ac:dyDescent="0.2">
      <c r="E744" s="52"/>
      <c r="H744" s="61"/>
      <c r="K744"/>
    </row>
    <row r="745" spans="5:11" ht="13.5" customHeight="1" x14ac:dyDescent="0.2">
      <c r="E745" s="52"/>
      <c r="H745" s="61"/>
      <c r="K745"/>
    </row>
    <row r="746" spans="5:11" ht="13.5" customHeight="1" x14ac:dyDescent="0.2">
      <c r="E746" s="52"/>
      <c r="H746" s="61"/>
      <c r="K746"/>
    </row>
    <row r="747" spans="5:11" ht="13.5" customHeight="1" x14ac:dyDescent="0.2">
      <c r="E747" s="52"/>
      <c r="H747" s="61"/>
      <c r="K747"/>
    </row>
    <row r="748" spans="5:11" ht="13.5" customHeight="1" x14ac:dyDescent="0.2">
      <c r="E748" s="52"/>
      <c r="H748" s="61"/>
      <c r="K748"/>
    </row>
    <row r="749" spans="5:11" ht="13.5" customHeight="1" x14ac:dyDescent="0.2">
      <c r="E749" s="52"/>
      <c r="H749" s="61"/>
      <c r="K749"/>
    </row>
    <row r="750" spans="5:11" ht="13.5" customHeight="1" x14ac:dyDescent="0.2">
      <c r="E750" s="52"/>
      <c r="H750" s="61"/>
      <c r="K750"/>
    </row>
    <row r="751" spans="5:11" ht="13.5" customHeight="1" x14ac:dyDescent="0.2">
      <c r="E751" s="52"/>
      <c r="H751" s="61"/>
      <c r="K751"/>
    </row>
    <row r="752" spans="5:11" ht="13.5" customHeight="1" x14ac:dyDescent="0.2">
      <c r="E752" s="52"/>
      <c r="H752" s="61"/>
      <c r="K752"/>
    </row>
    <row r="753" spans="5:11" ht="13.5" customHeight="1" x14ac:dyDescent="0.2">
      <c r="E753" s="52"/>
      <c r="H753" s="61"/>
      <c r="K753"/>
    </row>
    <row r="754" spans="5:11" ht="13.5" customHeight="1" x14ac:dyDescent="0.2">
      <c r="E754" s="52"/>
      <c r="H754" s="61"/>
      <c r="K754"/>
    </row>
    <row r="755" spans="5:11" ht="13.5" customHeight="1" x14ac:dyDescent="0.2">
      <c r="E755" s="52"/>
      <c r="H755" s="61"/>
      <c r="K755"/>
    </row>
    <row r="756" spans="5:11" ht="13.5" customHeight="1" x14ac:dyDescent="0.2">
      <c r="E756" s="52"/>
      <c r="H756" s="61"/>
      <c r="K756"/>
    </row>
    <row r="757" spans="5:11" ht="13.5" customHeight="1" x14ac:dyDescent="0.2">
      <c r="E757" s="52"/>
      <c r="H757" s="61"/>
      <c r="K757"/>
    </row>
    <row r="758" spans="5:11" ht="13.5" customHeight="1" x14ac:dyDescent="0.2">
      <c r="E758" s="52"/>
      <c r="H758" s="61"/>
      <c r="K758"/>
    </row>
    <row r="759" spans="5:11" ht="13.5" customHeight="1" x14ac:dyDescent="0.2">
      <c r="E759" s="52"/>
      <c r="H759" s="61"/>
      <c r="K759"/>
    </row>
    <row r="760" spans="5:11" ht="13.5" customHeight="1" x14ac:dyDescent="0.2">
      <c r="E760" s="52"/>
      <c r="H760" s="61"/>
      <c r="K760"/>
    </row>
    <row r="761" spans="5:11" ht="13.5" customHeight="1" x14ac:dyDescent="0.2">
      <c r="E761" s="52"/>
      <c r="H761" s="61"/>
      <c r="K761"/>
    </row>
    <row r="762" spans="5:11" ht="13.5" customHeight="1" x14ac:dyDescent="0.2">
      <c r="E762" s="52"/>
      <c r="H762" s="61"/>
      <c r="K762"/>
    </row>
    <row r="763" spans="5:11" ht="13.5" customHeight="1" x14ac:dyDescent="0.2">
      <c r="E763" s="52"/>
      <c r="H763" s="61"/>
      <c r="K763"/>
    </row>
    <row r="764" spans="5:11" ht="13.5" customHeight="1" x14ac:dyDescent="0.2">
      <c r="E764" s="52"/>
      <c r="H764" s="61"/>
      <c r="K764"/>
    </row>
    <row r="765" spans="5:11" ht="13.5" customHeight="1" x14ac:dyDescent="0.2">
      <c r="E765" s="52"/>
      <c r="H765" s="61"/>
      <c r="K765"/>
    </row>
    <row r="766" spans="5:11" ht="13.5" customHeight="1" x14ac:dyDescent="0.2">
      <c r="E766" s="52"/>
      <c r="H766" s="61"/>
      <c r="K766"/>
    </row>
    <row r="767" spans="5:11" ht="13.5" customHeight="1" x14ac:dyDescent="0.2">
      <c r="E767" s="52"/>
      <c r="H767" s="61"/>
      <c r="K767"/>
    </row>
    <row r="768" spans="5:11" ht="13.5" customHeight="1" x14ac:dyDescent="0.2">
      <c r="E768" s="52"/>
      <c r="H768" s="61"/>
      <c r="K768"/>
    </row>
    <row r="769" spans="5:11" ht="13.5" customHeight="1" x14ac:dyDescent="0.2">
      <c r="E769" s="52"/>
      <c r="H769" s="61"/>
      <c r="K769"/>
    </row>
    <row r="770" spans="5:11" ht="13.5" customHeight="1" x14ac:dyDescent="0.2">
      <c r="E770" s="52"/>
      <c r="H770" s="61"/>
      <c r="K770"/>
    </row>
    <row r="771" spans="5:11" ht="13.5" customHeight="1" x14ac:dyDescent="0.2">
      <c r="E771" s="52"/>
      <c r="H771" s="61"/>
      <c r="K771"/>
    </row>
    <row r="772" spans="5:11" ht="13.5" customHeight="1" x14ac:dyDescent="0.2">
      <c r="E772" s="52"/>
      <c r="H772" s="61"/>
      <c r="K772"/>
    </row>
    <row r="773" spans="5:11" ht="13.5" customHeight="1" x14ac:dyDescent="0.2">
      <c r="E773" s="52"/>
      <c r="H773" s="61"/>
      <c r="K773"/>
    </row>
    <row r="774" spans="5:11" ht="13.5" customHeight="1" x14ac:dyDescent="0.2">
      <c r="E774" s="52"/>
      <c r="H774" s="61"/>
      <c r="K774"/>
    </row>
    <row r="775" spans="5:11" ht="13.5" customHeight="1" x14ac:dyDescent="0.2">
      <c r="E775" s="52"/>
      <c r="H775" s="61"/>
      <c r="K775"/>
    </row>
    <row r="776" spans="5:11" ht="13.5" customHeight="1" x14ac:dyDescent="0.2">
      <c r="E776" s="52"/>
      <c r="H776" s="61"/>
      <c r="K776"/>
    </row>
    <row r="777" spans="5:11" ht="13.5" customHeight="1" x14ac:dyDescent="0.2">
      <c r="E777" s="52"/>
      <c r="H777" s="61"/>
      <c r="K777"/>
    </row>
    <row r="778" spans="5:11" ht="13.5" customHeight="1" x14ac:dyDescent="0.2">
      <c r="E778" s="52"/>
      <c r="H778" s="61"/>
      <c r="K778"/>
    </row>
    <row r="779" spans="5:11" ht="13.5" customHeight="1" x14ac:dyDescent="0.2">
      <c r="E779" s="52"/>
      <c r="H779" s="61"/>
      <c r="K779"/>
    </row>
    <row r="780" spans="5:11" ht="13.5" customHeight="1" x14ac:dyDescent="0.2">
      <c r="E780" s="52"/>
      <c r="H780" s="61"/>
      <c r="K780"/>
    </row>
    <row r="781" spans="5:11" ht="13.5" customHeight="1" x14ac:dyDescent="0.2">
      <c r="E781" s="52"/>
      <c r="H781" s="61"/>
      <c r="K781"/>
    </row>
    <row r="782" spans="5:11" ht="13.5" customHeight="1" x14ac:dyDescent="0.2">
      <c r="E782" s="52"/>
      <c r="H782" s="61"/>
      <c r="K782"/>
    </row>
    <row r="783" spans="5:11" ht="13.5" customHeight="1" x14ac:dyDescent="0.2">
      <c r="E783" s="52"/>
      <c r="H783" s="61"/>
      <c r="K783"/>
    </row>
    <row r="784" spans="5:11" ht="13.5" customHeight="1" x14ac:dyDescent="0.2">
      <c r="E784" s="52"/>
      <c r="H784" s="61"/>
      <c r="K784"/>
    </row>
    <row r="785" spans="5:11" ht="13.5" customHeight="1" x14ac:dyDescent="0.2">
      <c r="E785" s="52"/>
      <c r="H785" s="61"/>
      <c r="K785"/>
    </row>
    <row r="786" spans="5:11" ht="13.5" customHeight="1" x14ac:dyDescent="0.2">
      <c r="E786" s="52"/>
      <c r="H786" s="61"/>
    </row>
    <row r="787" spans="5:11" ht="13.5" customHeight="1" x14ac:dyDescent="0.2">
      <c r="E787" s="52"/>
      <c r="H787" s="61"/>
    </row>
    <row r="788" spans="5:11" ht="13.5" customHeight="1" x14ac:dyDescent="0.2">
      <c r="E788" s="52"/>
      <c r="H788" s="61"/>
    </row>
    <row r="789" spans="5:11" ht="13.5" customHeight="1" x14ac:dyDescent="0.2">
      <c r="E789" s="52"/>
      <c r="H789" s="61"/>
      <c r="K789"/>
    </row>
    <row r="790" spans="5:11" ht="13.5" customHeight="1" x14ac:dyDescent="0.2">
      <c r="E790" s="52"/>
      <c r="H790" s="61"/>
      <c r="K790"/>
    </row>
    <row r="791" spans="5:11" ht="13.5" customHeight="1" x14ac:dyDescent="0.2">
      <c r="E791" s="52"/>
      <c r="H791" s="61"/>
      <c r="K791"/>
    </row>
    <row r="792" spans="5:11" ht="13.5" customHeight="1" x14ac:dyDescent="0.2">
      <c r="E792" s="52"/>
      <c r="H792" s="61"/>
      <c r="K792"/>
    </row>
    <row r="793" spans="5:11" ht="13.5" customHeight="1" x14ac:dyDescent="0.2">
      <c r="E793" s="52"/>
      <c r="H793" s="61"/>
      <c r="K793"/>
    </row>
    <row r="794" spans="5:11" ht="13.5" customHeight="1" x14ac:dyDescent="0.2">
      <c r="E794" s="52"/>
      <c r="H794" s="61"/>
      <c r="K794"/>
    </row>
    <row r="795" spans="5:11" ht="13.5" customHeight="1" x14ac:dyDescent="0.2">
      <c r="E795" s="52"/>
      <c r="H795" s="61"/>
      <c r="K795"/>
    </row>
    <row r="796" spans="5:11" ht="13.5" customHeight="1" x14ac:dyDescent="0.2">
      <c r="E796" s="52"/>
      <c r="H796" s="61"/>
      <c r="K796"/>
    </row>
    <row r="797" spans="5:11" ht="13.5" customHeight="1" x14ac:dyDescent="0.2">
      <c r="E797" s="52"/>
      <c r="H797" s="61"/>
      <c r="K797"/>
    </row>
    <row r="798" spans="5:11" ht="13.5" customHeight="1" x14ac:dyDescent="0.2">
      <c r="E798" s="52"/>
      <c r="H798" s="61"/>
      <c r="K798"/>
    </row>
    <row r="799" spans="5:11" ht="13.5" customHeight="1" x14ac:dyDescent="0.2">
      <c r="E799" s="52"/>
      <c r="H799" s="61"/>
      <c r="K799"/>
    </row>
    <row r="800" spans="5:11" ht="13.5" customHeight="1" x14ac:dyDescent="0.2">
      <c r="E800" s="52"/>
      <c r="H800" s="61"/>
      <c r="K800"/>
    </row>
    <row r="801" spans="5:11" ht="13.5" customHeight="1" x14ac:dyDescent="0.2">
      <c r="E801" s="52"/>
      <c r="H801" s="61"/>
      <c r="K801"/>
    </row>
    <row r="802" spans="5:11" ht="13.5" customHeight="1" x14ac:dyDescent="0.2">
      <c r="E802" s="52"/>
      <c r="H802" s="61"/>
      <c r="K802"/>
    </row>
    <row r="803" spans="5:11" ht="13.5" customHeight="1" x14ac:dyDescent="0.2">
      <c r="E803" s="52"/>
      <c r="H803" s="61"/>
      <c r="K803"/>
    </row>
    <row r="804" spans="5:11" ht="13.5" customHeight="1" x14ac:dyDescent="0.2">
      <c r="E804" s="52"/>
      <c r="H804" s="61"/>
      <c r="K804"/>
    </row>
    <row r="805" spans="5:11" ht="13.5" customHeight="1" x14ac:dyDescent="0.2">
      <c r="E805" s="52"/>
      <c r="H805" s="61"/>
      <c r="K805"/>
    </row>
    <row r="806" spans="5:11" ht="13.5" customHeight="1" x14ac:dyDescent="0.2">
      <c r="E806" s="50"/>
      <c r="H806" s="61"/>
      <c r="K806"/>
    </row>
    <row r="807" spans="5:11" ht="13.5" customHeight="1" x14ac:dyDescent="0.2">
      <c r="E807" s="50"/>
      <c r="H807" s="61"/>
      <c r="K807"/>
    </row>
    <row r="808" spans="5:11" ht="13.5" customHeight="1" x14ac:dyDescent="0.2">
      <c r="E808" s="50"/>
      <c r="H808" s="61"/>
      <c r="K808"/>
    </row>
    <row r="809" spans="5:11" ht="13.5" customHeight="1" x14ac:dyDescent="0.2">
      <c r="E809" s="50"/>
      <c r="H809" s="61"/>
      <c r="K809"/>
    </row>
    <row r="810" spans="5:11" ht="13.5" customHeight="1" x14ac:dyDescent="0.2">
      <c r="E810" s="50"/>
      <c r="H810" s="61"/>
      <c r="K810"/>
    </row>
    <row r="811" spans="5:11" ht="13.5" customHeight="1" x14ac:dyDescent="0.2">
      <c r="E811" s="50"/>
      <c r="H811" s="61"/>
      <c r="K811"/>
    </row>
    <row r="812" spans="5:11" ht="13.5" customHeight="1" x14ac:dyDescent="0.2">
      <c r="E812" s="50"/>
      <c r="H812" s="61"/>
      <c r="K812"/>
    </row>
    <row r="813" spans="5:11" ht="13.5" customHeight="1" x14ac:dyDescent="0.2">
      <c r="E813" s="50"/>
      <c r="H813" s="61"/>
      <c r="K813"/>
    </row>
    <row r="814" spans="5:11" ht="13.5" customHeight="1" x14ac:dyDescent="0.2">
      <c r="E814" s="50"/>
      <c r="H814" s="61"/>
      <c r="K814"/>
    </row>
    <row r="815" spans="5:11" ht="13.5" customHeight="1" x14ac:dyDescent="0.2">
      <c r="E815" s="50"/>
      <c r="H815" s="61"/>
      <c r="K815"/>
    </row>
    <row r="816" spans="5:11" ht="13.5" customHeight="1" x14ac:dyDescent="0.2">
      <c r="E816" s="50"/>
      <c r="H816" s="61"/>
      <c r="K816"/>
    </row>
    <row r="817" spans="5:11" ht="13.5" customHeight="1" x14ac:dyDescent="0.2">
      <c r="E817" s="50"/>
      <c r="H817" s="61"/>
      <c r="K817"/>
    </row>
    <row r="818" spans="5:11" ht="13.5" customHeight="1" x14ac:dyDescent="0.2">
      <c r="E818" s="50"/>
      <c r="H818" s="61"/>
      <c r="K818"/>
    </row>
    <row r="819" spans="5:11" ht="13.5" customHeight="1" x14ac:dyDescent="0.2">
      <c r="E819" s="50"/>
      <c r="H819" s="61"/>
      <c r="K819"/>
    </row>
    <row r="820" spans="5:11" ht="13.5" customHeight="1" x14ac:dyDescent="0.2">
      <c r="E820" s="50"/>
      <c r="H820" s="61"/>
      <c r="K820"/>
    </row>
    <row r="821" spans="5:11" ht="13.5" customHeight="1" x14ac:dyDescent="0.2">
      <c r="E821" s="50"/>
      <c r="H821" s="61"/>
      <c r="K821"/>
    </row>
    <row r="822" spans="5:11" ht="13.5" customHeight="1" x14ac:dyDescent="0.2">
      <c r="E822" s="50"/>
      <c r="H822" s="61"/>
      <c r="K822"/>
    </row>
    <row r="823" spans="5:11" ht="13.5" customHeight="1" x14ac:dyDescent="0.2">
      <c r="E823" s="50"/>
      <c r="H823" s="61"/>
      <c r="K823"/>
    </row>
    <row r="824" spans="5:11" ht="13.5" customHeight="1" x14ac:dyDescent="0.2">
      <c r="E824" s="50"/>
      <c r="H824" s="61"/>
      <c r="K824"/>
    </row>
    <row r="825" spans="5:11" ht="13.5" customHeight="1" x14ac:dyDescent="0.2">
      <c r="E825" s="50"/>
      <c r="H825" s="61"/>
      <c r="K825"/>
    </row>
    <row r="826" spans="5:11" ht="13.5" customHeight="1" x14ac:dyDescent="0.2">
      <c r="E826" s="50"/>
      <c r="H826" s="61"/>
      <c r="K826"/>
    </row>
    <row r="827" spans="5:11" ht="13.5" customHeight="1" x14ac:dyDescent="0.2">
      <c r="E827" s="50"/>
      <c r="H827" s="61"/>
      <c r="K827"/>
    </row>
    <row r="828" spans="5:11" ht="13.5" customHeight="1" x14ac:dyDescent="0.2">
      <c r="E828" s="50"/>
      <c r="H828" s="61"/>
      <c r="K828"/>
    </row>
    <row r="829" spans="5:11" ht="13.5" customHeight="1" x14ac:dyDescent="0.2">
      <c r="E829" s="50"/>
      <c r="H829" s="61"/>
      <c r="K829"/>
    </row>
    <row r="830" spans="5:11" ht="13.5" customHeight="1" x14ac:dyDescent="0.2">
      <c r="E830" s="50"/>
      <c r="H830" s="61"/>
      <c r="K830"/>
    </row>
    <row r="831" spans="5:11" ht="13.5" customHeight="1" x14ac:dyDescent="0.2">
      <c r="E831" s="50"/>
      <c r="H831" s="61"/>
      <c r="K831"/>
    </row>
    <row r="832" spans="5:11" ht="13.5" customHeight="1" x14ac:dyDescent="0.2">
      <c r="E832" s="50"/>
      <c r="H832" s="61"/>
      <c r="K832"/>
    </row>
    <row r="833" spans="5:11" ht="13.5" customHeight="1" x14ac:dyDescent="0.2">
      <c r="E833" s="50"/>
      <c r="H833" s="61"/>
      <c r="K833"/>
    </row>
    <row r="834" spans="5:11" ht="13.5" customHeight="1" x14ac:dyDescent="0.2">
      <c r="E834" s="50"/>
      <c r="H834" s="61"/>
      <c r="K834"/>
    </row>
    <row r="835" spans="5:11" ht="13.5" customHeight="1" x14ac:dyDescent="0.2">
      <c r="E835" s="50"/>
      <c r="H835" s="61"/>
      <c r="K835"/>
    </row>
    <row r="836" spans="5:11" ht="13.5" customHeight="1" x14ac:dyDescent="0.2">
      <c r="E836" s="50"/>
      <c r="H836" s="61"/>
      <c r="K836"/>
    </row>
    <row r="837" spans="5:11" ht="13.5" customHeight="1" x14ac:dyDescent="0.2">
      <c r="E837" s="50"/>
      <c r="H837" s="61"/>
      <c r="K837"/>
    </row>
    <row r="838" spans="5:11" ht="13.5" customHeight="1" x14ac:dyDescent="0.2">
      <c r="E838" s="50"/>
      <c r="H838" s="61"/>
      <c r="K838"/>
    </row>
    <row r="839" spans="5:11" ht="13.5" customHeight="1" x14ac:dyDescent="0.2">
      <c r="E839" s="50"/>
      <c r="H839" s="61"/>
      <c r="K839"/>
    </row>
    <row r="840" spans="5:11" ht="13.5" customHeight="1" x14ac:dyDescent="0.2">
      <c r="E840" s="50"/>
      <c r="H840" s="61"/>
      <c r="K840"/>
    </row>
    <row r="841" spans="5:11" ht="13.5" customHeight="1" x14ac:dyDescent="0.2">
      <c r="E841" s="50"/>
      <c r="H841" s="61"/>
      <c r="K841"/>
    </row>
    <row r="842" spans="5:11" ht="13.5" customHeight="1" x14ac:dyDescent="0.2">
      <c r="E842" s="50"/>
      <c r="H842" s="61"/>
      <c r="K842"/>
    </row>
    <row r="843" spans="5:11" ht="13.5" customHeight="1" x14ac:dyDescent="0.2">
      <c r="E843" s="50"/>
      <c r="H843" s="61"/>
      <c r="K843"/>
    </row>
    <row r="844" spans="5:11" ht="13.5" customHeight="1" x14ac:dyDescent="0.2">
      <c r="E844" s="50"/>
      <c r="H844" s="61"/>
      <c r="K844"/>
    </row>
    <row r="845" spans="5:11" ht="13.5" customHeight="1" x14ac:dyDescent="0.2">
      <c r="E845" s="50"/>
      <c r="H845" s="61"/>
      <c r="K845"/>
    </row>
    <row r="846" spans="5:11" ht="13.5" customHeight="1" x14ac:dyDescent="0.2">
      <c r="E846" s="50"/>
      <c r="H846" s="61"/>
      <c r="K846"/>
    </row>
    <row r="847" spans="5:11" ht="13.5" customHeight="1" x14ac:dyDescent="0.2">
      <c r="E847" s="50"/>
      <c r="H847" s="61"/>
      <c r="K847"/>
    </row>
    <row r="848" spans="5:11" ht="13.5" customHeight="1" x14ac:dyDescent="0.2">
      <c r="E848" s="50"/>
      <c r="H848" s="61"/>
      <c r="K848"/>
    </row>
    <row r="849" spans="5:11" ht="13.5" customHeight="1" x14ac:dyDescent="0.2">
      <c r="E849" s="50"/>
      <c r="H849" s="61"/>
      <c r="K849"/>
    </row>
    <row r="850" spans="5:11" ht="13.5" customHeight="1" x14ac:dyDescent="0.2">
      <c r="E850" s="50"/>
      <c r="H850" s="61"/>
      <c r="K850"/>
    </row>
    <row r="851" spans="5:11" ht="13.5" customHeight="1" x14ac:dyDescent="0.2">
      <c r="E851" s="50"/>
      <c r="H851" s="61"/>
      <c r="K851"/>
    </row>
    <row r="852" spans="5:11" ht="13.5" customHeight="1" x14ac:dyDescent="0.2">
      <c r="E852" s="50"/>
      <c r="H852" s="61"/>
      <c r="K852"/>
    </row>
    <row r="853" spans="5:11" ht="13.5" customHeight="1" x14ac:dyDescent="0.2">
      <c r="E853" s="50"/>
      <c r="H853" s="61"/>
      <c r="K853"/>
    </row>
    <row r="854" spans="5:11" ht="13.5" customHeight="1" x14ac:dyDescent="0.2">
      <c r="E854" s="50"/>
      <c r="H854" s="61"/>
      <c r="K854"/>
    </row>
    <row r="855" spans="5:11" ht="13.5" customHeight="1" x14ac:dyDescent="0.2">
      <c r="E855" s="50"/>
      <c r="H855" s="61"/>
      <c r="K855"/>
    </row>
    <row r="856" spans="5:11" ht="13.5" customHeight="1" x14ac:dyDescent="0.2">
      <c r="E856" s="50"/>
      <c r="H856" s="61"/>
      <c r="K856"/>
    </row>
    <row r="857" spans="5:11" ht="13.5" customHeight="1" x14ac:dyDescent="0.2">
      <c r="E857" s="50"/>
      <c r="H857" s="61"/>
      <c r="K857"/>
    </row>
    <row r="858" spans="5:11" ht="13.5" customHeight="1" x14ac:dyDescent="0.2">
      <c r="E858" s="50"/>
      <c r="H858" s="61"/>
      <c r="K858"/>
    </row>
    <row r="859" spans="5:11" ht="13.5" customHeight="1" x14ac:dyDescent="0.2">
      <c r="E859" s="50"/>
      <c r="H859" s="61"/>
      <c r="K859"/>
    </row>
    <row r="860" spans="5:11" ht="13.5" customHeight="1" x14ac:dyDescent="0.2">
      <c r="E860" s="50"/>
      <c r="H860" s="12"/>
      <c r="K860"/>
    </row>
    <row r="861" spans="5:11" ht="13.5" customHeight="1" x14ac:dyDescent="0.2">
      <c r="E861" s="50"/>
      <c r="H861" s="12"/>
      <c r="K861"/>
    </row>
    <row r="862" spans="5:11" ht="13.5" customHeight="1" x14ac:dyDescent="0.2">
      <c r="E862" s="50"/>
      <c r="H862" s="12"/>
      <c r="K862"/>
    </row>
    <row r="863" spans="5:11" ht="13.5" customHeight="1" x14ac:dyDescent="0.2">
      <c r="E863" s="50"/>
      <c r="H863" s="12"/>
      <c r="K863"/>
    </row>
    <row r="864" spans="5:11" ht="13.5" customHeight="1" x14ac:dyDescent="0.2">
      <c r="E864" s="50"/>
      <c r="H864" s="12"/>
      <c r="K864"/>
    </row>
    <row r="865" spans="5:11" ht="13.5" customHeight="1" x14ac:dyDescent="0.2">
      <c r="E865" s="50"/>
      <c r="H865" s="12"/>
      <c r="K865"/>
    </row>
    <row r="866" spans="5:11" ht="13.5" customHeight="1" x14ac:dyDescent="0.2">
      <c r="E866" s="50"/>
      <c r="H866" s="12"/>
      <c r="K866"/>
    </row>
    <row r="867" spans="5:11" ht="13.5" customHeight="1" x14ac:dyDescent="0.2">
      <c r="E867" s="50"/>
      <c r="H867" s="12"/>
      <c r="K867"/>
    </row>
    <row r="868" spans="5:11" ht="13.5" customHeight="1" x14ac:dyDescent="0.2">
      <c r="E868" s="50"/>
      <c r="H868" s="12"/>
      <c r="K868"/>
    </row>
    <row r="869" spans="5:11" ht="13.5" customHeight="1" x14ac:dyDescent="0.2">
      <c r="E869" s="50"/>
      <c r="H869" s="12"/>
      <c r="K869"/>
    </row>
    <row r="870" spans="5:11" ht="13.5" customHeight="1" x14ac:dyDescent="0.2">
      <c r="E870" s="50"/>
      <c r="H870" s="12"/>
      <c r="K870"/>
    </row>
    <row r="871" spans="5:11" ht="13.5" customHeight="1" x14ac:dyDescent="0.2">
      <c r="E871" s="50"/>
      <c r="H871" s="12"/>
      <c r="K871"/>
    </row>
    <row r="872" spans="5:11" ht="13.5" customHeight="1" x14ac:dyDescent="0.2">
      <c r="E872" s="50"/>
      <c r="H872" s="12"/>
      <c r="K872"/>
    </row>
    <row r="873" spans="5:11" ht="13.5" customHeight="1" x14ac:dyDescent="0.2">
      <c r="E873" s="50"/>
      <c r="H873" s="12"/>
      <c r="K873"/>
    </row>
    <row r="874" spans="5:11" ht="13.5" customHeight="1" x14ac:dyDescent="0.2">
      <c r="E874" s="50"/>
      <c r="H874" s="12"/>
      <c r="K874"/>
    </row>
    <row r="875" spans="5:11" ht="13.5" customHeight="1" x14ac:dyDescent="0.2">
      <c r="E875" s="50"/>
      <c r="H875" s="12"/>
      <c r="K875"/>
    </row>
    <row r="876" spans="5:11" ht="13.5" customHeight="1" x14ac:dyDescent="0.2">
      <c r="E876" s="50"/>
      <c r="H876" s="12"/>
      <c r="K876"/>
    </row>
    <row r="877" spans="5:11" ht="13.5" customHeight="1" x14ac:dyDescent="0.2">
      <c r="E877" s="50"/>
      <c r="H877" s="12"/>
      <c r="K877"/>
    </row>
    <row r="878" spans="5:11" ht="13.5" customHeight="1" x14ac:dyDescent="0.2">
      <c r="E878" s="50"/>
      <c r="H878" s="12"/>
      <c r="K878"/>
    </row>
    <row r="879" spans="5:11" ht="13.5" customHeight="1" x14ac:dyDescent="0.2">
      <c r="E879" s="50"/>
      <c r="H879" s="12"/>
      <c r="K879"/>
    </row>
    <row r="880" spans="5:11" ht="13.5" customHeight="1" x14ac:dyDescent="0.2">
      <c r="E880" s="50"/>
      <c r="H880" s="12"/>
      <c r="K880"/>
    </row>
    <row r="881" spans="5:11" ht="13.5" customHeight="1" x14ac:dyDescent="0.2">
      <c r="E881" s="50"/>
      <c r="H881" s="12"/>
      <c r="K881"/>
    </row>
    <row r="882" spans="5:11" ht="13.5" customHeight="1" x14ac:dyDescent="0.2">
      <c r="E882" s="50"/>
      <c r="H882" s="12"/>
      <c r="K882"/>
    </row>
    <row r="883" spans="5:11" ht="13.5" customHeight="1" x14ac:dyDescent="0.2">
      <c r="E883" s="50"/>
      <c r="H883" s="12"/>
      <c r="K883"/>
    </row>
    <row r="884" spans="5:11" ht="13.5" customHeight="1" x14ac:dyDescent="0.2">
      <c r="E884" s="50"/>
      <c r="H884" s="12"/>
      <c r="K884"/>
    </row>
    <row r="885" spans="5:11" ht="13.5" customHeight="1" x14ac:dyDescent="0.2">
      <c r="E885" s="50"/>
      <c r="H885" s="12"/>
      <c r="K885"/>
    </row>
    <row r="886" spans="5:11" ht="13.5" customHeight="1" x14ac:dyDescent="0.2">
      <c r="E886" s="50"/>
      <c r="H886" s="12"/>
      <c r="K886"/>
    </row>
    <row r="887" spans="5:11" ht="13.5" customHeight="1" x14ac:dyDescent="0.2">
      <c r="E887" s="50"/>
      <c r="H887" s="12"/>
      <c r="K887"/>
    </row>
    <row r="888" spans="5:11" ht="13.5" customHeight="1" x14ac:dyDescent="0.2">
      <c r="E888" s="50"/>
      <c r="H888" s="12"/>
      <c r="K888"/>
    </row>
    <row r="889" spans="5:11" ht="13.5" customHeight="1" x14ac:dyDescent="0.2">
      <c r="E889" s="50"/>
      <c r="H889" s="12"/>
      <c r="K889"/>
    </row>
    <row r="890" spans="5:11" ht="13.5" customHeight="1" x14ac:dyDescent="0.2">
      <c r="E890" s="50"/>
      <c r="H890" s="12"/>
      <c r="K890"/>
    </row>
    <row r="891" spans="5:11" ht="13.5" customHeight="1" x14ac:dyDescent="0.2">
      <c r="E891" s="50"/>
      <c r="H891" s="12"/>
      <c r="K891"/>
    </row>
    <row r="892" spans="5:11" ht="13.5" customHeight="1" x14ac:dyDescent="0.2">
      <c r="E892" s="50"/>
      <c r="H892" s="12"/>
      <c r="K892"/>
    </row>
    <row r="893" spans="5:11" ht="13.5" customHeight="1" x14ac:dyDescent="0.2">
      <c r="E893" s="50"/>
      <c r="H893" s="12"/>
      <c r="K893"/>
    </row>
    <row r="894" spans="5:11" ht="13.5" customHeight="1" x14ac:dyDescent="0.2">
      <c r="E894" s="50"/>
      <c r="H894" s="12"/>
      <c r="K894"/>
    </row>
    <row r="895" spans="5:11" ht="13.5" customHeight="1" x14ac:dyDescent="0.2">
      <c r="E895" s="50"/>
      <c r="H895" s="12"/>
      <c r="K895"/>
    </row>
    <row r="896" spans="5:11" ht="13.5" customHeight="1" x14ac:dyDescent="0.2">
      <c r="E896" s="50"/>
      <c r="H896" s="12"/>
      <c r="K896"/>
    </row>
    <row r="897" spans="5:11" ht="13.5" customHeight="1" x14ac:dyDescent="0.2">
      <c r="E897" s="50"/>
      <c r="H897" s="12"/>
      <c r="K897"/>
    </row>
    <row r="898" spans="5:11" ht="13.5" customHeight="1" x14ac:dyDescent="0.2">
      <c r="E898" s="50"/>
      <c r="H898" s="12"/>
      <c r="K898"/>
    </row>
    <row r="899" spans="5:11" ht="13.5" customHeight="1" x14ac:dyDescent="0.2">
      <c r="E899" s="50"/>
      <c r="H899" s="12"/>
      <c r="K899"/>
    </row>
    <row r="900" spans="5:11" ht="13.5" customHeight="1" x14ac:dyDescent="0.2">
      <c r="E900" s="50"/>
      <c r="H900" s="12"/>
      <c r="K900"/>
    </row>
    <row r="901" spans="5:11" ht="13.5" customHeight="1" x14ac:dyDescent="0.2">
      <c r="E901" s="50"/>
      <c r="H901" s="12"/>
      <c r="K901"/>
    </row>
    <row r="902" spans="5:11" ht="13.5" customHeight="1" x14ac:dyDescent="0.2">
      <c r="E902" s="50"/>
      <c r="H902" s="12"/>
      <c r="K902"/>
    </row>
    <row r="903" spans="5:11" ht="13.5" customHeight="1" x14ac:dyDescent="0.2">
      <c r="E903" s="50"/>
      <c r="H903" s="12"/>
      <c r="K903"/>
    </row>
    <row r="904" spans="5:11" ht="13.5" customHeight="1" x14ac:dyDescent="0.2">
      <c r="E904" s="50"/>
      <c r="H904" s="12"/>
      <c r="K904"/>
    </row>
    <row r="905" spans="5:11" ht="13.5" customHeight="1" x14ac:dyDescent="0.2">
      <c r="E905" s="50"/>
      <c r="H905" s="12"/>
      <c r="K905"/>
    </row>
    <row r="906" spans="5:11" ht="13.5" customHeight="1" x14ac:dyDescent="0.2">
      <c r="E906" s="50"/>
      <c r="H906" s="12"/>
      <c r="K906"/>
    </row>
    <row r="907" spans="5:11" ht="13.5" customHeight="1" x14ac:dyDescent="0.2">
      <c r="E907" s="50"/>
      <c r="H907" s="12"/>
      <c r="K907"/>
    </row>
    <row r="908" spans="5:11" ht="13.5" customHeight="1" x14ac:dyDescent="0.2">
      <c r="E908" s="50"/>
      <c r="H908" s="12"/>
      <c r="K908"/>
    </row>
    <row r="909" spans="5:11" ht="13.5" customHeight="1" x14ac:dyDescent="0.2">
      <c r="E909" s="50"/>
      <c r="H909" s="12"/>
      <c r="K909"/>
    </row>
    <row r="910" spans="5:11" ht="13.5" customHeight="1" x14ac:dyDescent="0.2">
      <c r="E910" s="50"/>
      <c r="H910" s="12"/>
      <c r="K910"/>
    </row>
    <row r="911" spans="5:11" ht="13.5" customHeight="1" x14ac:dyDescent="0.2">
      <c r="E911" s="50"/>
      <c r="H911" s="12"/>
      <c r="K911"/>
    </row>
    <row r="912" spans="5:11" ht="13.5" customHeight="1" x14ac:dyDescent="0.2">
      <c r="E912" s="50"/>
      <c r="H912" s="12"/>
      <c r="K912"/>
    </row>
    <row r="913" spans="5:11" ht="13.5" customHeight="1" x14ac:dyDescent="0.2">
      <c r="E913" s="50"/>
      <c r="H913" s="12"/>
      <c r="K913"/>
    </row>
    <row r="914" spans="5:11" ht="13.5" customHeight="1" x14ac:dyDescent="0.2">
      <c r="E914" s="50"/>
      <c r="H914" s="12"/>
      <c r="K914"/>
    </row>
    <row r="915" spans="5:11" ht="13.5" customHeight="1" x14ac:dyDescent="0.2">
      <c r="E915" s="50"/>
      <c r="H915" s="12"/>
      <c r="K915"/>
    </row>
    <row r="916" spans="5:11" ht="13.5" customHeight="1" x14ac:dyDescent="0.2">
      <c r="E916" s="50"/>
      <c r="H916" s="12"/>
      <c r="K916"/>
    </row>
    <row r="917" spans="5:11" ht="13.5" customHeight="1" x14ac:dyDescent="0.2">
      <c r="E917" s="50"/>
      <c r="H917" s="12"/>
      <c r="K917"/>
    </row>
    <row r="918" spans="5:11" ht="13.5" customHeight="1" x14ac:dyDescent="0.2">
      <c r="E918" s="50"/>
      <c r="H918" s="12"/>
      <c r="K918"/>
    </row>
    <row r="919" spans="5:11" ht="13.5" customHeight="1" x14ac:dyDescent="0.2">
      <c r="E919" s="50"/>
      <c r="H919" s="12"/>
      <c r="K919"/>
    </row>
    <row r="920" spans="5:11" ht="13.5" customHeight="1" x14ac:dyDescent="0.2">
      <c r="E920" s="50"/>
      <c r="H920" s="12"/>
      <c r="K920"/>
    </row>
    <row r="921" spans="5:11" ht="13.5" customHeight="1" x14ac:dyDescent="0.2">
      <c r="E921" s="50"/>
      <c r="H921" s="12"/>
      <c r="K921"/>
    </row>
    <row r="922" spans="5:11" ht="13.5" customHeight="1" x14ac:dyDescent="0.2">
      <c r="E922" s="50"/>
      <c r="H922" s="12"/>
      <c r="K922"/>
    </row>
    <row r="923" spans="5:11" ht="13.5" customHeight="1" x14ac:dyDescent="0.2">
      <c r="E923" s="50"/>
      <c r="H923" s="12"/>
      <c r="K923"/>
    </row>
    <row r="924" spans="5:11" ht="13.5" customHeight="1" x14ac:dyDescent="0.2">
      <c r="E924" s="50"/>
      <c r="H924" s="12"/>
      <c r="K924"/>
    </row>
    <row r="925" spans="5:11" ht="13.5" customHeight="1" x14ac:dyDescent="0.2">
      <c r="E925" s="50"/>
      <c r="H925" s="12"/>
      <c r="K925"/>
    </row>
    <row r="926" spans="5:11" ht="13.5" customHeight="1" x14ac:dyDescent="0.2">
      <c r="E926" s="50"/>
      <c r="H926" s="12"/>
      <c r="K926"/>
    </row>
    <row r="927" spans="5:11" ht="13.5" customHeight="1" x14ac:dyDescent="0.2">
      <c r="E927" s="50"/>
      <c r="H927" s="12"/>
      <c r="K927"/>
    </row>
    <row r="928" spans="5:11" ht="13.5" customHeight="1" x14ac:dyDescent="0.2">
      <c r="E928" s="50"/>
      <c r="H928" s="12"/>
      <c r="K928"/>
    </row>
    <row r="929" spans="5:11" ht="13.5" customHeight="1" x14ac:dyDescent="0.2">
      <c r="E929" s="50"/>
      <c r="H929" s="12"/>
      <c r="K929"/>
    </row>
    <row r="930" spans="5:11" ht="13.5" customHeight="1" x14ac:dyDescent="0.2">
      <c r="E930" s="50"/>
      <c r="H930" s="12"/>
      <c r="K930"/>
    </row>
    <row r="931" spans="5:11" ht="13.5" customHeight="1" x14ac:dyDescent="0.2">
      <c r="E931" s="50"/>
      <c r="H931" s="12"/>
      <c r="K931"/>
    </row>
    <row r="932" spans="5:11" ht="13.5" customHeight="1" x14ac:dyDescent="0.2">
      <c r="E932" s="50"/>
      <c r="H932" s="12"/>
      <c r="K932"/>
    </row>
    <row r="933" spans="5:11" ht="13.5" customHeight="1" x14ac:dyDescent="0.2">
      <c r="E933" s="50"/>
      <c r="H933" s="12"/>
      <c r="K933"/>
    </row>
    <row r="934" spans="5:11" ht="13.5" customHeight="1" x14ac:dyDescent="0.2">
      <c r="E934" s="50"/>
      <c r="H934" s="12"/>
      <c r="K934"/>
    </row>
    <row r="935" spans="5:11" ht="13.5" customHeight="1" x14ac:dyDescent="0.2">
      <c r="E935" s="50"/>
      <c r="H935" s="12"/>
      <c r="K935"/>
    </row>
    <row r="936" spans="5:11" ht="13.5" customHeight="1" x14ac:dyDescent="0.2">
      <c r="E936" s="50"/>
      <c r="H936" s="12"/>
      <c r="K936"/>
    </row>
    <row r="937" spans="5:11" ht="13.5" customHeight="1" x14ac:dyDescent="0.2">
      <c r="E937" s="50"/>
      <c r="H937" s="12"/>
      <c r="K937"/>
    </row>
    <row r="938" spans="5:11" ht="13.5" customHeight="1" x14ac:dyDescent="0.2">
      <c r="E938" s="50"/>
      <c r="H938" s="12"/>
      <c r="K938"/>
    </row>
    <row r="939" spans="5:11" ht="13.5" customHeight="1" x14ac:dyDescent="0.2">
      <c r="E939" s="50"/>
      <c r="H939" s="12"/>
      <c r="K939"/>
    </row>
    <row r="940" spans="5:11" ht="13.5" customHeight="1" x14ac:dyDescent="0.2">
      <c r="E940" s="50"/>
      <c r="H940" s="12"/>
      <c r="K940"/>
    </row>
    <row r="941" spans="5:11" ht="13.5" customHeight="1" x14ac:dyDescent="0.2">
      <c r="E941" s="50"/>
      <c r="H941" s="12"/>
      <c r="K941"/>
    </row>
    <row r="942" spans="5:11" ht="13.5" customHeight="1" x14ac:dyDescent="0.2">
      <c r="E942" s="50"/>
      <c r="H942" s="12"/>
      <c r="K942"/>
    </row>
    <row r="943" spans="5:11" ht="13.5" customHeight="1" x14ac:dyDescent="0.2">
      <c r="E943" s="50"/>
      <c r="H943" s="12"/>
      <c r="K943"/>
    </row>
    <row r="944" spans="5:11" ht="13.5" customHeight="1" x14ac:dyDescent="0.2">
      <c r="E944" s="50"/>
      <c r="H944" s="12"/>
      <c r="K944"/>
    </row>
    <row r="945" spans="5:11" ht="13.5" customHeight="1" x14ac:dyDescent="0.2">
      <c r="E945" s="50"/>
      <c r="H945" s="12"/>
      <c r="K945"/>
    </row>
    <row r="946" spans="5:11" ht="13.5" customHeight="1" x14ac:dyDescent="0.2">
      <c r="E946" s="50"/>
      <c r="H946" s="12"/>
      <c r="K946"/>
    </row>
    <row r="947" spans="5:11" ht="13.5" customHeight="1" x14ac:dyDescent="0.2">
      <c r="E947" s="50"/>
      <c r="H947" s="12"/>
      <c r="K947"/>
    </row>
    <row r="948" spans="5:11" ht="13.5" customHeight="1" x14ac:dyDescent="0.2">
      <c r="E948" s="50"/>
      <c r="H948" s="12"/>
      <c r="K948"/>
    </row>
    <row r="949" spans="5:11" ht="13.5" customHeight="1" x14ac:dyDescent="0.2">
      <c r="E949" s="50"/>
      <c r="H949" s="12"/>
      <c r="K949"/>
    </row>
    <row r="950" spans="5:11" ht="13.5" customHeight="1" x14ac:dyDescent="0.2">
      <c r="E950" s="50"/>
      <c r="H950" s="12"/>
      <c r="K950"/>
    </row>
    <row r="951" spans="5:11" ht="13.5" customHeight="1" x14ac:dyDescent="0.2">
      <c r="E951" s="50"/>
      <c r="H951" s="12"/>
      <c r="K951"/>
    </row>
    <row r="952" spans="5:11" ht="13.5" customHeight="1" x14ac:dyDescent="0.2">
      <c r="E952" s="50"/>
      <c r="H952" s="12"/>
      <c r="K952"/>
    </row>
    <row r="953" spans="5:11" ht="13.5" customHeight="1" x14ac:dyDescent="0.2">
      <c r="E953" s="50"/>
      <c r="H953" s="12"/>
      <c r="K953"/>
    </row>
    <row r="954" spans="5:11" ht="13.5" customHeight="1" x14ac:dyDescent="0.2">
      <c r="E954" s="50"/>
      <c r="H954" s="12"/>
      <c r="K954"/>
    </row>
    <row r="955" spans="5:11" ht="13.5" customHeight="1" x14ac:dyDescent="0.2">
      <c r="E955" s="50"/>
      <c r="H955" s="12"/>
      <c r="K955"/>
    </row>
    <row r="956" spans="5:11" ht="13.5" customHeight="1" x14ac:dyDescent="0.2">
      <c r="E956" s="50"/>
      <c r="H956" s="12"/>
      <c r="K956"/>
    </row>
    <row r="957" spans="5:11" ht="13.5" customHeight="1" x14ac:dyDescent="0.2">
      <c r="E957" s="50"/>
      <c r="H957" s="12"/>
      <c r="K957"/>
    </row>
    <row r="958" spans="5:11" ht="13.5" customHeight="1" x14ac:dyDescent="0.2">
      <c r="E958" s="50"/>
      <c r="H958" s="12"/>
      <c r="K958"/>
    </row>
    <row r="959" spans="5:11" ht="13.5" customHeight="1" x14ac:dyDescent="0.2">
      <c r="E959" s="50"/>
      <c r="H959" s="12"/>
      <c r="K959"/>
    </row>
    <row r="960" spans="5:11" ht="13.5" customHeight="1" x14ac:dyDescent="0.2">
      <c r="E960" s="50"/>
      <c r="H960" s="12"/>
      <c r="K960"/>
    </row>
    <row r="961" spans="5:11" ht="14.25" customHeight="1" x14ac:dyDescent="0.2">
      <c r="E961" s="50"/>
      <c r="H961" s="12"/>
      <c r="K961"/>
    </row>
    <row r="962" spans="5:11" ht="13.5" customHeight="1" x14ac:dyDescent="0.2">
      <c r="E962" s="50"/>
      <c r="H962" s="12"/>
      <c r="K962"/>
    </row>
    <row r="963" spans="5:11" ht="13.5" customHeight="1" x14ac:dyDescent="0.2">
      <c r="E963" s="50"/>
      <c r="H963" s="12"/>
      <c r="K963"/>
    </row>
    <row r="964" spans="5:11" ht="13.5" customHeight="1" x14ac:dyDescent="0.2">
      <c r="E964" s="50"/>
      <c r="H964" s="12"/>
      <c r="K964"/>
    </row>
    <row r="965" spans="5:11" ht="13.5" customHeight="1" x14ac:dyDescent="0.2">
      <c r="E965" s="50"/>
      <c r="H965" s="12"/>
      <c r="K965"/>
    </row>
    <row r="966" spans="5:11" ht="13.5" customHeight="1" x14ac:dyDescent="0.2">
      <c r="E966" s="50"/>
      <c r="H966" s="12"/>
      <c r="K966"/>
    </row>
    <row r="967" spans="5:11" ht="13.5" customHeight="1" x14ac:dyDescent="0.2">
      <c r="E967" s="50"/>
      <c r="H967" s="12"/>
      <c r="K967"/>
    </row>
    <row r="968" spans="5:11" ht="13.5" customHeight="1" x14ac:dyDescent="0.2">
      <c r="E968" s="50"/>
      <c r="H968" s="12"/>
      <c r="K968"/>
    </row>
    <row r="969" spans="5:11" ht="13.5" customHeight="1" x14ac:dyDescent="0.2">
      <c r="E969" s="50"/>
      <c r="H969" s="12"/>
      <c r="K969"/>
    </row>
    <row r="970" spans="5:11" ht="13.5" customHeight="1" x14ac:dyDescent="0.2">
      <c r="E970" s="50"/>
      <c r="H970" s="12"/>
      <c r="K970"/>
    </row>
    <row r="971" spans="5:11" ht="13.5" customHeight="1" x14ac:dyDescent="0.2">
      <c r="E971" s="50"/>
      <c r="H971" s="12"/>
      <c r="K971"/>
    </row>
    <row r="972" spans="5:11" ht="13.5" customHeight="1" x14ac:dyDescent="0.2">
      <c r="E972" s="50"/>
      <c r="H972" s="12"/>
      <c r="K972"/>
    </row>
    <row r="973" spans="5:11" ht="13.5" customHeight="1" x14ac:dyDescent="0.2">
      <c r="E973" s="50"/>
      <c r="H973" s="12"/>
      <c r="K973"/>
    </row>
    <row r="974" spans="5:11" ht="13.5" customHeight="1" x14ac:dyDescent="0.2">
      <c r="E974" s="50"/>
      <c r="H974" s="12"/>
      <c r="K974"/>
    </row>
    <row r="975" spans="5:11" ht="13.5" customHeight="1" x14ac:dyDescent="0.2">
      <c r="E975" s="50"/>
      <c r="H975" s="12"/>
      <c r="K975"/>
    </row>
    <row r="976" spans="5:11" ht="13.5" customHeight="1" x14ac:dyDescent="0.2">
      <c r="E976" s="50"/>
      <c r="H976" s="12"/>
      <c r="K976"/>
    </row>
    <row r="977" spans="5:11" ht="13.5" customHeight="1" x14ac:dyDescent="0.2">
      <c r="E977" s="50"/>
      <c r="H977" s="12"/>
      <c r="K977"/>
    </row>
    <row r="978" spans="5:11" ht="13.5" customHeight="1" x14ac:dyDescent="0.2">
      <c r="E978" s="50"/>
      <c r="H978" s="12"/>
      <c r="K978"/>
    </row>
    <row r="979" spans="5:11" ht="13.5" customHeight="1" x14ac:dyDescent="0.2">
      <c r="E979" s="50"/>
      <c r="H979" s="12"/>
      <c r="K979"/>
    </row>
    <row r="980" spans="5:11" ht="13.5" customHeight="1" x14ac:dyDescent="0.2">
      <c r="E980" s="50"/>
      <c r="H980" s="12"/>
      <c r="K980"/>
    </row>
    <row r="981" spans="5:11" ht="13.5" customHeight="1" x14ac:dyDescent="0.2">
      <c r="E981" s="50"/>
      <c r="H981" s="12"/>
      <c r="K981"/>
    </row>
    <row r="982" spans="5:11" ht="13.5" customHeight="1" x14ac:dyDescent="0.2">
      <c r="E982" s="50"/>
      <c r="H982" s="12"/>
      <c r="K982"/>
    </row>
    <row r="983" spans="5:11" ht="13.5" customHeight="1" x14ac:dyDescent="0.2">
      <c r="E983" s="50"/>
      <c r="H983" s="12"/>
      <c r="K983"/>
    </row>
    <row r="984" spans="5:11" ht="13.5" customHeight="1" x14ac:dyDescent="0.2">
      <c r="E984" s="50"/>
      <c r="H984" s="12"/>
      <c r="K984"/>
    </row>
    <row r="985" spans="5:11" ht="13.5" customHeight="1" x14ac:dyDescent="0.2">
      <c r="E985" s="50"/>
      <c r="H985" s="12"/>
      <c r="K985"/>
    </row>
    <row r="986" spans="5:11" ht="13.5" customHeight="1" x14ac:dyDescent="0.2">
      <c r="E986" s="50"/>
      <c r="H986" s="12"/>
      <c r="K986"/>
    </row>
    <row r="987" spans="5:11" ht="13.5" customHeight="1" x14ac:dyDescent="0.2">
      <c r="E987" s="50"/>
      <c r="H987" s="12"/>
      <c r="K987"/>
    </row>
    <row r="988" spans="5:11" ht="13.5" customHeight="1" x14ac:dyDescent="0.2">
      <c r="E988" s="50"/>
      <c r="H988" s="12"/>
      <c r="K988"/>
    </row>
    <row r="989" spans="5:11" ht="13.5" customHeight="1" x14ac:dyDescent="0.2">
      <c r="E989" s="50"/>
      <c r="H989" s="12"/>
      <c r="K989"/>
    </row>
    <row r="990" spans="5:11" ht="13.5" customHeight="1" x14ac:dyDescent="0.2">
      <c r="E990" s="50"/>
      <c r="H990" s="12"/>
      <c r="K990"/>
    </row>
    <row r="991" spans="5:11" ht="13.5" customHeight="1" x14ac:dyDescent="0.2">
      <c r="E991" s="50"/>
      <c r="H991" s="12"/>
      <c r="K991"/>
    </row>
    <row r="992" spans="5:11" ht="13.5" customHeight="1" x14ac:dyDescent="0.2">
      <c r="E992" s="50"/>
      <c r="H992" s="12"/>
      <c r="K992"/>
    </row>
    <row r="993" spans="5:11" ht="13.5" customHeight="1" x14ac:dyDescent="0.2">
      <c r="E993" s="50"/>
      <c r="H993" s="12"/>
      <c r="K993"/>
    </row>
    <row r="994" spans="5:11" ht="13.5" customHeight="1" x14ac:dyDescent="0.2">
      <c r="E994" s="50"/>
      <c r="H994" s="12"/>
      <c r="K994"/>
    </row>
    <row r="995" spans="5:11" ht="13.5" customHeight="1" x14ac:dyDescent="0.2">
      <c r="E995" s="50"/>
      <c r="H995" s="12"/>
      <c r="K995"/>
    </row>
    <row r="996" spans="5:11" ht="13.5" customHeight="1" x14ac:dyDescent="0.2">
      <c r="E996" s="50"/>
      <c r="H996" s="12"/>
      <c r="K996"/>
    </row>
    <row r="997" spans="5:11" ht="13.5" customHeight="1" x14ac:dyDescent="0.2">
      <c r="E997" s="50"/>
      <c r="H997" s="12"/>
      <c r="K997"/>
    </row>
    <row r="998" spans="5:11" ht="13.5" customHeight="1" x14ac:dyDescent="0.2">
      <c r="E998" s="50"/>
      <c r="H998" s="12"/>
      <c r="K998"/>
    </row>
    <row r="999" spans="5:11" ht="13.5" customHeight="1" x14ac:dyDescent="0.2">
      <c r="E999" s="50"/>
      <c r="H999" s="12"/>
      <c r="K999"/>
    </row>
    <row r="1000" spans="5:11" ht="13.5" customHeight="1" x14ac:dyDescent="0.2">
      <c r="E1000" s="50"/>
      <c r="H1000" s="12"/>
      <c r="K1000"/>
    </row>
    <row r="1001" spans="5:11" ht="13.5" customHeight="1" x14ac:dyDescent="0.2">
      <c r="E1001" s="50"/>
      <c r="H1001" s="12"/>
      <c r="K1001"/>
    </row>
    <row r="1002" spans="5:11" ht="13.5" customHeight="1" x14ac:dyDescent="0.2">
      <c r="E1002" s="50"/>
      <c r="H1002" s="12"/>
      <c r="K1002"/>
    </row>
    <row r="1003" spans="5:11" ht="13.5" customHeight="1" x14ac:dyDescent="0.2">
      <c r="E1003" s="50"/>
      <c r="H1003" s="12"/>
      <c r="K1003"/>
    </row>
    <row r="1004" spans="5:11" ht="13.5" customHeight="1" x14ac:dyDescent="0.2">
      <c r="E1004" s="50"/>
      <c r="H1004" s="12"/>
      <c r="K1004"/>
    </row>
    <row r="1005" spans="5:11" ht="13.5" customHeight="1" x14ac:dyDescent="0.2">
      <c r="E1005" s="50"/>
      <c r="H1005" s="12"/>
      <c r="K1005"/>
    </row>
    <row r="1006" spans="5:11" ht="13.5" customHeight="1" x14ac:dyDescent="0.2">
      <c r="E1006" s="50"/>
      <c r="H1006" s="12"/>
      <c r="K1006"/>
    </row>
    <row r="1007" spans="5:11" ht="13.5" customHeight="1" x14ac:dyDescent="0.2">
      <c r="E1007" s="50"/>
      <c r="H1007" s="12"/>
      <c r="K1007"/>
    </row>
    <row r="1008" spans="5:11" ht="13.5" customHeight="1" x14ac:dyDescent="0.2">
      <c r="E1008" s="50"/>
      <c r="H1008" s="12"/>
      <c r="K1008"/>
    </row>
    <row r="1009" spans="5:11" ht="13.5" customHeight="1" x14ac:dyDescent="0.2">
      <c r="E1009" s="50"/>
      <c r="H1009" s="12"/>
      <c r="K1009"/>
    </row>
    <row r="1010" spans="5:11" ht="13.5" customHeight="1" x14ac:dyDescent="0.2">
      <c r="E1010" s="50"/>
      <c r="H1010" s="12"/>
      <c r="K1010"/>
    </row>
    <row r="1011" spans="5:11" ht="13.5" customHeight="1" x14ac:dyDescent="0.2">
      <c r="E1011" s="50"/>
      <c r="H1011" s="12"/>
      <c r="K1011"/>
    </row>
    <row r="1012" spans="5:11" ht="13.5" customHeight="1" x14ac:dyDescent="0.2">
      <c r="E1012" s="50"/>
      <c r="H1012" s="12"/>
      <c r="K1012"/>
    </row>
    <row r="1013" spans="5:11" ht="13.5" customHeight="1" x14ac:dyDescent="0.2">
      <c r="E1013" s="50"/>
      <c r="H1013" s="12"/>
      <c r="K1013"/>
    </row>
    <row r="1014" spans="5:11" ht="13.5" customHeight="1" x14ac:dyDescent="0.2">
      <c r="E1014" s="50"/>
      <c r="H1014" s="12"/>
      <c r="K1014"/>
    </row>
    <row r="1015" spans="5:11" ht="13.5" customHeight="1" x14ac:dyDescent="0.2">
      <c r="E1015" s="50"/>
      <c r="H1015" s="12"/>
      <c r="K1015"/>
    </row>
    <row r="1016" spans="5:11" ht="13.5" customHeight="1" x14ac:dyDescent="0.2">
      <c r="E1016" s="50"/>
      <c r="H1016" s="12"/>
      <c r="K1016"/>
    </row>
    <row r="1017" spans="5:11" ht="13.5" customHeight="1" x14ac:dyDescent="0.2">
      <c r="E1017" s="50"/>
      <c r="H1017" s="12"/>
      <c r="K1017"/>
    </row>
    <row r="1018" spans="5:11" ht="13.5" customHeight="1" x14ac:dyDescent="0.2">
      <c r="E1018" s="50"/>
      <c r="H1018" s="12"/>
      <c r="K1018"/>
    </row>
    <row r="1019" spans="5:11" ht="13.5" customHeight="1" x14ac:dyDescent="0.2">
      <c r="E1019" s="50"/>
      <c r="H1019" s="12"/>
      <c r="K1019"/>
    </row>
    <row r="1020" spans="5:11" ht="13.5" customHeight="1" x14ac:dyDescent="0.2">
      <c r="E1020" s="50"/>
      <c r="H1020" s="12"/>
      <c r="K1020"/>
    </row>
    <row r="1021" spans="5:11" ht="13.5" customHeight="1" x14ac:dyDescent="0.2">
      <c r="E1021" s="50"/>
      <c r="H1021" s="12"/>
      <c r="K1021"/>
    </row>
    <row r="1022" spans="5:11" ht="13.5" customHeight="1" x14ac:dyDescent="0.2">
      <c r="E1022" s="50"/>
      <c r="H1022" s="12"/>
      <c r="K1022"/>
    </row>
    <row r="1023" spans="5:11" ht="13.5" customHeight="1" x14ac:dyDescent="0.2">
      <c r="E1023" s="50"/>
      <c r="H1023" s="12"/>
      <c r="K1023"/>
    </row>
    <row r="1024" spans="5:11" ht="13.5" customHeight="1" x14ac:dyDescent="0.2">
      <c r="E1024" s="50"/>
      <c r="H1024" s="12"/>
      <c r="K1024"/>
    </row>
    <row r="1025" spans="5:11" ht="13.5" customHeight="1" x14ac:dyDescent="0.2">
      <c r="E1025" s="50"/>
      <c r="H1025" s="12"/>
      <c r="K1025"/>
    </row>
    <row r="1026" spans="5:11" ht="13.5" customHeight="1" x14ac:dyDescent="0.2">
      <c r="E1026" s="50"/>
      <c r="H1026" s="12"/>
      <c r="K1026"/>
    </row>
    <row r="1027" spans="5:11" ht="13.5" customHeight="1" x14ac:dyDescent="0.2">
      <c r="E1027" s="50"/>
      <c r="H1027" s="12"/>
      <c r="K1027"/>
    </row>
    <row r="1028" spans="5:11" ht="13.5" customHeight="1" x14ac:dyDescent="0.2">
      <c r="E1028" s="50"/>
      <c r="H1028" s="12"/>
      <c r="K1028"/>
    </row>
    <row r="1029" spans="5:11" ht="13.5" customHeight="1" x14ac:dyDescent="0.2">
      <c r="E1029" s="50"/>
      <c r="H1029" s="12"/>
      <c r="K1029"/>
    </row>
    <row r="1030" spans="5:11" ht="13.5" customHeight="1" x14ac:dyDescent="0.2">
      <c r="E1030" s="50"/>
      <c r="H1030" s="12"/>
      <c r="K1030"/>
    </row>
    <row r="1031" spans="5:11" ht="12.75" customHeight="1" x14ac:dyDescent="0.2">
      <c r="E1031" s="50"/>
      <c r="H1031" s="12"/>
      <c r="K1031"/>
    </row>
    <row r="1032" spans="5:11" ht="12.75" customHeight="1" x14ac:dyDescent="0.2">
      <c r="E1032" s="50"/>
      <c r="H1032" s="12"/>
      <c r="K1032"/>
    </row>
    <row r="1033" spans="5:11" ht="12.75" customHeight="1" x14ac:dyDescent="0.2">
      <c r="E1033" s="50"/>
      <c r="H1033" s="12"/>
      <c r="K1033"/>
    </row>
    <row r="1034" spans="5:11" ht="12.75" customHeight="1" x14ac:dyDescent="0.2">
      <c r="E1034" s="50"/>
      <c r="H1034" s="12"/>
      <c r="K1034"/>
    </row>
    <row r="1035" spans="5:11" ht="12.75" customHeight="1" x14ac:dyDescent="0.2">
      <c r="E1035" s="50"/>
      <c r="H1035" s="12"/>
      <c r="K1035"/>
    </row>
    <row r="1036" spans="5:11" ht="12.75" customHeight="1" x14ac:dyDescent="0.2">
      <c r="E1036" s="50"/>
      <c r="H1036" s="12"/>
      <c r="K1036"/>
    </row>
    <row r="1037" spans="5:11" ht="12.75" customHeight="1" x14ac:dyDescent="0.2">
      <c r="E1037" s="50"/>
      <c r="H1037" s="12"/>
      <c r="K1037"/>
    </row>
    <row r="1038" spans="5:11" ht="12.75" customHeight="1" x14ac:dyDescent="0.2">
      <c r="E1038" s="50"/>
      <c r="H1038" s="12"/>
      <c r="K1038"/>
    </row>
    <row r="1039" spans="5:11" ht="12.75" customHeight="1" x14ac:dyDescent="0.2">
      <c r="E1039" s="50"/>
      <c r="H1039" s="12"/>
      <c r="K1039"/>
    </row>
    <row r="1040" spans="5:11" ht="12.75" customHeight="1" x14ac:dyDescent="0.2">
      <c r="E1040" s="50"/>
      <c r="H1040" s="12"/>
      <c r="K1040"/>
    </row>
    <row r="1041" spans="5:11" ht="12.75" customHeight="1" x14ac:dyDescent="0.2">
      <c r="E1041" s="50"/>
      <c r="H1041" s="12"/>
      <c r="K1041"/>
    </row>
    <row r="1042" spans="5:11" ht="12.75" customHeight="1" x14ac:dyDescent="0.2">
      <c r="E1042" s="50"/>
      <c r="H1042" s="12"/>
      <c r="K1042"/>
    </row>
    <row r="1043" spans="5:11" ht="12.75" customHeight="1" x14ac:dyDescent="0.2">
      <c r="E1043" s="50"/>
      <c r="H1043" s="12"/>
      <c r="K1043"/>
    </row>
    <row r="1044" spans="5:11" ht="12.75" customHeight="1" x14ac:dyDescent="0.2">
      <c r="E1044" s="50"/>
      <c r="H1044" s="12"/>
      <c r="K1044"/>
    </row>
    <row r="1045" spans="5:11" ht="12.75" customHeight="1" x14ac:dyDescent="0.2">
      <c r="E1045" s="50"/>
      <c r="H1045" s="12"/>
      <c r="K1045"/>
    </row>
    <row r="1046" spans="5:11" ht="12.75" customHeight="1" x14ac:dyDescent="0.2">
      <c r="E1046" s="50"/>
      <c r="H1046" s="12"/>
      <c r="K1046"/>
    </row>
    <row r="1047" spans="5:11" ht="12.75" customHeight="1" x14ac:dyDescent="0.2">
      <c r="E1047" s="50"/>
      <c r="H1047" s="12"/>
      <c r="K1047"/>
    </row>
    <row r="1048" spans="5:11" ht="12.75" customHeight="1" x14ac:dyDescent="0.2">
      <c r="E1048" s="50"/>
      <c r="H1048" s="12"/>
      <c r="K1048"/>
    </row>
    <row r="1049" spans="5:11" ht="12.75" customHeight="1" x14ac:dyDescent="0.2">
      <c r="E1049" s="50"/>
      <c r="H1049" s="12"/>
      <c r="K1049"/>
    </row>
    <row r="1050" spans="5:11" ht="12.75" customHeight="1" x14ac:dyDescent="0.2">
      <c r="E1050" s="50"/>
      <c r="H1050" s="12"/>
      <c r="K1050"/>
    </row>
    <row r="1051" spans="5:11" ht="12.75" customHeight="1" x14ac:dyDescent="0.2">
      <c r="E1051" s="50"/>
      <c r="H1051" s="12"/>
      <c r="K1051"/>
    </row>
    <row r="1052" spans="5:11" ht="12.75" customHeight="1" x14ac:dyDescent="0.2">
      <c r="E1052" s="50"/>
      <c r="H1052" s="12"/>
      <c r="K1052"/>
    </row>
    <row r="1053" spans="5:11" ht="12.75" customHeight="1" x14ac:dyDescent="0.2">
      <c r="E1053" s="50"/>
      <c r="H1053" s="12"/>
      <c r="K1053"/>
    </row>
    <row r="1054" spans="5:11" ht="12.75" customHeight="1" x14ac:dyDescent="0.2">
      <c r="E1054" s="50"/>
      <c r="H1054" s="12"/>
      <c r="K1054"/>
    </row>
    <row r="1055" spans="5:11" ht="12.75" customHeight="1" x14ac:dyDescent="0.2">
      <c r="E1055" s="50"/>
      <c r="H1055" s="12"/>
      <c r="K1055"/>
    </row>
    <row r="1056" spans="5:11" ht="12.75" customHeight="1" x14ac:dyDescent="0.2">
      <c r="E1056" s="50"/>
      <c r="H1056" s="12"/>
      <c r="K1056"/>
    </row>
    <row r="1057" spans="5:11" ht="12.75" customHeight="1" x14ac:dyDescent="0.2">
      <c r="E1057" s="50"/>
      <c r="H1057" s="12"/>
      <c r="K1057"/>
    </row>
    <row r="1058" spans="5:11" ht="12.75" customHeight="1" x14ac:dyDescent="0.2">
      <c r="E1058" s="50"/>
      <c r="H1058" s="12"/>
      <c r="K1058"/>
    </row>
    <row r="1059" spans="5:11" ht="12.75" customHeight="1" x14ac:dyDescent="0.2">
      <c r="E1059" s="50"/>
      <c r="H1059" s="12"/>
      <c r="K1059"/>
    </row>
    <row r="1060" spans="5:11" ht="12.75" customHeight="1" x14ac:dyDescent="0.2">
      <c r="E1060" s="50"/>
      <c r="H1060" s="12"/>
      <c r="K1060"/>
    </row>
    <row r="1061" spans="5:11" ht="12.75" customHeight="1" x14ac:dyDescent="0.2">
      <c r="E1061" s="50"/>
      <c r="H1061" s="12"/>
      <c r="K1061"/>
    </row>
    <row r="1062" spans="5:11" ht="12.75" customHeight="1" x14ac:dyDescent="0.2">
      <c r="E1062" s="50"/>
      <c r="H1062" s="12"/>
      <c r="K1062"/>
    </row>
    <row r="1063" spans="5:11" ht="12.75" customHeight="1" x14ac:dyDescent="0.2">
      <c r="E1063" s="50"/>
      <c r="H1063" s="12"/>
      <c r="K1063"/>
    </row>
    <row r="1064" spans="5:11" ht="12.75" customHeight="1" x14ac:dyDescent="0.2">
      <c r="E1064" s="50"/>
      <c r="H1064" s="12"/>
      <c r="K1064"/>
    </row>
    <row r="1065" spans="5:11" ht="12.75" customHeight="1" x14ac:dyDescent="0.2">
      <c r="E1065" s="50"/>
      <c r="H1065" s="12"/>
      <c r="K1065"/>
    </row>
    <row r="1066" spans="5:11" ht="12.75" customHeight="1" x14ac:dyDescent="0.2">
      <c r="E1066" s="50"/>
      <c r="H1066" s="12"/>
      <c r="K1066"/>
    </row>
    <row r="1067" spans="5:11" ht="12.75" customHeight="1" x14ac:dyDescent="0.2">
      <c r="E1067" s="50"/>
      <c r="H1067" s="12"/>
      <c r="K1067"/>
    </row>
    <row r="1068" spans="5:11" ht="12.75" customHeight="1" x14ac:dyDescent="0.2">
      <c r="E1068" s="50"/>
      <c r="H1068" s="12"/>
      <c r="K1068"/>
    </row>
    <row r="1069" spans="5:11" ht="12.75" customHeight="1" x14ac:dyDescent="0.2">
      <c r="E1069" s="50"/>
      <c r="H1069" s="12"/>
      <c r="K1069"/>
    </row>
    <row r="1070" spans="5:11" ht="12.75" customHeight="1" x14ac:dyDescent="0.2">
      <c r="E1070" s="50"/>
      <c r="H1070" s="12"/>
      <c r="K1070"/>
    </row>
    <row r="1071" spans="5:11" ht="12.75" customHeight="1" x14ac:dyDescent="0.2">
      <c r="E1071" s="50"/>
      <c r="H1071" s="12"/>
      <c r="K1071"/>
    </row>
    <row r="1072" spans="5:11" ht="12.75" customHeight="1" x14ac:dyDescent="0.2">
      <c r="E1072" s="50"/>
      <c r="H1072" s="12"/>
      <c r="K1072"/>
    </row>
    <row r="1073" spans="5:11" ht="12.75" customHeight="1" x14ac:dyDescent="0.2">
      <c r="E1073" s="50"/>
      <c r="H1073" s="12"/>
      <c r="K1073"/>
    </row>
    <row r="1074" spans="5:11" ht="12.75" customHeight="1" x14ac:dyDescent="0.2">
      <c r="E1074" s="50"/>
      <c r="H1074" s="12"/>
      <c r="K1074"/>
    </row>
    <row r="1075" spans="5:11" ht="12.75" customHeight="1" x14ac:dyDescent="0.2">
      <c r="E1075" s="50"/>
      <c r="H1075" s="12"/>
      <c r="K1075"/>
    </row>
    <row r="1076" spans="5:11" ht="12.75" customHeight="1" x14ac:dyDescent="0.2">
      <c r="E1076" s="50"/>
      <c r="H1076" s="12"/>
      <c r="K1076"/>
    </row>
    <row r="1077" spans="5:11" ht="12.75" customHeight="1" x14ac:dyDescent="0.2">
      <c r="E1077" s="50"/>
      <c r="H1077" s="12"/>
      <c r="K1077"/>
    </row>
    <row r="1078" spans="5:11" ht="12.75" customHeight="1" x14ac:dyDescent="0.2">
      <c r="E1078" s="50"/>
      <c r="H1078" s="12"/>
      <c r="K1078"/>
    </row>
    <row r="1079" spans="5:11" ht="12.75" customHeight="1" x14ac:dyDescent="0.2">
      <c r="E1079" s="50"/>
      <c r="H1079" s="12"/>
      <c r="K1079"/>
    </row>
    <row r="1080" spans="5:11" ht="12.75" customHeight="1" x14ac:dyDescent="0.2">
      <c r="E1080" s="50"/>
      <c r="H1080" s="12"/>
      <c r="K1080"/>
    </row>
    <row r="1081" spans="5:11" ht="12.75" customHeight="1" x14ac:dyDescent="0.2">
      <c r="E1081" s="50"/>
      <c r="H1081" s="12"/>
      <c r="K1081"/>
    </row>
    <row r="1082" spans="5:11" ht="12.75" customHeight="1" x14ac:dyDescent="0.2">
      <c r="E1082" s="50"/>
      <c r="H1082" s="12"/>
      <c r="K1082"/>
    </row>
    <row r="1083" spans="5:11" ht="12.75" customHeight="1" x14ac:dyDescent="0.2">
      <c r="E1083" s="50"/>
      <c r="H1083" s="12"/>
      <c r="K1083"/>
    </row>
    <row r="1084" spans="5:11" ht="12.75" customHeight="1" x14ac:dyDescent="0.2">
      <c r="E1084" s="50"/>
      <c r="H1084" s="12"/>
      <c r="K1084"/>
    </row>
    <row r="1085" spans="5:11" ht="12.75" customHeight="1" x14ac:dyDescent="0.2">
      <c r="E1085" s="50"/>
      <c r="H1085" s="12"/>
      <c r="K1085"/>
    </row>
    <row r="1086" spans="5:11" ht="12.75" customHeight="1" x14ac:dyDescent="0.2">
      <c r="E1086" s="50"/>
      <c r="H1086" s="12"/>
      <c r="K1086"/>
    </row>
    <row r="1087" spans="5:11" ht="12.75" customHeight="1" x14ac:dyDescent="0.2">
      <c r="E1087" s="50"/>
      <c r="H1087" s="12"/>
      <c r="K1087"/>
    </row>
    <row r="1088" spans="5:11" ht="12.75" customHeight="1" x14ac:dyDescent="0.2">
      <c r="E1088" s="50"/>
      <c r="H1088" s="12"/>
      <c r="K1088"/>
    </row>
    <row r="1089" spans="5:11" ht="12.75" customHeight="1" x14ac:dyDescent="0.2">
      <c r="E1089" s="50"/>
      <c r="H1089" s="12"/>
      <c r="K1089"/>
    </row>
    <row r="1090" spans="5:11" ht="12.75" customHeight="1" x14ac:dyDescent="0.2">
      <c r="E1090" s="50"/>
      <c r="H1090" s="12"/>
      <c r="K1090"/>
    </row>
    <row r="1091" spans="5:11" ht="12.75" customHeight="1" x14ac:dyDescent="0.2">
      <c r="E1091" s="50"/>
      <c r="H1091" s="12"/>
      <c r="K1091"/>
    </row>
    <row r="1092" spans="5:11" ht="12.75" customHeight="1" x14ac:dyDescent="0.2">
      <c r="E1092" s="50"/>
      <c r="H1092" s="12"/>
      <c r="K1092"/>
    </row>
    <row r="1093" spans="5:11" ht="12.75" customHeight="1" x14ac:dyDescent="0.2">
      <c r="E1093" s="50"/>
      <c r="H1093" s="12"/>
      <c r="K1093"/>
    </row>
    <row r="1094" spans="5:11" ht="12.75" customHeight="1" x14ac:dyDescent="0.2">
      <c r="E1094" s="50"/>
      <c r="H1094" s="12"/>
      <c r="K1094"/>
    </row>
    <row r="1095" spans="5:11" ht="12.75" customHeight="1" x14ac:dyDescent="0.2">
      <c r="E1095" s="50"/>
      <c r="H1095" s="12"/>
      <c r="K1095"/>
    </row>
    <row r="1096" spans="5:11" ht="12.75" customHeight="1" x14ac:dyDescent="0.2">
      <c r="E1096" s="50"/>
      <c r="H1096" s="12"/>
      <c r="K1096"/>
    </row>
    <row r="1097" spans="5:11" ht="12.75" customHeight="1" x14ac:dyDescent="0.2">
      <c r="E1097" s="50"/>
      <c r="H1097" s="12"/>
      <c r="K1097"/>
    </row>
    <row r="1098" spans="5:11" ht="12.75" customHeight="1" x14ac:dyDescent="0.2">
      <c r="E1098" s="50"/>
      <c r="H1098" s="12"/>
      <c r="K1098"/>
    </row>
    <row r="1099" spans="5:11" ht="12.75" customHeight="1" x14ac:dyDescent="0.2">
      <c r="E1099" s="50"/>
      <c r="H1099" s="12"/>
      <c r="K1099"/>
    </row>
    <row r="1100" spans="5:11" ht="12.75" customHeight="1" x14ac:dyDescent="0.2">
      <c r="E1100" s="50"/>
      <c r="H1100" s="12"/>
      <c r="K1100"/>
    </row>
    <row r="1101" spans="5:11" ht="12.75" customHeight="1" x14ac:dyDescent="0.2">
      <c r="E1101" s="50"/>
      <c r="H1101" s="12"/>
      <c r="K1101"/>
    </row>
    <row r="1102" spans="5:11" ht="12.75" customHeight="1" x14ac:dyDescent="0.2">
      <c r="E1102" s="50"/>
      <c r="H1102" s="12"/>
      <c r="K1102"/>
    </row>
    <row r="1103" spans="5:11" ht="12.75" customHeight="1" x14ac:dyDescent="0.2">
      <c r="E1103" s="50"/>
      <c r="H1103" s="12"/>
      <c r="K1103"/>
    </row>
    <row r="1104" spans="5:11" ht="12.75" customHeight="1" x14ac:dyDescent="0.2">
      <c r="E1104" s="50"/>
      <c r="H1104" s="12"/>
      <c r="K1104"/>
    </row>
    <row r="1105" spans="5:11" ht="12.75" customHeight="1" x14ac:dyDescent="0.2">
      <c r="E1105" s="50"/>
      <c r="H1105" s="12"/>
      <c r="K1105"/>
    </row>
    <row r="1106" spans="5:11" ht="12.75" customHeight="1" x14ac:dyDescent="0.2">
      <c r="E1106" s="50"/>
      <c r="H1106" s="12"/>
      <c r="K1106"/>
    </row>
    <row r="1107" spans="5:11" ht="12.75" customHeight="1" x14ac:dyDescent="0.2">
      <c r="E1107" s="50"/>
      <c r="H1107" s="12"/>
      <c r="K1107"/>
    </row>
    <row r="1108" spans="5:11" ht="12.75" customHeight="1" x14ac:dyDescent="0.2">
      <c r="E1108" s="50"/>
      <c r="H1108" s="12"/>
      <c r="K1108"/>
    </row>
    <row r="1109" spans="5:11" ht="12.75" customHeight="1" x14ac:dyDescent="0.2">
      <c r="E1109" s="50"/>
      <c r="H1109" s="12"/>
      <c r="K1109"/>
    </row>
    <row r="1110" spans="5:11" ht="12.75" customHeight="1" x14ac:dyDescent="0.2">
      <c r="E1110" s="50"/>
      <c r="H1110" s="12"/>
      <c r="K1110"/>
    </row>
    <row r="1111" spans="5:11" ht="12.75" customHeight="1" x14ac:dyDescent="0.2">
      <c r="E1111" s="50"/>
      <c r="H1111" s="12"/>
      <c r="K1111"/>
    </row>
    <row r="1112" spans="5:11" ht="12.75" customHeight="1" x14ac:dyDescent="0.2">
      <c r="E1112" s="50"/>
      <c r="H1112" s="12"/>
      <c r="K1112"/>
    </row>
    <row r="1113" spans="5:11" ht="12.75" customHeight="1" x14ac:dyDescent="0.2">
      <c r="E1113" s="50"/>
      <c r="H1113" s="12"/>
      <c r="K1113"/>
    </row>
    <row r="1114" spans="5:11" ht="12.75" customHeight="1" x14ac:dyDescent="0.2">
      <c r="E1114" s="50"/>
      <c r="H1114" s="12"/>
      <c r="K1114"/>
    </row>
    <row r="1115" spans="5:11" ht="12.75" customHeight="1" x14ac:dyDescent="0.2">
      <c r="E1115" s="50"/>
      <c r="H1115" s="12"/>
      <c r="K1115"/>
    </row>
    <row r="1116" spans="5:11" ht="12.75" customHeight="1" x14ac:dyDescent="0.2">
      <c r="E1116" s="50"/>
      <c r="H1116" s="12"/>
      <c r="K1116"/>
    </row>
    <row r="1117" spans="5:11" ht="12.75" customHeight="1" x14ac:dyDescent="0.2">
      <c r="E1117" s="50"/>
      <c r="H1117" s="12"/>
      <c r="K1117"/>
    </row>
    <row r="1118" spans="5:11" ht="12.75" customHeight="1" x14ac:dyDescent="0.2">
      <c r="E1118" s="50"/>
      <c r="H1118" s="12"/>
      <c r="K1118"/>
    </row>
    <row r="1119" spans="5:11" ht="12.75" customHeight="1" x14ac:dyDescent="0.2">
      <c r="E1119" s="50"/>
      <c r="H1119" s="12"/>
      <c r="K1119"/>
    </row>
    <row r="1120" spans="5:11" ht="12.75" customHeight="1" x14ac:dyDescent="0.2">
      <c r="E1120" s="50"/>
      <c r="H1120" s="12"/>
      <c r="K1120"/>
    </row>
    <row r="1121" spans="5:11" ht="12.75" customHeight="1" x14ac:dyDescent="0.2">
      <c r="E1121" s="50"/>
      <c r="H1121" s="12"/>
      <c r="K1121"/>
    </row>
    <row r="1122" spans="5:11" ht="12.75" customHeight="1" x14ac:dyDescent="0.2">
      <c r="E1122" s="50"/>
      <c r="H1122" s="12"/>
      <c r="K1122"/>
    </row>
    <row r="1123" spans="5:11" ht="12.75" customHeight="1" x14ac:dyDescent="0.2">
      <c r="E1123" s="50"/>
      <c r="H1123" s="12"/>
      <c r="K1123"/>
    </row>
    <row r="1124" spans="5:11" ht="12.75" customHeight="1" x14ac:dyDescent="0.2">
      <c r="E1124" s="50"/>
      <c r="H1124" s="12"/>
      <c r="K1124"/>
    </row>
    <row r="1125" spans="5:11" ht="12.75" customHeight="1" x14ac:dyDescent="0.2">
      <c r="E1125" s="50"/>
      <c r="H1125" s="12"/>
      <c r="K1125"/>
    </row>
    <row r="1126" spans="5:11" ht="12.75" customHeight="1" x14ac:dyDescent="0.2">
      <c r="E1126" s="50"/>
      <c r="H1126" s="12"/>
      <c r="K1126"/>
    </row>
    <row r="1127" spans="5:11" ht="12.75" customHeight="1" x14ac:dyDescent="0.2">
      <c r="E1127" s="50"/>
      <c r="H1127" s="12"/>
      <c r="K1127"/>
    </row>
    <row r="1128" spans="5:11" ht="12.75" customHeight="1" x14ac:dyDescent="0.2">
      <c r="E1128" s="50"/>
      <c r="H1128" s="12"/>
      <c r="K1128"/>
    </row>
    <row r="1129" spans="5:11" ht="12.75" customHeight="1" x14ac:dyDescent="0.2">
      <c r="E1129" s="50"/>
      <c r="H1129" s="12"/>
      <c r="K1129"/>
    </row>
    <row r="1130" spans="5:11" ht="12.75" customHeight="1" x14ac:dyDescent="0.2">
      <c r="E1130" s="50"/>
      <c r="H1130" s="12"/>
      <c r="K1130"/>
    </row>
    <row r="1131" spans="5:11" ht="12.75" customHeight="1" x14ac:dyDescent="0.2">
      <c r="E1131" s="50"/>
      <c r="H1131" s="12"/>
      <c r="K1131"/>
    </row>
    <row r="1132" spans="5:11" ht="12.75" customHeight="1" x14ac:dyDescent="0.2">
      <c r="E1132" s="50"/>
      <c r="H1132" s="12"/>
      <c r="K1132"/>
    </row>
    <row r="1133" spans="5:11" ht="12.75" customHeight="1" x14ac:dyDescent="0.2">
      <c r="E1133" s="50"/>
      <c r="H1133" s="12"/>
      <c r="K1133"/>
    </row>
    <row r="1134" spans="5:11" ht="12.75" customHeight="1" x14ac:dyDescent="0.2">
      <c r="E1134" s="50"/>
      <c r="H1134" s="12"/>
      <c r="K1134"/>
    </row>
    <row r="1135" spans="5:11" ht="12.75" customHeight="1" x14ac:dyDescent="0.2">
      <c r="E1135" s="50"/>
      <c r="H1135" s="12"/>
      <c r="K1135"/>
    </row>
    <row r="1136" spans="5:11" ht="12.75" customHeight="1" x14ac:dyDescent="0.2">
      <c r="E1136" s="50"/>
      <c r="H1136" s="12"/>
      <c r="K1136"/>
    </row>
    <row r="1137" spans="5:11" ht="12.75" customHeight="1" x14ac:dyDescent="0.2">
      <c r="E1137" s="50"/>
      <c r="H1137" s="12"/>
      <c r="K1137"/>
    </row>
    <row r="1138" spans="5:11" ht="12.75" customHeight="1" x14ac:dyDescent="0.2">
      <c r="E1138" s="50"/>
      <c r="H1138" s="12"/>
      <c r="K1138"/>
    </row>
    <row r="1139" spans="5:11" ht="12.75" customHeight="1" x14ac:dyDescent="0.2">
      <c r="E1139" s="50"/>
      <c r="H1139" s="12"/>
      <c r="K1139"/>
    </row>
    <row r="1140" spans="5:11" ht="12.75" customHeight="1" x14ac:dyDescent="0.2">
      <c r="E1140" s="50"/>
      <c r="H1140" s="12"/>
      <c r="K1140"/>
    </row>
    <row r="1141" spans="5:11" ht="12.75" customHeight="1" x14ac:dyDescent="0.2">
      <c r="E1141" s="50"/>
      <c r="H1141" s="12"/>
      <c r="K1141"/>
    </row>
    <row r="1142" spans="5:11" ht="12.75" customHeight="1" x14ac:dyDescent="0.2">
      <c r="E1142" s="50"/>
      <c r="H1142" s="12"/>
      <c r="K1142"/>
    </row>
    <row r="1143" spans="5:11" ht="12.75" customHeight="1" x14ac:dyDescent="0.2">
      <c r="E1143" s="50"/>
      <c r="H1143" s="12"/>
      <c r="K1143"/>
    </row>
    <row r="1144" spans="5:11" ht="12.75" customHeight="1" x14ac:dyDescent="0.2">
      <c r="E1144" s="50"/>
      <c r="H1144" s="12"/>
      <c r="K1144"/>
    </row>
    <row r="1145" spans="5:11" ht="12.75" customHeight="1" x14ac:dyDescent="0.2">
      <c r="E1145" s="50"/>
      <c r="H1145" s="12"/>
      <c r="K1145"/>
    </row>
    <row r="1146" spans="5:11" ht="12.75" customHeight="1" x14ac:dyDescent="0.2">
      <c r="E1146" s="50"/>
      <c r="H1146" s="12"/>
      <c r="K1146"/>
    </row>
    <row r="1147" spans="5:11" ht="12.75" customHeight="1" x14ac:dyDescent="0.2">
      <c r="E1147" s="50"/>
      <c r="H1147" s="12"/>
      <c r="K1147"/>
    </row>
    <row r="1148" spans="5:11" ht="12.75" customHeight="1" x14ac:dyDescent="0.2">
      <c r="E1148" s="50"/>
      <c r="H1148" s="12"/>
      <c r="K1148"/>
    </row>
    <row r="1149" spans="5:11" ht="12.75" customHeight="1" x14ac:dyDescent="0.2">
      <c r="E1149" s="50"/>
      <c r="H1149" s="12"/>
      <c r="K1149"/>
    </row>
    <row r="1150" spans="5:11" ht="12.75" customHeight="1" x14ac:dyDescent="0.2">
      <c r="E1150" s="50"/>
      <c r="H1150" s="12"/>
      <c r="K1150"/>
    </row>
    <row r="1151" spans="5:11" ht="12.75" customHeight="1" x14ac:dyDescent="0.2">
      <c r="E1151" s="50"/>
      <c r="H1151" s="12"/>
      <c r="K1151"/>
    </row>
    <row r="1152" spans="5:11" ht="12.75" customHeight="1" x14ac:dyDescent="0.2">
      <c r="E1152" s="50"/>
      <c r="H1152" s="12"/>
      <c r="K1152"/>
    </row>
    <row r="1153" spans="5:11" ht="12.75" customHeight="1" x14ac:dyDescent="0.2">
      <c r="E1153" s="50"/>
      <c r="H1153" s="12"/>
      <c r="K1153"/>
    </row>
    <row r="1154" spans="5:11" ht="12.75" customHeight="1" x14ac:dyDescent="0.2">
      <c r="E1154" s="50"/>
      <c r="H1154" s="12"/>
      <c r="K1154"/>
    </row>
    <row r="1155" spans="5:11" ht="12.75" customHeight="1" x14ac:dyDescent="0.2">
      <c r="E1155" s="50"/>
      <c r="H1155" s="12"/>
      <c r="K1155"/>
    </row>
    <row r="1156" spans="5:11" ht="12.75" customHeight="1" x14ac:dyDescent="0.2">
      <c r="E1156" s="50"/>
      <c r="H1156" s="12"/>
      <c r="K1156"/>
    </row>
    <row r="1157" spans="5:11" ht="12.75" customHeight="1" x14ac:dyDescent="0.2">
      <c r="E1157" s="50"/>
      <c r="H1157" s="12"/>
      <c r="K1157"/>
    </row>
    <row r="1158" spans="5:11" ht="12.75" customHeight="1" x14ac:dyDescent="0.2">
      <c r="E1158" s="50"/>
      <c r="H1158" s="12"/>
      <c r="K1158"/>
    </row>
    <row r="1159" spans="5:11" ht="12.75" customHeight="1" x14ac:dyDescent="0.2">
      <c r="E1159" s="50"/>
      <c r="H1159" s="12"/>
      <c r="K1159"/>
    </row>
    <row r="1160" spans="5:11" ht="12.75" customHeight="1" x14ac:dyDescent="0.2">
      <c r="E1160" s="50"/>
      <c r="H1160" s="12"/>
      <c r="K1160"/>
    </row>
    <row r="1161" spans="5:11" ht="12.75" customHeight="1" x14ac:dyDescent="0.2">
      <c r="E1161" s="50"/>
      <c r="H1161" s="12"/>
      <c r="K1161"/>
    </row>
    <row r="1162" spans="5:11" ht="12.75" customHeight="1" x14ac:dyDescent="0.2">
      <c r="E1162" s="50"/>
      <c r="H1162" s="12"/>
      <c r="K1162"/>
    </row>
    <row r="1163" spans="5:11" ht="12.75" customHeight="1" x14ac:dyDescent="0.2">
      <c r="E1163" s="50"/>
      <c r="H1163" s="12"/>
      <c r="K1163"/>
    </row>
    <row r="1164" spans="5:11" ht="12.75" customHeight="1" x14ac:dyDescent="0.2">
      <c r="E1164" s="50"/>
      <c r="H1164" s="12"/>
      <c r="K1164"/>
    </row>
    <row r="1165" spans="5:11" ht="12.75" customHeight="1" x14ac:dyDescent="0.2">
      <c r="E1165" s="50"/>
      <c r="H1165" s="12"/>
      <c r="K1165"/>
    </row>
    <row r="1166" spans="5:11" ht="12.75" customHeight="1" x14ac:dyDescent="0.2">
      <c r="E1166" s="50"/>
      <c r="H1166" s="12"/>
      <c r="K1166"/>
    </row>
    <row r="1167" spans="5:11" ht="12.75" customHeight="1" x14ac:dyDescent="0.2">
      <c r="E1167" s="50"/>
      <c r="H1167" s="12"/>
      <c r="K1167"/>
    </row>
    <row r="1168" spans="5:11" ht="12.75" customHeight="1" x14ac:dyDescent="0.2">
      <c r="E1168" s="50"/>
      <c r="H1168" s="12"/>
      <c r="K1168"/>
    </row>
    <row r="1169" spans="5:11" ht="12.75" customHeight="1" x14ac:dyDescent="0.2">
      <c r="E1169" s="50"/>
      <c r="H1169" s="12"/>
      <c r="K1169"/>
    </row>
    <row r="1170" spans="5:11" ht="12.75" customHeight="1" x14ac:dyDescent="0.2">
      <c r="E1170" s="50"/>
      <c r="H1170" s="12"/>
      <c r="K1170"/>
    </row>
    <row r="1171" spans="5:11" ht="12.75" customHeight="1" x14ac:dyDescent="0.2">
      <c r="E1171" s="50"/>
      <c r="H1171" s="12"/>
      <c r="K1171"/>
    </row>
    <row r="1172" spans="5:11" ht="12.75" customHeight="1" x14ac:dyDescent="0.2">
      <c r="E1172" s="50"/>
      <c r="H1172" s="12"/>
      <c r="K1172"/>
    </row>
    <row r="1173" spans="5:11" ht="12.75" customHeight="1" x14ac:dyDescent="0.2">
      <c r="E1173" s="50"/>
      <c r="H1173" s="12"/>
      <c r="K1173"/>
    </row>
    <row r="1174" spans="5:11" ht="12.75" customHeight="1" x14ac:dyDescent="0.2">
      <c r="E1174" s="50"/>
      <c r="H1174" s="12"/>
      <c r="K1174"/>
    </row>
    <row r="1175" spans="5:11" ht="12.75" customHeight="1" x14ac:dyDescent="0.2">
      <c r="E1175" s="50"/>
      <c r="H1175" s="12"/>
      <c r="K1175"/>
    </row>
    <row r="1176" spans="5:11" ht="12.75" customHeight="1" x14ac:dyDescent="0.2">
      <c r="E1176" s="50"/>
      <c r="H1176" s="12"/>
      <c r="K1176"/>
    </row>
    <row r="1177" spans="5:11" ht="12.75" customHeight="1" x14ac:dyDescent="0.2">
      <c r="E1177" s="50"/>
      <c r="H1177" s="12"/>
      <c r="K1177"/>
    </row>
    <row r="1178" spans="5:11" ht="12.75" customHeight="1" x14ac:dyDescent="0.2">
      <c r="E1178" s="50"/>
      <c r="H1178" s="12"/>
      <c r="K1178"/>
    </row>
    <row r="1179" spans="5:11" ht="12.75" customHeight="1" x14ac:dyDescent="0.2">
      <c r="E1179" s="50"/>
      <c r="H1179" s="12"/>
      <c r="K1179"/>
    </row>
    <row r="1180" spans="5:11" ht="12.75" customHeight="1" x14ac:dyDescent="0.2">
      <c r="E1180" s="50"/>
      <c r="H1180" s="12"/>
      <c r="K1180"/>
    </row>
    <row r="1181" spans="5:11" ht="12.75" customHeight="1" x14ac:dyDescent="0.2">
      <c r="E1181" s="50"/>
      <c r="H1181" s="12"/>
      <c r="K1181"/>
    </row>
    <row r="1182" spans="5:11" ht="12.75" customHeight="1" x14ac:dyDescent="0.2">
      <c r="E1182" s="50"/>
      <c r="H1182" s="12"/>
      <c r="K1182"/>
    </row>
    <row r="1183" spans="5:11" ht="12.75" customHeight="1" x14ac:dyDescent="0.2">
      <c r="E1183" s="50"/>
      <c r="H1183" s="12"/>
      <c r="K1183"/>
    </row>
    <row r="1184" spans="5:11" ht="12.75" customHeight="1" x14ac:dyDescent="0.2">
      <c r="E1184" s="50"/>
      <c r="H1184" s="12"/>
      <c r="K1184"/>
    </row>
    <row r="1185" spans="5:11" ht="12.75" customHeight="1" x14ac:dyDescent="0.2">
      <c r="E1185" s="50"/>
      <c r="H1185" s="12"/>
      <c r="K1185"/>
    </row>
    <row r="1186" spans="5:11" ht="12.75" customHeight="1" x14ac:dyDescent="0.2">
      <c r="E1186" s="50"/>
      <c r="H1186" s="12"/>
      <c r="K1186"/>
    </row>
    <row r="1187" spans="5:11" ht="12.75" customHeight="1" x14ac:dyDescent="0.2">
      <c r="E1187" s="50"/>
      <c r="H1187" s="12"/>
      <c r="K1187"/>
    </row>
    <row r="1188" spans="5:11" ht="12.75" customHeight="1" x14ac:dyDescent="0.2">
      <c r="E1188" s="50"/>
      <c r="H1188" s="12"/>
      <c r="K1188"/>
    </row>
    <row r="1189" spans="5:11" ht="12.75" customHeight="1" x14ac:dyDescent="0.2">
      <c r="E1189" s="50"/>
      <c r="H1189" s="12"/>
      <c r="K1189"/>
    </row>
    <row r="1190" spans="5:11" ht="12.75" customHeight="1" x14ac:dyDescent="0.2">
      <c r="E1190" s="50"/>
      <c r="H1190" s="12"/>
      <c r="K1190"/>
    </row>
    <row r="1191" spans="5:11" ht="12.75" customHeight="1" x14ac:dyDescent="0.2">
      <c r="E1191" s="50"/>
      <c r="H1191" s="12"/>
      <c r="K1191"/>
    </row>
    <row r="1192" spans="5:11" ht="12.75" customHeight="1" x14ac:dyDescent="0.2">
      <c r="E1192" s="50"/>
      <c r="H1192" s="12"/>
      <c r="K1192"/>
    </row>
    <row r="1193" spans="5:11" ht="12.75" customHeight="1" x14ac:dyDescent="0.2">
      <c r="E1193" s="50"/>
      <c r="H1193" s="12"/>
      <c r="K1193"/>
    </row>
    <row r="1194" spans="5:11" ht="12.75" customHeight="1" x14ac:dyDescent="0.2">
      <c r="E1194" s="50"/>
      <c r="H1194" s="12"/>
      <c r="K1194"/>
    </row>
    <row r="1195" spans="5:11" ht="12.75" customHeight="1" x14ac:dyDescent="0.2">
      <c r="E1195" s="50"/>
      <c r="H1195" s="12"/>
      <c r="K1195"/>
    </row>
    <row r="1196" spans="5:11" ht="12.75" customHeight="1" x14ac:dyDescent="0.2">
      <c r="E1196" s="50"/>
      <c r="H1196" s="12"/>
      <c r="K1196"/>
    </row>
    <row r="1197" spans="5:11" ht="12.75" customHeight="1" x14ac:dyDescent="0.2">
      <c r="E1197" s="50"/>
      <c r="H1197" s="12"/>
      <c r="K1197"/>
    </row>
    <row r="1198" spans="5:11" ht="12.75" customHeight="1" x14ac:dyDescent="0.2">
      <c r="E1198" s="50"/>
      <c r="H1198" s="12"/>
      <c r="K1198"/>
    </row>
    <row r="1199" spans="5:11" ht="12.75" customHeight="1" x14ac:dyDescent="0.2">
      <c r="E1199" s="50"/>
      <c r="H1199" s="12"/>
      <c r="K1199"/>
    </row>
    <row r="1200" spans="5:11" ht="12.75" customHeight="1" x14ac:dyDescent="0.2">
      <c r="E1200" s="50"/>
      <c r="H1200" s="12"/>
      <c r="K1200"/>
    </row>
    <row r="1201" spans="5:11" ht="12.75" customHeight="1" x14ac:dyDescent="0.2">
      <c r="E1201" s="50"/>
      <c r="H1201" s="12"/>
      <c r="K1201"/>
    </row>
    <row r="1202" spans="5:11" ht="12.75" customHeight="1" x14ac:dyDescent="0.2">
      <c r="E1202" s="50"/>
      <c r="H1202" s="12"/>
      <c r="K1202"/>
    </row>
    <row r="1203" spans="5:11" ht="12.75" customHeight="1" x14ac:dyDescent="0.2">
      <c r="E1203" s="50"/>
      <c r="H1203" s="12"/>
      <c r="K1203"/>
    </row>
    <row r="1204" spans="5:11" ht="12.75" customHeight="1" x14ac:dyDescent="0.2">
      <c r="E1204" s="50"/>
      <c r="H1204" s="12"/>
      <c r="K1204"/>
    </row>
    <row r="1205" spans="5:11" ht="12.75" customHeight="1" x14ac:dyDescent="0.2">
      <c r="E1205" s="50"/>
      <c r="H1205" s="12"/>
      <c r="K1205"/>
    </row>
    <row r="1206" spans="5:11" ht="12.75" customHeight="1" x14ac:dyDescent="0.2">
      <c r="E1206" s="50"/>
      <c r="H1206" s="12"/>
      <c r="K1206"/>
    </row>
    <row r="1207" spans="5:11" ht="12.75" customHeight="1" x14ac:dyDescent="0.2">
      <c r="E1207" s="50"/>
      <c r="H1207" s="12"/>
      <c r="K1207"/>
    </row>
    <row r="1208" spans="5:11" ht="12.75" customHeight="1" x14ac:dyDescent="0.2">
      <c r="E1208" s="50"/>
      <c r="H1208" s="12"/>
      <c r="K1208"/>
    </row>
    <row r="1209" spans="5:11" ht="12.75" customHeight="1" x14ac:dyDescent="0.2">
      <c r="E1209" s="50"/>
      <c r="H1209" s="12"/>
      <c r="K1209"/>
    </row>
    <row r="1210" spans="5:11" ht="12.75" customHeight="1" x14ac:dyDescent="0.2">
      <c r="E1210" s="50"/>
      <c r="H1210" s="12"/>
      <c r="K1210"/>
    </row>
    <row r="1211" spans="5:11" ht="12.75" customHeight="1" x14ac:dyDescent="0.2">
      <c r="E1211" s="50"/>
      <c r="H1211" s="12"/>
      <c r="K1211"/>
    </row>
    <row r="1212" spans="5:11" ht="12.75" customHeight="1" x14ac:dyDescent="0.2">
      <c r="E1212" s="50"/>
      <c r="H1212" s="12"/>
      <c r="K1212"/>
    </row>
    <row r="1213" spans="5:11" ht="12.75" customHeight="1" x14ac:dyDescent="0.2">
      <c r="E1213" s="50"/>
      <c r="H1213" s="12"/>
      <c r="K1213"/>
    </row>
    <row r="1214" spans="5:11" ht="12.75" customHeight="1" x14ac:dyDescent="0.2">
      <c r="E1214" s="50"/>
      <c r="H1214" s="12"/>
      <c r="K1214"/>
    </row>
    <row r="1215" spans="5:11" ht="12.75" customHeight="1" x14ac:dyDescent="0.2">
      <c r="E1215" s="50"/>
      <c r="H1215" s="12"/>
      <c r="K1215"/>
    </row>
    <row r="1216" spans="5:11" ht="12.75" customHeight="1" x14ac:dyDescent="0.2">
      <c r="E1216" s="50"/>
      <c r="H1216" s="12"/>
      <c r="K1216"/>
    </row>
    <row r="1217" spans="5:11" ht="12.75" customHeight="1" x14ac:dyDescent="0.2">
      <c r="E1217" s="50"/>
      <c r="H1217" s="12"/>
      <c r="K1217"/>
    </row>
    <row r="1218" spans="5:11" ht="12.75" customHeight="1" x14ac:dyDescent="0.2">
      <c r="E1218" s="50"/>
      <c r="H1218" s="12"/>
      <c r="K1218"/>
    </row>
    <row r="1219" spans="5:11" ht="12.75" customHeight="1" x14ac:dyDescent="0.2">
      <c r="E1219" s="50"/>
      <c r="H1219" s="12"/>
      <c r="K1219"/>
    </row>
    <row r="1220" spans="5:11" ht="12.75" customHeight="1" x14ac:dyDescent="0.2">
      <c r="E1220" s="50"/>
      <c r="H1220" s="12"/>
      <c r="K1220"/>
    </row>
    <row r="1221" spans="5:11" ht="12.75" customHeight="1" x14ac:dyDescent="0.2">
      <c r="E1221" s="50"/>
      <c r="H1221" s="12"/>
      <c r="K1221"/>
    </row>
    <row r="1222" spans="5:11" ht="12.75" customHeight="1" x14ac:dyDescent="0.2">
      <c r="E1222" s="50"/>
      <c r="H1222" s="12"/>
      <c r="K1222"/>
    </row>
    <row r="1223" spans="5:11" ht="12.75" customHeight="1" x14ac:dyDescent="0.2">
      <c r="E1223" s="50"/>
      <c r="H1223" s="12"/>
      <c r="K1223"/>
    </row>
    <row r="1224" spans="5:11" ht="12.75" customHeight="1" x14ac:dyDescent="0.2">
      <c r="E1224" s="50"/>
      <c r="H1224" s="12"/>
      <c r="K1224"/>
    </row>
    <row r="1225" spans="5:11" ht="12.75" customHeight="1" x14ac:dyDescent="0.2">
      <c r="E1225" s="50"/>
      <c r="H1225" s="12"/>
      <c r="K1225"/>
    </row>
    <row r="1226" spans="5:11" ht="12.75" customHeight="1" x14ac:dyDescent="0.2">
      <c r="E1226" s="50"/>
      <c r="H1226" s="12"/>
      <c r="K1226"/>
    </row>
    <row r="1227" spans="5:11" ht="12.75" customHeight="1" x14ac:dyDescent="0.2">
      <c r="E1227" s="50"/>
      <c r="H1227" s="12"/>
      <c r="K1227"/>
    </row>
    <row r="1228" spans="5:11" ht="12.75" customHeight="1" x14ac:dyDescent="0.2">
      <c r="E1228" s="50"/>
      <c r="H1228" s="12"/>
      <c r="K1228"/>
    </row>
    <row r="1229" spans="5:11" ht="12.75" customHeight="1" x14ac:dyDescent="0.2">
      <c r="E1229" s="50"/>
      <c r="H1229" s="12"/>
      <c r="K1229"/>
    </row>
    <row r="1230" spans="5:11" ht="12.75" customHeight="1" x14ac:dyDescent="0.2">
      <c r="E1230" s="50"/>
      <c r="H1230" s="12"/>
      <c r="K1230"/>
    </row>
    <row r="1231" spans="5:11" ht="12.75" customHeight="1" x14ac:dyDescent="0.2">
      <c r="E1231" s="50"/>
      <c r="H1231" s="12"/>
      <c r="K1231"/>
    </row>
    <row r="1232" spans="5:11" ht="12.75" customHeight="1" x14ac:dyDescent="0.2">
      <c r="E1232" s="50"/>
      <c r="H1232" s="12"/>
      <c r="K1232"/>
    </row>
    <row r="1233" spans="5:11" ht="12.75" customHeight="1" x14ac:dyDescent="0.2">
      <c r="E1233" s="50"/>
      <c r="H1233" s="12"/>
      <c r="K1233"/>
    </row>
    <row r="1234" spans="5:11" ht="12.75" customHeight="1" x14ac:dyDescent="0.2">
      <c r="E1234" s="50"/>
      <c r="H1234" s="12"/>
      <c r="K1234"/>
    </row>
    <row r="1235" spans="5:11" ht="12.75" customHeight="1" x14ac:dyDescent="0.2">
      <c r="E1235" s="50"/>
      <c r="H1235" s="12"/>
      <c r="K1235"/>
    </row>
    <row r="1236" spans="5:11" ht="12.75" customHeight="1" x14ac:dyDescent="0.2">
      <c r="E1236" s="50"/>
      <c r="H1236" s="12"/>
      <c r="K1236"/>
    </row>
    <row r="1237" spans="5:11" ht="12.75" customHeight="1" x14ac:dyDescent="0.2">
      <c r="E1237" s="50"/>
      <c r="H1237" s="12"/>
      <c r="K1237"/>
    </row>
    <row r="1238" spans="5:11" ht="12.75" customHeight="1" x14ac:dyDescent="0.2">
      <c r="E1238" s="50"/>
      <c r="H1238" s="12"/>
      <c r="K1238"/>
    </row>
    <row r="1239" spans="5:11" ht="12.75" customHeight="1" x14ac:dyDescent="0.2">
      <c r="E1239" s="50"/>
      <c r="H1239" s="12"/>
      <c r="K1239"/>
    </row>
    <row r="1240" spans="5:11" ht="12.75" customHeight="1" x14ac:dyDescent="0.2">
      <c r="E1240" s="50"/>
      <c r="H1240" s="12"/>
      <c r="K1240"/>
    </row>
    <row r="1241" spans="5:11" ht="12.75" customHeight="1" x14ac:dyDescent="0.2">
      <c r="E1241" s="50"/>
      <c r="H1241" s="12"/>
      <c r="K1241"/>
    </row>
    <row r="1242" spans="5:11" ht="12.75" customHeight="1" x14ac:dyDescent="0.2">
      <c r="E1242" s="50"/>
      <c r="H1242" s="12"/>
      <c r="K1242"/>
    </row>
    <row r="1243" spans="5:11" ht="12.75" customHeight="1" x14ac:dyDescent="0.2">
      <c r="E1243" s="50"/>
      <c r="H1243" s="12"/>
      <c r="K1243"/>
    </row>
    <row r="1244" spans="5:11" ht="12.75" customHeight="1" x14ac:dyDescent="0.2">
      <c r="E1244" s="50"/>
      <c r="H1244" s="12"/>
      <c r="K1244"/>
    </row>
    <row r="1245" spans="5:11" ht="12.75" customHeight="1" x14ac:dyDescent="0.2">
      <c r="E1245" s="50"/>
      <c r="H1245" s="12"/>
      <c r="K1245"/>
    </row>
    <row r="1246" spans="5:11" ht="12.75" customHeight="1" x14ac:dyDescent="0.2">
      <c r="E1246" s="50"/>
      <c r="H1246" s="12"/>
      <c r="K1246"/>
    </row>
    <row r="1247" spans="5:11" ht="12.75" customHeight="1" x14ac:dyDescent="0.2">
      <c r="E1247" s="50"/>
      <c r="H1247" s="12"/>
      <c r="K1247"/>
    </row>
    <row r="1248" spans="5:11" ht="12.75" customHeight="1" x14ac:dyDescent="0.2">
      <c r="E1248" s="50"/>
      <c r="H1248" s="12"/>
      <c r="K1248"/>
    </row>
    <row r="1249" spans="5:11" ht="12.75" customHeight="1" x14ac:dyDescent="0.2">
      <c r="E1249" s="50"/>
      <c r="H1249" s="12"/>
      <c r="K1249"/>
    </row>
    <row r="1250" spans="5:11" ht="12.75" customHeight="1" x14ac:dyDescent="0.2">
      <c r="E1250" s="50"/>
      <c r="H1250" s="12"/>
      <c r="K1250"/>
    </row>
    <row r="1251" spans="5:11" ht="12.75" customHeight="1" x14ac:dyDescent="0.2">
      <c r="E1251" s="50"/>
      <c r="H1251" s="12"/>
      <c r="K1251"/>
    </row>
    <row r="1252" spans="5:11" ht="12.75" customHeight="1" x14ac:dyDescent="0.2">
      <c r="E1252" s="50"/>
      <c r="H1252" s="12"/>
      <c r="K1252"/>
    </row>
    <row r="1253" spans="5:11" ht="12.75" customHeight="1" x14ac:dyDescent="0.2">
      <c r="E1253" s="50"/>
      <c r="H1253" s="12"/>
      <c r="K1253"/>
    </row>
    <row r="1254" spans="5:11" ht="12.75" customHeight="1" x14ac:dyDescent="0.2">
      <c r="E1254" s="50"/>
      <c r="H1254" s="12"/>
      <c r="K1254"/>
    </row>
    <row r="1255" spans="5:11" ht="12.75" customHeight="1" x14ac:dyDescent="0.2">
      <c r="E1255" s="50"/>
      <c r="H1255" s="12"/>
      <c r="K1255"/>
    </row>
    <row r="1256" spans="5:11" ht="12.75" customHeight="1" x14ac:dyDescent="0.2">
      <c r="E1256" s="50"/>
      <c r="H1256" s="12"/>
      <c r="K1256"/>
    </row>
    <row r="1257" spans="5:11" ht="12.75" customHeight="1" x14ac:dyDescent="0.2">
      <c r="E1257" s="50"/>
      <c r="H1257" s="12"/>
      <c r="K1257"/>
    </row>
    <row r="1258" spans="5:11" ht="12.75" customHeight="1" x14ac:dyDescent="0.2">
      <c r="E1258" s="50"/>
      <c r="H1258" s="12"/>
      <c r="K1258"/>
    </row>
    <row r="1259" spans="5:11" ht="12.75" customHeight="1" x14ac:dyDescent="0.2">
      <c r="E1259" s="50"/>
      <c r="H1259" s="12"/>
      <c r="K1259"/>
    </row>
    <row r="1260" spans="5:11" ht="12.75" customHeight="1" x14ac:dyDescent="0.2">
      <c r="E1260" s="50"/>
      <c r="H1260" s="12"/>
      <c r="K1260"/>
    </row>
    <row r="1261" spans="5:11" ht="12.75" customHeight="1" x14ac:dyDescent="0.2">
      <c r="E1261" s="50"/>
      <c r="H1261" s="12"/>
      <c r="K1261"/>
    </row>
    <row r="1262" spans="5:11" ht="12.75" customHeight="1" x14ac:dyDescent="0.2">
      <c r="E1262" s="50"/>
      <c r="H1262" s="12"/>
      <c r="K1262"/>
    </row>
    <row r="1263" spans="5:11" ht="12.75" customHeight="1" x14ac:dyDescent="0.2">
      <c r="E1263" s="50"/>
      <c r="H1263" s="12"/>
      <c r="K1263"/>
    </row>
    <row r="1264" spans="5:11" ht="12.75" customHeight="1" x14ac:dyDescent="0.2">
      <c r="E1264" s="50"/>
      <c r="H1264" s="12"/>
      <c r="K1264"/>
    </row>
    <row r="1265" spans="5:11" ht="12.75" customHeight="1" x14ac:dyDescent="0.2">
      <c r="E1265" s="50"/>
      <c r="H1265" s="12"/>
      <c r="K1265"/>
    </row>
    <row r="1266" spans="5:11" ht="12.75" customHeight="1" x14ac:dyDescent="0.2">
      <c r="E1266" s="50"/>
      <c r="H1266" s="12"/>
      <c r="K1266"/>
    </row>
    <row r="1267" spans="5:11" ht="12.75" customHeight="1" x14ac:dyDescent="0.2">
      <c r="E1267" s="50"/>
      <c r="H1267" s="12"/>
      <c r="K1267"/>
    </row>
    <row r="1268" spans="5:11" ht="12.75" customHeight="1" x14ac:dyDescent="0.2">
      <c r="E1268" s="50"/>
      <c r="H1268" s="12"/>
      <c r="K1268"/>
    </row>
    <row r="1269" spans="5:11" ht="12.75" customHeight="1" x14ac:dyDescent="0.2">
      <c r="E1269" s="50"/>
      <c r="H1269" s="12"/>
      <c r="K1269"/>
    </row>
    <row r="1270" spans="5:11" ht="12.75" customHeight="1" x14ac:dyDescent="0.2">
      <c r="E1270" s="50"/>
      <c r="H1270" s="12"/>
      <c r="K1270"/>
    </row>
    <row r="1271" spans="5:11" ht="12.75" customHeight="1" x14ac:dyDescent="0.2">
      <c r="E1271" s="50"/>
      <c r="H1271" s="12"/>
      <c r="K1271"/>
    </row>
    <row r="1272" spans="5:11" ht="12.75" customHeight="1" x14ac:dyDescent="0.2">
      <c r="E1272" s="50"/>
      <c r="H1272" s="12"/>
      <c r="K1272"/>
    </row>
    <row r="1273" spans="5:11" ht="12.75" customHeight="1" x14ac:dyDescent="0.2">
      <c r="E1273" s="50"/>
      <c r="H1273" s="12"/>
      <c r="K1273"/>
    </row>
    <row r="1274" spans="5:11" ht="12.75" customHeight="1" x14ac:dyDescent="0.2">
      <c r="E1274" s="50"/>
      <c r="H1274" s="12"/>
      <c r="K1274"/>
    </row>
    <row r="1275" spans="5:11" ht="12.75" customHeight="1" x14ac:dyDescent="0.2">
      <c r="E1275" s="50"/>
      <c r="H1275" s="12"/>
      <c r="K1275"/>
    </row>
    <row r="1276" spans="5:11" ht="12.75" customHeight="1" x14ac:dyDescent="0.2">
      <c r="E1276" s="50"/>
      <c r="H1276" s="12"/>
      <c r="K1276"/>
    </row>
    <row r="1277" spans="5:11" ht="12.75" customHeight="1" x14ac:dyDescent="0.2">
      <c r="E1277" s="50"/>
      <c r="H1277" s="12"/>
      <c r="K1277"/>
    </row>
    <row r="1278" spans="5:11" ht="12.75" customHeight="1" x14ac:dyDescent="0.2">
      <c r="E1278" s="50"/>
      <c r="H1278" s="12"/>
      <c r="K1278"/>
    </row>
    <row r="1279" spans="5:11" ht="12.75" customHeight="1" x14ac:dyDescent="0.2">
      <c r="E1279" s="50"/>
      <c r="H1279" s="12"/>
      <c r="K1279"/>
    </row>
    <row r="1280" spans="5:11" ht="12.75" customHeight="1" x14ac:dyDescent="0.2">
      <c r="E1280" s="50"/>
      <c r="H1280" s="12"/>
      <c r="K1280"/>
    </row>
    <row r="1281" spans="5:11" ht="12.75" customHeight="1" x14ac:dyDescent="0.2">
      <c r="E1281" s="50"/>
      <c r="H1281" s="12"/>
      <c r="K1281"/>
    </row>
    <row r="1282" spans="5:11" ht="12.75" customHeight="1" x14ac:dyDescent="0.2">
      <c r="E1282" s="50"/>
      <c r="H1282" s="12"/>
      <c r="K1282"/>
    </row>
    <row r="1283" spans="5:11" ht="12.75" customHeight="1" x14ac:dyDescent="0.2">
      <c r="E1283" s="50"/>
      <c r="H1283" s="12"/>
      <c r="K1283"/>
    </row>
    <row r="1284" spans="5:11" ht="12.75" customHeight="1" x14ac:dyDescent="0.2">
      <c r="E1284" s="50"/>
      <c r="H1284" s="12"/>
      <c r="K1284"/>
    </row>
    <row r="1285" spans="5:11" ht="12.75" customHeight="1" x14ac:dyDescent="0.2">
      <c r="E1285" s="50"/>
      <c r="H1285" s="12"/>
      <c r="K1285"/>
    </row>
    <row r="1286" spans="5:11" ht="12.75" customHeight="1" x14ac:dyDescent="0.2">
      <c r="E1286" s="50"/>
      <c r="H1286" s="12"/>
      <c r="K1286"/>
    </row>
    <row r="1287" spans="5:11" ht="12.75" customHeight="1" x14ac:dyDescent="0.2">
      <c r="E1287" s="50"/>
      <c r="H1287" s="12"/>
      <c r="K1287"/>
    </row>
    <row r="1288" spans="5:11" ht="12.75" customHeight="1" x14ac:dyDescent="0.2">
      <c r="E1288" s="50"/>
      <c r="H1288" s="12"/>
      <c r="K1288"/>
    </row>
    <row r="1289" spans="5:11" ht="12.75" customHeight="1" x14ac:dyDescent="0.2">
      <c r="E1289" s="50"/>
      <c r="H1289" s="12"/>
      <c r="K1289"/>
    </row>
    <row r="1290" spans="5:11" ht="12.75" customHeight="1" x14ac:dyDescent="0.2">
      <c r="E1290" s="50"/>
      <c r="H1290" s="12"/>
      <c r="K1290"/>
    </row>
    <row r="1291" spans="5:11" ht="12.75" customHeight="1" x14ac:dyDescent="0.2">
      <c r="E1291" s="50"/>
      <c r="H1291" s="12"/>
      <c r="K1291"/>
    </row>
    <row r="1292" spans="5:11" ht="12.75" customHeight="1" x14ac:dyDescent="0.2">
      <c r="E1292" s="50"/>
      <c r="H1292" s="12"/>
      <c r="K1292"/>
    </row>
    <row r="1293" spans="5:11" ht="12.75" customHeight="1" x14ac:dyDescent="0.2">
      <c r="E1293" s="50"/>
      <c r="H1293" s="12"/>
      <c r="K1293"/>
    </row>
    <row r="1294" spans="5:11" ht="12.75" customHeight="1" x14ac:dyDescent="0.2">
      <c r="E1294" s="50"/>
      <c r="H1294" s="12"/>
      <c r="K1294"/>
    </row>
    <row r="1295" spans="5:11" ht="12.75" customHeight="1" x14ac:dyDescent="0.2">
      <c r="E1295" s="50"/>
      <c r="H1295" s="12"/>
      <c r="K1295"/>
    </row>
    <row r="1296" spans="5:11" ht="12.75" customHeight="1" x14ac:dyDescent="0.2">
      <c r="E1296" s="50"/>
      <c r="H1296" s="12"/>
      <c r="K1296"/>
    </row>
    <row r="1297" spans="5:11" ht="12.75" customHeight="1" x14ac:dyDescent="0.2">
      <c r="E1297" s="50"/>
      <c r="H1297" s="12"/>
      <c r="K1297"/>
    </row>
    <row r="1298" spans="5:11" ht="12.75" customHeight="1" x14ac:dyDescent="0.2">
      <c r="E1298" s="50"/>
      <c r="H1298" s="12"/>
      <c r="K1298"/>
    </row>
    <row r="1299" spans="5:11" ht="12.75" customHeight="1" x14ac:dyDescent="0.2">
      <c r="E1299" s="50"/>
      <c r="H1299" s="12"/>
      <c r="K1299"/>
    </row>
    <row r="1300" spans="5:11" ht="12.75" customHeight="1" x14ac:dyDescent="0.2">
      <c r="E1300" s="50"/>
      <c r="H1300" s="12"/>
      <c r="K1300"/>
    </row>
    <row r="1301" spans="5:11" ht="12.75" customHeight="1" x14ac:dyDescent="0.2">
      <c r="E1301" s="50"/>
      <c r="H1301" s="12"/>
      <c r="K1301"/>
    </row>
    <row r="1302" spans="5:11" ht="12.75" customHeight="1" x14ac:dyDescent="0.2">
      <c r="E1302" s="50"/>
      <c r="H1302" s="12"/>
      <c r="K1302"/>
    </row>
    <row r="1303" spans="5:11" ht="12.75" customHeight="1" x14ac:dyDescent="0.2">
      <c r="E1303" s="50"/>
      <c r="H1303" s="12"/>
      <c r="K1303"/>
    </row>
    <row r="1304" spans="5:11" ht="12.75" customHeight="1" x14ac:dyDescent="0.2">
      <c r="E1304" s="50"/>
      <c r="H1304" s="12"/>
      <c r="K1304"/>
    </row>
    <row r="1305" spans="5:11" ht="12.75" customHeight="1" x14ac:dyDescent="0.2">
      <c r="E1305" s="50"/>
      <c r="H1305" s="12"/>
      <c r="K1305"/>
    </row>
    <row r="1306" spans="5:11" ht="12.75" customHeight="1" x14ac:dyDescent="0.2">
      <c r="E1306" s="50"/>
      <c r="H1306" s="12"/>
      <c r="K1306"/>
    </row>
    <row r="1307" spans="5:11" ht="14.25" customHeight="1" x14ac:dyDescent="0.2">
      <c r="E1307" s="50"/>
      <c r="H1307" s="12"/>
      <c r="K1307"/>
    </row>
    <row r="1308" spans="5:11" ht="13.5" customHeight="1" x14ac:dyDescent="0.2">
      <c r="E1308" s="50"/>
      <c r="H1308" s="12"/>
      <c r="K1308"/>
    </row>
    <row r="1309" spans="5:11" ht="13.5" customHeight="1" x14ac:dyDescent="0.2">
      <c r="E1309" s="50"/>
      <c r="H1309" s="12"/>
      <c r="K1309"/>
    </row>
    <row r="1310" spans="5:11" ht="13.5" customHeight="1" x14ac:dyDescent="0.2">
      <c r="E1310" s="50"/>
      <c r="H1310" s="12"/>
      <c r="K1310"/>
    </row>
    <row r="1311" spans="5:11" ht="13.5" customHeight="1" x14ac:dyDescent="0.2">
      <c r="E1311" s="50"/>
      <c r="H1311" s="12"/>
      <c r="K1311"/>
    </row>
    <row r="1312" spans="5:11" ht="13.5" customHeight="1" x14ac:dyDescent="0.2">
      <c r="E1312" s="50"/>
      <c r="H1312" s="12"/>
      <c r="K1312"/>
    </row>
    <row r="1313" spans="5:11" ht="13.5" customHeight="1" x14ac:dyDescent="0.2">
      <c r="E1313" s="50"/>
      <c r="H1313" s="12"/>
      <c r="K1313"/>
    </row>
    <row r="1314" spans="5:11" ht="13.5" customHeight="1" x14ac:dyDescent="0.2">
      <c r="E1314" s="50"/>
      <c r="H1314" s="12"/>
      <c r="K1314"/>
    </row>
    <row r="1315" spans="5:11" ht="13.5" customHeight="1" x14ac:dyDescent="0.2">
      <c r="E1315" s="50"/>
      <c r="H1315" s="12"/>
      <c r="K1315"/>
    </row>
    <row r="1316" spans="5:11" ht="13.5" customHeight="1" x14ac:dyDescent="0.2">
      <c r="E1316" s="50"/>
      <c r="H1316" s="12"/>
      <c r="K1316"/>
    </row>
    <row r="1317" spans="5:11" ht="13.5" customHeight="1" x14ac:dyDescent="0.2">
      <c r="E1317" s="50"/>
      <c r="H1317" s="12"/>
      <c r="K1317"/>
    </row>
    <row r="1318" spans="5:11" ht="13.5" customHeight="1" x14ac:dyDescent="0.2">
      <c r="E1318" s="50"/>
      <c r="H1318" s="12"/>
      <c r="K1318"/>
    </row>
    <row r="1319" spans="5:11" ht="13.5" customHeight="1" x14ac:dyDescent="0.2">
      <c r="E1319" s="50"/>
      <c r="H1319" s="12"/>
      <c r="K1319"/>
    </row>
    <row r="1320" spans="5:11" ht="13.5" customHeight="1" x14ac:dyDescent="0.2">
      <c r="E1320" s="50"/>
      <c r="H1320" s="12"/>
      <c r="K1320"/>
    </row>
    <row r="1321" spans="5:11" ht="13.5" customHeight="1" x14ac:dyDescent="0.2">
      <c r="E1321" s="50"/>
      <c r="H1321" s="12"/>
      <c r="K1321"/>
    </row>
    <row r="1322" spans="5:11" ht="13.5" customHeight="1" x14ac:dyDescent="0.2">
      <c r="E1322" s="50"/>
      <c r="H1322" s="12"/>
      <c r="K1322"/>
    </row>
    <row r="1323" spans="5:11" ht="13.5" customHeight="1" x14ac:dyDescent="0.2">
      <c r="E1323" s="50"/>
      <c r="H1323" s="12"/>
      <c r="K1323"/>
    </row>
    <row r="1324" spans="5:11" ht="13.5" customHeight="1" x14ac:dyDescent="0.2">
      <c r="E1324" s="50"/>
      <c r="H1324" s="12"/>
      <c r="K1324"/>
    </row>
    <row r="1325" spans="5:11" ht="13.5" customHeight="1" x14ac:dyDescent="0.2">
      <c r="E1325" s="50"/>
      <c r="H1325" s="12"/>
      <c r="K1325"/>
    </row>
    <row r="1326" spans="5:11" ht="13.5" customHeight="1" x14ac:dyDescent="0.2">
      <c r="E1326" s="50"/>
      <c r="H1326" s="12"/>
      <c r="K1326"/>
    </row>
    <row r="1327" spans="5:11" ht="13.5" customHeight="1" x14ac:dyDescent="0.2">
      <c r="E1327" s="50"/>
      <c r="H1327" s="12"/>
      <c r="K1327"/>
    </row>
    <row r="1328" spans="5:11" ht="13.5" customHeight="1" x14ac:dyDescent="0.2">
      <c r="E1328" s="50"/>
      <c r="H1328" s="12"/>
      <c r="K1328"/>
    </row>
    <row r="1329" spans="5:11" ht="13.5" customHeight="1" x14ac:dyDescent="0.2">
      <c r="E1329" s="50"/>
      <c r="H1329" s="12"/>
      <c r="K1329"/>
    </row>
    <row r="1330" spans="5:11" ht="13.5" customHeight="1" x14ac:dyDescent="0.2">
      <c r="E1330" s="50"/>
      <c r="H1330" s="12"/>
      <c r="K1330"/>
    </row>
    <row r="1331" spans="5:11" ht="13.5" customHeight="1" x14ac:dyDescent="0.2">
      <c r="E1331" s="50"/>
      <c r="H1331" s="12"/>
      <c r="K1331"/>
    </row>
    <row r="1332" spans="5:11" ht="13.5" customHeight="1" x14ac:dyDescent="0.2">
      <c r="E1332" s="50"/>
      <c r="H1332" s="12"/>
      <c r="K1332"/>
    </row>
    <row r="1333" spans="5:11" ht="13.5" customHeight="1" x14ac:dyDescent="0.2">
      <c r="E1333" s="50"/>
      <c r="H1333" s="12"/>
      <c r="K1333"/>
    </row>
    <row r="1334" spans="5:11" ht="13.5" customHeight="1" x14ac:dyDescent="0.2">
      <c r="E1334" s="50"/>
      <c r="H1334" s="12"/>
      <c r="K1334"/>
    </row>
    <row r="1335" spans="5:11" ht="13.5" customHeight="1" x14ac:dyDescent="0.2">
      <c r="E1335" s="50"/>
      <c r="H1335" s="12"/>
      <c r="K1335"/>
    </row>
    <row r="1336" spans="5:11" ht="13.5" customHeight="1" x14ac:dyDescent="0.2">
      <c r="E1336" s="50"/>
      <c r="H1336" s="12"/>
      <c r="K1336"/>
    </row>
    <row r="1337" spans="5:11" ht="13.5" customHeight="1" x14ac:dyDescent="0.2">
      <c r="E1337" s="50"/>
      <c r="H1337" s="12"/>
      <c r="K1337"/>
    </row>
    <row r="1338" spans="5:11" ht="13.5" customHeight="1" x14ac:dyDescent="0.2">
      <c r="E1338" s="50"/>
      <c r="H1338" s="12"/>
      <c r="K1338"/>
    </row>
    <row r="1339" spans="5:11" ht="13.5" customHeight="1" x14ac:dyDescent="0.2">
      <c r="E1339" s="50"/>
      <c r="H1339" s="12"/>
      <c r="K1339"/>
    </row>
    <row r="1340" spans="5:11" ht="13.5" customHeight="1" x14ac:dyDescent="0.2">
      <c r="E1340" s="50"/>
      <c r="H1340" s="12"/>
      <c r="K1340"/>
    </row>
    <row r="1341" spans="5:11" ht="13.5" customHeight="1" x14ac:dyDescent="0.2">
      <c r="E1341" s="50"/>
      <c r="H1341" s="12"/>
      <c r="K1341"/>
    </row>
    <row r="1342" spans="5:11" ht="13.5" customHeight="1" x14ac:dyDescent="0.2">
      <c r="E1342" s="50"/>
      <c r="H1342" s="12"/>
      <c r="K1342"/>
    </row>
    <row r="1343" spans="5:11" ht="13.5" customHeight="1" x14ac:dyDescent="0.2">
      <c r="E1343" s="50"/>
      <c r="H1343" s="12"/>
      <c r="K1343"/>
    </row>
    <row r="1344" spans="5:11" ht="13.5" customHeight="1" x14ac:dyDescent="0.2">
      <c r="E1344" s="50"/>
      <c r="H1344" s="12"/>
      <c r="K1344"/>
    </row>
    <row r="1345" spans="5:11" ht="13.5" customHeight="1" x14ac:dyDescent="0.2">
      <c r="E1345" s="50"/>
      <c r="H1345" s="12"/>
      <c r="K1345"/>
    </row>
    <row r="1346" spans="5:11" ht="13.5" customHeight="1" x14ac:dyDescent="0.2">
      <c r="E1346" s="50"/>
      <c r="H1346" s="12"/>
      <c r="K1346"/>
    </row>
    <row r="1347" spans="5:11" ht="13.5" customHeight="1" x14ac:dyDescent="0.2">
      <c r="E1347" s="50"/>
      <c r="H1347" s="12"/>
      <c r="K1347"/>
    </row>
    <row r="1348" spans="5:11" ht="13.5" customHeight="1" x14ac:dyDescent="0.2">
      <c r="E1348" s="50"/>
      <c r="H1348" s="12"/>
      <c r="K1348"/>
    </row>
    <row r="1349" spans="5:11" ht="13.5" customHeight="1" x14ac:dyDescent="0.2">
      <c r="E1349" s="50"/>
      <c r="H1349" s="12"/>
      <c r="K1349"/>
    </row>
    <row r="1350" spans="5:11" ht="13.5" customHeight="1" x14ac:dyDescent="0.2">
      <c r="E1350" s="50"/>
      <c r="H1350" s="12"/>
      <c r="K1350"/>
    </row>
    <row r="1351" spans="5:11" ht="13.5" customHeight="1" x14ac:dyDescent="0.2">
      <c r="E1351" s="50"/>
      <c r="H1351" s="12"/>
      <c r="K1351"/>
    </row>
    <row r="1352" spans="5:11" ht="13.5" customHeight="1" x14ac:dyDescent="0.2">
      <c r="E1352" s="50"/>
      <c r="H1352" s="12"/>
      <c r="K1352"/>
    </row>
    <row r="1353" spans="5:11" ht="13.5" customHeight="1" x14ac:dyDescent="0.2">
      <c r="E1353" s="50"/>
      <c r="H1353" s="12"/>
      <c r="K1353"/>
    </row>
    <row r="1354" spans="5:11" ht="13.5" customHeight="1" x14ac:dyDescent="0.2">
      <c r="E1354" s="50"/>
      <c r="H1354" s="12"/>
      <c r="K1354"/>
    </row>
    <row r="1355" spans="5:11" ht="13.5" customHeight="1" x14ac:dyDescent="0.2">
      <c r="E1355" s="50"/>
      <c r="H1355" s="12"/>
      <c r="K1355"/>
    </row>
    <row r="1356" spans="5:11" ht="13.5" customHeight="1" x14ac:dyDescent="0.2">
      <c r="E1356" s="50"/>
      <c r="H1356" s="12"/>
      <c r="K1356"/>
    </row>
    <row r="1357" spans="5:11" ht="13.5" customHeight="1" x14ac:dyDescent="0.2">
      <c r="E1357" s="50"/>
      <c r="H1357" s="12"/>
      <c r="K1357"/>
    </row>
    <row r="1358" spans="5:11" ht="13.5" customHeight="1" x14ac:dyDescent="0.2">
      <c r="E1358" s="50"/>
      <c r="H1358" s="12"/>
      <c r="K1358"/>
    </row>
    <row r="1359" spans="5:11" ht="13.5" customHeight="1" x14ac:dyDescent="0.2">
      <c r="E1359" s="50"/>
      <c r="H1359" s="12"/>
      <c r="K1359"/>
    </row>
    <row r="1360" spans="5:11" ht="13.5" customHeight="1" x14ac:dyDescent="0.2">
      <c r="E1360" s="50"/>
      <c r="H1360" s="12"/>
      <c r="K1360"/>
    </row>
    <row r="1361" spans="5:11" ht="13.5" customHeight="1" x14ac:dyDescent="0.2">
      <c r="E1361" s="50"/>
      <c r="H1361" s="12"/>
      <c r="K1361"/>
    </row>
    <row r="1362" spans="5:11" ht="13.5" customHeight="1" x14ac:dyDescent="0.2">
      <c r="E1362" s="50"/>
      <c r="H1362" s="12"/>
      <c r="K1362"/>
    </row>
    <row r="1363" spans="5:11" ht="13.5" customHeight="1" x14ac:dyDescent="0.2">
      <c r="E1363" s="50"/>
      <c r="H1363" s="12"/>
      <c r="K1363"/>
    </row>
    <row r="1364" spans="5:11" ht="13.5" customHeight="1" x14ac:dyDescent="0.2">
      <c r="E1364" s="50"/>
      <c r="H1364" s="12"/>
      <c r="K1364"/>
    </row>
    <row r="1365" spans="5:11" x14ac:dyDescent="0.2">
      <c r="E1365" s="50"/>
      <c r="H1365" s="12"/>
      <c r="K1365"/>
    </row>
    <row r="1366" spans="5:11" x14ac:dyDescent="0.2">
      <c r="E1366" s="50"/>
      <c r="H1366" s="12"/>
      <c r="K1366"/>
    </row>
    <row r="1367" spans="5:11" x14ac:dyDescent="0.2">
      <c r="E1367" s="50"/>
      <c r="H1367" s="12"/>
      <c r="K1367"/>
    </row>
    <row r="1368" spans="5:11" x14ac:dyDescent="0.2">
      <c r="E1368" s="50"/>
      <c r="H1368" s="12"/>
      <c r="K1368"/>
    </row>
    <row r="1369" spans="5:11" x14ac:dyDescent="0.2">
      <c r="E1369" s="50"/>
      <c r="H1369" s="12"/>
      <c r="K1369"/>
    </row>
    <row r="1370" spans="5:11" x14ac:dyDescent="0.2">
      <c r="E1370" s="50"/>
      <c r="H1370" s="12"/>
      <c r="K1370"/>
    </row>
    <row r="1371" spans="5:11" x14ac:dyDescent="0.2">
      <c r="E1371" s="50"/>
      <c r="H1371" s="12"/>
      <c r="K1371"/>
    </row>
    <row r="1372" spans="5:11" x14ac:dyDescent="0.2">
      <c r="E1372" s="50"/>
      <c r="H1372" s="12"/>
      <c r="K1372"/>
    </row>
    <row r="1373" spans="5:11" x14ac:dyDescent="0.2">
      <c r="E1373" s="50"/>
      <c r="H1373" s="12"/>
      <c r="K1373"/>
    </row>
    <row r="1374" spans="5:11" x14ac:dyDescent="0.2">
      <c r="E1374" s="50"/>
      <c r="H1374" s="12"/>
      <c r="K1374"/>
    </row>
    <row r="1375" spans="5:11" x14ac:dyDescent="0.2">
      <c r="E1375" s="50"/>
      <c r="H1375" s="12"/>
      <c r="K1375"/>
    </row>
    <row r="1376" spans="5:11" x14ac:dyDescent="0.2">
      <c r="E1376" s="50"/>
      <c r="H1376" s="12"/>
      <c r="K1376"/>
    </row>
    <row r="1377" spans="5:11" x14ac:dyDescent="0.2">
      <c r="E1377" s="50"/>
      <c r="H1377" s="12"/>
      <c r="K1377"/>
    </row>
    <row r="1378" spans="5:11" x14ac:dyDescent="0.2">
      <c r="E1378" s="50"/>
      <c r="H1378" s="12"/>
      <c r="K1378"/>
    </row>
    <row r="1379" spans="5:11" x14ac:dyDescent="0.2">
      <c r="E1379" s="50"/>
      <c r="H1379" s="12"/>
      <c r="K1379"/>
    </row>
    <row r="1380" spans="5:11" x14ac:dyDescent="0.2">
      <c r="E1380" s="50"/>
      <c r="H1380" s="12"/>
      <c r="K1380"/>
    </row>
    <row r="1381" spans="5:11" x14ac:dyDescent="0.2">
      <c r="E1381" s="50"/>
      <c r="H1381" s="12"/>
      <c r="K1381"/>
    </row>
    <row r="1382" spans="5:11" x14ac:dyDescent="0.2">
      <c r="E1382" s="50"/>
      <c r="H1382" s="12"/>
      <c r="K1382"/>
    </row>
    <row r="1383" spans="5:11" x14ac:dyDescent="0.2">
      <c r="E1383" s="50"/>
      <c r="H1383" s="12"/>
      <c r="K1383"/>
    </row>
    <row r="1384" spans="5:11" x14ac:dyDescent="0.2">
      <c r="E1384" s="50"/>
      <c r="H1384" s="12"/>
      <c r="K1384"/>
    </row>
    <row r="1385" spans="5:11" x14ac:dyDescent="0.2">
      <c r="E1385" s="50"/>
      <c r="H1385" s="12"/>
      <c r="K1385"/>
    </row>
    <row r="1386" spans="5:11" x14ac:dyDescent="0.2">
      <c r="E1386" s="50"/>
      <c r="H1386" s="12"/>
      <c r="K1386"/>
    </row>
    <row r="1387" spans="5:11" x14ac:dyDescent="0.2">
      <c r="E1387" s="50"/>
      <c r="H1387" s="12"/>
      <c r="K1387"/>
    </row>
    <row r="1388" spans="5:11" x14ac:dyDescent="0.2">
      <c r="E1388" s="50"/>
      <c r="H1388" s="12"/>
      <c r="K1388"/>
    </row>
    <row r="1389" spans="5:11" x14ac:dyDescent="0.2">
      <c r="E1389" s="50"/>
      <c r="H1389" s="12"/>
      <c r="K1389"/>
    </row>
    <row r="1390" spans="5:11" x14ac:dyDescent="0.2">
      <c r="E1390" s="50"/>
      <c r="H1390" s="12"/>
      <c r="K1390"/>
    </row>
    <row r="1391" spans="5:11" x14ac:dyDescent="0.2">
      <c r="E1391" s="50"/>
      <c r="H1391" s="12"/>
      <c r="K1391"/>
    </row>
    <row r="1392" spans="5:11" x14ac:dyDescent="0.2">
      <c r="E1392" s="50"/>
      <c r="H1392" s="12"/>
      <c r="K1392"/>
    </row>
    <row r="1393" spans="5:11" x14ac:dyDescent="0.2">
      <c r="E1393" s="50"/>
      <c r="H1393" s="12"/>
      <c r="K1393"/>
    </row>
    <row r="1394" spans="5:11" x14ac:dyDescent="0.2">
      <c r="E1394" s="50"/>
      <c r="H1394" s="12"/>
      <c r="K1394"/>
    </row>
    <row r="1395" spans="5:11" x14ac:dyDescent="0.2">
      <c r="E1395" s="50"/>
      <c r="H1395" s="12"/>
      <c r="K1395"/>
    </row>
    <row r="1396" spans="5:11" x14ac:dyDescent="0.2">
      <c r="E1396" s="50"/>
      <c r="H1396" s="12"/>
      <c r="K1396"/>
    </row>
    <row r="1397" spans="5:11" x14ac:dyDescent="0.2">
      <c r="E1397" s="50"/>
      <c r="H1397" s="12"/>
      <c r="K1397"/>
    </row>
    <row r="1398" spans="5:11" x14ac:dyDescent="0.2">
      <c r="E1398" s="50"/>
      <c r="H1398" s="12"/>
      <c r="K1398"/>
    </row>
    <row r="1399" spans="5:11" x14ac:dyDescent="0.2">
      <c r="E1399" s="50"/>
      <c r="H1399" s="12"/>
      <c r="K1399"/>
    </row>
    <row r="1400" spans="5:11" x14ac:dyDescent="0.2">
      <c r="E1400" s="50"/>
      <c r="H1400" s="12"/>
      <c r="K1400"/>
    </row>
    <row r="1401" spans="5:11" x14ac:dyDescent="0.2">
      <c r="E1401" s="50"/>
      <c r="H1401" s="12"/>
      <c r="K1401"/>
    </row>
    <row r="1402" spans="5:11" x14ac:dyDescent="0.2">
      <c r="E1402" s="50"/>
      <c r="H1402" s="12"/>
      <c r="K1402"/>
    </row>
    <row r="1403" spans="5:11" x14ac:dyDescent="0.2">
      <c r="E1403" s="50"/>
      <c r="H1403" s="12"/>
      <c r="K1403"/>
    </row>
    <row r="1404" spans="5:11" x14ac:dyDescent="0.2">
      <c r="E1404" s="50"/>
      <c r="H1404" s="12"/>
      <c r="K1404"/>
    </row>
    <row r="1405" spans="5:11" x14ac:dyDescent="0.2">
      <c r="E1405" s="50"/>
      <c r="H1405" s="12"/>
      <c r="K1405"/>
    </row>
    <row r="1406" spans="5:11" x14ac:dyDescent="0.2">
      <c r="E1406" s="50"/>
      <c r="H1406" s="12"/>
      <c r="K1406"/>
    </row>
    <row r="1407" spans="5:11" x14ac:dyDescent="0.2">
      <c r="E1407" s="50"/>
      <c r="H1407" s="12"/>
      <c r="K1407"/>
    </row>
    <row r="1408" spans="5:11" x14ac:dyDescent="0.2">
      <c r="E1408" s="50"/>
      <c r="H1408" s="12"/>
      <c r="K1408"/>
    </row>
    <row r="1409" spans="5:11" x14ac:dyDescent="0.2">
      <c r="E1409" s="50"/>
      <c r="H1409" s="12"/>
      <c r="K1409"/>
    </row>
    <row r="1410" spans="5:11" x14ac:dyDescent="0.2">
      <c r="E1410" s="50"/>
      <c r="H1410" s="12"/>
      <c r="K1410"/>
    </row>
    <row r="1411" spans="5:11" x14ac:dyDescent="0.2">
      <c r="E1411" s="50"/>
      <c r="H1411" s="12"/>
      <c r="K1411"/>
    </row>
    <row r="1412" spans="5:11" x14ac:dyDescent="0.2">
      <c r="E1412" s="50"/>
      <c r="H1412" s="12"/>
      <c r="K1412"/>
    </row>
    <row r="1413" spans="5:11" x14ac:dyDescent="0.2">
      <c r="E1413" s="50"/>
      <c r="H1413" s="12"/>
      <c r="K1413"/>
    </row>
    <row r="1414" spans="5:11" x14ac:dyDescent="0.2">
      <c r="E1414" s="50"/>
      <c r="H1414" s="12"/>
      <c r="K1414"/>
    </row>
    <row r="1415" spans="5:11" x14ac:dyDescent="0.2">
      <c r="E1415" s="50"/>
      <c r="H1415" s="12"/>
      <c r="K1415"/>
    </row>
    <row r="1416" spans="5:11" x14ac:dyDescent="0.2">
      <c r="E1416" s="50"/>
      <c r="H1416" s="12"/>
      <c r="K1416"/>
    </row>
    <row r="1417" spans="5:11" x14ac:dyDescent="0.2">
      <c r="E1417" s="50"/>
      <c r="H1417" s="12"/>
      <c r="K1417"/>
    </row>
    <row r="1418" spans="5:11" x14ac:dyDescent="0.2">
      <c r="E1418" s="50"/>
      <c r="H1418" s="12"/>
      <c r="K1418"/>
    </row>
    <row r="1419" spans="5:11" x14ac:dyDescent="0.2">
      <c r="E1419" s="50"/>
      <c r="H1419" s="12"/>
      <c r="K1419"/>
    </row>
    <row r="1420" spans="5:11" x14ac:dyDescent="0.2">
      <c r="E1420" s="50"/>
      <c r="H1420" s="12"/>
      <c r="K1420"/>
    </row>
    <row r="1421" spans="5:11" x14ac:dyDescent="0.2">
      <c r="E1421" s="50"/>
      <c r="H1421" s="12"/>
      <c r="K1421"/>
    </row>
    <row r="1422" spans="5:11" x14ac:dyDescent="0.2">
      <c r="E1422" s="50"/>
      <c r="H1422" s="12"/>
      <c r="K1422"/>
    </row>
    <row r="1423" spans="5:11" x14ac:dyDescent="0.2">
      <c r="E1423" s="50"/>
      <c r="H1423" s="12"/>
      <c r="K1423"/>
    </row>
    <row r="1424" spans="5:11" x14ac:dyDescent="0.2">
      <c r="E1424" s="50"/>
      <c r="H1424" s="12"/>
      <c r="K1424"/>
    </row>
    <row r="1425" spans="5:11" x14ac:dyDescent="0.2">
      <c r="E1425" s="50"/>
      <c r="H1425" s="12"/>
      <c r="K1425"/>
    </row>
    <row r="1426" spans="5:11" x14ac:dyDescent="0.2">
      <c r="E1426" s="50"/>
      <c r="H1426" s="12"/>
      <c r="K1426"/>
    </row>
    <row r="1427" spans="5:11" x14ac:dyDescent="0.2">
      <c r="E1427" s="50"/>
      <c r="H1427" s="12"/>
      <c r="K1427"/>
    </row>
    <row r="1428" spans="5:11" x14ac:dyDescent="0.2">
      <c r="E1428" s="50"/>
      <c r="H1428" s="12"/>
      <c r="K1428"/>
    </row>
    <row r="1429" spans="5:11" x14ac:dyDescent="0.2">
      <c r="E1429" s="50"/>
      <c r="H1429" s="12"/>
      <c r="K1429"/>
    </row>
    <row r="1430" spans="5:11" x14ac:dyDescent="0.2">
      <c r="E1430" s="50"/>
      <c r="H1430" s="12"/>
      <c r="K1430"/>
    </row>
    <row r="1431" spans="5:11" x14ac:dyDescent="0.2">
      <c r="E1431" s="50"/>
      <c r="H1431" s="12"/>
      <c r="K1431"/>
    </row>
    <row r="1432" spans="5:11" x14ac:dyDescent="0.2">
      <c r="E1432" s="50"/>
      <c r="H1432" s="12"/>
      <c r="K1432"/>
    </row>
    <row r="1433" spans="5:11" x14ac:dyDescent="0.2">
      <c r="E1433" s="50"/>
      <c r="H1433" s="12"/>
      <c r="K1433"/>
    </row>
    <row r="1434" spans="5:11" x14ac:dyDescent="0.2">
      <c r="E1434" s="50"/>
      <c r="H1434" s="12"/>
      <c r="K1434"/>
    </row>
    <row r="1435" spans="5:11" x14ac:dyDescent="0.2">
      <c r="E1435" s="50"/>
      <c r="H1435" s="12"/>
      <c r="K1435"/>
    </row>
    <row r="1436" spans="5:11" x14ac:dyDescent="0.2">
      <c r="E1436" s="50"/>
      <c r="H1436" s="12"/>
      <c r="K1436"/>
    </row>
    <row r="1437" spans="5:11" x14ac:dyDescent="0.2">
      <c r="E1437" s="50"/>
      <c r="H1437" s="12"/>
      <c r="K1437"/>
    </row>
    <row r="1438" spans="5:11" x14ac:dyDescent="0.2">
      <c r="E1438" s="50"/>
      <c r="H1438" s="12"/>
      <c r="K1438"/>
    </row>
    <row r="1439" spans="5:11" x14ac:dyDescent="0.2">
      <c r="E1439" s="50"/>
      <c r="H1439" s="12"/>
      <c r="K1439"/>
    </row>
    <row r="1440" spans="5:11" x14ac:dyDescent="0.2">
      <c r="E1440" s="50"/>
      <c r="H1440" s="12"/>
      <c r="K1440"/>
    </row>
    <row r="1441" spans="5:11" x14ac:dyDescent="0.2">
      <c r="E1441" s="50"/>
      <c r="H1441" s="12"/>
      <c r="K1441"/>
    </row>
    <row r="1442" spans="5:11" x14ac:dyDescent="0.2">
      <c r="E1442" s="50"/>
      <c r="H1442" s="12"/>
      <c r="K1442"/>
    </row>
    <row r="1443" spans="5:11" x14ac:dyDescent="0.2">
      <c r="E1443" s="50"/>
      <c r="H1443" s="12"/>
      <c r="K1443"/>
    </row>
    <row r="1444" spans="5:11" x14ac:dyDescent="0.2">
      <c r="E1444" s="50"/>
      <c r="H1444" s="12"/>
      <c r="K1444"/>
    </row>
    <row r="1445" spans="5:11" x14ac:dyDescent="0.2">
      <c r="E1445" s="50"/>
      <c r="H1445" s="12"/>
      <c r="K1445"/>
    </row>
    <row r="1446" spans="5:11" x14ac:dyDescent="0.2">
      <c r="E1446" s="50"/>
      <c r="H1446" s="12"/>
      <c r="K1446"/>
    </row>
    <row r="1447" spans="5:11" x14ac:dyDescent="0.2">
      <c r="E1447" s="50"/>
      <c r="H1447" s="12"/>
      <c r="K1447"/>
    </row>
    <row r="1448" spans="5:11" x14ac:dyDescent="0.2">
      <c r="E1448" s="50"/>
      <c r="H1448" s="12"/>
      <c r="K1448"/>
    </row>
    <row r="1449" spans="5:11" x14ac:dyDescent="0.2">
      <c r="E1449" s="50"/>
      <c r="H1449" s="12"/>
      <c r="K1449"/>
    </row>
    <row r="1450" spans="5:11" x14ac:dyDescent="0.2">
      <c r="E1450" s="50"/>
      <c r="H1450" s="12"/>
      <c r="K1450"/>
    </row>
    <row r="1451" spans="5:11" x14ac:dyDescent="0.2">
      <c r="E1451" s="50"/>
      <c r="H1451" s="12"/>
      <c r="K1451"/>
    </row>
    <row r="1452" spans="5:11" x14ac:dyDescent="0.2">
      <c r="E1452" s="50"/>
      <c r="H1452" s="12"/>
      <c r="K1452"/>
    </row>
    <row r="1453" spans="5:11" x14ac:dyDescent="0.2">
      <c r="E1453" s="50"/>
      <c r="H1453" s="12"/>
      <c r="K1453"/>
    </row>
    <row r="1454" spans="5:11" x14ac:dyDescent="0.2">
      <c r="E1454" s="50"/>
      <c r="H1454" s="12"/>
      <c r="K1454"/>
    </row>
    <row r="1455" spans="5:11" x14ac:dyDescent="0.2">
      <c r="E1455" s="50"/>
      <c r="H1455" s="12"/>
      <c r="K1455"/>
    </row>
    <row r="1456" spans="5:11" x14ac:dyDescent="0.2">
      <c r="E1456" s="50"/>
      <c r="H1456" s="12"/>
      <c r="K1456"/>
    </row>
    <row r="1457" spans="5:11" x14ac:dyDescent="0.2">
      <c r="E1457" s="50"/>
      <c r="H1457" s="12"/>
      <c r="K1457"/>
    </row>
    <row r="1458" spans="5:11" x14ac:dyDescent="0.2">
      <c r="E1458" s="50"/>
      <c r="H1458" s="12"/>
      <c r="K1458"/>
    </row>
    <row r="1459" spans="5:11" x14ac:dyDescent="0.2">
      <c r="E1459" s="50"/>
      <c r="H1459" s="12"/>
      <c r="K1459"/>
    </row>
    <row r="1460" spans="5:11" x14ac:dyDescent="0.2">
      <c r="E1460" s="50"/>
      <c r="H1460" s="12"/>
      <c r="K1460"/>
    </row>
    <row r="1461" spans="5:11" x14ac:dyDescent="0.2">
      <c r="E1461" s="50"/>
      <c r="H1461" s="12"/>
      <c r="K1461"/>
    </row>
    <row r="1462" spans="5:11" x14ac:dyDescent="0.2">
      <c r="E1462" s="50"/>
      <c r="H1462" s="12"/>
      <c r="K1462"/>
    </row>
    <row r="1463" spans="5:11" x14ac:dyDescent="0.2">
      <c r="E1463" s="50"/>
      <c r="H1463" s="12"/>
      <c r="K1463"/>
    </row>
    <row r="1464" spans="5:11" x14ac:dyDescent="0.2">
      <c r="E1464" s="50"/>
      <c r="H1464" s="12"/>
      <c r="K1464"/>
    </row>
    <row r="1465" spans="5:11" x14ac:dyDescent="0.2">
      <c r="E1465" s="50"/>
      <c r="H1465" s="12"/>
      <c r="K1465"/>
    </row>
    <row r="1466" spans="5:11" x14ac:dyDescent="0.2">
      <c r="E1466" s="50"/>
      <c r="H1466" s="12"/>
      <c r="K1466"/>
    </row>
    <row r="1467" spans="5:11" x14ac:dyDescent="0.2">
      <c r="E1467" s="50"/>
      <c r="H1467" s="12"/>
      <c r="K1467"/>
    </row>
    <row r="1468" spans="5:11" x14ac:dyDescent="0.2">
      <c r="E1468" s="50"/>
      <c r="H1468" s="12"/>
      <c r="K1468"/>
    </row>
    <row r="1469" spans="5:11" x14ac:dyDescent="0.2">
      <c r="E1469" s="50"/>
      <c r="H1469" s="12"/>
      <c r="K1469"/>
    </row>
    <row r="1470" spans="5:11" x14ac:dyDescent="0.2">
      <c r="E1470" s="50"/>
      <c r="H1470" s="12"/>
      <c r="K1470"/>
    </row>
    <row r="1471" spans="5:11" x14ac:dyDescent="0.2">
      <c r="E1471" s="50"/>
      <c r="H1471" s="12"/>
      <c r="K1471"/>
    </row>
    <row r="1472" spans="5:11" x14ac:dyDescent="0.2">
      <c r="E1472" s="50"/>
      <c r="H1472" s="12"/>
      <c r="K1472"/>
    </row>
    <row r="1473" spans="5:11" x14ac:dyDescent="0.2">
      <c r="E1473" s="50"/>
      <c r="H1473" s="12"/>
      <c r="K1473"/>
    </row>
    <row r="1474" spans="5:11" x14ac:dyDescent="0.2">
      <c r="E1474" s="50"/>
      <c r="H1474" s="12"/>
      <c r="K1474"/>
    </row>
    <row r="1475" spans="5:11" x14ac:dyDescent="0.2">
      <c r="E1475" s="50"/>
      <c r="H1475" s="12"/>
      <c r="K1475"/>
    </row>
    <row r="1476" spans="5:11" x14ac:dyDescent="0.2">
      <c r="E1476" s="50"/>
      <c r="H1476" s="12"/>
      <c r="K1476"/>
    </row>
    <row r="1477" spans="5:11" x14ac:dyDescent="0.2">
      <c r="E1477" s="50"/>
      <c r="H1477" s="12"/>
      <c r="K1477"/>
    </row>
    <row r="1478" spans="5:11" x14ac:dyDescent="0.2">
      <c r="E1478" s="50"/>
      <c r="H1478" s="12"/>
      <c r="K1478"/>
    </row>
    <row r="1479" spans="5:11" x14ac:dyDescent="0.2">
      <c r="E1479" s="50"/>
      <c r="H1479" s="12"/>
      <c r="K1479"/>
    </row>
    <row r="1480" spans="5:11" x14ac:dyDescent="0.2">
      <c r="E1480" s="50"/>
      <c r="H1480" s="12"/>
      <c r="K1480"/>
    </row>
    <row r="1481" spans="5:11" x14ac:dyDescent="0.2">
      <c r="E1481" s="50"/>
      <c r="H1481" s="12"/>
      <c r="K1481"/>
    </row>
    <row r="1482" spans="5:11" x14ac:dyDescent="0.2">
      <c r="E1482" s="50"/>
      <c r="H1482" s="12"/>
      <c r="K1482"/>
    </row>
    <row r="1483" spans="5:11" x14ac:dyDescent="0.2">
      <c r="E1483" s="50"/>
      <c r="H1483" s="12"/>
      <c r="K1483"/>
    </row>
    <row r="1484" spans="5:11" x14ac:dyDescent="0.2">
      <c r="E1484" s="50"/>
      <c r="H1484" s="12"/>
      <c r="K1484"/>
    </row>
    <row r="1485" spans="5:11" x14ac:dyDescent="0.2">
      <c r="E1485" s="50"/>
      <c r="H1485" s="12"/>
      <c r="K1485"/>
    </row>
    <row r="1486" spans="5:11" x14ac:dyDescent="0.2">
      <c r="E1486" s="50"/>
      <c r="H1486" s="12"/>
      <c r="K1486"/>
    </row>
    <row r="1487" spans="5:11" x14ac:dyDescent="0.2">
      <c r="E1487" s="50"/>
      <c r="H1487" s="12"/>
      <c r="K1487"/>
    </row>
    <row r="1488" spans="5:11" x14ac:dyDescent="0.2">
      <c r="E1488" s="50"/>
      <c r="H1488" s="12"/>
      <c r="K1488"/>
    </row>
    <row r="1489" spans="5:11" x14ac:dyDescent="0.2">
      <c r="E1489" s="50"/>
      <c r="H1489" s="12"/>
      <c r="K1489"/>
    </row>
    <row r="1490" spans="5:11" x14ac:dyDescent="0.2">
      <c r="E1490" s="50"/>
      <c r="H1490" s="12"/>
      <c r="K1490"/>
    </row>
    <row r="1491" spans="5:11" x14ac:dyDescent="0.2">
      <c r="E1491" s="50"/>
      <c r="H1491" s="12"/>
      <c r="K1491"/>
    </row>
    <row r="1492" spans="5:11" x14ac:dyDescent="0.2">
      <c r="E1492" s="50"/>
      <c r="H1492" s="12"/>
      <c r="K1492"/>
    </row>
    <row r="1493" spans="5:11" x14ac:dyDescent="0.2">
      <c r="E1493" s="50"/>
      <c r="H1493" s="12"/>
      <c r="K1493"/>
    </row>
    <row r="1494" spans="5:11" x14ac:dyDescent="0.2">
      <c r="E1494" s="50"/>
      <c r="H1494" s="12"/>
      <c r="K1494"/>
    </row>
    <row r="1495" spans="5:11" x14ac:dyDescent="0.2">
      <c r="E1495" s="50"/>
      <c r="H1495" s="12"/>
      <c r="K1495"/>
    </row>
    <row r="1496" spans="5:11" x14ac:dyDescent="0.2">
      <c r="E1496" s="50"/>
      <c r="H1496" s="12"/>
      <c r="K1496"/>
    </row>
    <row r="1497" spans="5:11" x14ac:dyDescent="0.2">
      <c r="E1497" s="50"/>
      <c r="H1497" s="12"/>
      <c r="K1497"/>
    </row>
    <row r="1498" spans="5:11" x14ac:dyDescent="0.2">
      <c r="E1498" s="50"/>
      <c r="H1498" s="12"/>
      <c r="K1498"/>
    </row>
    <row r="1499" spans="5:11" x14ac:dyDescent="0.2">
      <c r="E1499" s="50"/>
      <c r="H1499" s="12"/>
      <c r="K1499"/>
    </row>
    <row r="1500" spans="5:11" x14ac:dyDescent="0.2">
      <c r="E1500" s="50"/>
      <c r="H1500" s="12"/>
      <c r="K1500"/>
    </row>
    <row r="1501" spans="5:11" x14ac:dyDescent="0.2">
      <c r="E1501" s="50"/>
      <c r="H1501" s="12"/>
      <c r="K1501"/>
    </row>
    <row r="1502" spans="5:11" x14ac:dyDescent="0.2">
      <c r="E1502" s="50"/>
      <c r="H1502" s="12"/>
      <c r="K1502"/>
    </row>
    <row r="1503" spans="5:11" x14ac:dyDescent="0.2">
      <c r="E1503" s="50"/>
      <c r="H1503" s="12"/>
      <c r="K1503"/>
    </row>
    <row r="1504" spans="5:11" x14ac:dyDescent="0.2">
      <c r="E1504" s="50"/>
      <c r="H1504" s="12"/>
      <c r="K1504"/>
    </row>
    <row r="1505" spans="5:11" x14ac:dyDescent="0.2">
      <c r="E1505" s="50"/>
      <c r="H1505" s="12"/>
      <c r="K1505"/>
    </row>
    <row r="1506" spans="5:11" x14ac:dyDescent="0.2">
      <c r="E1506" s="50"/>
      <c r="H1506" s="12"/>
      <c r="K1506"/>
    </row>
    <row r="1507" spans="5:11" x14ac:dyDescent="0.2">
      <c r="E1507" s="50"/>
      <c r="H1507" s="12"/>
      <c r="K1507"/>
    </row>
    <row r="1508" spans="5:11" x14ac:dyDescent="0.2">
      <c r="E1508" s="50"/>
      <c r="H1508" s="12"/>
      <c r="K1508"/>
    </row>
    <row r="1509" spans="5:11" x14ac:dyDescent="0.2">
      <c r="E1509" s="50"/>
      <c r="H1509" s="12"/>
      <c r="K1509"/>
    </row>
    <row r="1510" spans="5:11" x14ac:dyDescent="0.2">
      <c r="E1510" s="50"/>
      <c r="H1510" s="12"/>
      <c r="K1510"/>
    </row>
    <row r="1511" spans="5:11" x14ac:dyDescent="0.2">
      <c r="E1511" s="50"/>
      <c r="H1511" s="12"/>
      <c r="K1511"/>
    </row>
    <row r="1512" spans="5:11" x14ac:dyDescent="0.2">
      <c r="E1512" s="50"/>
      <c r="H1512" s="12"/>
      <c r="K1512"/>
    </row>
    <row r="1513" spans="5:11" x14ac:dyDescent="0.2">
      <c r="E1513" s="50"/>
      <c r="H1513" s="12"/>
      <c r="K1513"/>
    </row>
    <row r="1514" spans="5:11" x14ac:dyDescent="0.2">
      <c r="E1514" s="50"/>
      <c r="H1514" s="12"/>
      <c r="K1514"/>
    </row>
    <row r="1515" spans="5:11" x14ac:dyDescent="0.2">
      <c r="E1515" s="50"/>
      <c r="H1515" s="12"/>
      <c r="K1515"/>
    </row>
    <row r="1516" spans="5:11" x14ac:dyDescent="0.2">
      <c r="E1516" s="50"/>
      <c r="H1516" s="12"/>
      <c r="K1516"/>
    </row>
    <row r="1517" spans="5:11" x14ac:dyDescent="0.2">
      <c r="E1517" s="50"/>
      <c r="H1517" s="12"/>
      <c r="K1517"/>
    </row>
    <row r="1518" spans="5:11" x14ac:dyDescent="0.2">
      <c r="E1518" s="50"/>
      <c r="H1518" s="12"/>
      <c r="K1518"/>
    </row>
    <row r="1519" spans="5:11" x14ac:dyDescent="0.2">
      <c r="E1519" s="50"/>
      <c r="H1519" s="12"/>
      <c r="K1519"/>
    </row>
    <row r="1520" spans="5:11" x14ac:dyDescent="0.2">
      <c r="E1520" s="50"/>
      <c r="H1520" s="12"/>
      <c r="K1520"/>
    </row>
    <row r="1521" spans="5:11" x14ac:dyDescent="0.2">
      <c r="E1521" s="50"/>
      <c r="H1521" s="12"/>
      <c r="K1521"/>
    </row>
    <row r="1522" spans="5:11" x14ac:dyDescent="0.2">
      <c r="E1522" s="50"/>
      <c r="H1522" s="12"/>
      <c r="K1522"/>
    </row>
    <row r="1523" spans="5:11" x14ac:dyDescent="0.2">
      <c r="E1523" s="50"/>
      <c r="H1523" s="12"/>
      <c r="K1523"/>
    </row>
    <row r="1524" spans="5:11" x14ac:dyDescent="0.2">
      <c r="E1524" s="50"/>
      <c r="H1524" s="12"/>
      <c r="K1524"/>
    </row>
    <row r="1525" spans="5:11" x14ac:dyDescent="0.2">
      <c r="E1525" s="50"/>
      <c r="H1525" s="12"/>
      <c r="K1525"/>
    </row>
    <row r="1526" spans="5:11" x14ac:dyDescent="0.2">
      <c r="E1526" s="50"/>
      <c r="H1526" s="12"/>
      <c r="K1526"/>
    </row>
    <row r="1527" spans="5:11" x14ac:dyDescent="0.2">
      <c r="E1527" s="50"/>
      <c r="H1527" s="12"/>
      <c r="K1527"/>
    </row>
    <row r="1528" spans="5:11" x14ac:dyDescent="0.2">
      <c r="E1528" s="50"/>
      <c r="H1528" s="12"/>
      <c r="K1528"/>
    </row>
    <row r="1529" spans="5:11" x14ac:dyDescent="0.2">
      <c r="E1529" s="50"/>
      <c r="H1529" s="12"/>
      <c r="K1529"/>
    </row>
    <row r="1530" spans="5:11" x14ac:dyDescent="0.2">
      <c r="E1530" s="50"/>
      <c r="H1530" s="12"/>
      <c r="K1530"/>
    </row>
    <row r="1531" spans="5:11" x14ac:dyDescent="0.2">
      <c r="E1531" s="50"/>
      <c r="H1531" s="12"/>
      <c r="K1531"/>
    </row>
    <row r="1532" spans="5:11" x14ac:dyDescent="0.2">
      <c r="E1532" s="50"/>
      <c r="H1532" s="12"/>
      <c r="K1532"/>
    </row>
    <row r="1533" spans="5:11" x14ac:dyDescent="0.2">
      <c r="E1533" s="50"/>
      <c r="H1533" s="12"/>
      <c r="K1533"/>
    </row>
    <row r="1534" spans="5:11" x14ac:dyDescent="0.2">
      <c r="E1534" s="50"/>
      <c r="H1534" s="12"/>
      <c r="K1534"/>
    </row>
    <row r="1535" spans="5:11" x14ac:dyDescent="0.2">
      <c r="E1535" s="50"/>
      <c r="H1535" s="12"/>
      <c r="K1535"/>
    </row>
    <row r="1536" spans="5:11" x14ac:dyDescent="0.2">
      <c r="E1536" s="50"/>
      <c r="H1536" s="12"/>
      <c r="K1536"/>
    </row>
    <row r="1537" spans="5:11" x14ac:dyDescent="0.2">
      <c r="E1537" s="50"/>
      <c r="H1537" s="12"/>
      <c r="K1537"/>
    </row>
    <row r="1538" spans="5:11" x14ac:dyDescent="0.2">
      <c r="E1538" s="50"/>
      <c r="H1538" s="12"/>
      <c r="K1538"/>
    </row>
    <row r="1539" spans="5:11" x14ac:dyDescent="0.2">
      <c r="E1539" s="50"/>
      <c r="H1539" s="12"/>
      <c r="K1539"/>
    </row>
    <row r="1540" spans="5:11" x14ac:dyDescent="0.2">
      <c r="E1540" s="50"/>
      <c r="H1540" s="12"/>
      <c r="K1540"/>
    </row>
    <row r="1541" spans="5:11" x14ac:dyDescent="0.2">
      <c r="E1541" s="50"/>
      <c r="H1541" s="12"/>
      <c r="K1541"/>
    </row>
    <row r="1542" spans="5:11" x14ac:dyDescent="0.2">
      <c r="E1542" s="50"/>
      <c r="H1542" s="12"/>
      <c r="K1542"/>
    </row>
    <row r="1543" spans="5:11" x14ac:dyDescent="0.2">
      <c r="E1543" s="50"/>
      <c r="H1543" s="12"/>
      <c r="K1543"/>
    </row>
    <row r="1544" spans="5:11" x14ac:dyDescent="0.2">
      <c r="E1544" s="50"/>
      <c r="H1544" s="12"/>
      <c r="K1544"/>
    </row>
    <row r="1545" spans="5:11" x14ac:dyDescent="0.2">
      <c r="E1545" s="50"/>
      <c r="H1545" s="12"/>
      <c r="K1545"/>
    </row>
    <row r="1546" spans="5:11" x14ac:dyDescent="0.2">
      <c r="E1546" s="50"/>
      <c r="H1546" s="12"/>
      <c r="K1546"/>
    </row>
    <row r="1547" spans="5:11" x14ac:dyDescent="0.2">
      <c r="E1547" s="50"/>
      <c r="H1547" s="12"/>
      <c r="K1547"/>
    </row>
    <row r="1548" spans="5:11" x14ac:dyDescent="0.2">
      <c r="E1548" s="50"/>
      <c r="H1548" s="12"/>
      <c r="K1548"/>
    </row>
    <row r="1549" spans="5:11" x14ac:dyDescent="0.2">
      <c r="E1549" s="50"/>
      <c r="H1549" s="12"/>
      <c r="K1549"/>
    </row>
    <row r="1550" spans="5:11" x14ac:dyDescent="0.2">
      <c r="E1550" s="50"/>
      <c r="H1550" s="12"/>
      <c r="K1550"/>
    </row>
    <row r="1551" spans="5:11" x14ac:dyDescent="0.2">
      <c r="E1551" s="50"/>
      <c r="H1551" s="12"/>
      <c r="K1551"/>
    </row>
    <row r="1552" spans="5:11" x14ac:dyDescent="0.2">
      <c r="E1552" s="50"/>
      <c r="H1552" s="12"/>
      <c r="K1552"/>
    </row>
    <row r="1553" spans="5:11" x14ac:dyDescent="0.2">
      <c r="E1553" s="50"/>
      <c r="H1553" s="12"/>
      <c r="K1553"/>
    </row>
    <row r="1554" spans="5:11" x14ac:dyDescent="0.2">
      <c r="E1554" s="50"/>
      <c r="H1554" s="12"/>
      <c r="K1554"/>
    </row>
    <row r="1555" spans="5:11" x14ac:dyDescent="0.2">
      <c r="E1555" s="50"/>
      <c r="H1555" s="12"/>
      <c r="K1555"/>
    </row>
    <row r="1556" spans="5:11" x14ac:dyDescent="0.2">
      <c r="E1556" s="50"/>
      <c r="H1556" s="12"/>
      <c r="K1556"/>
    </row>
    <row r="1557" spans="5:11" x14ac:dyDescent="0.2">
      <c r="E1557" s="50"/>
      <c r="H1557" s="12"/>
      <c r="K1557"/>
    </row>
    <row r="1558" spans="5:11" x14ac:dyDescent="0.2">
      <c r="E1558" s="50"/>
      <c r="H1558" s="12"/>
      <c r="K1558"/>
    </row>
    <row r="1559" spans="5:11" x14ac:dyDescent="0.2">
      <c r="E1559" s="50"/>
      <c r="H1559" s="12"/>
      <c r="K1559"/>
    </row>
    <row r="1560" spans="5:11" x14ac:dyDescent="0.2">
      <c r="E1560" s="50"/>
      <c r="H1560" s="12"/>
      <c r="K1560"/>
    </row>
    <row r="1561" spans="5:11" x14ac:dyDescent="0.2">
      <c r="E1561" s="50"/>
      <c r="H1561" s="12"/>
      <c r="K1561"/>
    </row>
    <row r="1562" spans="5:11" x14ac:dyDescent="0.2">
      <c r="E1562" s="50"/>
      <c r="H1562" s="12"/>
      <c r="K1562"/>
    </row>
    <row r="1563" spans="5:11" x14ac:dyDescent="0.2">
      <c r="E1563" s="50"/>
      <c r="H1563" s="12"/>
      <c r="K1563"/>
    </row>
    <row r="1564" spans="5:11" x14ac:dyDescent="0.2">
      <c r="E1564" s="50"/>
      <c r="H1564" s="12"/>
      <c r="K1564"/>
    </row>
    <row r="1565" spans="5:11" x14ac:dyDescent="0.2">
      <c r="E1565" s="50"/>
      <c r="H1565" s="12"/>
      <c r="K1565"/>
    </row>
    <row r="1566" spans="5:11" x14ac:dyDescent="0.2">
      <c r="E1566" s="50"/>
      <c r="H1566" s="12"/>
      <c r="K1566"/>
    </row>
    <row r="1567" spans="5:11" x14ac:dyDescent="0.2">
      <c r="E1567" s="50"/>
      <c r="H1567" s="12"/>
      <c r="K1567"/>
    </row>
    <row r="1568" spans="5:11" x14ac:dyDescent="0.2">
      <c r="E1568" s="50"/>
      <c r="H1568" s="12"/>
      <c r="K1568"/>
    </row>
    <row r="1569" spans="5:11" x14ac:dyDescent="0.2">
      <c r="E1569" s="50"/>
      <c r="H1569" s="12"/>
      <c r="K1569"/>
    </row>
    <row r="1570" spans="5:11" x14ac:dyDescent="0.2">
      <c r="E1570" s="50"/>
      <c r="H1570" s="12"/>
      <c r="K1570"/>
    </row>
    <row r="1571" spans="5:11" x14ac:dyDescent="0.2">
      <c r="E1571" s="50"/>
      <c r="H1571" s="12"/>
      <c r="K1571"/>
    </row>
    <row r="1572" spans="5:11" x14ac:dyDescent="0.2">
      <c r="E1572" s="50"/>
      <c r="H1572" s="12"/>
      <c r="K1572"/>
    </row>
    <row r="1573" spans="5:11" x14ac:dyDescent="0.2">
      <c r="E1573" s="50"/>
      <c r="H1573" s="12"/>
      <c r="K1573"/>
    </row>
    <row r="1574" spans="5:11" x14ac:dyDescent="0.2">
      <c r="E1574" s="50"/>
      <c r="H1574" s="12"/>
      <c r="K1574"/>
    </row>
    <row r="1575" spans="5:11" x14ac:dyDescent="0.2">
      <c r="E1575" s="50"/>
      <c r="H1575" s="12"/>
      <c r="K1575"/>
    </row>
    <row r="1576" spans="5:11" x14ac:dyDescent="0.2">
      <c r="E1576" s="50"/>
      <c r="H1576" s="12"/>
      <c r="K1576"/>
    </row>
    <row r="1577" spans="5:11" x14ac:dyDescent="0.2">
      <c r="E1577" s="50"/>
      <c r="H1577" s="12"/>
      <c r="K1577"/>
    </row>
    <row r="1578" spans="5:11" x14ac:dyDescent="0.2">
      <c r="E1578" s="50"/>
      <c r="H1578" s="12"/>
      <c r="K1578"/>
    </row>
    <row r="1579" spans="5:11" x14ac:dyDescent="0.2">
      <c r="E1579" s="50"/>
      <c r="H1579" s="12"/>
      <c r="K1579"/>
    </row>
    <row r="1580" spans="5:11" x14ac:dyDescent="0.2">
      <c r="E1580" s="50"/>
      <c r="H1580" s="12"/>
      <c r="K1580"/>
    </row>
    <row r="1581" spans="5:11" x14ac:dyDescent="0.2">
      <c r="E1581" s="50"/>
      <c r="H1581" s="12"/>
      <c r="K1581"/>
    </row>
    <row r="1582" spans="5:11" x14ac:dyDescent="0.2">
      <c r="E1582" s="50"/>
      <c r="H1582" s="12"/>
      <c r="K1582"/>
    </row>
    <row r="1583" spans="5:11" x14ac:dyDescent="0.2">
      <c r="E1583" s="50"/>
      <c r="H1583" s="12"/>
      <c r="K1583"/>
    </row>
    <row r="1584" spans="5:11" x14ac:dyDescent="0.2">
      <c r="E1584" s="50"/>
      <c r="H1584" s="12"/>
      <c r="K1584"/>
    </row>
    <row r="1585" spans="5:11" x14ac:dyDescent="0.2">
      <c r="E1585" s="50"/>
      <c r="H1585" s="12"/>
      <c r="K1585"/>
    </row>
    <row r="1586" spans="5:11" x14ac:dyDescent="0.2">
      <c r="E1586" s="50"/>
      <c r="H1586" s="12"/>
      <c r="K1586"/>
    </row>
    <row r="1587" spans="5:11" x14ac:dyDescent="0.2">
      <c r="E1587" s="50"/>
      <c r="H1587" s="12"/>
      <c r="K1587"/>
    </row>
    <row r="1588" spans="5:11" x14ac:dyDescent="0.2">
      <c r="E1588" s="50"/>
      <c r="H1588" s="12"/>
      <c r="K1588"/>
    </row>
    <row r="1589" spans="5:11" x14ac:dyDescent="0.2">
      <c r="E1589" s="50"/>
      <c r="H1589" s="12"/>
      <c r="K1589"/>
    </row>
    <row r="1590" spans="5:11" x14ac:dyDescent="0.2">
      <c r="E1590" s="50"/>
      <c r="H1590" s="12"/>
      <c r="K1590"/>
    </row>
    <row r="1591" spans="5:11" x14ac:dyDescent="0.2">
      <c r="E1591" s="50"/>
      <c r="H1591" s="12"/>
      <c r="K1591"/>
    </row>
    <row r="1592" spans="5:11" x14ac:dyDescent="0.2">
      <c r="E1592" s="50"/>
      <c r="H1592" s="12"/>
      <c r="K1592"/>
    </row>
    <row r="1593" spans="5:11" x14ac:dyDescent="0.2">
      <c r="E1593" s="50"/>
      <c r="H1593" s="12"/>
      <c r="K1593"/>
    </row>
    <row r="1594" spans="5:11" x14ac:dyDescent="0.2">
      <c r="E1594" s="50"/>
      <c r="H1594" s="12"/>
      <c r="K1594"/>
    </row>
    <row r="1595" spans="5:11" x14ac:dyDescent="0.2">
      <c r="E1595" s="50"/>
      <c r="H1595" s="12"/>
      <c r="K1595"/>
    </row>
    <row r="1596" spans="5:11" x14ac:dyDescent="0.2">
      <c r="E1596" s="50"/>
      <c r="H1596" s="12"/>
      <c r="K1596"/>
    </row>
    <row r="1597" spans="5:11" x14ac:dyDescent="0.2">
      <c r="E1597" s="50"/>
      <c r="H1597" s="12"/>
      <c r="K1597"/>
    </row>
    <row r="1598" spans="5:11" x14ac:dyDescent="0.2">
      <c r="E1598" s="50"/>
      <c r="H1598" s="12"/>
      <c r="K1598"/>
    </row>
    <row r="1599" spans="5:11" x14ac:dyDescent="0.2">
      <c r="E1599" s="50"/>
      <c r="H1599" s="12"/>
      <c r="K1599"/>
    </row>
    <row r="1600" spans="5:11" x14ac:dyDescent="0.2">
      <c r="E1600" s="50"/>
      <c r="H1600" s="12"/>
      <c r="K1600"/>
    </row>
    <row r="1601" spans="5:11" x14ac:dyDescent="0.2">
      <c r="E1601" s="50"/>
      <c r="H1601" s="12"/>
      <c r="K1601"/>
    </row>
    <row r="1602" spans="5:11" x14ac:dyDescent="0.2">
      <c r="E1602" s="50"/>
      <c r="H1602" s="12"/>
      <c r="K1602"/>
    </row>
    <row r="1603" spans="5:11" x14ac:dyDescent="0.2">
      <c r="E1603" s="50"/>
      <c r="H1603" s="12"/>
      <c r="K1603"/>
    </row>
    <row r="1604" spans="5:11" x14ac:dyDescent="0.2">
      <c r="E1604" s="50"/>
      <c r="H1604" s="12"/>
      <c r="K1604"/>
    </row>
    <row r="1605" spans="5:11" x14ac:dyDescent="0.2">
      <c r="E1605" s="50"/>
      <c r="H1605" s="12"/>
      <c r="K1605"/>
    </row>
    <row r="1606" spans="5:11" x14ac:dyDescent="0.2">
      <c r="E1606" s="50"/>
      <c r="H1606" s="12"/>
      <c r="K1606"/>
    </row>
    <row r="1607" spans="5:11" x14ac:dyDescent="0.2">
      <c r="E1607" s="50"/>
      <c r="H1607" s="12"/>
      <c r="K1607"/>
    </row>
    <row r="1608" spans="5:11" x14ac:dyDescent="0.2">
      <c r="E1608" s="50"/>
      <c r="H1608" s="12"/>
      <c r="K1608"/>
    </row>
    <row r="1609" spans="5:11" x14ac:dyDescent="0.2">
      <c r="E1609" s="50"/>
      <c r="H1609" s="12"/>
      <c r="K1609"/>
    </row>
    <row r="1610" spans="5:11" x14ac:dyDescent="0.2">
      <c r="E1610" s="50"/>
      <c r="H1610" s="12"/>
      <c r="K1610"/>
    </row>
    <row r="1611" spans="5:11" x14ac:dyDescent="0.2">
      <c r="E1611" s="50"/>
      <c r="H1611" s="12"/>
      <c r="K1611"/>
    </row>
    <row r="1612" spans="5:11" x14ac:dyDescent="0.2">
      <c r="E1612" s="50"/>
      <c r="H1612" s="12"/>
      <c r="K1612"/>
    </row>
    <row r="1613" spans="5:11" x14ac:dyDescent="0.2">
      <c r="E1613" s="50"/>
      <c r="H1613" s="12"/>
      <c r="K1613"/>
    </row>
    <row r="1614" spans="5:11" x14ac:dyDescent="0.2">
      <c r="E1614" s="50"/>
      <c r="H1614" s="12"/>
      <c r="K1614"/>
    </row>
    <row r="1615" spans="5:11" x14ac:dyDescent="0.2">
      <c r="E1615" s="50"/>
      <c r="H1615" s="12"/>
      <c r="K1615"/>
    </row>
    <row r="1616" spans="5:11" x14ac:dyDescent="0.2">
      <c r="E1616" s="50"/>
      <c r="H1616" s="12"/>
      <c r="K1616"/>
    </row>
    <row r="1617" spans="5:11" x14ac:dyDescent="0.2">
      <c r="E1617" s="50"/>
      <c r="H1617" s="12"/>
      <c r="K1617"/>
    </row>
    <row r="1618" spans="5:11" x14ac:dyDescent="0.2">
      <c r="E1618" s="50"/>
      <c r="H1618" s="12"/>
      <c r="K1618"/>
    </row>
    <row r="1619" spans="5:11" x14ac:dyDescent="0.2">
      <c r="E1619" s="50"/>
      <c r="H1619" s="12"/>
      <c r="K1619"/>
    </row>
    <row r="1620" spans="5:11" x14ac:dyDescent="0.2">
      <c r="E1620" s="50"/>
      <c r="H1620" s="12"/>
      <c r="K1620"/>
    </row>
    <row r="1621" spans="5:11" x14ac:dyDescent="0.2">
      <c r="E1621" s="50"/>
      <c r="H1621" s="12"/>
      <c r="K1621"/>
    </row>
    <row r="1622" spans="5:11" x14ac:dyDescent="0.2">
      <c r="E1622" s="50"/>
      <c r="H1622" s="12"/>
      <c r="K1622"/>
    </row>
    <row r="1623" spans="5:11" x14ac:dyDescent="0.2">
      <c r="E1623" s="50"/>
      <c r="H1623" s="12"/>
      <c r="K1623"/>
    </row>
    <row r="1624" spans="5:11" x14ac:dyDescent="0.2">
      <c r="E1624" s="50"/>
      <c r="H1624" s="12"/>
      <c r="K1624"/>
    </row>
    <row r="1625" spans="5:11" x14ac:dyDescent="0.2">
      <c r="E1625" s="50"/>
      <c r="H1625" s="12"/>
      <c r="K1625"/>
    </row>
    <row r="1626" spans="5:11" x14ac:dyDescent="0.2">
      <c r="E1626" s="50"/>
      <c r="H1626" s="12"/>
      <c r="K1626"/>
    </row>
    <row r="1627" spans="5:11" x14ac:dyDescent="0.2">
      <c r="E1627" s="50"/>
      <c r="H1627" s="12"/>
      <c r="K1627"/>
    </row>
    <row r="1628" spans="5:11" x14ac:dyDescent="0.2">
      <c r="E1628" s="50"/>
      <c r="H1628" s="12"/>
      <c r="K1628"/>
    </row>
    <row r="1629" spans="5:11" x14ac:dyDescent="0.2">
      <c r="E1629" s="50"/>
      <c r="H1629" s="12"/>
      <c r="K1629"/>
    </row>
    <row r="1630" spans="5:11" x14ac:dyDescent="0.2">
      <c r="E1630" s="50"/>
      <c r="H1630" s="12"/>
      <c r="K1630"/>
    </row>
    <row r="1631" spans="5:11" x14ac:dyDescent="0.2">
      <c r="E1631" s="50"/>
      <c r="H1631" s="12"/>
      <c r="K1631"/>
    </row>
    <row r="1632" spans="5:11" x14ac:dyDescent="0.2">
      <c r="E1632" s="50"/>
      <c r="H1632" s="12"/>
      <c r="K1632"/>
    </row>
    <row r="1633" spans="5:11" x14ac:dyDescent="0.2">
      <c r="E1633" s="50"/>
      <c r="H1633" s="12"/>
      <c r="K1633"/>
    </row>
    <row r="1634" spans="5:11" x14ac:dyDescent="0.2">
      <c r="E1634" s="50"/>
      <c r="H1634" s="12"/>
      <c r="K1634"/>
    </row>
    <row r="1635" spans="5:11" x14ac:dyDescent="0.2">
      <c r="E1635" s="50"/>
      <c r="H1635" s="12"/>
      <c r="K1635"/>
    </row>
    <row r="1636" spans="5:11" x14ac:dyDescent="0.2">
      <c r="E1636" s="50"/>
      <c r="H1636" s="12"/>
      <c r="K1636"/>
    </row>
    <row r="1637" spans="5:11" x14ac:dyDescent="0.2">
      <c r="E1637" s="50"/>
      <c r="H1637" s="12"/>
      <c r="K1637"/>
    </row>
    <row r="1638" spans="5:11" x14ac:dyDescent="0.2">
      <c r="E1638" s="50"/>
      <c r="H1638" s="12"/>
      <c r="K1638"/>
    </row>
    <row r="1639" spans="5:11" x14ac:dyDescent="0.2">
      <c r="E1639" s="50"/>
      <c r="H1639" s="12"/>
      <c r="K1639"/>
    </row>
    <row r="1640" spans="5:11" x14ac:dyDescent="0.2">
      <c r="E1640" s="50"/>
      <c r="H1640" s="12"/>
      <c r="K1640"/>
    </row>
    <row r="1641" spans="5:11" x14ac:dyDescent="0.2">
      <c r="E1641" s="50"/>
      <c r="H1641" s="12"/>
      <c r="K1641"/>
    </row>
    <row r="1642" spans="5:11" x14ac:dyDescent="0.2">
      <c r="E1642" s="50"/>
      <c r="H1642" s="12"/>
      <c r="K1642"/>
    </row>
    <row r="1643" spans="5:11" x14ac:dyDescent="0.2">
      <c r="E1643" s="50"/>
      <c r="H1643" s="12"/>
      <c r="K1643"/>
    </row>
    <row r="1644" spans="5:11" x14ac:dyDescent="0.2">
      <c r="E1644" s="50"/>
      <c r="H1644" s="12"/>
      <c r="K1644"/>
    </row>
    <row r="1645" spans="5:11" x14ac:dyDescent="0.2">
      <c r="E1645" s="50"/>
      <c r="H1645" s="12"/>
      <c r="K1645"/>
    </row>
    <row r="1646" spans="5:11" x14ac:dyDescent="0.2">
      <c r="E1646" s="50"/>
      <c r="H1646" s="12"/>
      <c r="K1646"/>
    </row>
    <row r="1647" spans="5:11" x14ac:dyDescent="0.2">
      <c r="E1647" s="50"/>
      <c r="H1647" s="12"/>
      <c r="K1647"/>
    </row>
    <row r="1648" spans="5:11" x14ac:dyDescent="0.2">
      <c r="E1648" s="50"/>
      <c r="H1648" s="12"/>
      <c r="K1648"/>
    </row>
    <row r="1649" spans="5:11" x14ac:dyDescent="0.2">
      <c r="E1649" s="50"/>
      <c r="H1649" s="12"/>
      <c r="K1649"/>
    </row>
    <row r="1650" spans="5:11" x14ac:dyDescent="0.2">
      <c r="E1650" s="50"/>
      <c r="H1650" s="12"/>
      <c r="K1650"/>
    </row>
    <row r="1651" spans="5:11" x14ac:dyDescent="0.2">
      <c r="E1651" s="50"/>
      <c r="H1651" s="12"/>
      <c r="K1651"/>
    </row>
    <row r="1652" spans="5:11" x14ac:dyDescent="0.2">
      <c r="E1652" s="50"/>
      <c r="H1652" s="12"/>
      <c r="K1652"/>
    </row>
    <row r="1653" spans="5:11" x14ac:dyDescent="0.2">
      <c r="E1653" s="50"/>
      <c r="H1653" s="12"/>
      <c r="K1653"/>
    </row>
    <row r="1654" spans="5:11" x14ac:dyDescent="0.2">
      <c r="E1654" s="50"/>
      <c r="H1654" s="12"/>
      <c r="K1654"/>
    </row>
    <row r="1655" spans="5:11" x14ac:dyDescent="0.2">
      <c r="E1655" s="50"/>
      <c r="H1655" s="12"/>
      <c r="K1655"/>
    </row>
    <row r="1656" spans="5:11" x14ac:dyDescent="0.2">
      <c r="E1656" s="50"/>
      <c r="H1656" s="12"/>
      <c r="K1656"/>
    </row>
    <row r="1657" spans="5:11" x14ac:dyDescent="0.2">
      <c r="E1657" s="50"/>
      <c r="H1657" s="12"/>
      <c r="K1657"/>
    </row>
    <row r="1658" spans="5:11" x14ac:dyDescent="0.2">
      <c r="E1658" s="50"/>
      <c r="H1658" s="12"/>
      <c r="K1658"/>
    </row>
    <row r="1659" spans="5:11" x14ac:dyDescent="0.2">
      <c r="E1659" s="50"/>
      <c r="H1659" s="12"/>
      <c r="K1659"/>
    </row>
    <row r="1660" spans="5:11" x14ac:dyDescent="0.2">
      <c r="E1660" s="50"/>
      <c r="H1660" s="12"/>
      <c r="K1660"/>
    </row>
    <row r="1661" spans="5:11" x14ac:dyDescent="0.2">
      <c r="E1661" s="50"/>
      <c r="H1661" s="12"/>
      <c r="K1661"/>
    </row>
    <row r="1662" spans="5:11" x14ac:dyDescent="0.2">
      <c r="E1662" s="50"/>
      <c r="H1662" s="12"/>
      <c r="K1662"/>
    </row>
    <row r="1663" spans="5:11" x14ac:dyDescent="0.2">
      <c r="E1663" s="50"/>
      <c r="H1663" s="12"/>
      <c r="K1663"/>
    </row>
    <row r="1664" spans="5:11" x14ac:dyDescent="0.2">
      <c r="E1664" s="50"/>
      <c r="H1664" s="12"/>
      <c r="K1664"/>
    </row>
    <row r="1665" spans="5:11" x14ac:dyDescent="0.2">
      <c r="E1665" s="50"/>
      <c r="H1665" s="12"/>
      <c r="K1665"/>
    </row>
    <row r="1666" spans="5:11" x14ac:dyDescent="0.2">
      <c r="E1666" s="50"/>
      <c r="H1666" s="12"/>
      <c r="K1666"/>
    </row>
    <row r="1667" spans="5:11" x14ac:dyDescent="0.2">
      <c r="E1667" s="50"/>
      <c r="H1667" s="12"/>
      <c r="K1667"/>
    </row>
    <row r="1668" spans="5:11" x14ac:dyDescent="0.2">
      <c r="E1668" s="50"/>
      <c r="H1668" s="12"/>
      <c r="K1668"/>
    </row>
    <row r="1669" spans="5:11" x14ac:dyDescent="0.2">
      <c r="E1669" s="50"/>
      <c r="H1669" s="12"/>
      <c r="K1669"/>
    </row>
    <row r="1670" spans="5:11" x14ac:dyDescent="0.2">
      <c r="E1670" s="50"/>
      <c r="H1670" s="12"/>
      <c r="K1670"/>
    </row>
    <row r="1671" spans="5:11" x14ac:dyDescent="0.2">
      <c r="E1671" s="50"/>
      <c r="H1671" s="12"/>
      <c r="K1671"/>
    </row>
    <row r="1672" spans="5:11" x14ac:dyDescent="0.2">
      <c r="E1672" s="50"/>
      <c r="H1672" s="12"/>
      <c r="K1672"/>
    </row>
    <row r="1673" spans="5:11" x14ac:dyDescent="0.2">
      <c r="E1673" s="50"/>
      <c r="H1673" s="12"/>
      <c r="K1673"/>
    </row>
    <row r="1674" spans="5:11" x14ac:dyDescent="0.2">
      <c r="E1674" s="50"/>
      <c r="H1674" s="12"/>
      <c r="K1674"/>
    </row>
    <row r="1675" spans="5:11" x14ac:dyDescent="0.2">
      <c r="E1675" s="50"/>
      <c r="H1675" s="12"/>
      <c r="K1675"/>
    </row>
    <row r="1676" spans="5:11" x14ac:dyDescent="0.2">
      <c r="E1676" s="50"/>
      <c r="H1676" s="12"/>
      <c r="K1676"/>
    </row>
    <row r="1677" spans="5:11" x14ac:dyDescent="0.2">
      <c r="E1677" s="50"/>
      <c r="H1677" s="12"/>
      <c r="K1677"/>
    </row>
    <row r="1678" spans="5:11" x14ac:dyDescent="0.2">
      <c r="E1678" s="50"/>
      <c r="H1678" s="12"/>
      <c r="K1678"/>
    </row>
    <row r="1679" spans="5:11" x14ac:dyDescent="0.2">
      <c r="E1679" s="50"/>
      <c r="H1679" s="12"/>
      <c r="K1679"/>
    </row>
    <row r="1680" spans="5:11" x14ac:dyDescent="0.2">
      <c r="E1680" s="50"/>
      <c r="H1680" s="12"/>
      <c r="K1680"/>
    </row>
    <row r="1681" spans="5:11" x14ac:dyDescent="0.2">
      <c r="E1681" s="50"/>
      <c r="H1681" s="12"/>
      <c r="K1681"/>
    </row>
    <row r="1682" spans="5:11" x14ac:dyDescent="0.2">
      <c r="E1682" s="50"/>
      <c r="H1682" s="12"/>
      <c r="K1682"/>
    </row>
    <row r="1683" spans="5:11" x14ac:dyDescent="0.2">
      <c r="E1683" s="50"/>
      <c r="H1683" s="12"/>
      <c r="K1683"/>
    </row>
    <row r="1684" spans="5:11" x14ac:dyDescent="0.2">
      <c r="E1684" s="50"/>
      <c r="H1684" s="12"/>
      <c r="K1684"/>
    </row>
    <row r="1685" spans="5:11" x14ac:dyDescent="0.2">
      <c r="E1685" s="50"/>
      <c r="H1685" s="12"/>
      <c r="K1685"/>
    </row>
    <row r="1686" spans="5:11" x14ac:dyDescent="0.2">
      <c r="E1686" s="50"/>
      <c r="H1686" s="12"/>
      <c r="K1686"/>
    </row>
    <row r="1687" spans="5:11" x14ac:dyDescent="0.2">
      <c r="E1687" s="50"/>
      <c r="H1687" s="12"/>
      <c r="K1687"/>
    </row>
    <row r="1688" spans="5:11" x14ac:dyDescent="0.2">
      <c r="E1688" s="50"/>
      <c r="H1688" s="12"/>
      <c r="K1688"/>
    </row>
    <row r="1689" spans="5:11" x14ac:dyDescent="0.2">
      <c r="E1689" s="50"/>
      <c r="H1689" s="12"/>
      <c r="K1689"/>
    </row>
    <row r="1690" spans="5:11" x14ac:dyDescent="0.2">
      <c r="E1690" s="50"/>
      <c r="H1690" s="12"/>
      <c r="K1690"/>
    </row>
    <row r="1691" spans="5:11" x14ac:dyDescent="0.2">
      <c r="E1691" s="50"/>
      <c r="H1691" s="12"/>
      <c r="K1691"/>
    </row>
    <row r="1692" spans="5:11" x14ac:dyDescent="0.2">
      <c r="E1692" s="50"/>
      <c r="H1692" s="12"/>
      <c r="K1692"/>
    </row>
    <row r="1693" spans="5:11" x14ac:dyDescent="0.2">
      <c r="E1693" s="50"/>
      <c r="H1693" s="12"/>
      <c r="K1693"/>
    </row>
    <row r="1694" spans="5:11" x14ac:dyDescent="0.2">
      <c r="E1694" s="50"/>
      <c r="H1694" s="12"/>
      <c r="K1694"/>
    </row>
    <row r="1695" spans="5:11" x14ac:dyDescent="0.2">
      <c r="E1695" s="50"/>
      <c r="H1695" s="12"/>
      <c r="K1695"/>
    </row>
    <row r="1696" spans="5:11" x14ac:dyDescent="0.2">
      <c r="E1696" s="50"/>
      <c r="H1696" s="12"/>
      <c r="K1696"/>
    </row>
    <row r="1697" spans="5:11" x14ac:dyDescent="0.2">
      <c r="E1697" s="50"/>
      <c r="H1697" s="12"/>
      <c r="K1697"/>
    </row>
    <row r="1698" spans="5:11" x14ac:dyDescent="0.2">
      <c r="E1698" s="50"/>
      <c r="H1698" s="12"/>
      <c r="K1698"/>
    </row>
    <row r="1699" spans="5:11" x14ac:dyDescent="0.2">
      <c r="E1699" s="50"/>
      <c r="H1699" s="12"/>
      <c r="K1699"/>
    </row>
    <row r="1700" spans="5:11" x14ac:dyDescent="0.2">
      <c r="E1700" s="50"/>
      <c r="H1700" s="12"/>
      <c r="K1700"/>
    </row>
    <row r="1701" spans="5:11" x14ac:dyDescent="0.2">
      <c r="E1701" s="50"/>
      <c r="H1701" s="12"/>
      <c r="K1701"/>
    </row>
    <row r="1702" spans="5:11" x14ac:dyDescent="0.2">
      <c r="E1702" s="50"/>
      <c r="H1702" s="12"/>
      <c r="K1702"/>
    </row>
    <row r="1703" spans="5:11" x14ac:dyDescent="0.2">
      <c r="E1703" s="50"/>
      <c r="H1703" s="12"/>
      <c r="K1703"/>
    </row>
    <row r="1704" spans="5:11" x14ac:dyDescent="0.2">
      <c r="E1704" s="50"/>
      <c r="H1704" s="12"/>
      <c r="K1704"/>
    </row>
    <row r="1705" spans="5:11" x14ac:dyDescent="0.2">
      <c r="E1705" s="50"/>
      <c r="H1705" s="12"/>
      <c r="K1705"/>
    </row>
    <row r="1706" spans="5:11" x14ac:dyDescent="0.2">
      <c r="E1706" s="50"/>
      <c r="H1706" s="12"/>
      <c r="K1706"/>
    </row>
    <row r="1707" spans="5:11" x14ac:dyDescent="0.2">
      <c r="E1707" s="50"/>
      <c r="H1707" s="12"/>
      <c r="K1707"/>
    </row>
    <row r="1708" spans="5:11" x14ac:dyDescent="0.2">
      <c r="E1708" s="50"/>
      <c r="H1708" s="12"/>
      <c r="K1708"/>
    </row>
    <row r="1709" spans="5:11" x14ac:dyDescent="0.2">
      <c r="E1709" s="50"/>
      <c r="H1709" s="12"/>
      <c r="K1709"/>
    </row>
    <row r="1710" spans="5:11" x14ac:dyDescent="0.2">
      <c r="E1710" s="50"/>
      <c r="H1710" s="12"/>
      <c r="K1710"/>
    </row>
    <row r="1711" spans="5:11" x14ac:dyDescent="0.2">
      <c r="E1711" s="50"/>
      <c r="H1711" s="12"/>
      <c r="K1711"/>
    </row>
    <row r="1712" spans="5:11" x14ac:dyDescent="0.2">
      <c r="E1712" s="50"/>
      <c r="H1712" s="12"/>
      <c r="K1712"/>
    </row>
    <row r="1713" spans="5:11" x14ac:dyDescent="0.2">
      <c r="E1713" s="50"/>
      <c r="H1713" s="12"/>
      <c r="K1713"/>
    </row>
    <row r="1714" spans="5:11" x14ac:dyDescent="0.2">
      <c r="E1714" s="50"/>
      <c r="H1714" s="12"/>
      <c r="K1714"/>
    </row>
    <row r="1715" spans="5:11" x14ac:dyDescent="0.2">
      <c r="E1715" s="50"/>
      <c r="H1715" s="12"/>
      <c r="K1715"/>
    </row>
    <row r="1716" spans="5:11" x14ac:dyDescent="0.2">
      <c r="E1716" s="50"/>
      <c r="H1716" s="12"/>
      <c r="K1716"/>
    </row>
    <row r="1717" spans="5:11" x14ac:dyDescent="0.2">
      <c r="E1717" s="50"/>
      <c r="H1717" s="12"/>
      <c r="K1717"/>
    </row>
    <row r="1718" spans="5:11" x14ac:dyDescent="0.2">
      <c r="E1718" s="50"/>
      <c r="H1718" s="12"/>
      <c r="K1718"/>
    </row>
    <row r="1719" spans="5:11" x14ac:dyDescent="0.2">
      <c r="E1719" s="50"/>
      <c r="H1719" s="12"/>
      <c r="K1719"/>
    </row>
    <row r="1720" spans="5:11" x14ac:dyDescent="0.2">
      <c r="E1720" s="50"/>
      <c r="H1720" s="12"/>
      <c r="K1720"/>
    </row>
    <row r="1721" spans="5:11" x14ac:dyDescent="0.2">
      <c r="E1721" s="50"/>
      <c r="H1721" s="12"/>
      <c r="K1721"/>
    </row>
    <row r="1722" spans="5:11" x14ac:dyDescent="0.2">
      <c r="E1722" s="50"/>
      <c r="H1722" s="12"/>
      <c r="K1722"/>
    </row>
    <row r="1723" spans="5:11" x14ac:dyDescent="0.2">
      <c r="E1723" s="50"/>
      <c r="H1723" s="12"/>
      <c r="K1723"/>
    </row>
    <row r="1724" spans="5:11" x14ac:dyDescent="0.2">
      <c r="E1724" s="50"/>
      <c r="H1724" s="12"/>
      <c r="K1724"/>
    </row>
    <row r="1725" spans="5:11" x14ac:dyDescent="0.2">
      <c r="E1725" s="50"/>
      <c r="H1725" s="12"/>
      <c r="K1725"/>
    </row>
    <row r="1726" spans="5:11" x14ac:dyDescent="0.2">
      <c r="E1726" s="50"/>
      <c r="H1726" s="12"/>
      <c r="K1726"/>
    </row>
    <row r="1727" spans="5:11" x14ac:dyDescent="0.2">
      <c r="E1727" s="50"/>
      <c r="H1727" s="12"/>
      <c r="K1727"/>
    </row>
    <row r="1728" spans="5:11" x14ac:dyDescent="0.2">
      <c r="E1728" s="50"/>
      <c r="H1728" s="12"/>
      <c r="K1728"/>
    </row>
    <row r="1729" spans="5:11" x14ac:dyDescent="0.2">
      <c r="E1729" s="50"/>
      <c r="H1729" s="12"/>
      <c r="K1729"/>
    </row>
    <row r="1730" spans="5:11" x14ac:dyDescent="0.2">
      <c r="E1730" s="50"/>
      <c r="H1730" s="12"/>
      <c r="K1730"/>
    </row>
    <row r="1731" spans="5:11" x14ac:dyDescent="0.2">
      <c r="E1731" s="50"/>
      <c r="H1731" s="12"/>
      <c r="K1731"/>
    </row>
    <row r="1732" spans="5:11" x14ac:dyDescent="0.2">
      <c r="E1732" s="50"/>
      <c r="H1732" s="12"/>
      <c r="K1732"/>
    </row>
    <row r="1733" spans="5:11" x14ac:dyDescent="0.2">
      <c r="E1733" s="50"/>
      <c r="H1733" s="12"/>
      <c r="K1733"/>
    </row>
    <row r="1734" spans="5:11" x14ac:dyDescent="0.2">
      <c r="E1734" s="50"/>
      <c r="H1734" s="12"/>
      <c r="K1734"/>
    </row>
    <row r="1735" spans="5:11" x14ac:dyDescent="0.2">
      <c r="E1735" s="50"/>
      <c r="H1735" s="12"/>
      <c r="K1735"/>
    </row>
    <row r="1736" spans="5:11" x14ac:dyDescent="0.2">
      <c r="E1736" s="50"/>
      <c r="H1736" s="12"/>
      <c r="K1736"/>
    </row>
    <row r="1737" spans="5:11" x14ac:dyDescent="0.2">
      <c r="E1737" s="50"/>
      <c r="H1737" s="12"/>
      <c r="K1737"/>
    </row>
    <row r="1738" spans="5:11" x14ac:dyDescent="0.2">
      <c r="E1738" s="50"/>
      <c r="H1738" s="12"/>
      <c r="K1738"/>
    </row>
    <row r="1739" spans="5:11" x14ac:dyDescent="0.2">
      <c r="E1739" s="50"/>
      <c r="H1739" s="12"/>
      <c r="K1739"/>
    </row>
    <row r="1740" spans="5:11" x14ac:dyDescent="0.2">
      <c r="E1740" s="50"/>
      <c r="H1740" s="12"/>
      <c r="K1740"/>
    </row>
    <row r="1741" spans="5:11" x14ac:dyDescent="0.2">
      <c r="E1741" s="50"/>
      <c r="H1741" s="12"/>
      <c r="K1741"/>
    </row>
    <row r="1742" spans="5:11" x14ac:dyDescent="0.2">
      <c r="E1742" s="50"/>
      <c r="H1742" s="12"/>
      <c r="K1742"/>
    </row>
    <row r="1743" spans="5:11" x14ac:dyDescent="0.2">
      <c r="E1743" s="50"/>
      <c r="H1743" s="12"/>
      <c r="K1743"/>
    </row>
    <row r="1744" spans="5:11" x14ac:dyDescent="0.2">
      <c r="E1744" s="50"/>
      <c r="H1744" s="12"/>
      <c r="K1744"/>
    </row>
    <row r="1745" spans="5:11" x14ac:dyDescent="0.2">
      <c r="E1745" s="50"/>
      <c r="H1745" s="12"/>
      <c r="K1745"/>
    </row>
    <row r="1746" spans="5:11" x14ac:dyDescent="0.2">
      <c r="E1746" s="50"/>
      <c r="H1746" s="12"/>
      <c r="K1746"/>
    </row>
    <row r="1747" spans="5:11" x14ac:dyDescent="0.2">
      <c r="E1747" s="50"/>
      <c r="H1747" s="12"/>
      <c r="K1747"/>
    </row>
    <row r="1748" spans="5:11" x14ac:dyDescent="0.2">
      <c r="E1748" s="50"/>
      <c r="H1748" s="12"/>
      <c r="K1748"/>
    </row>
    <row r="1749" spans="5:11" x14ac:dyDescent="0.2">
      <c r="E1749" s="50"/>
      <c r="H1749" s="12"/>
      <c r="K1749"/>
    </row>
    <row r="1750" spans="5:11" x14ac:dyDescent="0.2">
      <c r="E1750" s="50"/>
      <c r="H1750" s="12"/>
      <c r="K1750"/>
    </row>
    <row r="1751" spans="5:11" x14ac:dyDescent="0.2">
      <c r="E1751" s="50"/>
      <c r="H1751" s="12"/>
      <c r="K1751"/>
    </row>
    <row r="1752" spans="5:11" x14ac:dyDescent="0.2">
      <c r="E1752" s="50"/>
      <c r="H1752" s="12"/>
      <c r="K1752"/>
    </row>
    <row r="1753" spans="5:11" x14ac:dyDescent="0.2">
      <c r="E1753" s="50"/>
      <c r="H1753" s="12"/>
      <c r="K1753"/>
    </row>
    <row r="1754" spans="5:11" x14ac:dyDescent="0.2">
      <c r="E1754" s="50"/>
      <c r="H1754" s="12"/>
      <c r="K1754"/>
    </row>
    <row r="1755" spans="5:11" x14ac:dyDescent="0.2">
      <c r="E1755" s="50"/>
      <c r="H1755" s="12"/>
      <c r="K1755"/>
    </row>
    <row r="1756" spans="5:11" x14ac:dyDescent="0.2">
      <c r="E1756" s="50"/>
      <c r="H1756" s="12"/>
      <c r="K1756"/>
    </row>
    <row r="1757" spans="5:11" x14ac:dyDescent="0.2">
      <c r="E1757" s="50"/>
      <c r="H1757" s="12"/>
      <c r="K1757"/>
    </row>
    <row r="1758" spans="5:11" x14ac:dyDescent="0.2">
      <c r="E1758" s="50"/>
      <c r="H1758" s="12"/>
      <c r="K1758"/>
    </row>
    <row r="1759" spans="5:11" x14ac:dyDescent="0.2">
      <c r="E1759" s="50"/>
      <c r="H1759" s="12"/>
      <c r="K1759"/>
    </row>
    <row r="1760" spans="5:11" x14ac:dyDescent="0.2">
      <c r="E1760" s="50"/>
      <c r="H1760" s="12"/>
      <c r="K1760"/>
    </row>
    <row r="1761" spans="5:11" x14ac:dyDescent="0.2">
      <c r="E1761" s="50"/>
      <c r="H1761" s="12"/>
      <c r="K1761"/>
    </row>
    <row r="1762" spans="5:11" x14ac:dyDescent="0.2">
      <c r="E1762" s="50"/>
      <c r="H1762" s="12"/>
      <c r="K1762"/>
    </row>
    <row r="1763" spans="5:11" x14ac:dyDescent="0.2">
      <c r="E1763" s="50"/>
      <c r="H1763" s="12"/>
      <c r="K1763"/>
    </row>
    <row r="1764" spans="5:11" x14ac:dyDescent="0.2">
      <c r="E1764" s="50"/>
      <c r="H1764" s="12"/>
      <c r="K1764"/>
    </row>
    <row r="1765" spans="5:11" x14ac:dyDescent="0.2">
      <c r="E1765" s="50"/>
      <c r="H1765" s="12"/>
      <c r="K1765"/>
    </row>
    <row r="1766" spans="5:11" x14ac:dyDescent="0.2">
      <c r="E1766" s="50"/>
      <c r="H1766" s="12"/>
      <c r="K1766"/>
    </row>
    <row r="1767" spans="5:11" x14ac:dyDescent="0.2">
      <c r="E1767" s="50"/>
      <c r="H1767" s="12"/>
      <c r="K1767"/>
    </row>
    <row r="1768" spans="5:11" x14ac:dyDescent="0.2">
      <c r="E1768" s="50"/>
      <c r="H1768" s="12"/>
      <c r="K1768"/>
    </row>
    <row r="1769" spans="5:11" x14ac:dyDescent="0.2">
      <c r="E1769" s="50"/>
      <c r="H1769" s="12"/>
      <c r="K1769"/>
    </row>
    <row r="1770" spans="5:11" x14ac:dyDescent="0.2">
      <c r="E1770" s="50"/>
      <c r="H1770" s="12"/>
      <c r="K1770"/>
    </row>
    <row r="1771" spans="5:11" x14ac:dyDescent="0.2">
      <c r="E1771" s="50"/>
      <c r="H1771" s="12"/>
      <c r="K1771"/>
    </row>
    <row r="1772" spans="5:11" x14ac:dyDescent="0.2">
      <c r="E1772" s="50"/>
      <c r="H1772" s="12"/>
      <c r="K1772"/>
    </row>
    <row r="1773" spans="5:11" x14ac:dyDescent="0.2">
      <c r="E1773" s="50"/>
      <c r="H1773" s="12"/>
      <c r="K1773"/>
    </row>
    <row r="1774" spans="5:11" x14ac:dyDescent="0.2">
      <c r="E1774" s="50"/>
      <c r="H1774" s="12"/>
      <c r="K1774"/>
    </row>
    <row r="1775" spans="5:11" x14ac:dyDescent="0.2">
      <c r="E1775" s="50"/>
      <c r="H1775" s="12"/>
      <c r="K1775"/>
    </row>
    <row r="1776" spans="5:11" x14ac:dyDescent="0.2">
      <c r="E1776" s="50"/>
      <c r="H1776" s="12"/>
      <c r="K1776"/>
    </row>
    <row r="1777" spans="5:11" x14ac:dyDescent="0.2">
      <c r="E1777" s="50"/>
      <c r="H1777" s="12"/>
      <c r="K1777"/>
    </row>
    <row r="1778" spans="5:11" x14ac:dyDescent="0.2">
      <c r="E1778" s="50"/>
      <c r="H1778" s="12"/>
      <c r="K1778"/>
    </row>
    <row r="1779" spans="5:11" x14ac:dyDescent="0.2">
      <c r="E1779" s="50"/>
      <c r="H1779" s="12"/>
      <c r="K1779"/>
    </row>
    <row r="1780" spans="5:11" x14ac:dyDescent="0.2">
      <c r="E1780" s="50"/>
      <c r="H1780" s="12"/>
      <c r="K1780"/>
    </row>
    <row r="1781" spans="5:11" x14ac:dyDescent="0.2">
      <c r="E1781" s="50"/>
      <c r="H1781" s="12"/>
      <c r="K1781"/>
    </row>
    <row r="1782" spans="5:11" x14ac:dyDescent="0.2">
      <c r="E1782" s="50"/>
      <c r="H1782" s="12"/>
      <c r="K1782"/>
    </row>
    <row r="1783" spans="5:11" x14ac:dyDescent="0.2">
      <c r="E1783" s="50"/>
      <c r="H1783" s="12"/>
      <c r="K1783"/>
    </row>
    <row r="1784" spans="5:11" x14ac:dyDescent="0.2">
      <c r="E1784" s="50"/>
      <c r="H1784" s="12"/>
      <c r="K1784"/>
    </row>
    <row r="1785" spans="5:11" x14ac:dyDescent="0.2">
      <c r="E1785" s="50"/>
      <c r="H1785" s="12"/>
      <c r="K1785"/>
    </row>
    <row r="1786" spans="5:11" x14ac:dyDescent="0.2">
      <c r="E1786" s="50"/>
      <c r="H1786" s="12"/>
      <c r="K1786"/>
    </row>
    <row r="1787" spans="5:11" x14ac:dyDescent="0.2">
      <c r="E1787" s="50"/>
      <c r="H1787" s="12"/>
      <c r="K1787"/>
    </row>
    <row r="1788" spans="5:11" x14ac:dyDescent="0.2">
      <c r="E1788" s="50"/>
      <c r="H1788" s="12"/>
      <c r="K1788"/>
    </row>
    <row r="1789" spans="5:11" x14ac:dyDescent="0.2">
      <c r="E1789" s="50"/>
      <c r="H1789" s="12"/>
      <c r="K1789"/>
    </row>
    <row r="1790" spans="5:11" x14ac:dyDescent="0.2">
      <c r="E1790" s="50"/>
      <c r="H1790" s="12"/>
      <c r="K1790"/>
    </row>
    <row r="1791" spans="5:11" x14ac:dyDescent="0.2">
      <c r="E1791" s="50"/>
      <c r="H1791" s="12"/>
      <c r="K1791"/>
    </row>
    <row r="1792" spans="5:11" x14ac:dyDescent="0.2">
      <c r="E1792" s="50"/>
      <c r="H1792" s="12"/>
      <c r="K1792"/>
    </row>
    <row r="1793" spans="5:11" x14ac:dyDescent="0.2">
      <c r="E1793" s="50"/>
      <c r="H1793" s="12"/>
      <c r="K1793"/>
    </row>
    <row r="1794" spans="5:11" x14ac:dyDescent="0.2">
      <c r="E1794" s="50"/>
      <c r="H1794" s="12"/>
      <c r="K1794"/>
    </row>
    <row r="1795" spans="5:11" x14ac:dyDescent="0.2">
      <c r="E1795" s="50"/>
      <c r="H1795" s="12"/>
      <c r="K1795"/>
    </row>
    <row r="1796" spans="5:11" x14ac:dyDescent="0.2">
      <c r="E1796" s="50"/>
      <c r="H1796" s="12"/>
      <c r="K1796"/>
    </row>
    <row r="1797" spans="5:11" x14ac:dyDescent="0.2">
      <c r="E1797" s="50"/>
      <c r="H1797" s="12"/>
      <c r="K1797"/>
    </row>
    <row r="1798" spans="5:11" x14ac:dyDescent="0.2">
      <c r="E1798" s="50"/>
      <c r="H1798" s="12"/>
      <c r="K1798"/>
    </row>
    <row r="1799" spans="5:11" x14ac:dyDescent="0.2">
      <c r="E1799" s="50"/>
      <c r="H1799" s="12"/>
      <c r="K1799"/>
    </row>
    <row r="1800" spans="5:11" x14ac:dyDescent="0.2">
      <c r="E1800" s="50"/>
      <c r="H1800" s="12"/>
      <c r="K1800"/>
    </row>
    <row r="1801" spans="5:11" x14ac:dyDescent="0.2">
      <c r="E1801" s="50"/>
      <c r="H1801" s="12"/>
      <c r="K1801"/>
    </row>
    <row r="1802" spans="5:11" x14ac:dyDescent="0.2">
      <c r="E1802" s="50"/>
      <c r="H1802" s="12"/>
      <c r="K1802"/>
    </row>
    <row r="1803" spans="5:11" x14ac:dyDescent="0.2">
      <c r="E1803" s="50"/>
      <c r="H1803" s="12"/>
      <c r="K1803"/>
    </row>
    <row r="1804" spans="5:11" x14ac:dyDescent="0.2">
      <c r="E1804" s="50"/>
      <c r="H1804" s="12"/>
      <c r="K1804"/>
    </row>
    <row r="1805" spans="5:11" x14ac:dyDescent="0.2">
      <c r="E1805" s="50"/>
      <c r="H1805" s="12"/>
      <c r="K1805"/>
    </row>
    <row r="1806" spans="5:11" x14ac:dyDescent="0.2">
      <c r="E1806" s="50"/>
      <c r="H1806" s="12"/>
      <c r="K1806"/>
    </row>
    <row r="1807" spans="5:11" x14ac:dyDescent="0.2">
      <c r="E1807" s="50"/>
      <c r="H1807" s="12"/>
      <c r="K1807"/>
    </row>
    <row r="1808" spans="5:11" x14ac:dyDescent="0.2">
      <c r="E1808" s="50"/>
      <c r="H1808" s="12"/>
      <c r="K1808"/>
    </row>
    <row r="1809" spans="5:11" x14ac:dyDescent="0.2">
      <c r="E1809" s="50"/>
      <c r="H1809" s="12"/>
      <c r="K1809"/>
    </row>
    <row r="1810" spans="5:11" x14ac:dyDescent="0.2">
      <c r="E1810" s="50"/>
      <c r="H1810" s="12"/>
      <c r="K1810"/>
    </row>
    <row r="1811" spans="5:11" x14ac:dyDescent="0.2">
      <c r="E1811" s="50"/>
      <c r="H1811" s="12"/>
      <c r="K1811"/>
    </row>
    <row r="1812" spans="5:11" x14ac:dyDescent="0.2">
      <c r="E1812" s="50"/>
      <c r="H1812" s="12"/>
      <c r="K1812"/>
    </row>
    <row r="1813" spans="5:11" x14ac:dyDescent="0.2">
      <c r="E1813" s="50"/>
      <c r="H1813" s="12"/>
      <c r="K1813"/>
    </row>
    <row r="1814" spans="5:11" x14ac:dyDescent="0.2">
      <c r="E1814" s="50"/>
      <c r="H1814" s="12"/>
      <c r="K1814"/>
    </row>
    <row r="1815" spans="5:11" x14ac:dyDescent="0.2">
      <c r="E1815" s="50"/>
      <c r="H1815" s="12"/>
      <c r="K1815"/>
    </row>
    <row r="1816" spans="5:11" x14ac:dyDescent="0.2">
      <c r="E1816" s="50"/>
      <c r="H1816" s="12"/>
      <c r="K1816"/>
    </row>
    <row r="1817" spans="5:11" x14ac:dyDescent="0.2">
      <c r="E1817" s="50"/>
      <c r="H1817" s="12"/>
      <c r="K1817"/>
    </row>
    <row r="1818" spans="5:11" x14ac:dyDescent="0.2">
      <c r="E1818" s="50"/>
      <c r="H1818" s="12"/>
      <c r="K1818"/>
    </row>
    <row r="1819" spans="5:11" x14ac:dyDescent="0.2">
      <c r="E1819" s="50"/>
      <c r="H1819" s="12"/>
      <c r="K1819"/>
    </row>
    <row r="1820" spans="5:11" x14ac:dyDescent="0.2">
      <c r="E1820" s="50"/>
      <c r="H1820" s="12"/>
      <c r="K1820"/>
    </row>
    <row r="1821" spans="5:11" x14ac:dyDescent="0.2">
      <c r="E1821" s="50"/>
      <c r="H1821" s="12"/>
      <c r="K1821"/>
    </row>
    <row r="1822" spans="5:11" x14ac:dyDescent="0.2">
      <c r="E1822" s="50"/>
      <c r="H1822" s="12"/>
      <c r="K1822"/>
    </row>
    <row r="1823" spans="5:11" x14ac:dyDescent="0.2">
      <c r="E1823" s="50"/>
      <c r="H1823" s="12"/>
      <c r="K1823"/>
    </row>
    <row r="1824" spans="5:11" x14ac:dyDescent="0.2">
      <c r="E1824" s="50"/>
      <c r="H1824" s="12"/>
      <c r="K1824"/>
    </row>
    <row r="1825" spans="5:11" x14ac:dyDescent="0.2">
      <c r="E1825" s="50"/>
      <c r="H1825" s="12"/>
      <c r="K1825"/>
    </row>
    <row r="1826" spans="5:11" x14ac:dyDescent="0.2">
      <c r="E1826" s="50"/>
      <c r="H1826" s="12"/>
      <c r="K1826"/>
    </row>
    <row r="1827" spans="5:11" x14ac:dyDescent="0.2">
      <c r="E1827" s="50"/>
      <c r="H1827" s="12"/>
      <c r="K1827"/>
    </row>
    <row r="1828" spans="5:11" x14ac:dyDescent="0.2">
      <c r="E1828" s="50"/>
      <c r="H1828" s="12"/>
      <c r="K1828"/>
    </row>
    <row r="1829" spans="5:11" x14ac:dyDescent="0.2">
      <c r="E1829" s="50"/>
      <c r="H1829" s="12"/>
      <c r="K1829"/>
    </row>
    <row r="1830" spans="5:11" x14ac:dyDescent="0.2">
      <c r="E1830" s="50"/>
      <c r="H1830" s="12"/>
      <c r="K1830"/>
    </row>
    <row r="1831" spans="5:11" x14ac:dyDescent="0.2">
      <c r="E1831" s="50"/>
      <c r="H1831" s="12"/>
      <c r="K1831"/>
    </row>
    <row r="1832" spans="5:11" x14ac:dyDescent="0.2">
      <c r="E1832" s="50"/>
      <c r="H1832" s="12"/>
      <c r="K1832"/>
    </row>
    <row r="1833" spans="5:11" x14ac:dyDescent="0.2">
      <c r="E1833" s="50"/>
      <c r="H1833" s="12"/>
      <c r="K1833"/>
    </row>
    <row r="1834" spans="5:11" x14ac:dyDescent="0.2">
      <c r="E1834" s="50"/>
      <c r="H1834" s="12"/>
      <c r="K1834"/>
    </row>
    <row r="1835" spans="5:11" x14ac:dyDescent="0.2">
      <c r="E1835" s="50"/>
      <c r="H1835" s="12"/>
      <c r="K1835"/>
    </row>
    <row r="1836" spans="5:11" x14ac:dyDescent="0.2">
      <c r="E1836" s="50"/>
      <c r="H1836" s="12"/>
      <c r="K1836"/>
    </row>
    <row r="1837" spans="5:11" x14ac:dyDescent="0.2">
      <c r="E1837" s="50"/>
      <c r="H1837" s="12"/>
      <c r="K1837"/>
    </row>
    <row r="1838" spans="5:11" x14ac:dyDescent="0.2">
      <c r="E1838" s="50"/>
      <c r="H1838" s="12"/>
      <c r="K1838"/>
    </row>
    <row r="1839" spans="5:11" x14ac:dyDescent="0.2">
      <c r="E1839" s="50"/>
      <c r="H1839" s="12"/>
      <c r="K1839"/>
    </row>
    <row r="1840" spans="5:11" x14ac:dyDescent="0.2">
      <c r="E1840" s="50"/>
      <c r="H1840" s="12"/>
      <c r="K1840"/>
    </row>
    <row r="1841" spans="5:11" x14ac:dyDescent="0.2">
      <c r="E1841" s="50"/>
      <c r="H1841" s="12"/>
      <c r="K1841"/>
    </row>
    <row r="1842" spans="5:11" x14ac:dyDescent="0.2">
      <c r="E1842" s="50"/>
      <c r="H1842" s="12"/>
      <c r="K1842"/>
    </row>
    <row r="1843" spans="5:11" x14ac:dyDescent="0.2">
      <c r="E1843" s="50"/>
      <c r="H1843" s="12"/>
      <c r="K1843"/>
    </row>
    <row r="1844" spans="5:11" x14ac:dyDescent="0.2">
      <c r="E1844" s="50"/>
      <c r="H1844" s="12"/>
      <c r="K1844"/>
    </row>
    <row r="1845" spans="5:11" x14ac:dyDescent="0.2">
      <c r="E1845" s="50"/>
      <c r="H1845" s="12"/>
      <c r="K1845"/>
    </row>
    <row r="1846" spans="5:11" x14ac:dyDescent="0.2">
      <c r="E1846" s="50"/>
      <c r="H1846" s="12"/>
      <c r="K1846"/>
    </row>
    <row r="1847" spans="5:11" x14ac:dyDescent="0.2">
      <c r="E1847" s="50"/>
      <c r="H1847" s="12"/>
      <c r="K1847"/>
    </row>
    <row r="1848" spans="5:11" x14ac:dyDescent="0.2">
      <c r="E1848" s="50"/>
      <c r="H1848" s="12"/>
      <c r="K1848"/>
    </row>
    <row r="1849" spans="5:11" x14ac:dyDescent="0.2">
      <c r="E1849" s="50"/>
      <c r="H1849" s="12"/>
      <c r="K1849"/>
    </row>
    <row r="1850" spans="5:11" x14ac:dyDescent="0.2">
      <c r="E1850" s="50"/>
      <c r="H1850" s="12"/>
      <c r="K1850"/>
    </row>
    <row r="1851" spans="5:11" x14ac:dyDescent="0.2">
      <c r="E1851" s="50"/>
      <c r="H1851" s="12"/>
      <c r="K1851"/>
    </row>
    <row r="1852" spans="5:11" x14ac:dyDescent="0.2">
      <c r="E1852" s="50"/>
      <c r="H1852" s="12"/>
      <c r="K1852"/>
    </row>
    <row r="1853" spans="5:11" x14ac:dyDescent="0.2">
      <c r="E1853" s="50"/>
      <c r="H1853" s="12"/>
      <c r="K1853"/>
    </row>
    <row r="1854" spans="5:11" x14ac:dyDescent="0.2">
      <c r="E1854" s="50"/>
      <c r="H1854" s="12"/>
      <c r="K1854"/>
    </row>
    <row r="1855" spans="5:11" x14ac:dyDescent="0.2">
      <c r="E1855" s="50"/>
      <c r="H1855" s="12"/>
      <c r="K1855"/>
    </row>
    <row r="1856" spans="5:11" x14ac:dyDescent="0.2">
      <c r="E1856" s="50"/>
      <c r="H1856" s="12"/>
      <c r="K1856"/>
    </row>
    <row r="1857" spans="5:11" x14ac:dyDescent="0.2">
      <c r="E1857" s="50"/>
      <c r="H1857" s="12"/>
      <c r="K1857"/>
    </row>
    <row r="1858" spans="5:11" x14ac:dyDescent="0.2">
      <c r="E1858" s="50"/>
      <c r="H1858" s="12"/>
      <c r="K1858"/>
    </row>
    <row r="1859" spans="5:11" x14ac:dyDescent="0.2">
      <c r="E1859" s="50"/>
      <c r="H1859" s="12"/>
      <c r="K1859"/>
    </row>
    <row r="1860" spans="5:11" x14ac:dyDescent="0.2">
      <c r="E1860" s="50"/>
      <c r="H1860" s="12"/>
      <c r="K1860"/>
    </row>
    <row r="1861" spans="5:11" x14ac:dyDescent="0.2">
      <c r="E1861" s="50"/>
      <c r="H1861" s="12"/>
      <c r="K1861"/>
    </row>
    <row r="1862" spans="5:11" x14ac:dyDescent="0.2">
      <c r="E1862" s="50"/>
      <c r="H1862" s="12"/>
      <c r="K1862"/>
    </row>
    <row r="1863" spans="5:11" x14ac:dyDescent="0.2">
      <c r="E1863" s="50"/>
      <c r="H1863" s="12"/>
      <c r="K1863"/>
    </row>
    <row r="1864" spans="5:11" x14ac:dyDescent="0.2">
      <c r="E1864" s="50"/>
      <c r="H1864" s="12"/>
      <c r="K1864"/>
    </row>
    <row r="1865" spans="5:11" x14ac:dyDescent="0.2">
      <c r="E1865" s="50"/>
      <c r="H1865" s="12"/>
      <c r="K1865"/>
    </row>
    <row r="1866" spans="5:11" x14ac:dyDescent="0.2">
      <c r="E1866" s="50"/>
      <c r="H1866" s="12"/>
      <c r="K1866"/>
    </row>
    <row r="1867" spans="5:11" x14ac:dyDescent="0.2">
      <c r="E1867" s="50"/>
      <c r="H1867" s="12"/>
      <c r="K1867"/>
    </row>
    <row r="1868" spans="5:11" x14ac:dyDescent="0.2">
      <c r="E1868" s="50"/>
      <c r="H1868" s="12"/>
      <c r="K1868"/>
    </row>
    <row r="1869" spans="5:11" x14ac:dyDescent="0.2">
      <c r="E1869" s="50"/>
      <c r="H1869" s="12"/>
      <c r="K1869"/>
    </row>
    <row r="1870" spans="5:11" x14ac:dyDescent="0.2">
      <c r="E1870" s="50"/>
      <c r="H1870" s="12"/>
      <c r="K1870"/>
    </row>
    <row r="1871" spans="5:11" x14ac:dyDescent="0.2">
      <c r="E1871" s="50"/>
      <c r="H1871" s="12"/>
      <c r="K1871"/>
    </row>
    <row r="1872" spans="5:11" x14ac:dyDescent="0.2">
      <c r="E1872" s="50"/>
      <c r="H1872" s="12"/>
      <c r="K1872"/>
    </row>
    <row r="1873" spans="5:11" x14ac:dyDescent="0.2">
      <c r="E1873" s="50"/>
      <c r="H1873" s="12"/>
      <c r="K1873"/>
    </row>
    <row r="1874" spans="5:11" x14ac:dyDescent="0.2">
      <c r="E1874" s="50"/>
      <c r="H1874" s="12"/>
      <c r="K1874"/>
    </row>
    <row r="1875" spans="5:11" x14ac:dyDescent="0.2">
      <c r="E1875" s="50"/>
      <c r="H1875" s="12"/>
      <c r="K1875"/>
    </row>
    <row r="1876" spans="5:11" x14ac:dyDescent="0.2">
      <c r="E1876" s="50"/>
      <c r="H1876" s="12"/>
      <c r="K1876"/>
    </row>
    <row r="1877" spans="5:11" x14ac:dyDescent="0.2">
      <c r="E1877" s="50"/>
      <c r="H1877" s="12"/>
      <c r="K1877"/>
    </row>
    <row r="1878" spans="5:11" x14ac:dyDescent="0.2">
      <c r="E1878" s="50"/>
      <c r="H1878" s="12"/>
      <c r="K1878"/>
    </row>
    <row r="1879" spans="5:11" x14ac:dyDescent="0.2">
      <c r="E1879" s="50"/>
      <c r="H1879" s="12"/>
      <c r="K1879"/>
    </row>
    <row r="1880" spans="5:11" x14ac:dyDescent="0.2">
      <c r="E1880" s="50"/>
      <c r="H1880" s="12"/>
      <c r="K1880"/>
    </row>
    <row r="1881" spans="5:11" x14ac:dyDescent="0.2">
      <c r="E1881" s="50"/>
      <c r="H1881" s="12"/>
      <c r="K1881"/>
    </row>
    <row r="1882" spans="5:11" x14ac:dyDescent="0.2">
      <c r="E1882" s="50"/>
      <c r="H1882" s="12"/>
      <c r="K1882"/>
    </row>
    <row r="1883" spans="5:11" x14ac:dyDescent="0.2">
      <c r="E1883" s="50"/>
      <c r="H1883" s="12"/>
      <c r="K1883"/>
    </row>
    <row r="1884" spans="5:11" x14ac:dyDescent="0.2">
      <c r="E1884" s="50"/>
      <c r="H1884" s="12"/>
      <c r="K1884"/>
    </row>
    <row r="1885" spans="5:11" x14ac:dyDescent="0.2">
      <c r="E1885" s="50"/>
      <c r="H1885" s="12"/>
      <c r="K1885"/>
    </row>
    <row r="1886" spans="5:11" x14ac:dyDescent="0.2">
      <c r="E1886" s="50"/>
      <c r="H1886" s="12"/>
      <c r="K1886"/>
    </row>
    <row r="1887" spans="5:11" x14ac:dyDescent="0.2">
      <c r="E1887" s="50"/>
      <c r="H1887" s="12"/>
      <c r="K1887"/>
    </row>
    <row r="1888" spans="5:11" x14ac:dyDescent="0.2">
      <c r="E1888" s="50"/>
      <c r="H1888" s="12"/>
      <c r="K1888"/>
    </row>
    <row r="1889" spans="5:11" x14ac:dyDescent="0.2">
      <c r="E1889" s="50"/>
      <c r="H1889" s="12"/>
      <c r="K1889"/>
    </row>
    <row r="1890" spans="5:11" x14ac:dyDescent="0.2">
      <c r="E1890" s="50"/>
      <c r="H1890" s="12"/>
      <c r="K1890"/>
    </row>
    <row r="1891" spans="5:11" x14ac:dyDescent="0.2">
      <c r="E1891" s="50"/>
      <c r="H1891" s="12"/>
      <c r="K1891"/>
    </row>
    <row r="1892" spans="5:11" x14ac:dyDescent="0.2">
      <c r="E1892" s="50"/>
      <c r="H1892" s="12"/>
      <c r="K1892"/>
    </row>
    <row r="1893" spans="5:11" x14ac:dyDescent="0.2">
      <c r="E1893" s="50"/>
      <c r="H1893" s="12"/>
      <c r="K1893"/>
    </row>
    <row r="1894" spans="5:11" x14ac:dyDescent="0.2">
      <c r="E1894" s="50"/>
      <c r="H1894" s="12"/>
      <c r="K1894"/>
    </row>
    <row r="1895" spans="5:11" x14ac:dyDescent="0.2">
      <c r="E1895" s="50"/>
      <c r="H1895" s="12"/>
      <c r="K1895"/>
    </row>
    <row r="1896" spans="5:11" x14ac:dyDescent="0.2">
      <c r="E1896" s="50"/>
      <c r="H1896" s="12"/>
      <c r="K1896"/>
    </row>
    <row r="1897" spans="5:11" x14ac:dyDescent="0.2">
      <c r="E1897" s="50"/>
      <c r="H1897" s="12"/>
      <c r="K1897"/>
    </row>
    <row r="1898" spans="5:11" x14ac:dyDescent="0.2">
      <c r="E1898" s="50"/>
      <c r="H1898" s="12"/>
      <c r="K1898"/>
    </row>
    <row r="1899" spans="5:11" x14ac:dyDescent="0.2">
      <c r="E1899" s="50"/>
      <c r="H1899" s="12"/>
      <c r="K1899"/>
    </row>
    <row r="1900" spans="5:11" x14ac:dyDescent="0.2">
      <c r="E1900" s="50"/>
      <c r="H1900" s="12"/>
      <c r="K1900"/>
    </row>
    <row r="1901" spans="5:11" x14ac:dyDescent="0.2">
      <c r="E1901" s="50"/>
      <c r="H1901" s="12"/>
      <c r="K1901"/>
    </row>
    <row r="1902" spans="5:11" x14ac:dyDescent="0.2">
      <c r="E1902" s="50"/>
      <c r="H1902" s="12"/>
      <c r="K1902"/>
    </row>
    <row r="1903" spans="5:11" x14ac:dyDescent="0.2">
      <c r="E1903" s="50"/>
      <c r="H1903" s="12"/>
      <c r="K1903"/>
    </row>
    <row r="1904" spans="5:11" x14ac:dyDescent="0.2">
      <c r="E1904" s="50"/>
      <c r="H1904" s="12"/>
      <c r="K1904"/>
    </row>
    <row r="1905" spans="5:11" x14ac:dyDescent="0.2">
      <c r="E1905" s="50"/>
      <c r="H1905" s="12"/>
      <c r="K1905"/>
    </row>
    <row r="1906" spans="5:11" x14ac:dyDescent="0.2">
      <c r="E1906" s="50"/>
      <c r="H1906" s="12"/>
      <c r="K1906"/>
    </row>
    <row r="1907" spans="5:11" x14ac:dyDescent="0.2">
      <c r="E1907" s="50"/>
      <c r="H1907" s="12"/>
      <c r="K1907"/>
    </row>
    <row r="1908" spans="5:11" x14ac:dyDescent="0.2">
      <c r="E1908" s="50"/>
      <c r="H1908" s="12"/>
      <c r="K1908"/>
    </row>
    <row r="1909" spans="5:11" x14ac:dyDescent="0.2">
      <c r="E1909" s="50"/>
      <c r="H1909" s="12"/>
      <c r="K1909"/>
    </row>
    <row r="1910" spans="5:11" x14ac:dyDescent="0.2">
      <c r="E1910" s="50"/>
      <c r="H1910" s="12"/>
      <c r="K1910"/>
    </row>
    <row r="1911" spans="5:11" x14ac:dyDescent="0.2">
      <c r="E1911" s="50"/>
      <c r="H1911" s="12"/>
      <c r="K1911"/>
    </row>
    <row r="1912" spans="5:11" x14ac:dyDescent="0.2">
      <c r="E1912" s="50"/>
      <c r="H1912" s="12"/>
      <c r="K1912"/>
    </row>
    <row r="1913" spans="5:11" x14ac:dyDescent="0.2">
      <c r="E1913" s="50"/>
      <c r="H1913" s="12"/>
      <c r="K1913"/>
    </row>
    <row r="1914" spans="5:11" x14ac:dyDescent="0.2">
      <c r="E1914" s="50"/>
      <c r="H1914" s="12"/>
      <c r="K1914"/>
    </row>
    <row r="1915" spans="5:11" x14ac:dyDescent="0.2">
      <c r="E1915" s="50"/>
      <c r="H1915" s="12"/>
      <c r="K1915"/>
    </row>
    <row r="1916" spans="5:11" x14ac:dyDescent="0.2">
      <c r="E1916" s="50"/>
      <c r="H1916" s="12"/>
      <c r="K1916"/>
    </row>
    <row r="1917" spans="5:11" x14ac:dyDescent="0.2">
      <c r="E1917" s="50"/>
      <c r="H1917" s="12"/>
      <c r="K1917"/>
    </row>
    <row r="1918" spans="5:11" x14ac:dyDescent="0.2">
      <c r="E1918" s="50"/>
      <c r="H1918" s="12"/>
      <c r="K1918"/>
    </row>
    <row r="1919" spans="5:11" x14ac:dyDescent="0.2">
      <c r="E1919" s="50"/>
      <c r="H1919" s="12"/>
      <c r="K1919"/>
    </row>
    <row r="1920" spans="5:11" x14ac:dyDescent="0.2">
      <c r="E1920" s="50"/>
      <c r="H1920" s="12"/>
      <c r="K1920"/>
    </row>
    <row r="1921" spans="5:11" x14ac:dyDescent="0.2">
      <c r="E1921" s="50"/>
      <c r="H1921" s="12"/>
      <c r="K1921"/>
    </row>
    <row r="1922" spans="5:11" x14ac:dyDescent="0.2">
      <c r="E1922" s="50"/>
      <c r="H1922" s="12"/>
      <c r="K1922"/>
    </row>
    <row r="1923" spans="5:11" x14ac:dyDescent="0.2">
      <c r="E1923" s="50"/>
      <c r="H1923" s="12"/>
      <c r="K1923"/>
    </row>
    <row r="1924" spans="5:11" x14ac:dyDescent="0.2">
      <c r="E1924" s="50"/>
      <c r="H1924" s="12"/>
      <c r="K1924"/>
    </row>
    <row r="1925" spans="5:11" x14ac:dyDescent="0.2">
      <c r="E1925" s="50"/>
      <c r="H1925" s="12"/>
      <c r="K1925"/>
    </row>
    <row r="1926" spans="5:11" x14ac:dyDescent="0.2">
      <c r="E1926" s="50"/>
      <c r="H1926" s="12"/>
      <c r="K1926"/>
    </row>
    <row r="1927" spans="5:11" x14ac:dyDescent="0.2">
      <c r="E1927" s="50"/>
      <c r="H1927" s="12"/>
      <c r="K1927"/>
    </row>
    <row r="1928" spans="5:11" x14ac:dyDescent="0.2">
      <c r="E1928" s="50"/>
      <c r="H1928" s="12"/>
      <c r="K1928"/>
    </row>
    <row r="1929" spans="5:11" x14ac:dyDescent="0.2">
      <c r="E1929" s="50"/>
      <c r="H1929" s="12"/>
      <c r="K1929"/>
    </row>
    <row r="1930" spans="5:11" x14ac:dyDescent="0.2">
      <c r="E1930" s="50"/>
      <c r="H1930" s="12"/>
      <c r="K1930"/>
    </row>
    <row r="1931" spans="5:11" x14ac:dyDescent="0.2">
      <c r="E1931" s="50"/>
      <c r="H1931" s="12"/>
      <c r="K1931"/>
    </row>
    <row r="1932" spans="5:11" x14ac:dyDescent="0.2">
      <c r="E1932" s="50"/>
      <c r="H1932" s="12"/>
      <c r="K1932"/>
    </row>
    <row r="1933" spans="5:11" x14ac:dyDescent="0.2">
      <c r="E1933" s="50"/>
      <c r="H1933" s="12"/>
      <c r="K1933"/>
    </row>
    <row r="1934" spans="5:11" x14ac:dyDescent="0.2">
      <c r="E1934" s="50"/>
      <c r="H1934" s="12"/>
      <c r="K1934"/>
    </row>
    <row r="1935" spans="5:11" x14ac:dyDescent="0.2">
      <c r="E1935" s="50"/>
      <c r="H1935" s="12"/>
      <c r="K1935"/>
    </row>
    <row r="1936" spans="5:11" x14ac:dyDescent="0.2">
      <c r="E1936" s="50"/>
      <c r="H1936" s="12"/>
      <c r="K1936"/>
    </row>
    <row r="1937" spans="5:11" x14ac:dyDescent="0.2">
      <c r="E1937" s="50"/>
      <c r="H1937" s="12"/>
      <c r="K1937"/>
    </row>
    <row r="1938" spans="5:11" x14ac:dyDescent="0.2">
      <c r="E1938" s="50"/>
      <c r="H1938" s="12"/>
      <c r="K1938"/>
    </row>
    <row r="1939" spans="5:11" x14ac:dyDescent="0.2">
      <c r="E1939" s="50"/>
      <c r="H1939" s="12"/>
      <c r="K1939"/>
    </row>
    <row r="1940" spans="5:11" x14ac:dyDescent="0.2">
      <c r="E1940" s="50"/>
      <c r="H1940" s="12"/>
      <c r="K1940"/>
    </row>
    <row r="1941" spans="5:11" x14ac:dyDescent="0.2">
      <c r="E1941" s="50"/>
      <c r="H1941" s="12"/>
      <c r="K1941"/>
    </row>
    <row r="1942" spans="5:11" x14ac:dyDescent="0.2">
      <c r="E1942" s="50"/>
      <c r="H1942" s="12"/>
      <c r="K1942"/>
    </row>
    <row r="1943" spans="5:11" x14ac:dyDescent="0.2">
      <c r="E1943" s="50"/>
      <c r="H1943" s="12"/>
      <c r="K1943"/>
    </row>
    <row r="1944" spans="5:11" x14ac:dyDescent="0.2">
      <c r="E1944" s="50"/>
      <c r="H1944" s="12"/>
      <c r="K1944"/>
    </row>
    <row r="1945" spans="5:11" x14ac:dyDescent="0.2">
      <c r="E1945" s="50"/>
      <c r="H1945" s="12"/>
      <c r="K1945"/>
    </row>
    <row r="1946" spans="5:11" x14ac:dyDescent="0.2">
      <c r="E1946" s="50"/>
      <c r="H1946" s="12"/>
      <c r="K1946"/>
    </row>
    <row r="1947" spans="5:11" x14ac:dyDescent="0.2">
      <c r="E1947" s="50"/>
      <c r="H1947" s="12"/>
      <c r="K1947"/>
    </row>
    <row r="1948" spans="5:11" x14ac:dyDescent="0.2">
      <c r="E1948" s="50"/>
      <c r="H1948" s="12"/>
      <c r="K1948"/>
    </row>
    <row r="1949" spans="5:11" x14ac:dyDescent="0.2">
      <c r="E1949" s="50"/>
      <c r="H1949" s="12"/>
      <c r="K1949"/>
    </row>
    <row r="1950" spans="5:11" x14ac:dyDescent="0.2">
      <c r="E1950" s="50"/>
      <c r="H1950" s="12"/>
      <c r="K1950"/>
    </row>
    <row r="1951" spans="5:11" x14ac:dyDescent="0.2">
      <c r="E1951" s="50"/>
      <c r="H1951" s="12"/>
      <c r="K1951"/>
    </row>
    <row r="1952" spans="5:11" x14ac:dyDescent="0.2">
      <c r="E1952" s="50"/>
      <c r="H1952" s="12"/>
      <c r="K1952"/>
    </row>
    <row r="1953" spans="5:11" x14ac:dyDescent="0.2">
      <c r="E1953" s="50"/>
      <c r="H1953" s="12"/>
      <c r="K1953"/>
    </row>
    <row r="1954" spans="5:11" x14ac:dyDescent="0.2">
      <c r="E1954" s="50"/>
      <c r="H1954" s="12"/>
      <c r="K1954"/>
    </row>
    <row r="1955" spans="5:11" x14ac:dyDescent="0.2">
      <c r="E1955" s="50"/>
      <c r="H1955" s="12"/>
      <c r="K1955"/>
    </row>
    <row r="1956" spans="5:11" x14ac:dyDescent="0.2">
      <c r="E1956" s="50"/>
      <c r="H1956" s="12"/>
      <c r="K1956"/>
    </row>
    <row r="1957" spans="5:11" x14ac:dyDescent="0.2">
      <c r="E1957" s="50"/>
      <c r="H1957" s="12"/>
      <c r="K1957"/>
    </row>
    <row r="1958" spans="5:11" x14ac:dyDescent="0.2">
      <c r="E1958" s="50"/>
      <c r="H1958" s="12"/>
      <c r="K1958"/>
    </row>
    <row r="1959" spans="5:11" x14ac:dyDescent="0.2">
      <c r="E1959" s="50"/>
      <c r="H1959" s="12"/>
      <c r="K1959"/>
    </row>
    <row r="1960" spans="5:11" x14ac:dyDescent="0.2">
      <c r="E1960" s="50"/>
      <c r="H1960" s="12"/>
      <c r="K1960"/>
    </row>
    <row r="1961" spans="5:11" x14ac:dyDescent="0.2">
      <c r="E1961" s="50"/>
      <c r="H1961" s="12"/>
      <c r="K1961"/>
    </row>
    <row r="1962" spans="5:11" x14ac:dyDescent="0.2">
      <c r="E1962" s="50"/>
      <c r="H1962" s="12"/>
      <c r="K1962"/>
    </row>
    <row r="1963" spans="5:11" x14ac:dyDescent="0.2">
      <c r="E1963" s="50"/>
      <c r="H1963" s="12"/>
      <c r="K1963"/>
    </row>
    <row r="1964" spans="5:11" x14ac:dyDescent="0.2">
      <c r="E1964" s="50"/>
      <c r="H1964" s="12"/>
      <c r="K1964"/>
    </row>
    <row r="1965" spans="5:11" x14ac:dyDescent="0.2">
      <c r="E1965" s="50"/>
      <c r="H1965" s="12"/>
      <c r="K1965"/>
    </row>
    <row r="1966" spans="5:11" x14ac:dyDescent="0.2">
      <c r="E1966" s="50"/>
      <c r="H1966" s="12"/>
      <c r="K1966"/>
    </row>
    <row r="1967" spans="5:11" x14ac:dyDescent="0.2">
      <c r="E1967" s="50"/>
      <c r="H1967" s="12"/>
      <c r="K1967"/>
    </row>
    <row r="1968" spans="5:11" x14ac:dyDescent="0.2">
      <c r="E1968" s="50"/>
      <c r="H1968" s="12"/>
      <c r="K1968"/>
    </row>
    <row r="1969" spans="5:11" x14ac:dyDescent="0.2">
      <c r="E1969" s="50"/>
      <c r="H1969" s="12"/>
      <c r="K1969"/>
    </row>
    <row r="1970" spans="5:11" x14ac:dyDescent="0.2">
      <c r="E1970" s="50"/>
      <c r="H1970" s="12"/>
      <c r="K1970"/>
    </row>
    <row r="1971" spans="5:11" x14ac:dyDescent="0.2">
      <c r="E1971" s="50"/>
      <c r="H1971" s="12"/>
      <c r="K1971"/>
    </row>
    <row r="1972" spans="5:11" x14ac:dyDescent="0.2">
      <c r="E1972" s="50"/>
      <c r="H1972" s="12"/>
      <c r="K1972"/>
    </row>
    <row r="1973" spans="5:11" x14ac:dyDescent="0.2">
      <c r="E1973" s="50"/>
      <c r="H1973" s="12"/>
      <c r="K1973"/>
    </row>
    <row r="1974" spans="5:11" x14ac:dyDescent="0.2">
      <c r="E1974" s="50"/>
      <c r="H1974" s="12"/>
      <c r="K1974"/>
    </row>
    <row r="1975" spans="5:11" x14ac:dyDescent="0.2">
      <c r="E1975" s="50"/>
      <c r="H1975" s="12"/>
      <c r="K1975"/>
    </row>
    <row r="1976" spans="5:11" x14ac:dyDescent="0.2">
      <c r="E1976" s="50"/>
      <c r="H1976" s="12"/>
      <c r="K1976"/>
    </row>
    <row r="1977" spans="5:11" x14ac:dyDescent="0.2">
      <c r="E1977" s="50"/>
      <c r="H1977" s="12"/>
      <c r="K1977"/>
    </row>
    <row r="1978" spans="5:11" x14ac:dyDescent="0.2">
      <c r="E1978" s="50"/>
      <c r="H1978" s="12"/>
      <c r="K1978"/>
    </row>
    <row r="1979" spans="5:11" x14ac:dyDescent="0.2">
      <c r="E1979" s="50"/>
      <c r="H1979" s="12"/>
      <c r="K1979"/>
    </row>
    <row r="1980" spans="5:11" x14ac:dyDescent="0.2">
      <c r="E1980" s="50"/>
      <c r="H1980" s="12"/>
      <c r="K1980"/>
    </row>
    <row r="1981" spans="5:11" x14ac:dyDescent="0.2">
      <c r="E1981" s="50"/>
      <c r="H1981" s="12"/>
      <c r="K1981"/>
    </row>
    <row r="1982" spans="5:11" x14ac:dyDescent="0.2">
      <c r="E1982" s="50"/>
      <c r="H1982" s="12"/>
      <c r="K1982"/>
    </row>
    <row r="1983" spans="5:11" x14ac:dyDescent="0.2">
      <c r="E1983" s="50"/>
      <c r="H1983" s="12"/>
      <c r="K1983"/>
    </row>
    <row r="1984" spans="5:11" x14ac:dyDescent="0.2">
      <c r="E1984" s="50"/>
      <c r="H1984" s="12"/>
      <c r="K1984"/>
    </row>
    <row r="1985" spans="5:11" x14ac:dyDescent="0.2">
      <c r="E1985" s="50"/>
      <c r="H1985" s="12"/>
      <c r="K1985"/>
    </row>
    <row r="1986" spans="5:11" x14ac:dyDescent="0.2">
      <c r="E1986" s="50"/>
      <c r="H1986" s="12"/>
      <c r="K1986"/>
    </row>
    <row r="1987" spans="5:11" x14ac:dyDescent="0.2">
      <c r="E1987" s="50"/>
      <c r="H1987" s="12"/>
      <c r="K1987"/>
    </row>
    <row r="1988" spans="5:11" x14ac:dyDescent="0.2">
      <c r="E1988" s="50"/>
      <c r="H1988" s="12"/>
      <c r="K1988"/>
    </row>
    <row r="1989" spans="5:11" x14ac:dyDescent="0.2">
      <c r="E1989" s="50"/>
      <c r="H1989" s="12"/>
      <c r="K1989"/>
    </row>
    <row r="1990" spans="5:11" x14ac:dyDescent="0.2">
      <c r="E1990" s="50"/>
      <c r="H1990" s="12"/>
      <c r="K1990"/>
    </row>
    <row r="1991" spans="5:11" x14ac:dyDescent="0.2">
      <c r="E1991" s="50"/>
      <c r="H1991" s="12"/>
      <c r="K1991"/>
    </row>
    <row r="1992" spans="5:11" x14ac:dyDescent="0.2">
      <c r="E1992" s="50"/>
      <c r="H1992" s="12"/>
      <c r="K1992"/>
    </row>
    <row r="1993" spans="5:11" x14ac:dyDescent="0.2">
      <c r="E1993" s="50"/>
      <c r="H1993" s="12"/>
      <c r="K1993"/>
    </row>
    <row r="1994" spans="5:11" x14ac:dyDescent="0.2">
      <c r="E1994" s="50"/>
      <c r="H1994" s="12"/>
      <c r="K1994"/>
    </row>
    <row r="1995" spans="5:11" x14ac:dyDescent="0.2">
      <c r="E1995" s="50"/>
      <c r="H1995" s="12"/>
      <c r="K1995"/>
    </row>
    <row r="1996" spans="5:11" x14ac:dyDescent="0.2">
      <c r="E1996" s="50"/>
      <c r="H1996" s="12"/>
      <c r="K1996"/>
    </row>
    <row r="1997" spans="5:11" x14ac:dyDescent="0.2">
      <c r="E1997" s="50"/>
      <c r="H1997" s="12"/>
      <c r="K1997"/>
    </row>
    <row r="1998" spans="5:11" x14ac:dyDescent="0.2">
      <c r="E1998" s="50"/>
      <c r="H1998" s="12"/>
      <c r="K1998"/>
    </row>
    <row r="1999" spans="5:11" x14ac:dyDescent="0.2">
      <c r="E1999" s="50"/>
      <c r="H1999" s="12"/>
      <c r="K1999"/>
    </row>
    <row r="2000" spans="5:11" x14ac:dyDescent="0.2">
      <c r="E2000" s="50"/>
      <c r="H2000" s="12"/>
      <c r="K2000"/>
    </row>
    <row r="2001" spans="5:11" x14ac:dyDescent="0.2">
      <c r="E2001" s="50"/>
      <c r="H2001" s="12"/>
      <c r="K2001"/>
    </row>
    <row r="2002" spans="5:11" x14ac:dyDescent="0.2">
      <c r="E2002" s="50"/>
      <c r="H2002" s="12"/>
      <c r="K2002"/>
    </row>
    <row r="2003" spans="5:11" x14ac:dyDescent="0.2">
      <c r="E2003" s="50"/>
      <c r="H2003" s="12"/>
      <c r="K2003"/>
    </row>
    <row r="2004" spans="5:11" x14ac:dyDescent="0.2">
      <c r="E2004" s="50"/>
      <c r="H2004" s="12"/>
      <c r="K2004"/>
    </row>
    <row r="2005" spans="5:11" x14ac:dyDescent="0.2">
      <c r="E2005" s="50"/>
      <c r="H2005" s="12"/>
      <c r="K2005"/>
    </row>
    <row r="2006" spans="5:11" x14ac:dyDescent="0.2">
      <c r="E2006" s="50"/>
      <c r="H2006" s="12"/>
      <c r="K2006"/>
    </row>
    <row r="2007" spans="5:11" x14ac:dyDescent="0.2">
      <c r="E2007" s="50"/>
      <c r="H2007" s="12"/>
      <c r="K2007"/>
    </row>
    <row r="2008" spans="5:11" x14ac:dyDescent="0.2">
      <c r="E2008" s="50"/>
      <c r="H2008" s="12"/>
      <c r="K2008"/>
    </row>
    <row r="2009" spans="5:11" x14ac:dyDescent="0.2">
      <c r="E2009" s="50"/>
      <c r="H2009" s="12"/>
      <c r="K2009"/>
    </row>
    <row r="2010" spans="5:11" x14ac:dyDescent="0.2">
      <c r="E2010" s="50"/>
      <c r="H2010" s="12"/>
      <c r="K2010"/>
    </row>
    <row r="2011" spans="5:11" x14ac:dyDescent="0.2">
      <c r="E2011" s="50"/>
      <c r="H2011" s="12"/>
      <c r="K2011"/>
    </row>
    <row r="2012" spans="5:11" x14ac:dyDescent="0.2">
      <c r="E2012" s="50"/>
      <c r="H2012" s="12"/>
      <c r="K2012"/>
    </row>
    <row r="2013" spans="5:11" x14ac:dyDescent="0.2">
      <c r="E2013" s="50"/>
      <c r="H2013" s="12"/>
      <c r="K2013"/>
    </row>
    <row r="2014" spans="5:11" x14ac:dyDescent="0.2">
      <c r="E2014" s="50"/>
      <c r="H2014" s="12"/>
      <c r="K2014"/>
    </row>
    <row r="2015" spans="5:11" x14ac:dyDescent="0.2">
      <c r="E2015" s="50"/>
      <c r="H2015" s="12"/>
      <c r="K2015"/>
    </row>
    <row r="2016" spans="5:11" x14ac:dyDescent="0.2">
      <c r="E2016" s="50"/>
      <c r="H2016" s="12"/>
      <c r="K2016"/>
    </row>
    <row r="2017" spans="5:11" x14ac:dyDescent="0.2">
      <c r="E2017" s="50"/>
      <c r="H2017" s="12"/>
      <c r="K2017"/>
    </row>
    <row r="2018" spans="5:11" x14ac:dyDescent="0.2">
      <c r="E2018" s="50"/>
      <c r="H2018" s="12"/>
      <c r="K2018"/>
    </row>
    <row r="2019" spans="5:11" x14ac:dyDescent="0.2">
      <c r="E2019" s="50"/>
      <c r="H2019" s="12"/>
      <c r="K2019"/>
    </row>
    <row r="2020" spans="5:11" x14ac:dyDescent="0.2">
      <c r="E2020" s="50"/>
      <c r="H2020" s="12"/>
      <c r="K2020"/>
    </row>
    <row r="2021" spans="5:11" x14ac:dyDescent="0.2">
      <c r="E2021" s="50"/>
      <c r="H2021" s="12"/>
      <c r="K2021"/>
    </row>
    <row r="2022" spans="5:11" x14ac:dyDescent="0.2">
      <c r="E2022" s="50"/>
      <c r="H2022" s="12"/>
      <c r="K2022"/>
    </row>
    <row r="2023" spans="5:11" x14ac:dyDescent="0.2">
      <c r="E2023" s="50"/>
      <c r="H2023" s="12"/>
      <c r="K2023"/>
    </row>
    <row r="2024" spans="5:11" x14ac:dyDescent="0.2">
      <c r="E2024" s="50"/>
      <c r="H2024" s="12"/>
      <c r="K2024"/>
    </row>
    <row r="2025" spans="5:11" x14ac:dyDescent="0.2">
      <c r="E2025" s="50"/>
      <c r="H2025" s="12"/>
      <c r="K2025"/>
    </row>
    <row r="2026" spans="5:11" x14ac:dyDescent="0.2">
      <c r="E2026" s="50"/>
      <c r="H2026" s="12"/>
      <c r="K2026"/>
    </row>
    <row r="2027" spans="5:11" x14ac:dyDescent="0.2">
      <c r="E2027" s="50"/>
      <c r="H2027" s="12"/>
      <c r="K2027"/>
    </row>
    <row r="2028" spans="5:11" x14ac:dyDescent="0.2">
      <c r="E2028" s="50"/>
      <c r="H2028" s="12"/>
      <c r="K2028"/>
    </row>
    <row r="2029" spans="5:11" x14ac:dyDescent="0.2">
      <c r="E2029" s="50"/>
      <c r="H2029" s="12"/>
      <c r="K2029"/>
    </row>
    <row r="2030" spans="5:11" x14ac:dyDescent="0.2">
      <c r="E2030" s="50"/>
      <c r="H2030" s="12"/>
      <c r="K2030"/>
    </row>
    <row r="2031" spans="5:11" x14ac:dyDescent="0.2">
      <c r="E2031" s="50"/>
      <c r="H2031" s="12"/>
      <c r="K2031"/>
    </row>
    <row r="2032" spans="5:11" x14ac:dyDescent="0.2">
      <c r="E2032" s="50"/>
      <c r="H2032" s="12"/>
      <c r="K2032"/>
    </row>
    <row r="2033" spans="5:11" x14ac:dyDescent="0.2">
      <c r="E2033" s="50"/>
      <c r="H2033" s="12"/>
      <c r="K2033"/>
    </row>
    <row r="2034" spans="5:11" x14ac:dyDescent="0.2">
      <c r="E2034" s="50"/>
      <c r="H2034" s="12"/>
      <c r="K2034"/>
    </row>
    <row r="2035" spans="5:11" x14ac:dyDescent="0.2">
      <c r="E2035" s="50"/>
      <c r="H2035" s="12"/>
      <c r="K2035"/>
    </row>
    <row r="2036" spans="5:11" x14ac:dyDescent="0.2">
      <c r="E2036" s="50"/>
      <c r="H2036" s="12"/>
      <c r="K2036"/>
    </row>
    <row r="2037" spans="5:11" x14ac:dyDescent="0.2">
      <c r="E2037" s="50"/>
      <c r="H2037" s="12"/>
      <c r="K2037"/>
    </row>
    <row r="2038" spans="5:11" x14ac:dyDescent="0.2">
      <c r="E2038" s="50"/>
      <c r="H2038" s="12"/>
      <c r="K2038"/>
    </row>
    <row r="2039" spans="5:11" x14ac:dyDescent="0.2">
      <c r="E2039" s="50"/>
      <c r="H2039" s="12"/>
      <c r="K2039"/>
    </row>
    <row r="2040" spans="5:11" x14ac:dyDescent="0.2">
      <c r="E2040" s="50"/>
      <c r="H2040" s="12"/>
      <c r="K2040"/>
    </row>
    <row r="2041" spans="5:11" x14ac:dyDescent="0.2">
      <c r="E2041" s="50"/>
      <c r="H2041" s="12"/>
      <c r="K2041"/>
    </row>
    <row r="2042" spans="5:11" x14ac:dyDescent="0.2">
      <c r="E2042" s="50"/>
      <c r="H2042" s="12"/>
      <c r="K2042"/>
    </row>
    <row r="2043" spans="5:11" x14ac:dyDescent="0.2">
      <c r="E2043" s="50"/>
      <c r="H2043" s="12"/>
      <c r="K2043"/>
    </row>
    <row r="2044" spans="5:11" x14ac:dyDescent="0.2">
      <c r="E2044" s="50"/>
      <c r="H2044" s="12"/>
      <c r="K2044"/>
    </row>
    <row r="2045" spans="5:11" x14ac:dyDescent="0.2">
      <c r="E2045" s="50"/>
      <c r="H2045" s="12"/>
      <c r="K2045"/>
    </row>
    <row r="2046" spans="5:11" x14ac:dyDescent="0.2">
      <c r="E2046" s="50"/>
      <c r="H2046" s="12"/>
      <c r="K2046"/>
    </row>
    <row r="2047" spans="5:11" x14ac:dyDescent="0.2">
      <c r="E2047" s="50"/>
      <c r="H2047" s="12"/>
      <c r="K2047"/>
    </row>
    <row r="2048" spans="5:11" x14ac:dyDescent="0.2">
      <c r="E2048" s="50"/>
      <c r="H2048" s="12"/>
      <c r="K2048"/>
    </row>
    <row r="2049" spans="5:11" x14ac:dyDescent="0.2">
      <c r="E2049" s="50"/>
      <c r="H2049" s="12"/>
      <c r="K2049"/>
    </row>
    <row r="2050" spans="5:11" x14ac:dyDescent="0.2">
      <c r="E2050" s="50"/>
      <c r="H2050" s="12"/>
      <c r="K2050"/>
    </row>
    <row r="2051" spans="5:11" x14ac:dyDescent="0.2">
      <c r="E2051" s="50"/>
      <c r="H2051" s="12"/>
      <c r="K2051"/>
    </row>
    <row r="2052" spans="5:11" x14ac:dyDescent="0.2">
      <c r="E2052" s="50"/>
      <c r="H2052" s="12"/>
      <c r="K2052"/>
    </row>
    <row r="2053" spans="5:11" x14ac:dyDescent="0.2">
      <c r="E2053" s="50"/>
      <c r="H2053" s="12"/>
      <c r="K2053"/>
    </row>
    <row r="2054" spans="5:11" x14ac:dyDescent="0.2">
      <c r="E2054" s="50"/>
      <c r="H2054" s="12"/>
      <c r="K2054"/>
    </row>
    <row r="2055" spans="5:11" x14ac:dyDescent="0.2">
      <c r="E2055" s="50"/>
      <c r="H2055" s="12"/>
      <c r="K2055"/>
    </row>
    <row r="2056" spans="5:11" x14ac:dyDescent="0.2">
      <c r="E2056" s="50"/>
      <c r="H2056" s="12"/>
      <c r="K2056"/>
    </row>
    <row r="2057" spans="5:11" x14ac:dyDescent="0.2">
      <c r="E2057" s="50"/>
      <c r="H2057" s="12"/>
      <c r="K2057"/>
    </row>
    <row r="2058" spans="5:11" x14ac:dyDescent="0.2">
      <c r="E2058" s="50"/>
      <c r="H2058" s="12"/>
      <c r="K2058"/>
    </row>
    <row r="2059" spans="5:11" x14ac:dyDescent="0.2">
      <c r="E2059" s="50"/>
      <c r="H2059" s="12"/>
      <c r="K2059"/>
    </row>
    <row r="2060" spans="5:11" x14ac:dyDescent="0.2">
      <c r="E2060" s="50"/>
      <c r="H2060" s="12"/>
      <c r="K2060"/>
    </row>
    <row r="2061" spans="5:11" x14ac:dyDescent="0.2">
      <c r="E2061" s="50"/>
      <c r="H2061" s="12"/>
      <c r="K2061"/>
    </row>
    <row r="2062" spans="5:11" x14ac:dyDescent="0.2">
      <c r="E2062" s="50"/>
      <c r="H2062" s="12"/>
      <c r="K2062"/>
    </row>
    <row r="2063" spans="5:11" x14ac:dyDescent="0.2">
      <c r="E2063" s="50"/>
      <c r="H2063" s="12"/>
      <c r="K2063"/>
    </row>
    <row r="2064" spans="5:11" x14ac:dyDescent="0.2">
      <c r="E2064" s="50"/>
      <c r="H2064" s="12"/>
      <c r="K2064"/>
    </row>
    <row r="2065" spans="5:11" x14ac:dyDescent="0.2">
      <c r="E2065" s="50"/>
      <c r="H2065" s="12"/>
      <c r="K2065"/>
    </row>
    <row r="2066" spans="5:11" x14ac:dyDescent="0.2">
      <c r="E2066" s="50"/>
      <c r="H2066" s="12"/>
      <c r="K2066"/>
    </row>
    <row r="2067" spans="5:11" x14ac:dyDescent="0.2">
      <c r="E2067" s="50"/>
      <c r="H2067" s="12"/>
      <c r="K2067"/>
    </row>
    <row r="2068" spans="5:11" x14ac:dyDescent="0.2">
      <c r="E2068" s="50"/>
      <c r="H2068" s="12"/>
      <c r="K2068"/>
    </row>
    <row r="2069" spans="5:11" x14ac:dyDescent="0.2">
      <c r="E2069" s="50"/>
      <c r="H2069" s="12"/>
      <c r="K2069"/>
    </row>
    <row r="2070" spans="5:11" x14ac:dyDescent="0.2">
      <c r="E2070" s="50"/>
      <c r="H2070" s="12"/>
      <c r="K2070"/>
    </row>
    <row r="2071" spans="5:11" x14ac:dyDescent="0.2">
      <c r="E2071" s="50"/>
      <c r="H2071" s="12"/>
      <c r="K2071"/>
    </row>
    <row r="2072" spans="5:11" x14ac:dyDescent="0.2">
      <c r="E2072" s="50"/>
      <c r="H2072" s="12"/>
      <c r="K2072"/>
    </row>
    <row r="2073" spans="5:11" x14ac:dyDescent="0.2">
      <c r="E2073" s="50"/>
      <c r="H2073" s="12"/>
      <c r="K2073"/>
    </row>
    <row r="2074" spans="5:11" x14ac:dyDescent="0.2">
      <c r="E2074" s="50"/>
      <c r="H2074" s="12"/>
      <c r="K2074"/>
    </row>
    <row r="2075" spans="5:11" x14ac:dyDescent="0.2">
      <c r="E2075" s="50"/>
      <c r="H2075" s="12"/>
      <c r="K2075"/>
    </row>
    <row r="2076" spans="5:11" x14ac:dyDescent="0.2">
      <c r="E2076" s="50"/>
      <c r="H2076" s="12"/>
      <c r="K2076"/>
    </row>
    <row r="2077" spans="5:11" x14ac:dyDescent="0.2">
      <c r="E2077" s="50"/>
      <c r="H2077" s="12"/>
      <c r="K2077"/>
    </row>
    <row r="2078" spans="5:11" x14ac:dyDescent="0.2">
      <c r="E2078" s="50"/>
      <c r="H2078" s="12"/>
      <c r="K2078"/>
    </row>
    <row r="2079" spans="5:11" x14ac:dyDescent="0.2">
      <c r="E2079" s="50"/>
      <c r="H2079" s="12"/>
      <c r="K2079"/>
    </row>
    <row r="2080" spans="5:11" x14ac:dyDescent="0.2">
      <c r="E2080" s="50"/>
      <c r="H2080" s="12"/>
      <c r="K2080"/>
    </row>
    <row r="2081" spans="5:11" x14ac:dyDescent="0.2">
      <c r="E2081" s="50"/>
      <c r="H2081" s="12"/>
      <c r="K2081"/>
    </row>
    <row r="2082" spans="5:11" x14ac:dyDescent="0.2">
      <c r="E2082" s="50"/>
      <c r="H2082" s="12"/>
      <c r="K2082"/>
    </row>
    <row r="2083" spans="5:11" x14ac:dyDescent="0.2">
      <c r="E2083" s="50"/>
      <c r="H2083" s="12"/>
      <c r="K2083"/>
    </row>
    <row r="2084" spans="5:11" x14ac:dyDescent="0.2">
      <c r="E2084" s="50"/>
      <c r="H2084" s="12"/>
      <c r="K2084"/>
    </row>
    <row r="2085" spans="5:11" x14ac:dyDescent="0.2">
      <c r="E2085" s="50"/>
      <c r="H2085" s="12"/>
      <c r="K2085"/>
    </row>
    <row r="2086" spans="5:11" x14ac:dyDescent="0.2">
      <c r="E2086" s="50"/>
      <c r="H2086" s="12"/>
      <c r="K2086"/>
    </row>
    <row r="2087" spans="5:11" x14ac:dyDescent="0.2">
      <c r="E2087" s="50"/>
      <c r="H2087" s="12"/>
      <c r="K2087"/>
    </row>
    <row r="2088" spans="5:11" x14ac:dyDescent="0.2">
      <c r="E2088" s="50"/>
      <c r="H2088" s="12"/>
      <c r="K2088"/>
    </row>
    <row r="2089" spans="5:11" x14ac:dyDescent="0.2">
      <c r="E2089" s="50"/>
      <c r="H2089" s="12"/>
      <c r="K2089"/>
    </row>
    <row r="2090" spans="5:11" x14ac:dyDescent="0.2">
      <c r="E2090" s="50"/>
      <c r="H2090" s="12"/>
      <c r="K2090"/>
    </row>
    <row r="2091" spans="5:11" x14ac:dyDescent="0.2">
      <c r="E2091" s="50"/>
      <c r="H2091" s="12"/>
      <c r="K2091"/>
    </row>
    <row r="2092" spans="5:11" x14ac:dyDescent="0.2">
      <c r="E2092" s="50"/>
      <c r="H2092" s="12"/>
      <c r="K2092"/>
    </row>
    <row r="2093" spans="5:11" x14ac:dyDescent="0.2">
      <c r="E2093" s="50"/>
      <c r="H2093" s="12"/>
      <c r="K2093"/>
    </row>
    <row r="2094" spans="5:11" x14ac:dyDescent="0.2">
      <c r="E2094" s="50"/>
      <c r="H2094" s="12"/>
      <c r="K2094"/>
    </row>
    <row r="2095" spans="5:11" x14ac:dyDescent="0.2">
      <c r="E2095" s="50"/>
      <c r="H2095" s="12"/>
      <c r="K2095"/>
    </row>
    <row r="2096" spans="5:11" x14ac:dyDescent="0.2">
      <c r="E2096" s="50"/>
      <c r="H2096" s="12"/>
      <c r="K2096"/>
    </row>
    <row r="2097" spans="5:11" x14ac:dyDescent="0.2">
      <c r="E2097" s="50"/>
      <c r="H2097" s="12"/>
      <c r="K2097"/>
    </row>
    <row r="2098" spans="5:11" x14ac:dyDescent="0.2">
      <c r="E2098" s="50"/>
      <c r="H2098" s="12"/>
      <c r="K2098"/>
    </row>
    <row r="2099" spans="5:11" x14ac:dyDescent="0.2">
      <c r="E2099" s="50"/>
      <c r="H2099" s="12"/>
      <c r="K2099"/>
    </row>
    <row r="2100" spans="5:11" x14ac:dyDescent="0.2">
      <c r="E2100" s="50"/>
      <c r="H2100" s="12"/>
      <c r="K2100"/>
    </row>
    <row r="2101" spans="5:11" x14ac:dyDescent="0.2">
      <c r="E2101" s="50"/>
      <c r="H2101" s="12"/>
      <c r="K2101"/>
    </row>
    <row r="2102" spans="5:11" x14ac:dyDescent="0.2">
      <c r="E2102" s="50"/>
      <c r="H2102" s="12"/>
      <c r="K2102"/>
    </row>
    <row r="2103" spans="5:11" x14ac:dyDescent="0.2">
      <c r="E2103" s="50"/>
      <c r="H2103" s="12"/>
      <c r="K2103"/>
    </row>
    <row r="2104" spans="5:11" x14ac:dyDescent="0.2">
      <c r="E2104" s="50"/>
      <c r="H2104" s="12"/>
      <c r="K2104"/>
    </row>
    <row r="2105" spans="5:11" x14ac:dyDescent="0.2">
      <c r="E2105" s="50"/>
      <c r="H2105" s="12"/>
      <c r="K2105"/>
    </row>
    <row r="2106" spans="5:11" x14ac:dyDescent="0.2">
      <c r="E2106" s="50"/>
      <c r="H2106" s="12"/>
      <c r="K2106"/>
    </row>
    <row r="2107" spans="5:11" x14ac:dyDescent="0.2">
      <c r="E2107" s="50"/>
      <c r="H2107" s="12"/>
      <c r="K2107"/>
    </row>
    <row r="2108" spans="5:11" x14ac:dyDescent="0.2">
      <c r="E2108" s="50"/>
      <c r="H2108" s="12"/>
      <c r="K2108"/>
    </row>
    <row r="2109" spans="5:11" x14ac:dyDescent="0.2">
      <c r="E2109" s="50"/>
      <c r="H2109" s="12"/>
      <c r="K2109"/>
    </row>
    <row r="2110" spans="5:11" x14ac:dyDescent="0.2">
      <c r="E2110" s="50"/>
      <c r="H2110" s="12"/>
      <c r="K2110"/>
    </row>
    <row r="2111" spans="5:11" x14ac:dyDescent="0.2">
      <c r="E2111" s="50"/>
      <c r="H2111" s="12"/>
      <c r="K2111"/>
    </row>
    <row r="2112" spans="5:11" x14ac:dyDescent="0.2">
      <c r="E2112" s="50"/>
      <c r="H2112" s="12"/>
      <c r="K2112"/>
    </row>
    <row r="2113" spans="5:11" x14ac:dyDescent="0.2">
      <c r="E2113" s="50"/>
      <c r="H2113" s="12"/>
      <c r="K2113"/>
    </row>
    <row r="2114" spans="5:11" x14ac:dyDescent="0.2">
      <c r="E2114" s="50"/>
      <c r="H2114" s="12"/>
      <c r="K2114"/>
    </row>
    <row r="2115" spans="5:11" x14ac:dyDescent="0.2">
      <c r="E2115" s="50"/>
      <c r="H2115" s="12"/>
      <c r="K2115"/>
    </row>
    <row r="2116" spans="5:11" x14ac:dyDescent="0.2">
      <c r="E2116" s="50"/>
      <c r="H2116" s="12"/>
      <c r="K2116"/>
    </row>
    <row r="2117" spans="5:11" x14ac:dyDescent="0.2">
      <c r="E2117" s="50"/>
      <c r="H2117" s="12"/>
      <c r="K2117"/>
    </row>
    <row r="2118" spans="5:11" x14ac:dyDescent="0.2">
      <c r="E2118" s="50"/>
      <c r="H2118" s="12"/>
      <c r="K2118"/>
    </row>
    <row r="2119" spans="5:11" x14ac:dyDescent="0.2">
      <c r="E2119" s="50"/>
      <c r="H2119" s="12"/>
      <c r="K2119"/>
    </row>
    <row r="2120" spans="5:11" x14ac:dyDescent="0.2">
      <c r="E2120" s="50"/>
      <c r="H2120" s="12"/>
      <c r="K2120"/>
    </row>
    <row r="2121" spans="5:11" x14ac:dyDescent="0.2">
      <c r="E2121" s="50"/>
      <c r="H2121" s="12"/>
      <c r="K2121"/>
    </row>
    <row r="2122" spans="5:11" x14ac:dyDescent="0.2">
      <c r="E2122" s="50"/>
      <c r="H2122" s="12"/>
      <c r="K2122"/>
    </row>
    <row r="2123" spans="5:11" x14ac:dyDescent="0.2">
      <c r="E2123" s="50"/>
      <c r="H2123" s="12"/>
      <c r="K2123"/>
    </row>
    <row r="2124" spans="5:11" x14ac:dyDescent="0.2">
      <c r="E2124" s="50"/>
      <c r="H2124" s="12"/>
      <c r="K2124"/>
    </row>
    <row r="2125" spans="5:11" x14ac:dyDescent="0.2">
      <c r="E2125" s="50"/>
      <c r="H2125" s="12"/>
      <c r="K2125"/>
    </row>
    <row r="2126" spans="5:11" x14ac:dyDescent="0.2">
      <c r="E2126" s="50"/>
      <c r="H2126" s="12"/>
      <c r="K2126"/>
    </row>
    <row r="2127" spans="5:11" x14ac:dyDescent="0.2">
      <c r="E2127" s="50"/>
      <c r="H2127" s="12"/>
      <c r="K2127"/>
    </row>
    <row r="2128" spans="5:11" x14ac:dyDescent="0.2">
      <c r="E2128" s="50"/>
      <c r="H2128" s="12"/>
      <c r="K2128"/>
    </row>
    <row r="2129" spans="5:11" x14ac:dyDescent="0.2">
      <c r="E2129" s="50"/>
      <c r="H2129" s="12"/>
      <c r="K2129"/>
    </row>
    <row r="2130" spans="5:11" x14ac:dyDescent="0.2">
      <c r="E2130" s="50"/>
      <c r="H2130" s="12"/>
      <c r="K2130"/>
    </row>
    <row r="2131" spans="5:11" x14ac:dyDescent="0.2">
      <c r="E2131" s="50"/>
      <c r="H2131" s="12"/>
      <c r="K2131"/>
    </row>
    <row r="2132" spans="5:11" x14ac:dyDescent="0.2">
      <c r="E2132" s="50"/>
      <c r="H2132" s="12"/>
      <c r="K2132"/>
    </row>
    <row r="2133" spans="5:11" x14ac:dyDescent="0.2">
      <c r="E2133" s="50"/>
      <c r="H2133" s="12"/>
      <c r="K2133"/>
    </row>
    <row r="2134" spans="5:11" x14ac:dyDescent="0.2">
      <c r="E2134" s="50"/>
      <c r="H2134" s="12"/>
      <c r="K2134"/>
    </row>
    <row r="2135" spans="5:11" x14ac:dyDescent="0.2">
      <c r="E2135" s="50"/>
      <c r="H2135" s="12"/>
      <c r="K2135"/>
    </row>
    <row r="2136" spans="5:11" x14ac:dyDescent="0.2">
      <c r="E2136" s="50"/>
      <c r="H2136" s="12"/>
      <c r="K2136"/>
    </row>
    <row r="2137" spans="5:11" x14ac:dyDescent="0.2">
      <c r="E2137" s="50"/>
      <c r="H2137" s="12"/>
      <c r="K2137"/>
    </row>
    <row r="2138" spans="5:11" x14ac:dyDescent="0.2">
      <c r="E2138" s="50"/>
      <c r="H2138" s="12"/>
      <c r="K2138"/>
    </row>
    <row r="2139" spans="5:11" x14ac:dyDescent="0.2">
      <c r="E2139" s="50"/>
      <c r="H2139" s="12"/>
      <c r="K2139"/>
    </row>
    <row r="2140" spans="5:11" x14ac:dyDescent="0.2">
      <c r="E2140" s="50"/>
      <c r="H2140" s="12"/>
      <c r="K2140"/>
    </row>
    <row r="2141" spans="5:11" x14ac:dyDescent="0.2">
      <c r="E2141" s="50"/>
      <c r="H2141" s="12"/>
      <c r="K2141"/>
    </row>
    <row r="2142" spans="5:11" x14ac:dyDescent="0.2">
      <c r="E2142" s="50"/>
      <c r="H2142" s="12"/>
      <c r="K2142"/>
    </row>
    <row r="2143" spans="5:11" x14ac:dyDescent="0.2">
      <c r="E2143" s="50"/>
      <c r="H2143" s="12"/>
      <c r="K2143"/>
    </row>
    <row r="2144" spans="5:11" x14ac:dyDescent="0.2">
      <c r="E2144" s="50"/>
      <c r="H2144" s="12"/>
      <c r="K2144"/>
    </row>
    <row r="2145" spans="5:11" x14ac:dyDescent="0.2">
      <c r="E2145" s="50"/>
      <c r="H2145" s="12"/>
      <c r="K2145"/>
    </row>
    <row r="2146" spans="5:11" x14ac:dyDescent="0.2">
      <c r="E2146" s="50"/>
      <c r="H2146" s="12"/>
      <c r="K2146"/>
    </row>
    <row r="2147" spans="5:11" x14ac:dyDescent="0.2">
      <c r="E2147" s="50"/>
      <c r="H2147" s="12"/>
      <c r="K2147"/>
    </row>
    <row r="2148" spans="5:11" x14ac:dyDescent="0.2">
      <c r="E2148" s="50"/>
      <c r="H2148" s="12"/>
      <c r="K2148"/>
    </row>
    <row r="2149" spans="5:11" x14ac:dyDescent="0.2">
      <c r="E2149" s="50"/>
      <c r="H2149" s="12"/>
      <c r="K2149"/>
    </row>
    <row r="2150" spans="5:11" x14ac:dyDescent="0.2">
      <c r="E2150" s="50"/>
      <c r="H2150" s="12"/>
      <c r="K2150"/>
    </row>
    <row r="2151" spans="5:11" x14ac:dyDescent="0.2">
      <c r="E2151" s="50"/>
      <c r="H2151" s="12"/>
      <c r="K2151"/>
    </row>
    <row r="2152" spans="5:11" x14ac:dyDescent="0.2">
      <c r="E2152" s="50"/>
      <c r="H2152" s="12"/>
      <c r="K2152"/>
    </row>
    <row r="2153" spans="5:11" x14ac:dyDescent="0.2">
      <c r="E2153" s="50"/>
      <c r="H2153" s="12"/>
      <c r="K2153"/>
    </row>
    <row r="2154" spans="5:11" x14ac:dyDescent="0.2">
      <c r="E2154" s="50"/>
      <c r="H2154" s="12"/>
      <c r="K2154"/>
    </row>
    <row r="2155" spans="5:11" x14ac:dyDescent="0.2">
      <c r="E2155" s="50"/>
      <c r="H2155" s="12"/>
      <c r="K2155"/>
    </row>
    <row r="2156" spans="5:11" x14ac:dyDescent="0.2">
      <c r="E2156" s="50"/>
      <c r="H2156" s="12"/>
      <c r="K2156"/>
    </row>
    <row r="2157" spans="5:11" x14ac:dyDescent="0.2">
      <c r="E2157" s="50"/>
      <c r="H2157" s="12"/>
      <c r="K2157"/>
    </row>
    <row r="2158" spans="5:11" x14ac:dyDescent="0.2">
      <c r="E2158" s="50"/>
      <c r="H2158" s="12"/>
      <c r="K2158"/>
    </row>
    <row r="2159" spans="5:11" x14ac:dyDescent="0.2">
      <c r="E2159" s="50"/>
      <c r="H2159" s="12"/>
      <c r="K2159"/>
    </row>
    <row r="2160" spans="5:11" x14ac:dyDescent="0.2">
      <c r="E2160" s="50"/>
      <c r="H2160" s="12"/>
      <c r="K2160"/>
    </row>
    <row r="2161" spans="5:11" x14ac:dyDescent="0.2">
      <c r="E2161" s="50"/>
      <c r="H2161" s="12"/>
      <c r="K2161"/>
    </row>
    <row r="2162" spans="5:11" x14ac:dyDescent="0.2">
      <c r="E2162" s="50"/>
      <c r="H2162" s="12"/>
      <c r="K2162"/>
    </row>
    <row r="2163" spans="5:11" x14ac:dyDescent="0.2">
      <c r="E2163" s="50"/>
      <c r="H2163" s="12"/>
      <c r="K2163"/>
    </row>
    <row r="2164" spans="5:11" x14ac:dyDescent="0.2">
      <c r="E2164" s="50"/>
      <c r="H2164" s="12"/>
      <c r="K2164"/>
    </row>
    <row r="2165" spans="5:11" x14ac:dyDescent="0.2">
      <c r="E2165" s="50"/>
      <c r="H2165" s="12"/>
      <c r="K2165"/>
    </row>
    <row r="2166" spans="5:11" x14ac:dyDescent="0.2">
      <c r="E2166" s="50"/>
      <c r="H2166" s="12"/>
      <c r="K2166"/>
    </row>
    <row r="2167" spans="5:11" x14ac:dyDescent="0.2">
      <c r="E2167" s="50"/>
      <c r="H2167" s="12"/>
      <c r="K2167"/>
    </row>
    <row r="2168" spans="5:11" x14ac:dyDescent="0.2">
      <c r="E2168" s="50"/>
      <c r="H2168" s="12"/>
      <c r="K2168"/>
    </row>
    <row r="2169" spans="5:11" x14ac:dyDescent="0.2">
      <c r="E2169" s="50"/>
      <c r="H2169" s="12"/>
      <c r="K2169"/>
    </row>
    <row r="2170" spans="5:11" x14ac:dyDescent="0.2">
      <c r="E2170" s="50"/>
      <c r="H2170" s="12"/>
      <c r="K2170"/>
    </row>
    <row r="2171" spans="5:11" x14ac:dyDescent="0.2">
      <c r="E2171" s="50"/>
      <c r="H2171" s="12"/>
      <c r="K2171"/>
    </row>
    <row r="2172" spans="5:11" x14ac:dyDescent="0.2">
      <c r="E2172" s="50"/>
      <c r="H2172" s="12"/>
      <c r="K2172"/>
    </row>
    <row r="2173" spans="5:11" x14ac:dyDescent="0.2">
      <c r="E2173" s="50"/>
      <c r="H2173" s="12"/>
      <c r="K2173"/>
    </row>
    <row r="2174" spans="5:11" x14ac:dyDescent="0.2">
      <c r="E2174" s="50"/>
      <c r="H2174" s="12"/>
      <c r="K2174"/>
    </row>
    <row r="2175" spans="5:11" x14ac:dyDescent="0.2">
      <c r="E2175" s="50"/>
      <c r="H2175" s="12"/>
      <c r="K2175"/>
    </row>
    <row r="2176" spans="5:11" x14ac:dyDescent="0.2">
      <c r="E2176" s="50"/>
      <c r="H2176" s="12"/>
      <c r="K2176"/>
    </row>
    <row r="2177" spans="5:11" x14ac:dyDescent="0.2">
      <c r="E2177" s="50"/>
      <c r="H2177" s="12"/>
      <c r="K2177"/>
    </row>
    <row r="2178" spans="5:11" x14ac:dyDescent="0.2">
      <c r="E2178" s="50"/>
      <c r="H2178" s="12"/>
      <c r="K2178"/>
    </row>
    <row r="2179" spans="5:11" x14ac:dyDescent="0.2">
      <c r="E2179" s="50"/>
      <c r="H2179" s="12"/>
      <c r="K2179"/>
    </row>
    <row r="2180" spans="5:11" x14ac:dyDescent="0.2">
      <c r="E2180" s="50"/>
      <c r="H2180" s="12"/>
      <c r="K2180"/>
    </row>
    <row r="2181" spans="5:11" x14ac:dyDescent="0.2">
      <c r="E2181" s="50"/>
      <c r="H2181" s="12"/>
      <c r="K2181"/>
    </row>
    <row r="2182" spans="5:11" x14ac:dyDescent="0.2">
      <c r="E2182" s="50"/>
      <c r="H2182" s="12"/>
      <c r="K2182"/>
    </row>
    <row r="2183" spans="5:11" x14ac:dyDescent="0.2">
      <c r="E2183" s="50"/>
      <c r="H2183" s="12"/>
      <c r="K2183"/>
    </row>
    <row r="2184" spans="5:11" x14ac:dyDescent="0.2">
      <c r="E2184" s="50"/>
      <c r="H2184" s="12"/>
      <c r="K2184"/>
    </row>
    <row r="2185" spans="5:11" x14ac:dyDescent="0.2">
      <c r="E2185" s="50"/>
      <c r="H2185" s="12"/>
      <c r="K2185"/>
    </row>
    <row r="2186" spans="5:11" x14ac:dyDescent="0.2">
      <c r="E2186" s="50"/>
      <c r="H2186" s="12"/>
      <c r="K2186"/>
    </row>
    <row r="2187" spans="5:11" x14ac:dyDescent="0.2">
      <c r="E2187" s="50"/>
      <c r="H2187" s="12"/>
      <c r="K2187"/>
    </row>
    <row r="2188" spans="5:11" x14ac:dyDescent="0.2">
      <c r="E2188" s="50"/>
      <c r="H2188" s="12"/>
      <c r="K2188"/>
    </row>
    <row r="2189" spans="5:11" x14ac:dyDescent="0.2">
      <c r="E2189" s="50"/>
      <c r="H2189" s="12"/>
      <c r="K2189"/>
    </row>
    <row r="2190" spans="5:11" x14ac:dyDescent="0.2">
      <c r="E2190" s="50"/>
      <c r="H2190" s="12"/>
      <c r="K2190"/>
    </row>
    <row r="2191" spans="5:11" x14ac:dyDescent="0.2">
      <c r="E2191" s="50"/>
      <c r="H2191" s="12"/>
      <c r="K2191"/>
    </row>
    <row r="2192" spans="5:11" x14ac:dyDescent="0.2">
      <c r="E2192" s="50"/>
      <c r="H2192" s="12"/>
      <c r="K2192"/>
    </row>
    <row r="2193" spans="5:11" x14ac:dyDescent="0.2">
      <c r="E2193" s="50"/>
      <c r="H2193" s="12"/>
      <c r="K2193"/>
    </row>
    <row r="2194" spans="5:11" x14ac:dyDescent="0.2">
      <c r="E2194" s="50"/>
      <c r="H2194" s="12"/>
      <c r="K2194"/>
    </row>
    <row r="2195" spans="5:11" x14ac:dyDescent="0.2">
      <c r="E2195" s="50"/>
      <c r="H2195" s="12"/>
      <c r="K2195"/>
    </row>
    <row r="2196" spans="5:11" x14ac:dyDescent="0.2">
      <c r="E2196" s="50"/>
      <c r="H2196" s="12"/>
      <c r="K2196"/>
    </row>
    <row r="2197" spans="5:11" x14ac:dyDescent="0.2">
      <c r="E2197" s="50"/>
      <c r="H2197" s="12"/>
      <c r="K2197"/>
    </row>
    <row r="2198" spans="5:11" x14ac:dyDescent="0.2">
      <c r="E2198" s="50"/>
      <c r="H2198" s="12"/>
      <c r="K2198"/>
    </row>
    <row r="2199" spans="5:11" x14ac:dyDescent="0.2">
      <c r="E2199" s="50"/>
      <c r="H2199" s="12"/>
      <c r="K2199"/>
    </row>
    <row r="2200" spans="5:11" x14ac:dyDescent="0.2">
      <c r="E2200" s="50"/>
      <c r="H2200" s="12"/>
      <c r="K2200"/>
    </row>
    <row r="2201" spans="5:11" x14ac:dyDescent="0.2">
      <c r="E2201" s="50"/>
      <c r="H2201" s="12"/>
      <c r="K2201"/>
    </row>
    <row r="2202" spans="5:11" x14ac:dyDescent="0.2">
      <c r="E2202" s="50"/>
      <c r="H2202" s="12"/>
      <c r="K2202"/>
    </row>
    <row r="2203" spans="5:11" x14ac:dyDescent="0.2">
      <c r="E2203" s="50"/>
      <c r="H2203" s="12"/>
      <c r="K2203"/>
    </row>
    <row r="2204" spans="5:11" x14ac:dyDescent="0.2">
      <c r="E2204" s="50"/>
      <c r="H2204" s="12"/>
      <c r="K2204"/>
    </row>
    <row r="2205" spans="5:11" x14ac:dyDescent="0.2">
      <c r="E2205" s="50"/>
      <c r="H2205" s="12"/>
      <c r="K2205"/>
    </row>
    <row r="2206" spans="5:11" x14ac:dyDescent="0.2">
      <c r="E2206" s="50"/>
      <c r="H2206" s="12"/>
      <c r="K2206"/>
    </row>
    <row r="2207" spans="5:11" x14ac:dyDescent="0.2">
      <c r="E2207" s="50"/>
      <c r="H2207" s="12"/>
      <c r="K2207"/>
    </row>
    <row r="2208" spans="5:11" x14ac:dyDescent="0.2">
      <c r="E2208" s="50"/>
      <c r="H2208" s="12"/>
      <c r="K2208"/>
    </row>
    <row r="2209" spans="5:11" x14ac:dyDescent="0.2">
      <c r="E2209" s="50"/>
      <c r="H2209" s="12"/>
      <c r="K2209"/>
    </row>
    <row r="2210" spans="5:11" x14ac:dyDescent="0.2">
      <c r="E2210" s="50"/>
      <c r="H2210" s="12"/>
      <c r="K2210"/>
    </row>
    <row r="2211" spans="5:11" x14ac:dyDescent="0.2">
      <c r="E2211" s="50"/>
      <c r="H2211" s="12"/>
      <c r="K2211"/>
    </row>
    <row r="2212" spans="5:11" x14ac:dyDescent="0.2">
      <c r="E2212" s="50"/>
      <c r="H2212" s="12"/>
      <c r="K2212"/>
    </row>
    <row r="2213" spans="5:11" x14ac:dyDescent="0.2">
      <c r="E2213" s="50"/>
      <c r="H2213" s="12"/>
      <c r="K2213"/>
    </row>
    <row r="2214" spans="5:11" x14ac:dyDescent="0.2">
      <c r="E2214" s="50"/>
      <c r="H2214" s="12"/>
      <c r="K2214"/>
    </row>
    <row r="2215" spans="5:11" x14ac:dyDescent="0.2">
      <c r="E2215" s="50"/>
      <c r="H2215" s="12"/>
      <c r="K2215"/>
    </row>
    <row r="2216" spans="5:11" x14ac:dyDescent="0.2">
      <c r="E2216" s="50"/>
      <c r="H2216" s="12"/>
      <c r="K2216"/>
    </row>
    <row r="2217" spans="5:11" x14ac:dyDescent="0.2">
      <c r="E2217" s="50"/>
      <c r="H2217" s="12"/>
      <c r="K2217"/>
    </row>
    <row r="2218" spans="5:11" x14ac:dyDescent="0.2">
      <c r="E2218" s="50"/>
      <c r="H2218" s="12"/>
      <c r="K2218"/>
    </row>
    <row r="2219" spans="5:11" x14ac:dyDescent="0.2">
      <c r="E2219" s="50"/>
      <c r="H2219" s="12"/>
      <c r="K2219"/>
    </row>
    <row r="2220" spans="5:11" x14ac:dyDescent="0.2">
      <c r="E2220" s="50"/>
      <c r="H2220" s="12"/>
      <c r="K2220"/>
    </row>
    <row r="2221" spans="5:11" x14ac:dyDescent="0.2">
      <c r="E2221" s="50"/>
      <c r="H2221" s="12"/>
      <c r="K2221"/>
    </row>
    <row r="2222" spans="5:11" x14ac:dyDescent="0.2">
      <c r="E2222" s="50"/>
      <c r="H2222" s="12"/>
      <c r="K2222"/>
    </row>
    <row r="2223" spans="5:11" x14ac:dyDescent="0.2">
      <c r="E2223" s="50"/>
      <c r="H2223" s="12"/>
      <c r="K2223"/>
    </row>
    <row r="2224" spans="5:11" x14ac:dyDescent="0.2">
      <c r="E2224" s="50"/>
      <c r="H2224" s="12"/>
      <c r="K2224"/>
    </row>
    <row r="2225" spans="5:11" x14ac:dyDescent="0.2">
      <c r="E2225" s="50"/>
      <c r="H2225" s="12"/>
      <c r="K2225"/>
    </row>
    <row r="2226" spans="5:11" x14ac:dyDescent="0.2">
      <c r="E2226" s="50"/>
      <c r="H2226" s="12"/>
      <c r="K2226"/>
    </row>
    <row r="2227" spans="5:11" x14ac:dyDescent="0.2">
      <c r="E2227" s="50"/>
      <c r="H2227" s="12"/>
      <c r="K2227"/>
    </row>
    <row r="2228" spans="5:11" x14ac:dyDescent="0.2">
      <c r="E2228" s="50"/>
      <c r="H2228" s="12"/>
      <c r="K2228"/>
    </row>
    <row r="2229" spans="5:11" x14ac:dyDescent="0.2">
      <c r="E2229" s="50"/>
      <c r="H2229" s="12"/>
      <c r="K2229"/>
    </row>
    <row r="2230" spans="5:11" x14ac:dyDescent="0.2">
      <c r="E2230" s="50"/>
      <c r="H2230" s="12"/>
      <c r="K2230"/>
    </row>
    <row r="2231" spans="5:11" x14ac:dyDescent="0.2">
      <c r="E2231" s="50"/>
      <c r="H2231" s="12"/>
      <c r="K2231"/>
    </row>
    <row r="2232" spans="5:11" x14ac:dyDescent="0.2">
      <c r="E2232" s="50"/>
      <c r="H2232" s="12"/>
      <c r="K2232"/>
    </row>
    <row r="2233" spans="5:11" x14ac:dyDescent="0.2">
      <c r="E2233" s="50"/>
      <c r="H2233" s="12"/>
      <c r="K2233"/>
    </row>
    <row r="2234" spans="5:11" x14ac:dyDescent="0.2">
      <c r="E2234" s="50"/>
      <c r="H2234" s="12"/>
      <c r="K2234"/>
    </row>
    <row r="2235" spans="5:11" x14ac:dyDescent="0.2">
      <c r="E2235" s="50"/>
      <c r="H2235" s="12"/>
      <c r="K2235"/>
    </row>
    <row r="2236" spans="5:11" x14ac:dyDescent="0.2">
      <c r="E2236" s="50"/>
      <c r="H2236" s="12"/>
      <c r="K2236"/>
    </row>
    <row r="2237" spans="5:11" x14ac:dyDescent="0.2">
      <c r="E2237" s="50"/>
      <c r="H2237" s="12"/>
      <c r="K2237"/>
    </row>
    <row r="2238" spans="5:11" x14ac:dyDescent="0.2">
      <c r="E2238" s="50"/>
      <c r="H2238" s="12"/>
      <c r="K2238"/>
    </row>
    <row r="2239" spans="5:11" x14ac:dyDescent="0.2">
      <c r="E2239" s="50"/>
      <c r="H2239" s="12"/>
      <c r="K2239"/>
    </row>
    <row r="2240" spans="5:11" x14ac:dyDescent="0.2">
      <c r="E2240" s="50"/>
      <c r="H2240" s="12"/>
      <c r="K2240"/>
    </row>
    <row r="2241" spans="5:11" x14ac:dyDescent="0.2">
      <c r="E2241" s="50"/>
      <c r="H2241" s="12"/>
      <c r="K2241"/>
    </row>
    <row r="2242" spans="5:11" x14ac:dyDescent="0.2">
      <c r="E2242" s="50"/>
      <c r="H2242" s="12"/>
      <c r="K2242"/>
    </row>
    <row r="2243" spans="5:11" x14ac:dyDescent="0.2">
      <c r="E2243" s="50"/>
      <c r="H2243" s="12"/>
      <c r="K2243"/>
    </row>
    <row r="2244" spans="5:11" x14ac:dyDescent="0.2">
      <c r="E2244" s="50"/>
      <c r="H2244" s="12"/>
      <c r="K2244"/>
    </row>
    <row r="2245" spans="5:11" x14ac:dyDescent="0.2">
      <c r="E2245" s="50"/>
      <c r="H2245" s="12"/>
      <c r="K2245"/>
    </row>
    <row r="2246" spans="5:11" x14ac:dyDescent="0.2">
      <c r="E2246" s="50"/>
      <c r="H2246" s="12"/>
      <c r="K2246"/>
    </row>
    <row r="2247" spans="5:11" x14ac:dyDescent="0.2">
      <c r="E2247" s="50"/>
      <c r="H2247" s="12"/>
      <c r="K2247"/>
    </row>
    <row r="2248" spans="5:11" x14ac:dyDescent="0.2">
      <c r="E2248" s="50"/>
      <c r="H2248" s="12"/>
      <c r="K2248"/>
    </row>
    <row r="2249" spans="5:11" x14ac:dyDescent="0.2">
      <c r="E2249" s="50"/>
      <c r="H2249" s="12"/>
      <c r="K2249"/>
    </row>
    <row r="2250" spans="5:11" x14ac:dyDescent="0.2">
      <c r="E2250" s="50"/>
      <c r="H2250" s="12"/>
      <c r="K2250"/>
    </row>
    <row r="2251" spans="5:11" x14ac:dyDescent="0.2">
      <c r="E2251" s="50"/>
      <c r="H2251" s="12"/>
      <c r="K2251"/>
    </row>
    <row r="2252" spans="5:11" x14ac:dyDescent="0.2">
      <c r="E2252" s="50"/>
      <c r="H2252" s="12"/>
      <c r="K2252"/>
    </row>
    <row r="2253" spans="5:11" x14ac:dyDescent="0.2">
      <c r="E2253" s="50"/>
      <c r="H2253" s="12"/>
      <c r="K2253"/>
    </row>
    <row r="2254" spans="5:11" x14ac:dyDescent="0.2">
      <c r="E2254" s="50"/>
      <c r="H2254" s="12"/>
      <c r="K2254"/>
    </row>
    <row r="2255" spans="5:11" x14ac:dyDescent="0.2">
      <c r="E2255" s="50"/>
      <c r="H2255" s="12"/>
      <c r="K2255"/>
    </row>
    <row r="2256" spans="5:11" x14ac:dyDescent="0.2">
      <c r="E2256" s="50"/>
      <c r="H2256" s="12"/>
      <c r="K2256"/>
    </row>
    <row r="2257" spans="5:11" x14ac:dyDescent="0.2">
      <c r="E2257" s="50"/>
      <c r="H2257" s="12"/>
      <c r="K2257"/>
    </row>
    <row r="2258" spans="5:11" x14ac:dyDescent="0.2">
      <c r="E2258" s="50"/>
      <c r="H2258" s="12"/>
      <c r="K2258"/>
    </row>
    <row r="2259" spans="5:11" x14ac:dyDescent="0.2">
      <c r="E2259" s="50"/>
      <c r="H2259" s="12"/>
      <c r="K2259"/>
    </row>
    <row r="2260" spans="5:11" x14ac:dyDescent="0.2">
      <c r="E2260" s="50"/>
      <c r="H2260" s="12"/>
      <c r="K2260"/>
    </row>
    <row r="2261" spans="5:11" x14ac:dyDescent="0.2">
      <c r="E2261" s="50"/>
      <c r="H2261" s="12"/>
      <c r="K2261"/>
    </row>
    <row r="2262" spans="5:11" x14ac:dyDescent="0.2">
      <c r="E2262" s="50"/>
      <c r="H2262" s="12"/>
      <c r="K2262"/>
    </row>
    <row r="2263" spans="5:11" x14ac:dyDescent="0.2">
      <c r="E2263" s="50"/>
      <c r="H2263" s="12"/>
      <c r="K2263"/>
    </row>
    <row r="2264" spans="5:11" x14ac:dyDescent="0.2">
      <c r="E2264" s="50"/>
      <c r="H2264" s="12"/>
      <c r="K2264"/>
    </row>
    <row r="2265" spans="5:11" x14ac:dyDescent="0.2">
      <c r="E2265" s="50"/>
      <c r="H2265" s="12"/>
      <c r="K2265"/>
    </row>
    <row r="2266" spans="5:11" x14ac:dyDescent="0.2">
      <c r="E2266" s="50"/>
      <c r="H2266" s="12"/>
      <c r="K2266"/>
    </row>
    <row r="2267" spans="5:11" x14ac:dyDescent="0.2">
      <c r="E2267" s="50"/>
      <c r="H2267" s="12"/>
      <c r="K2267"/>
    </row>
    <row r="2268" spans="5:11" x14ac:dyDescent="0.2">
      <c r="E2268" s="50"/>
      <c r="H2268" s="12"/>
      <c r="K2268"/>
    </row>
    <row r="2269" spans="5:11" x14ac:dyDescent="0.2">
      <c r="E2269" s="50"/>
      <c r="H2269" s="12"/>
      <c r="K2269"/>
    </row>
    <row r="2270" spans="5:11" x14ac:dyDescent="0.2">
      <c r="E2270" s="50"/>
      <c r="H2270" s="12"/>
      <c r="K2270"/>
    </row>
    <row r="2271" spans="5:11" x14ac:dyDescent="0.2">
      <c r="E2271" s="50"/>
      <c r="H2271" s="12"/>
      <c r="K2271"/>
    </row>
    <row r="2272" spans="5:11" x14ac:dyDescent="0.2">
      <c r="E2272" s="50"/>
      <c r="H2272" s="12"/>
      <c r="K2272"/>
    </row>
    <row r="2273" spans="5:11" x14ac:dyDescent="0.2">
      <c r="E2273" s="50"/>
      <c r="H2273" s="12"/>
      <c r="K2273"/>
    </row>
    <row r="2274" spans="5:11" x14ac:dyDescent="0.2">
      <c r="E2274" s="50"/>
      <c r="H2274" s="12"/>
      <c r="K2274"/>
    </row>
    <row r="2275" spans="5:11" x14ac:dyDescent="0.2">
      <c r="E2275" s="50"/>
      <c r="H2275" s="12"/>
      <c r="K2275"/>
    </row>
    <row r="2276" spans="5:11" x14ac:dyDescent="0.2">
      <c r="E2276" s="50"/>
      <c r="H2276" s="12"/>
      <c r="K2276"/>
    </row>
    <row r="2277" spans="5:11" x14ac:dyDescent="0.2">
      <c r="E2277" s="50"/>
      <c r="H2277" s="12"/>
      <c r="K2277"/>
    </row>
    <row r="2278" spans="5:11" x14ac:dyDescent="0.2">
      <c r="E2278" s="50"/>
      <c r="H2278" s="12"/>
      <c r="K2278"/>
    </row>
    <row r="2279" spans="5:11" x14ac:dyDescent="0.2">
      <c r="E2279" s="50"/>
      <c r="H2279" s="12"/>
      <c r="K2279"/>
    </row>
    <row r="2280" spans="5:11" x14ac:dyDescent="0.2">
      <c r="E2280" s="50"/>
      <c r="H2280" s="12"/>
      <c r="K2280"/>
    </row>
    <row r="2281" spans="5:11" x14ac:dyDescent="0.2">
      <c r="E2281" s="50"/>
      <c r="H2281" s="12"/>
      <c r="K2281"/>
    </row>
    <row r="2282" spans="5:11" x14ac:dyDescent="0.2">
      <c r="E2282" s="50"/>
      <c r="H2282" s="12"/>
      <c r="K2282"/>
    </row>
    <row r="2283" spans="5:11" x14ac:dyDescent="0.2">
      <c r="E2283" s="50"/>
      <c r="H2283" s="12"/>
      <c r="K2283"/>
    </row>
    <row r="2284" spans="5:11" x14ac:dyDescent="0.2">
      <c r="E2284" s="50"/>
      <c r="H2284" s="12"/>
      <c r="K2284"/>
    </row>
    <row r="2285" spans="5:11" x14ac:dyDescent="0.2">
      <c r="E2285" s="50"/>
      <c r="H2285" s="12"/>
      <c r="K2285"/>
    </row>
    <row r="2286" spans="5:11" x14ac:dyDescent="0.2">
      <c r="E2286" s="50"/>
      <c r="H2286" s="12"/>
      <c r="K2286"/>
    </row>
    <row r="2287" spans="5:11" x14ac:dyDescent="0.2">
      <c r="E2287" s="50"/>
      <c r="H2287" s="12"/>
      <c r="K2287"/>
    </row>
    <row r="2288" spans="5:11" x14ac:dyDescent="0.2">
      <c r="E2288" s="50"/>
      <c r="H2288" s="12"/>
      <c r="K2288"/>
    </row>
    <row r="2289" spans="5:11" x14ac:dyDescent="0.2">
      <c r="E2289" s="50"/>
      <c r="H2289" s="12"/>
      <c r="K2289"/>
    </row>
    <row r="2290" spans="5:11" x14ac:dyDescent="0.2">
      <c r="E2290" s="50"/>
      <c r="H2290" s="12"/>
      <c r="K2290"/>
    </row>
    <row r="2291" spans="5:11" x14ac:dyDescent="0.2">
      <c r="E2291" s="50"/>
      <c r="H2291" s="12"/>
      <c r="K2291"/>
    </row>
    <row r="2292" spans="5:11" x14ac:dyDescent="0.2">
      <c r="E2292" s="50"/>
      <c r="H2292" s="12"/>
      <c r="K2292"/>
    </row>
    <row r="2293" spans="5:11" x14ac:dyDescent="0.2">
      <c r="E2293" s="50"/>
      <c r="H2293" s="12"/>
      <c r="K2293"/>
    </row>
    <row r="2294" spans="5:11" x14ac:dyDescent="0.2">
      <c r="E2294" s="50"/>
      <c r="H2294" s="12"/>
      <c r="K2294"/>
    </row>
    <row r="2295" spans="5:11" x14ac:dyDescent="0.2">
      <c r="E2295" s="50"/>
      <c r="H2295" s="12"/>
      <c r="K2295"/>
    </row>
    <row r="2296" spans="5:11" x14ac:dyDescent="0.2">
      <c r="E2296" s="50"/>
      <c r="H2296" s="12"/>
      <c r="K2296"/>
    </row>
    <row r="2297" spans="5:11" x14ac:dyDescent="0.2">
      <c r="E2297" s="50"/>
      <c r="H2297" s="12"/>
      <c r="K2297"/>
    </row>
    <row r="2298" spans="5:11" x14ac:dyDescent="0.2">
      <c r="E2298" s="50"/>
      <c r="H2298" s="12"/>
      <c r="K2298"/>
    </row>
    <row r="2299" spans="5:11" x14ac:dyDescent="0.2">
      <c r="E2299" s="50"/>
      <c r="H2299" s="12"/>
      <c r="K2299"/>
    </row>
    <row r="2300" spans="5:11" x14ac:dyDescent="0.2">
      <c r="E2300" s="50"/>
      <c r="H2300" s="12"/>
      <c r="K2300"/>
    </row>
    <row r="2301" spans="5:11" x14ac:dyDescent="0.2">
      <c r="E2301" s="50"/>
      <c r="H2301" s="12"/>
      <c r="K2301"/>
    </row>
    <row r="2302" spans="5:11" x14ac:dyDescent="0.2">
      <c r="E2302" s="50"/>
      <c r="H2302" s="12"/>
      <c r="K2302"/>
    </row>
    <row r="2303" spans="5:11" x14ac:dyDescent="0.2">
      <c r="E2303" s="50"/>
      <c r="H2303" s="12"/>
      <c r="K2303"/>
    </row>
    <row r="2304" spans="5:11" x14ac:dyDescent="0.2">
      <c r="E2304" s="50"/>
      <c r="H2304" s="12"/>
      <c r="K2304"/>
    </row>
    <row r="2305" spans="5:11" x14ac:dyDescent="0.2">
      <c r="E2305" s="50"/>
      <c r="H2305" s="12"/>
      <c r="K2305"/>
    </row>
    <row r="2306" spans="5:11" x14ac:dyDescent="0.2">
      <c r="E2306" s="50"/>
      <c r="H2306" s="12"/>
      <c r="K2306"/>
    </row>
    <row r="2307" spans="5:11" x14ac:dyDescent="0.2">
      <c r="E2307" s="50"/>
      <c r="H2307" s="12"/>
      <c r="K2307"/>
    </row>
    <row r="2308" spans="5:11" x14ac:dyDescent="0.2">
      <c r="E2308" s="50"/>
      <c r="H2308" s="12"/>
      <c r="K2308"/>
    </row>
    <row r="2309" spans="5:11" x14ac:dyDescent="0.2">
      <c r="E2309" s="50"/>
      <c r="H2309" s="12"/>
      <c r="K2309"/>
    </row>
    <row r="2310" spans="5:11" x14ac:dyDescent="0.2">
      <c r="E2310" s="50"/>
      <c r="H2310" s="12"/>
      <c r="K2310"/>
    </row>
    <row r="2311" spans="5:11" x14ac:dyDescent="0.2">
      <c r="E2311" s="50"/>
      <c r="H2311" s="12"/>
      <c r="K2311"/>
    </row>
    <row r="2312" spans="5:11" x14ac:dyDescent="0.2">
      <c r="E2312" s="50"/>
      <c r="H2312" s="12"/>
      <c r="K2312"/>
    </row>
    <row r="2313" spans="5:11" x14ac:dyDescent="0.2">
      <c r="E2313" s="50"/>
      <c r="H2313" s="12"/>
      <c r="K2313"/>
    </row>
    <row r="2314" spans="5:11" x14ac:dyDescent="0.2">
      <c r="E2314" s="50"/>
      <c r="H2314" s="12"/>
      <c r="K2314"/>
    </row>
    <row r="2315" spans="5:11" x14ac:dyDescent="0.2">
      <c r="E2315" s="50"/>
      <c r="H2315" s="12"/>
      <c r="K2315"/>
    </row>
    <row r="2316" spans="5:11" x14ac:dyDescent="0.2">
      <c r="E2316" s="50"/>
      <c r="H2316" s="12"/>
      <c r="K2316"/>
    </row>
    <row r="2317" spans="5:11" x14ac:dyDescent="0.2">
      <c r="E2317" s="50"/>
      <c r="H2317" s="12"/>
      <c r="K2317"/>
    </row>
    <row r="2318" spans="5:11" x14ac:dyDescent="0.2">
      <c r="E2318" s="50"/>
      <c r="H2318" s="12"/>
      <c r="K2318"/>
    </row>
    <row r="2319" spans="5:11" x14ac:dyDescent="0.2">
      <c r="E2319" s="50"/>
      <c r="H2319" s="12"/>
      <c r="K2319"/>
    </row>
    <row r="2320" spans="5:11" x14ac:dyDescent="0.2">
      <c r="E2320" s="50"/>
      <c r="H2320" s="12"/>
      <c r="K2320"/>
    </row>
    <row r="2321" spans="5:11" x14ac:dyDescent="0.2">
      <c r="E2321" s="50"/>
      <c r="H2321" s="12"/>
      <c r="K2321"/>
    </row>
    <row r="2322" spans="5:11" x14ac:dyDescent="0.2">
      <c r="E2322" s="50"/>
      <c r="H2322" s="12"/>
      <c r="K2322"/>
    </row>
    <row r="2323" spans="5:11" x14ac:dyDescent="0.2">
      <c r="E2323" s="50"/>
      <c r="H2323" s="12"/>
      <c r="K2323"/>
    </row>
    <row r="2324" spans="5:11" x14ac:dyDescent="0.2">
      <c r="E2324" s="50"/>
      <c r="H2324" s="12"/>
      <c r="K2324"/>
    </row>
    <row r="2325" spans="5:11" x14ac:dyDescent="0.2">
      <c r="E2325" s="50"/>
      <c r="H2325" s="12"/>
      <c r="K2325"/>
    </row>
    <row r="2326" spans="5:11" x14ac:dyDescent="0.2">
      <c r="E2326" s="50"/>
      <c r="H2326" s="12"/>
      <c r="K2326"/>
    </row>
    <row r="2327" spans="5:11" x14ac:dyDescent="0.2">
      <c r="E2327" s="50"/>
      <c r="H2327" s="12"/>
      <c r="K2327"/>
    </row>
    <row r="2328" spans="5:11" x14ac:dyDescent="0.2">
      <c r="E2328" s="50"/>
      <c r="H2328" s="12"/>
      <c r="K2328"/>
    </row>
    <row r="2329" spans="5:11" x14ac:dyDescent="0.2">
      <c r="E2329" s="50"/>
      <c r="H2329" s="12"/>
      <c r="K2329"/>
    </row>
    <row r="2330" spans="5:11" x14ac:dyDescent="0.2">
      <c r="E2330" s="50"/>
      <c r="H2330" s="12"/>
      <c r="K2330"/>
    </row>
    <row r="2331" spans="5:11" x14ac:dyDescent="0.2">
      <c r="E2331" s="50"/>
      <c r="H2331" s="12"/>
      <c r="K2331"/>
    </row>
    <row r="2332" spans="5:11" x14ac:dyDescent="0.2">
      <c r="E2332" s="50"/>
      <c r="H2332" s="12"/>
      <c r="K2332"/>
    </row>
    <row r="2333" spans="5:11" x14ac:dyDescent="0.2">
      <c r="E2333" s="50"/>
      <c r="H2333" s="12"/>
      <c r="K2333"/>
    </row>
    <row r="2334" spans="5:11" x14ac:dyDescent="0.2">
      <c r="E2334" s="50"/>
      <c r="H2334" s="12"/>
      <c r="K2334"/>
    </row>
    <row r="2335" spans="5:11" x14ac:dyDescent="0.2">
      <c r="E2335" s="50"/>
      <c r="H2335" s="12"/>
      <c r="K2335"/>
    </row>
    <row r="2336" spans="5:11" x14ac:dyDescent="0.2">
      <c r="E2336" s="50"/>
      <c r="H2336" s="12"/>
      <c r="K2336"/>
    </row>
    <row r="2337" spans="5:11" x14ac:dyDescent="0.2">
      <c r="E2337" s="50"/>
      <c r="H2337" s="12"/>
      <c r="K2337"/>
    </row>
    <row r="2338" spans="5:11" x14ac:dyDescent="0.2">
      <c r="E2338" s="50"/>
      <c r="H2338" s="12"/>
      <c r="K2338"/>
    </row>
    <row r="2339" spans="5:11" x14ac:dyDescent="0.2">
      <c r="E2339" s="50"/>
      <c r="H2339" s="12"/>
      <c r="K2339"/>
    </row>
    <row r="2340" spans="5:11" x14ac:dyDescent="0.2">
      <c r="E2340" s="50"/>
      <c r="H2340" s="12"/>
      <c r="K2340"/>
    </row>
    <row r="2341" spans="5:11" x14ac:dyDescent="0.2">
      <c r="E2341" s="50"/>
      <c r="H2341" s="12"/>
      <c r="K2341"/>
    </row>
    <row r="2342" spans="5:11" x14ac:dyDescent="0.2">
      <c r="E2342" s="50"/>
      <c r="H2342" s="12"/>
      <c r="K2342"/>
    </row>
    <row r="2343" spans="5:11" x14ac:dyDescent="0.2">
      <c r="E2343" s="50"/>
      <c r="H2343" s="12"/>
      <c r="K2343"/>
    </row>
    <row r="2344" spans="5:11" x14ac:dyDescent="0.2">
      <c r="E2344" s="50"/>
      <c r="H2344" s="12"/>
      <c r="K2344"/>
    </row>
    <row r="2345" spans="5:11" x14ac:dyDescent="0.2">
      <c r="E2345" s="50"/>
      <c r="H2345" s="12"/>
      <c r="K2345"/>
    </row>
    <row r="2346" spans="5:11" x14ac:dyDescent="0.2">
      <c r="E2346" s="50"/>
      <c r="H2346" s="12"/>
      <c r="K2346"/>
    </row>
    <row r="2347" spans="5:11" x14ac:dyDescent="0.2">
      <c r="E2347" s="50"/>
      <c r="H2347" s="12"/>
      <c r="K2347"/>
    </row>
    <row r="2348" spans="5:11" x14ac:dyDescent="0.2">
      <c r="E2348" s="50"/>
      <c r="H2348" s="12"/>
      <c r="K2348"/>
    </row>
    <row r="2349" spans="5:11" x14ac:dyDescent="0.2">
      <c r="E2349" s="50"/>
      <c r="H2349" s="12"/>
      <c r="K2349"/>
    </row>
    <row r="2350" spans="5:11" x14ac:dyDescent="0.2">
      <c r="E2350" s="50"/>
      <c r="H2350" s="12"/>
      <c r="K2350"/>
    </row>
    <row r="2351" spans="5:11" x14ac:dyDescent="0.2">
      <c r="E2351" s="50"/>
      <c r="H2351" s="12"/>
      <c r="K2351"/>
    </row>
    <row r="2352" spans="5:11" x14ac:dyDescent="0.2">
      <c r="E2352" s="50"/>
      <c r="H2352" s="12"/>
      <c r="K2352"/>
    </row>
    <row r="2353" spans="5:11" x14ac:dyDescent="0.2">
      <c r="E2353" s="50"/>
      <c r="H2353" s="12"/>
      <c r="K2353"/>
    </row>
    <row r="2354" spans="5:11" x14ac:dyDescent="0.2">
      <c r="E2354" s="50"/>
      <c r="H2354" s="12"/>
      <c r="K2354"/>
    </row>
    <row r="2355" spans="5:11" x14ac:dyDescent="0.2">
      <c r="E2355" s="50"/>
      <c r="H2355" s="12"/>
      <c r="K2355"/>
    </row>
    <row r="2356" spans="5:11" x14ac:dyDescent="0.2">
      <c r="E2356" s="50"/>
      <c r="H2356" s="12"/>
      <c r="K2356"/>
    </row>
    <row r="2357" spans="5:11" x14ac:dyDescent="0.2">
      <c r="E2357" s="50"/>
      <c r="H2357" s="12"/>
      <c r="K2357"/>
    </row>
    <row r="2358" spans="5:11" x14ac:dyDescent="0.2">
      <c r="E2358" s="50"/>
      <c r="H2358" s="12"/>
      <c r="K2358"/>
    </row>
    <row r="2359" spans="5:11" x14ac:dyDescent="0.2">
      <c r="E2359" s="50"/>
      <c r="H2359" s="12"/>
      <c r="K2359"/>
    </row>
    <row r="2360" spans="5:11" x14ac:dyDescent="0.2">
      <c r="E2360" s="50"/>
      <c r="H2360" s="12"/>
      <c r="K2360"/>
    </row>
    <row r="2361" spans="5:11" x14ac:dyDescent="0.2">
      <c r="E2361" s="50"/>
      <c r="H2361" s="12"/>
      <c r="K2361"/>
    </row>
    <row r="2362" spans="5:11" x14ac:dyDescent="0.2">
      <c r="E2362" s="50"/>
      <c r="H2362" s="12"/>
      <c r="K2362"/>
    </row>
    <row r="2363" spans="5:11" x14ac:dyDescent="0.2">
      <c r="E2363" s="50"/>
      <c r="H2363" s="12"/>
      <c r="K2363"/>
    </row>
    <row r="2364" spans="5:11" x14ac:dyDescent="0.2">
      <c r="E2364" s="50"/>
      <c r="H2364" s="12"/>
      <c r="K2364"/>
    </row>
    <row r="2365" spans="5:11" x14ac:dyDescent="0.2">
      <c r="E2365" s="50"/>
      <c r="H2365" s="12"/>
      <c r="K2365"/>
    </row>
    <row r="2366" spans="5:11" x14ac:dyDescent="0.2">
      <c r="E2366" s="50"/>
      <c r="H2366" s="12"/>
      <c r="K2366"/>
    </row>
    <row r="2367" spans="5:11" x14ac:dyDescent="0.2">
      <c r="E2367" s="50"/>
      <c r="H2367" s="12"/>
      <c r="K2367"/>
    </row>
    <row r="2368" spans="5:11" x14ac:dyDescent="0.2">
      <c r="E2368" s="50"/>
      <c r="H2368" s="12"/>
      <c r="K2368"/>
    </row>
    <row r="2369" spans="5:11" x14ac:dyDescent="0.2">
      <c r="E2369" s="50"/>
      <c r="H2369" s="12"/>
      <c r="K2369"/>
    </row>
    <row r="2370" spans="5:11" x14ac:dyDescent="0.2">
      <c r="E2370" s="50"/>
      <c r="H2370" s="12"/>
      <c r="K2370"/>
    </row>
    <row r="2371" spans="5:11" x14ac:dyDescent="0.2">
      <c r="E2371" s="50"/>
      <c r="H2371" s="12"/>
      <c r="K2371"/>
    </row>
    <row r="2372" spans="5:11" x14ac:dyDescent="0.2">
      <c r="E2372" s="50"/>
      <c r="H2372" s="12"/>
      <c r="K2372"/>
    </row>
    <row r="2373" spans="5:11" x14ac:dyDescent="0.2">
      <c r="E2373" s="50"/>
      <c r="H2373" s="12"/>
      <c r="K2373"/>
    </row>
    <row r="2374" spans="5:11" x14ac:dyDescent="0.2">
      <c r="E2374" s="50"/>
      <c r="H2374" s="12"/>
      <c r="K2374"/>
    </row>
    <row r="2375" spans="5:11" x14ac:dyDescent="0.2">
      <c r="E2375" s="50"/>
      <c r="H2375" s="12"/>
      <c r="K2375"/>
    </row>
    <row r="2376" spans="5:11" x14ac:dyDescent="0.2">
      <c r="E2376" s="50"/>
      <c r="H2376" s="12"/>
      <c r="K2376"/>
    </row>
    <row r="2377" spans="5:11" x14ac:dyDescent="0.2">
      <c r="E2377" s="50"/>
      <c r="H2377" s="12"/>
      <c r="K2377"/>
    </row>
    <row r="2378" spans="5:11" x14ac:dyDescent="0.2">
      <c r="E2378" s="50"/>
      <c r="H2378" s="12"/>
      <c r="K2378"/>
    </row>
    <row r="2379" spans="5:11" x14ac:dyDescent="0.2">
      <c r="E2379" s="50"/>
      <c r="H2379" s="12"/>
      <c r="K2379"/>
    </row>
    <row r="2380" spans="5:11" x14ac:dyDescent="0.2">
      <c r="E2380" s="50"/>
      <c r="H2380" s="12"/>
      <c r="K2380"/>
    </row>
    <row r="2381" spans="5:11" x14ac:dyDescent="0.2">
      <c r="E2381" s="50"/>
      <c r="H2381" s="12"/>
      <c r="K2381"/>
    </row>
    <row r="2382" spans="5:11" x14ac:dyDescent="0.2">
      <c r="E2382" s="50"/>
      <c r="H2382" s="12"/>
      <c r="K2382"/>
    </row>
    <row r="2383" spans="5:11" x14ac:dyDescent="0.2">
      <c r="E2383" s="50"/>
      <c r="H2383" s="12"/>
      <c r="K2383"/>
    </row>
    <row r="2384" spans="5:11" x14ac:dyDescent="0.2">
      <c r="E2384" s="50"/>
      <c r="H2384" s="12"/>
      <c r="K2384"/>
    </row>
    <row r="2385" spans="5:11" x14ac:dyDescent="0.2">
      <c r="E2385" s="50"/>
      <c r="H2385" s="12"/>
      <c r="K2385"/>
    </row>
    <row r="2386" spans="5:11" x14ac:dyDescent="0.2">
      <c r="E2386" s="50"/>
      <c r="H2386" s="12"/>
      <c r="K2386"/>
    </row>
    <row r="2387" spans="5:11" x14ac:dyDescent="0.2">
      <c r="E2387" s="50"/>
      <c r="H2387" s="12"/>
      <c r="K2387"/>
    </row>
    <row r="2388" spans="5:11" x14ac:dyDescent="0.2">
      <c r="E2388" s="50"/>
      <c r="H2388" s="12"/>
      <c r="K2388"/>
    </row>
    <row r="2389" spans="5:11" x14ac:dyDescent="0.2">
      <c r="E2389" s="50"/>
      <c r="H2389" s="12"/>
      <c r="K2389"/>
    </row>
    <row r="2390" spans="5:11" x14ac:dyDescent="0.2">
      <c r="E2390" s="50"/>
      <c r="H2390" s="12"/>
      <c r="K2390"/>
    </row>
    <row r="2391" spans="5:11" x14ac:dyDescent="0.2">
      <c r="E2391" s="50"/>
      <c r="H2391" s="12"/>
      <c r="K2391"/>
    </row>
    <row r="2392" spans="5:11" x14ac:dyDescent="0.2">
      <c r="E2392" s="50"/>
      <c r="H2392" s="12"/>
      <c r="K2392"/>
    </row>
    <row r="2393" spans="5:11" x14ac:dyDescent="0.2">
      <c r="E2393" s="50"/>
      <c r="H2393" s="12"/>
      <c r="K2393"/>
    </row>
    <row r="2394" spans="5:11" x14ac:dyDescent="0.2">
      <c r="E2394" s="50"/>
      <c r="H2394" s="12"/>
      <c r="K2394"/>
    </row>
    <row r="2395" spans="5:11" x14ac:dyDescent="0.2">
      <c r="E2395" s="50"/>
      <c r="H2395" s="12"/>
      <c r="K2395"/>
    </row>
    <row r="2396" spans="5:11" x14ac:dyDescent="0.2">
      <c r="E2396" s="50"/>
      <c r="H2396" s="12"/>
      <c r="K2396"/>
    </row>
    <row r="2397" spans="5:11" x14ac:dyDescent="0.2">
      <c r="E2397" s="50"/>
      <c r="H2397" s="12"/>
      <c r="K2397"/>
    </row>
    <row r="2398" spans="5:11" x14ac:dyDescent="0.2">
      <c r="E2398" s="50"/>
      <c r="H2398" s="12"/>
      <c r="K2398"/>
    </row>
    <row r="2399" spans="5:11" x14ac:dyDescent="0.2">
      <c r="E2399" s="50"/>
      <c r="H2399" s="12"/>
      <c r="K2399"/>
    </row>
    <row r="2400" spans="5:11" x14ac:dyDescent="0.2">
      <c r="E2400" s="50"/>
      <c r="H2400" s="12"/>
      <c r="K2400"/>
    </row>
    <row r="2401" spans="5:11" x14ac:dyDescent="0.2">
      <c r="E2401" s="50"/>
      <c r="H2401" s="12"/>
      <c r="K2401"/>
    </row>
    <row r="2402" spans="5:11" x14ac:dyDescent="0.2">
      <c r="E2402" s="50"/>
      <c r="H2402" s="12"/>
      <c r="K2402"/>
    </row>
    <row r="2403" spans="5:11" x14ac:dyDescent="0.2">
      <c r="E2403" s="50"/>
      <c r="H2403" s="12"/>
      <c r="K2403"/>
    </row>
    <row r="2404" spans="5:11" x14ac:dyDescent="0.2">
      <c r="E2404" s="50"/>
      <c r="H2404" s="12"/>
      <c r="K2404"/>
    </row>
    <row r="2405" spans="5:11" x14ac:dyDescent="0.2">
      <c r="E2405" s="50"/>
      <c r="H2405" s="12"/>
      <c r="K2405"/>
    </row>
    <row r="2406" spans="5:11" x14ac:dyDescent="0.2">
      <c r="E2406" s="50"/>
      <c r="H2406" s="12"/>
      <c r="K2406"/>
    </row>
    <row r="2407" spans="5:11" x14ac:dyDescent="0.2">
      <c r="E2407" s="50"/>
      <c r="H2407" s="12"/>
      <c r="K2407"/>
    </row>
    <row r="2408" spans="5:11" x14ac:dyDescent="0.2">
      <c r="E2408" s="50"/>
      <c r="H2408" s="12"/>
      <c r="K2408"/>
    </row>
    <row r="2409" spans="5:11" x14ac:dyDescent="0.2">
      <c r="E2409" s="50"/>
      <c r="H2409" s="12"/>
      <c r="K2409"/>
    </row>
    <row r="2410" spans="5:11" x14ac:dyDescent="0.2">
      <c r="E2410" s="50"/>
      <c r="H2410" s="12"/>
      <c r="K2410"/>
    </row>
    <row r="2411" spans="5:11" x14ac:dyDescent="0.2">
      <c r="E2411" s="50"/>
      <c r="H2411" s="12"/>
      <c r="K2411"/>
    </row>
    <row r="2412" spans="5:11" x14ac:dyDescent="0.2">
      <c r="E2412" s="50"/>
      <c r="H2412" s="12"/>
      <c r="K2412"/>
    </row>
    <row r="2413" spans="5:11" x14ac:dyDescent="0.2">
      <c r="E2413" s="50"/>
      <c r="H2413" s="12"/>
      <c r="K2413"/>
    </row>
    <row r="2414" spans="5:11" x14ac:dyDescent="0.2">
      <c r="E2414" s="50"/>
      <c r="H2414" s="12"/>
      <c r="K2414"/>
    </row>
    <row r="2415" spans="5:11" x14ac:dyDescent="0.2">
      <c r="E2415" s="50"/>
      <c r="H2415" s="12"/>
      <c r="K2415"/>
    </row>
    <row r="2416" spans="5:11" x14ac:dyDescent="0.2">
      <c r="E2416" s="50"/>
      <c r="H2416" s="12"/>
      <c r="K2416"/>
    </row>
    <row r="2417" spans="5:11" x14ac:dyDescent="0.2">
      <c r="E2417" s="50"/>
      <c r="H2417" s="12"/>
      <c r="K2417"/>
    </row>
    <row r="2418" spans="5:11" x14ac:dyDescent="0.2">
      <c r="E2418" s="50"/>
      <c r="H2418" s="12"/>
      <c r="K2418"/>
    </row>
    <row r="2419" spans="5:11" x14ac:dyDescent="0.2">
      <c r="E2419" s="50"/>
      <c r="H2419" s="12"/>
      <c r="K2419"/>
    </row>
    <row r="2420" spans="5:11" x14ac:dyDescent="0.2">
      <c r="E2420" s="50"/>
      <c r="H2420" s="12"/>
      <c r="K2420"/>
    </row>
    <row r="2421" spans="5:11" x14ac:dyDescent="0.2">
      <c r="E2421" s="50"/>
      <c r="H2421" s="12"/>
      <c r="K2421"/>
    </row>
    <row r="2422" spans="5:11" x14ac:dyDescent="0.2">
      <c r="E2422" s="50"/>
      <c r="H2422" s="12"/>
      <c r="K2422"/>
    </row>
    <row r="2423" spans="5:11" x14ac:dyDescent="0.2">
      <c r="E2423" s="50"/>
      <c r="H2423" s="12"/>
      <c r="K2423"/>
    </row>
    <row r="2424" spans="5:11" x14ac:dyDescent="0.2">
      <c r="E2424" s="50"/>
      <c r="H2424" s="12"/>
      <c r="K2424"/>
    </row>
    <row r="2425" spans="5:11" x14ac:dyDescent="0.2">
      <c r="E2425" s="50"/>
      <c r="H2425" s="12"/>
      <c r="K2425"/>
    </row>
    <row r="2426" spans="5:11" x14ac:dyDescent="0.2">
      <c r="E2426" s="50"/>
      <c r="H2426" s="12"/>
      <c r="K2426"/>
    </row>
    <row r="2427" spans="5:11" x14ac:dyDescent="0.2">
      <c r="E2427" s="50"/>
      <c r="H2427" s="12"/>
      <c r="K2427"/>
    </row>
    <row r="2428" spans="5:11" x14ac:dyDescent="0.2">
      <c r="E2428" s="50"/>
      <c r="H2428" s="12"/>
      <c r="K2428"/>
    </row>
    <row r="2429" spans="5:11" x14ac:dyDescent="0.2">
      <c r="E2429" s="50"/>
      <c r="H2429" s="12"/>
      <c r="K2429"/>
    </row>
    <row r="2430" spans="5:11" x14ac:dyDescent="0.2">
      <c r="E2430" s="50"/>
      <c r="H2430" s="12"/>
      <c r="K2430"/>
    </row>
    <row r="2431" spans="5:11" x14ac:dyDescent="0.2">
      <c r="E2431" s="50"/>
      <c r="H2431" s="12"/>
      <c r="K2431"/>
    </row>
    <row r="2432" spans="5:11" x14ac:dyDescent="0.2">
      <c r="E2432" s="50"/>
      <c r="H2432" s="12"/>
      <c r="K2432"/>
    </row>
    <row r="2433" spans="5:11" x14ac:dyDescent="0.2">
      <c r="E2433" s="50"/>
      <c r="H2433" s="12"/>
      <c r="K2433"/>
    </row>
    <row r="2434" spans="5:11" x14ac:dyDescent="0.2">
      <c r="E2434" s="50"/>
      <c r="H2434" s="12"/>
      <c r="K2434"/>
    </row>
    <row r="2435" spans="5:11" x14ac:dyDescent="0.2">
      <c r="E2435" s="50"/>
      <c r="H2435" s="12"/>
      <c r="K2435"/>
    </row>
    <row r="2436" spans="5:11" x14ac:dyDescent="0.2">
      <c r="E2436" s="50"/>
      <c r="H2436" s="12"/>
      <c r="K2436"/>
    </row>
    <row r="2437" spans="5:11" x14ac:dyDescent="0.2">
      <c r="E2437" s="50"/>
      <c r="H2437" s="12"/>
      <c r="K2437"/>
    </row>
    <row r="2438" spans="5:11" x14ac:dyDescent="0.2">
      <c r="E2438" s="50"/>
      <c r="H2438" s="12"/>
      <c r="K2438"/>
    </row>
    <row r="2439" spans="5:11" x14ac:dyDescent="0.2">
      <c r="E2439" s="50"/>
      <c r="H2439" s="12"/>
      <c r="K2439"/>
    </row>
    <row r="2440" spans="5:11" x14ac:dyDescent="0.2">
      <c r="E2440" s="50"/>
      <c r="H2440" s="12"/>
      <c r="K2440"/>
    </row>
    <row r="2441" spans="5:11" x14ac:dyDescent="0.2">
      <c r="E2441" s="50"/>
      <c r="H2441" s="12"/>
      <c r="K2441"/>
    </row>
    <row r="2442" spans="5:11" x14ac:dyDescent="0.2">
      <c r="E2442" s="50"/>
      <c r="H2442" s="12"/>
      <c r="K2442"/>
    </row>
    <row r="2443" spans="5:11" x14ac:dyDescent="0.2">
      <c r="E2443" s="50"/>
      <c r="H2443" s="12"/>
      <c r="K2443"/>
    </row>
    <row r="2444" spans="5:11" x14ac:dyDescent="0.2">
      <c r="E2444" s="50"/>
      <c r="H2444" s="12"/>
      <c r="K2444"/>
    </row>
    <row r="2445" spans="5:11" x14ac:dyDescent="0.2">
      <c r="E2445" s="50"/>
      <c r="H2445" s="12"/>
      <c r="K2445"/>
    </row>
    <row r="2446" spans="5:11" x14ac:dyDescent="0.2">
      <c r="E2446" s="50"/>
      <c r="H2446" s="12"/>
      <c r="K2446"/>
    </row>
    <row r="2447" spans="5:11" x14ac:dyDescent="0.2">
      <c r="E2447" s="50"/>
      <c r="H2447" s="12"/>
      <c r="K2447"/>
    </row>
    <row r="2448" spans="5:11" x14ac:dyDescent="0.2">
      <c r="E2448" s="50"/>
      <c r="H2448" s="12"/>
      <c r="K2448"/>
    </row>
    <row r="2449" spans="5:11" x14ac:dyDescent="0.2">
      <c r="E2449" s="50"/>
      <c r="H2449" s="12"/>
      <c r="K2449"/>
    </row>
    <row r="2450" spans="5:11" x14ac:dyDescent="0.2">
      <c r="E2450" s="50"/>
      <c r="H2450" s="12"/>
      <c r="K2450"/>
    </row>
    <row r="2451" spans="5:11" x14ac:dyDescent="0.2">
      <c r="E2451" s="50"/>
      <c r="H2451" s="12"/>
      <c r="K2451"/>
    </row>
    <row r="2452" spans="5:11" x14ac:dyDescent="0.2">
      <c r="E2452" s="50"/>
      <c r="H2452" s="12"/>
      <c r="K2452"/>
    </row>
    <row r="2453" spans="5:11" x14ac:dyDescent="0.2">
      <c r="E2453" s="50"/>
      <c r="H2453" s="12"/>
      <c r="K2453"/>
    </row>
    <row r="2454" spans="5:11" x14ac:dyDescent="0.2">
      <c r="E2454" s="50"/>
      <c r="H2454" s="12"/>
      <c r="K2454"/>
    </row>
    <row r="2455" spans="5:11" x14ac:dyDescent="0.2">
      <c r="E2455" s="50"/>
      <c r="H2455" s="12"/>
      <c r="K2455"/>
    </row>
    <row r="2456" spans="5:11" x14ac:dyDescent="0.2">
      <c r="E2456" s="50"/>
      <c r="H2456" s="12"/>
      <c r="K2456"/>
    </row>
    <row r="2457" spans="5:11" x14ac:dyDescent="0.2">
      <c r="E2457" s="50"/>
      <c r="H2457" s="12"/>
      <c r="K2457"/>
    </row>
    <row r="2458" spans="5:11" x14ac:dyDescent="0.2">
      <c r="E2458" s="50"/>
      <c r="H2458" s="12"/>
      <c r="K2458"/>
    </row>
    <row r="2459" spans="5:11" x14ac:dyDescent="0.2">
      <c r="E2459" s="50"/>
      <c r="H2459" s="12"/>
      <c r="K2459"/>
    </row>
    <row r="2460" spans="5:11" x14ac:dyDescent="0.2">
      <c r="E2460" s="50"/>
      <c r="H2460" s="12"/>
      <c r="K2460"/>
    </row>
    <row r="2461" spans="5:11" x14ac:dyDescent="0.2">
      <c r="E2461" s="50"/>
      <c r="H2461" s="12"/>
      <c r="K2461"/>
    </row>
    <row r="2462" spans="5:11" x14ac:dyDescent="0.2">
      <c r="E2462" s="50"/>
      <c r="H2462" s="12"/>
      <c r="K2462"/>
    </row>
    <row r="2463" spans="5:11" x14ac:dyDescent="0.2">
      <c r="E2463" s="50"/>
      <c r="H2463" s="12"/>
      <c r="K2463"/>
    </row>
    <row r="2464" spans="5:11" x14ac:dyDescent="0.2">
      <c r="E2464" s="50"/>
      <c r="H2464" s="12"/>
      <c r="K2464"/>
    </row>
    <row r="2465" spans="5:11" x14ac:dyDescent="0.2">
      <c r="E2465" s="50"/>
      <c r="H2465" s="12"/>
      <c r="K2465"/>
    </row>
    <row r="2466" spans="5:11" x14ac:dyDescent="0.2">
      <c r="E2466" s="50"/>
      <c r="H2466" s="12"/>
      <c r="K2466"/>
    </row>
    <row r="2467" spans="5:11" x14ac:dyDescent="0.2">
      <c r="E2467" s="50"/>
      <c r="H2467" s="12"/>
      <c r="K2467"/>
    </row>
    <row r="2468" spans="5:11" x14ac:dyDescent="0.2">
      <c r="E2468" s="50"/>
      <c r="H2468" s="12"/>
      <c r="K2468"/>
    </row>
    <row r="2469" spans="5:11" x14ac:dyDescent="0.2">
      <c r="E2469" s="50"/>
      <c r="H2469" s="12"/>
      <c r="K2469"/>
    </row>
    <row r="2470" spans="5:11" x14ac:dyDescent="0.2">
      <c r="E2470" s="50"/>
      <c r="H2470" s="12"/>
      <c r="K2470"/>
    </row>
    <row r="2471" spans="5:11" x14ac:dyDescent="0.2">
      <c r="E2471" s="50"/>
      <c r="H2471" s="12"/>
      <c r="K2471"/>
    </row>
    <row r="2472" spans="5:11" x14ac:dyDescent="0.2">
      <c r="E2472" s="50"/>
      <c r="H2472" s="12"/>
      <c r="K2472"/>
    </row>
    <row r="2473" spans="5:11" x14ac:dyDescent="0.2">
      <c r="E2473" s="50"/>
      <c r="H2473" s="12"/>
      <c r="K2473"/>
    </row>
    <row r="2474" spans="5:11" x14ac:dyDescent="0.2">
      <c r="E2474" s="50"/>
      <c r="H2474" s="12"/>
      <c r="K2474"/>
    </row>
    <row r="2475" spans="5:11" x14ac:dyDescent="0.2">
      <c r="E2475" s="50"/>
      <c r="H2475" s="12"/>
      <c r="K2475"/>
    </row>
    <row r="2476" spans="5:11" x14ac:dyDescent="0.2">
      <c r="E2476" s="50"/>
      <c r="H2476" s="12"/>
      <c r="K2476"/>
    </row>
    <row r="2477" spans="5:11" x14ac:dyDescent="0.2">
      <c r="E2477" s="50"/>
      <c r="H2477" s="12"/>
      <c r="K2477"/>
    </row>
    <row r="2478" spans="5:11" x14ac:dyDescent="0.2">
      <c r="E2478" s="50"/>
      <c r="H2478" s="12"/>
      <c r="K2478"/>
    </row>
    <row r="2479" spans="5:11" x14ac:dyDescent="0.2">
      <c r="E2479" s="50"/>
      <c r="H2479" s="12"/>
      <c r="K2479"/>
    </row>
    <row r="2480" spans="5:11" x14ac:dyDescent="0.2">
      <c r="E2480" s="50"/>
      <c r="H2480" s="12"/>
      <c r="K2480"/>
    </row>
    <row r="2481" spans="5:11" x14ac:dyDescent="0.2">
      <c r="E2481" s="50"/>
      <c r="H2481" s="12"/>
      <c r="K2481"/>
    </row>
    <row r="2482" spans="5:11" x14ac:dyDescent="0.2">
      <c r="E2482" s="50"/>
      <c r="H2482" s="12"/>
      <c r="K2482"/>
    </row>
    <row r="2483" spans="5:11" x14ac:dyDescent="0.2">
      <c r="E2483" s="50"/>
      <c r="H2483" s="12"/>
      <c r="K2483"/>
    </row>
    <row r="2484" spans="5:11" x14ac:dyDescent="0.2">
      <c r="E2484" s="50"/>
      <c r="H2484" s="12"/>
      <c r="K2484"/>
    </row>
    <row r="2485" spans="5:11" x14ac:dyDescent="0.2">
      <c r="E2485" s="50"/>
      <c r="H2485" s="12"/>
      <c r="K2485"/>
    </row>
    <row r="2486" spans="5:11" x14ac:dyDescent="0.2">
      <c r="E2486" s="50"/>
      <c r="H2486" s="12"/>
      <c r="K2486"/>
    </row>
    <row r="2487" spans="5:11" x14ac:dyDescent="0.2">
      <c r="E2487" s="50"/>
      <c r="H2487" s="12"/>
      <c r="K2487"/>
    </row>
    <row r="2488" spans="5:11" x14ac:dyDescent="0.2">
      <c r="E2488" s="50"/>
      <c r="H2488" s="12"/>
      <c r="K2488"/>
    </row>
    <row r="2489" spans="5:11" x14ac:dyDescent="0.2">
      <c r="E2489" s="50"/>
      <c r="H2489" s="12"/>
      <c r="K2489"/>
    </row>
    <row r="2490" spans="5:11" x14ac:dyDescent="0.2">
      <c r="E2490" s="50"/>
      <c r="H2490" s="12"/>
      <c r="K2490"/>
    </row>
    <row r="2491" spans="5:11" x14ac:dyDescent="0.2">
      <c r="E2491" s="50"/>
      <c r="H2491" s="12"/>
      <c r="K2491"/>
    </row>
    <row r="2492" spans="5:11" x14ac:dyDescent="0.2">
      <c r="E2492" s="50"/>
      <c r="H2492" s="12"/>
      <c r="K2492"/>
    </row>
    <row r="2493" spans="5:11" x14ac:dyDescent="0.2">
      <c r="E2493" s="50"/>
      <c r="H2493" s="12"/>
      <c r="K2493"/>
    </row>
    <row r="2494" spans="5:11" x14ac:dyDescent="0.2">
      <c r="E2494" s="50"/>
      <c r="H2494" s="12"/>
      <c r="K2494"/>
    </row>
    <row r="2495" spans="5:11" x14ac:dyDescent="0.2">
      <c r="E2495" s="50"/>
      <c r="H2495" s="12"/>
      <c r="K2495"/>
    </row>
    <row r="2496" spans="5:11" x14ac:dyDescent="0.2">
      <c r="E2496" s="50"/>
      <c r="H2496" s="12"/>
      <c r="K2496"/>
    </row>
    <row r="2497" spans="5:11" x14ac:dyDescent="0.2">
      <c r="E2497" s="50"/>
      <c r="H2497" s="12"/>
      <c r="K2497"/>
    </row>
    <row r="2498" spans="5:11" x14ac:dyDescent="0.2">
      <c r="E2498" s="50"/>
      <c r="H2498" s="12"/>
      <c r="K2498"/>
    </row>
    <row r="2499" spans="5:11" x14ac:dyDescent="0.2">
      <c r="E2499" s="50"/>
      <c r="H2499" s="12"/>
      <c r="K2499"/>
    </row>
    <row r="2500" spans="5:11" x14ac:dyDescent="0.2">
      <c r="E2500" s="50"/>
      <c r="H2500" s="12"/>
      <c r="K2500"/>
    </row>
    <row r="2501" spans="5:11" x14ac:dyDescent="0.2">
      <c r="E2501" s="50"/>
      <c r="H2501" s="12"/>
      <c r="K2501"/>
    </row>
    <row r="2502" spans="5:11" x14ac:dyDescent="0.2">
      <c r="E2502" s="50"/>
      <c r="H2502" s="12"/>
      <c r="K2502"/>
    </row>
    <row r="2503" spans="5:11" x14ac:dyDescent="0.2">
      <c r="E2503" s="50"/>
      <c r="H2503" s="12"/>
      <c r="K2503"/>
    </row>
    <row r="2504" spans="5:11" x14ac:dyDescent="0.2">
      <c r="E2504" s="50"/>
      <c r="H2504" s="12"/>
      <c r="K2504"/>
    </row>
    <row r="2505" spans="5:11" x14ac:dyDescent="0.2">
      <c r="E2505" s="50"/>
      <c r="H2505" s="12"/>
      <c r="K2505"/>
    </row>
    <row r="2506" spans="5:11" x14ac:dyDescent="0.2">
      <c r="E2506" s="50"/>
      <c r="H2506" s="12"/>
      <c r="K2506"/>
    </row>
    <row r="2507" spans="5:11" x14ac:dyDescent="0.2">
      <c r="E2507" s="50"/>
      <c r="H2507" s="12"/>
      <c r="K2507"/>
    </row>
    <row r="2508" spans="5:11" x14ac:dyDescent="0.2">
      <c r="E2508" s="50"/>
      <c r="H2508" s="12"/>
      <c r="K2508"/>
    </row>
    <row r="2509" spans="5:11" x14ac:dyDescent="0.2">
      <c r="E2509" s="50"/>
      <c r="H2509" s="12"/>
      <c r="K2509"/>
    </row>
    <row r="2510" spans="5:11" x14ac:dyDescent="0.2">
      <c r="E2510" s="50"/>
      <c r="H2510" s="12"/>
      <c r="K2510"/>
    </row>
    <row r="2511" spans="5:11" x14ac:dyDescent="0.2">
      <c r="E2511" s="50"/>
      <c r="H2511" s="12"/>
      <c r="K2511"/>
    </row>
    <row r="2512" spans="5:11" x14ac:dyDescent="0.2">
      <c r="E2512" s="50"/>
      <c r="H2512" s="12"/>
      <c r="K2512"/>
    </row>
    <row r="2513" spans="5:11" x14ac:dyDescent="0.2">
      <c r="E2513" s="50"/>
      <c r="H2513" s="12"/>
      <c r="K2513"/>
    </row>
    <row r="2514" spans="5:11" x14ac:dyDescent="0.2">
      <c r="E2514" s="50"/>
      <c r="H2514" s="12"/>
      <c r="K2514"/>
    </row>
    <row r="2515" spans="5:11" x14ac:dyDescent="0.2">
      <c r="E2515" s="50"/>
      <c r="H2515" s="12"/>
      <c r="K2515"/>
    </row>
    <row r="2516" spans="5:11" x14ac:dyDescent="0.2">
      <c r="E2516" s="50"/>
      <c r="H2516" s="12"/>
      <c r="K2516"/>
    </row>
    <row r="2517" spans="5:11" x14ac:dyDescent="0.2">
      <c r="E2517" s="50"/>
      <c r="H2517" s="12"/>
      <c r="K2517"/>
    </row>
    <row r="2518" spans="5:11" x14ac:dyDescent="0.2">
      <c r="E2518" s="50"/>
      <c r="H2518" s="12"/>
      <c r="K2518"/>
    </row>
    <row r="2519" spans="5:11" x14ac:dyDescent="0.2">
      <c r="E2519" s="50"/>
      <c r="H2519" s="12"/>
      <c r="K2519"/>
    </row>
    <row r="2520" spans="5:11" x14ac:dyDescent="0.2">
      <c r="E2520" s="50"/>
      <c r="H2520" s="12"/>
      <c r="K2520"/>
    </row>
    <row r="2521" spans="5:11" x14ac:dyDescent="0.2">
      <c r="E2521" s="50"/>
      <c r="H2521" s="12"/>
      <c r="K2521"/>
    </row>
    <row r="2522" spans="5:11" x14ac:dyDescent="0.2">
      <c r="E2522" s="50"/>
      <c r="H2522" s="12"/>
      <c r="K2522"/>
    </row>
    <row r="2523" spans="5:11" x14ac:dyDescent="0.2">
      <c r="E2523" s="50"/>
      <c r="H2523" s="12"/>
      <c r="K2523"/>
    </row>
    <row r="2524" spans="5:11" x14ac:dyDescent="0.2">
      <c r="E2524" s="50"/>
      <c r="H2524" s="12"/>
      <c r="K2524"/>
    </row>
    <row r="2525" spans="5:11" x14ac:dyDescent="0.2">
      <c r="E2525" s="50"/>
      <c r="H2525" s="12"/>
      <c r="K2525"/>
    </row>
    <row r="2526" spans="5:11" x14ac:dyDescent="0.2">
      <c r="E2526" s="50"/>
      <c r="H2526" s="12"/>
      <c r="K2526"/>
    </row>
    <row r="2527" spans="5:11" x14ac:dyDescent="0.2">
      <c r="E2527" s="50"/>
      <c r="H2527" s="12"/>
      <c r="K2527"/>
    </row>
    <row r="2528" spans="5:11" x14ac:dyDescent="0.2">
      <c r="E2528" s="50"/>
      <c r="H2528" s="12"/>
      <c r="K2528"/>
    </row>
    <row r="2529" spans="5:11" x14ac:dyDescent="0.2">
      <c r="E2529" s="50"/>
      <c r="H2529" s="12"/>
      <c r="K2529"/>
    </row>
    <row r="2530" spans="5:11" x14ac:dyDescent="0.2">
      <c r="E2530" s="50"/>
      <c r="H2530" s="12"/>
      <c r="K2530"/>
    </row>
    <row r="2531" spans="5:11" x14ac:dyDescent="0.2">
      <c r="E2531" s="50"/>
      <c r="H2531" s="12"/>
      <c r="K2531"/>
    </row>
    <row r="2532" spans="5:11" x14ac:dyDescent="0.2">
      <c r="E2532" s="50"/>
      <c r="H2532" s="12"/>
      <c r="K2532"/>
    </row>
    <row r="2533" spans="5:11" x14ac:dyDescent="0.2">
      <c r="E2533" s="50"/>
      <c r="H2533" s="12"/>
      <c r="K2533"/>
    </row>
    <row r="2534" spans="5:11" x14ac:dyDescent="0.2">
      <c r="E2534" s="50"/>
      <c r="H2534" s="12"/>
      <c r="K2534"/>
    </row>
    <row r="2535" spans="5:11" x14ac:dyDescent="0.2">
      <c r="E2535" s="50"/>
      <c r="H2535" s="12"/>
      <c r="K2535"/>
    </row>
    <row r="2536" spans="5:11" x14ac:dyDescent="0.2">
      <c r="E2536" s="50"/>
      <c r="H2536" s="12"/>
      <c r="K2536"/>
    </row>
    <row r="2537" spans="5:11" x14ac:dyDescent="0.2">
      <c r="E2537" s="50"/>
      <c r="H2537" s="12"/>
      <c r="K2537"/>
    </row>
    <row r="2538" spans="5:11" x14ac:dyDescent="0.2">
      <c r="E2538" s="50"/>
      <c r="H2538" s="12"/>
      <c r="K2538"/>
    </row>
    <row r="2539" spans="5:11" x14ac:dyDescent="0.2">
      <c r="E2539" s="50"/>
      <c r="H2539" s="12"/>
      <c r="K2539"/>
    </row>
    <row r="2540" spans="5:11" x14ac:dyDescent="0.2">
      <c r="E2540" s="50"/>
      <c r="H2540" s="12"/>
      <c r="K2540"/>
    </row>
    <row r="2541" spans="5:11" x14ac:dyDescent="0.2">
      <c r="E2541" s="50"/>
      <c r="H2541" s="12"/>
      <c r="K2541"/>
    </row>
    <row r="2542" spans="5:11" x14ac:dyDescent="0.2">
      <c r="E2542" s="50"/>
      <c r="H2542" s="12"/>
      <c r="K2542"/>
    </row>
    <row r="2543" spans="5:11" x14ac:dyDescent="0.2">
      <c r="E2543" s="50"/>
      <c r="H2543" s="12"/>
      <c r="K2543"/>
    </row>
    <row r="2544" spans="5:11" x14ac:dyDescent="0.2">
      <c r="E2544" s="50"/>
      <c r="H2544" s="12"/>
      <c r="K2544"/>
    </row>
    <row r="2545" spans="5:11" x14ac:dyDescent="0.2">
      <c r="E2545" s="50"/>
      <c r="H2545" s="12"/>
      <c r="K2545"/>
    </row>
    <row r="2546" spans="5:11" x14ac:dyDescent="0.2">
      <c r="E2546" s="50"/>
      <c r="H2546" s="12"/>
      <c r="K2546"/>
    </row>
    <row r="2547" spans="5:11" x14ac:dyDescent="0.2">
      <c r="E2547" s="50"/>
      <c r="H2547" s="12"/>
      <c r="K2547"/>
    </row>
    <row r="2548" spans="5:11" x14ac:dyDescent="0.2">
      <c r="E2548" s="50"/>
      <c r="H2548" s="12"/>
      <c r="K2548"/>
    </row>
    <row r="2549" spans="5:11" x14ac:dyDescent="0.2">
      <c r="E2549" s="50"/>
      <c r="H2549" s="12"/>
      <c r="K2549"/>
    </row>
    <row r="2550" spans="5:11" x14ac:dyDescent="0.2">
      <c r="E2550" s="50"/>
      <c r="H2550" s="12"/>
      <c r="K2550"/>
    </row>
    <row r="2551" spans="5:11" x14ac:dyDescent="0.2">
      <c r="E2551" s="50"/>
      <c r="H2551" s="12"/>
      <c r="K2551"/>
    </row>
    <row r="2552" spans="5:11" x14ac:dyDescent="0.2">
      <c r="E2552" s="50"/>
      <c r="H2552" s="12"/>
      <c r="K2552"/>
    </row>
    <row r="2553" spans="5:11" x14ac:dyDescent="0.2">
      <c r="E2553" s="50"/>
      <c r="H2553" s="12"/>
      <c r="K2553"/>
    </row>
    <row r="2554" spans="5:11" x14ac:dyDescent="0.2">
      <c r="E2554" s="50"/>
      <c r="H2554" s="12"/>
      <c r="K2554"/>
    </row>
    <row r="2555" spans="5:11" x14ac:dyDescent="0.2">
      <c r="E2555" s="50"/>
      <c r="H2555" s="12"/>
      <c r="K2555"/>
    </row>
    <row r="2556" spans="5:11" x14ac:dyDescent="0.2">
      <c r="E2556" s="50"/>
      <c r="H2556" s="12"/>
      <c r="K2556"/>
    </row>
    <row r="2557" spans="5:11" x14ac:dyDescent="0.2">
      <c r="E2557" s="50"/>
      <c r="H2557" s="12"/>
      <c r="K2557"/>
    </row>
    <row r="2558" spans="5:11" x14ac:dyDescent="0.2">
      <c r="E2558" s="50"/>
      <c r="H2558" s="12"/>
      <c r="K2558"/>
    </row>
    <row r="2559" spans="5:11" x14ac:dyDescent="0.2">
      <c r="E2559" s="50"/>
      <c r="H2559" s="12"/>
      <c r="K2559"/>
    </row>
    <row r="2560" spans="5:11" x14ac:dyDescent="0.2">
      <c r="E2560" s="50"/>
      <c r="H2560" s="12"/>
      <c r="K2560"/>
    </row>
    <row r="2561" spans="5:11" x14ac:dyDescent="0.2">
      <c r="E2561" s="50"/>
      <c r="H2561" s="12"/>
      <c r="K2561"/>
    </row>
    <row r="2562" spans="5:11" x14ac:dyDescent="0.2">
      <c r="E2562" s="50"/>
      <c r="H2562" s="12"/>
      <c r="K2562"/>
    </row>
    <row r="2563" spans="5:11" x14ac:dyDescent="0.2">
      <c r="E2563" s="50"/>
      <c r="H2563" s="12"/>
      <c r="K2563"/>
    </row>
    <row r="2564" spans="5:11" x14ac:dyDescent="0.2">
      <c r="E2564" s="50"/>
      <c r="H2564" s="12"/>
      <c r="K2564"/>
    </row>
    <row r="2565" spans="5:11" x14ac:dyDescent="0.2">
      <c r="E2565" s="50"/>
      <c r="H2565" s="12"/>
      <c r="K2565"/>
    </row>
    <row r="2566" spans="5:11" x14ac:dyDescent="0.2">
      <c r="E2566" s="50"/>
      <c r="H2566" s="12"/>
      <c r="K2566"/>
    </row>
    <row r="2567" spans="5:11" x14ac:dyDescent="0.2">
      <c r="E2567" s="50"/>
      <c r="H2567" s="12"/>
      <c r="K2567"/>
    </row>
    <row r="2568" spans="5:11" x14ac:dyDescent="0.2">
      <c r="E2568" s="50"/>
      <c r="H2568" s="12"/>
      <c r="K2568"/>
    </row>
    <row r="2569" spans="5:11" x14ac:dyDescent="0.2">
      <c r="E2569" s="50"/>
      <c r="H2569" s="12"/>
      <c r="K2569"/>
    </row>
    <row r="2570" spans="5:11" x14ac:dyDescent="0.2">
      <c r="E2570" s="50"/>
      <c r="H2570" s="12"/>
      <c r="K2570"/>
    </row>
    <row r="2571" spans="5:11" x14ac:dyDescent="0.2">
      <c r="E2571" s="50"/>
      <c r="H2571" s="12"/>
      <c r="K2571"/>
    </row>
    <row r="2572" spans="5:11" x14ac:dyDescent="0.2">
      <c r="E2572" s="50"/>
      <c r="H2572" s="12"/>
      <c r="K2572"/>
    </row>
    <row r="2573" spans="5:11" x14ac:dyDescent="0.2">
      <c r="E2573" s="50"/>
      <c r="H2573" s="12"/>
      <c r="K2573"/>
    </row>
    <row r="2574" spans="5:11" x14ac:dyDescent="0.2">
      <c r="E2574" s="50"/>
      <c r="H2574" s="12"/>
      <c r="K2574"/>
    </row>
    <row r="2575" spans="5:11" x14ac:dyDescent="0.2">
      <c r="E2575" s="50"/>
      <c r="H2575" s="12"/>
      <c r="K2575"/>
    </row>
    <row r="2576" spans="5:11" x14ac:dyDescent="0.2">
      <c r="E2576" s="50"/>
      <c r="H2576" s="12"/>
      <c r="K2576"/>
    </row>
    <row r="2577" spans="5:11" x14ac:dyDescent="0.2">
      <c r="E2577" s="50"/>
      <c r="H2577" s="12"/>
      <c r="K2577"/>
    </row>
    <row r="2578" spans="5:11" x14ac:dyDescent="0.2">
      <c r="E2578" s="50"/>
      <c r="H2578" s="12"/>
      <c r="K2578"/>
    </row>
    <row r="2579" spans="5:11" x14ac:dyDescent="0.2">
      <c r="E2579" s="50"/>
      <c r="H2579" s="12"/>
      <c r="K2579"/>
    </row>
    <row r="2580" spans="5:11" x14ac:dyDescent="0.2">
      <c r="E2580" s="50"/>
      <c r="H2580" s="12"/>
      <c r="K2580"/>
    </row>
    <row r="2581" spans="5:11" x14ac:dyDescent="0.2">
      <c r="E2581" s="50"/>
      <c r="H2581" s="12"/>
      <c r="K2581"/>
    </row>
    <row r="2582" spans="5:11" x14ac:dyDescent="0.2">
      <c r="E2582" s="50"/>
      <c r="H2582" s="12"/>
      <c r="K2582"/>
    </row>
    <row r="2583" spans="5:11" x14ac:dyDescent="0.2">
      <c r="E2583" s="50"/>
      <c r="H2583" s="12"/>
      <c r="K2583"/>
    </row>
    <row r="2584" spans="5:11" x14ac:dyDescent="0.2">
      <c r="E2584" s="50"/>
      <c r="H2584" s="12"/>
      <c r="K2584"/>
    </row>
    <row r="2585" spans="5:11" x14ac:dyDescent="0.2">
      <c r="E2585" s="50"/>
      <c r="H2585" s="12"/>
      <c r="K2585"/>
    </row>
    <row r="2586" spans="5:11" x14ac:dyDescent="0.2">
      <c r="E2586" s="50"/>
      <c r="H2586" s="12"/>
      <c r="K2586"/>
    </row>
    <row r="2587" spans="5:11" x14ac:dyDescent="0.2">
      <c r="E2587" s="50"/>
      <c r="H2587" s="12"/>
      <c r="K2587"/>
    </row>
    <row r="2588" spans="5:11" x14ac:dyDescent="0.2">
      <c r="E2588" s="50"/>
      <c r="H2588" s="12"/>
      <c r="K2588"/>
    </row>
    <row r="2589" spans="5:11" x14ac:dyDescent="0.2">
      <c r="E2589" s="50"/>
      <c r="H2589" s="12"/>
      <c r="K2589"/>
    </row>
    <row r="2590" spans="5:11" x14ac:dyDescent="0.2">
      <c r="E2590" s="50"/>
      <c r="H2590" s="12"/>
      <c r="K2590"/>
    </row>
    <row r="2591" spans="5:11" x14ac:dyDescent="0.2">
      <c r="E2591" s="50"/>
      <c r="H2591" s="12"/>
      <c r="K2591"/>
    </row>
    <row r="2592" spans="5:11" x14ac:dyDescent="0.2">
      <c r="E2592" s="50"/>
      <c r="H2592" s="12"/>
      <c r="K2592"/>
    </row>
    <row r="2593" spans="5:11" x14ac:dyDescent="0.2">
      <c r="E2593" s="50"/>
      <c r="H2593" s="12"/>
      <c r="K2593"/>
    </row>
    <row r="2594" spans="5:11" x14ac:dyDescent="0.2">
      <c r="E2594" s="50"/>
      <c r="H2594" s="12"/>
      <c r="K2594"/>
    </row>
    <row r="2595" spans="5:11" x14ac:dyDescent="0.2">
      <c r="E2595" s="50"/>
      <c r="H2595" s="12"/>
      <c r="K2595"/>
    </row>
    <row r="2596" spans="5:11" x14ac:dyDescent="0.2">
      <c r="E2596" s="50"/>
      <c r="H2596" s="12"/>
      <c r="K2596"/>
    </row>
    <row r="2597" spans="5:11" x14ac:dyDescent="0.2">
      <c r="E2597" s="50"/>
      <c r="H2597" s="12"/>
      <c r="K2597"/>
    </row>
    <row r="2598" spans="5:11" x14ac:dyDescent="0.2">
      <c r="E2598" s="50"/>
      <c r="H2598" s="12"/>
      <c r="K2598"/>
    </row>
    <row r="2599" spans="5:11" x14ac:dyDescent="0.2">
      <c r="E2599" s="50"/>
      <c r="H2599" s="12"/>
      <c r="K2599"/>
    </row>
    <row r="2600" spans="5:11" x14ac:dyDescent="0.2">
      <c r="E2600" s="50"/>
      <c r="H2600" s="12"/>
      <c r="K2600"/>
    </row>
    <row r="2601" spans="5:11" x14ac:dyDescent="0.2">
      <c r="E2601" s="50"/>
      <c r="H2601" s="12"/>
      <c r="K2601"/>
    </row>
    <row r="2602" spans="5:11" x14ac:dyDescent="0.2">
      <c r="E2602" s="50"/>
      <c r="H2602" s="12"/>
      <c r="K2602"/>
    </row>
    <row r="2603" spans="5:11" x14ac:dyDescent="0.2">
      <c r="E2603" s="50"/>
      <c r="H2603" s="12"/>
      <c r="K2603"/>
    </row>
    <row r="2604" spans="5:11" x14ac:dyDescent="0.2">
      <c r="E2604" s="50"/>
      <c r="H2604" s="12"/>
      <c r="K2604"/>
    </row>
    <row r="2605" spans="5:11" x14ac:dyDescent="0.2">
      <c r="E2605" s="50"/>
      <c r="H2605" s="12"/>
      <c r="K2605"/>
    </row>
    <row r="2606" spans="5:11" x14ac:dyDescent="0.2">
      <c r="E2606" s="50"/>
      <c r="H2606" s="12"/>
      <c r="K2606"/>
    </row>
    <row r="2607" spans="5:11" x14ac:dyDescent="0.2">
      <c r="E2607" s="50"/>
      <c r="H2607" s="12"/>
      <c r="K2607"/>
    </row>
    <row r="2608" spans="5:11" x14ac:dyDescent="0.2">
      <c r="E2608" s="50"/>
      <c r="H2608" s="12"/>
      <c r="K2608"/>
    </row>
    <row r="2609" spans="5:11" x14ac:dyDescent="0.2">
      <c r="E2609" s="50"/>
      <c r="H2609" s="12"/>
      <c r="K2609"/>
    </row>
    <row r="2610" spans="5:11" x14ac:dyDescent="0.2">
      <c r="E2610" s="50"/>
      <c r="H2610" s="12"/>
      <c r="K2610"/>
    </row>
    <row r="2611" spans="5:11" x14ac:dyDescent="0.2">
      <c r="E2611" s="50"/>
      <c r="H2611" s="12"/>
      <c r="K2611"/>
    </row>
    <row r="2612" spans="5:11" x14ac:dyDescent="0.2">
      <c r="E2612" s="50"/>
      <c r="H2612" s="12"/>
      <c r="K2612"/>
    </row>
    <row r="2613" spans="5:11" x14ac:dyDescent="0.2">
      <c r="E2613" s="50"/>
      <c r="H2613" s="12"/>
      <c r="K2613"/>
    </row>
    <row r="2614" spans="5:11" x14ac:dyDescent="0.2">
      <c r="E2614" s="50"/>
      <c r="H2614" s="12"/>
      <c r="K2614"/>
    </row>
    <row r="2615" spans="5:11" x14ac:dyDescent="0.2">
      <c r="E2615" s="50"/>
      <c r="H2615" s="12"/>
      <c r="K2615"/>
    </row>
    <row r="2616" spans="5:11" x14ac:dyDescent="0.2">
      <c r="E2616" s="50"/>
      <c r="H2616" s="12"/>
      <c r="K2616"/>
    </row>
    <row r="2617" spans="5:11" x14ac:dyDescent="0.2">
      <c r="E2617" s="50"/>
      <c r="H2617" s="12"/>
      <c r="K2617"/>
    </row>
    <row r="2618" spans="5:11" x14ac:dyDescent="0.2">
      <c r="E2618" s="50"/>
      <c r="H2618" s="12"/>
      <c r="K2618"/>
    </row>
    <row r="2619" spans="5:11" x14ac:dyDescent="0.2">
      <c r="E2619" s="50"/>
      <c r="H2619" s="12"/>
      <c r="K2619"/>
    </row>
    <row r="2620" spans="5:11" x14ac:dyDescent="0.2">
      <c r="E2620" s="50"/>
      <c r="H2620" s="12"/>
      <c r="K2620"/>
    </row>
    <row r="2621" spans="5:11" x14ac:dyDescent="0.2">
      <c r="E2621" s="50"/>
      <c r="H2621" s="12"/>
      <c r="K2621"/>
    </row>
    <row r="2622" spans="5:11" x14ac:dyDescent="0.2">
      <c r="E2622" s="50"/>
      <c r="H2622" s="12"/>
      <c r="K2622"/>
    </row>
    <row r="2623" spans="5:11" x14ac:dyDescent="0.2">
      <c r="E2623" s="50"/>
      <c r="H2623" s="12"/>
      <c r="K2623"/>
    </row>
    <row r="2624" spans="5:11" x14ac:dyDescent="0.2">
      <c r="E2624" s="50"/>
      <c r="H2624" s="12"/>
      <c r="K2624"/>
    </row>
    <row r="2625" spans="5:11" x14ac:dyDescent="0.2">
      <c r="E2625" s="50"/>
      <c r="H2625" s="12"/>
      <c r="K2625"/>
    </row>
    <row r="2626" spans="5:11" x14ac:dyDescent="0.2">
      <c r="E2626" s="50"/>
      <c r="H2626" s="12"/>
      <c r="K2626"/>
    </row>
    <row r="2627" spans="5:11" x14ac:dyDescent="0.2">
      <c r="E2627" s="50"/>
      <c r="H2627" s="12"/>
      <c r="K2627"/>
    </row>
    <row r="2628" spans="5:11" x14ac:dyDescent="0.2">
      <c r="E2628" s="50"/>
      <c r="H2628" s="12"/>
      <c r="K2628"/>
    </row>
    <row r="2629" spans="5:11" x14ac:dyDescent="0.2">
      <c r="E2629" s="50"/>
      <c r="H2629" s="12"/>
      <c r="K2629"/>
    </row>
    <row r="2630" spans="5:11" x14ac:dyDescent="0.2">
      <c r="E2630" s="50"/>
      <c r="H2630" s="12"/>
      <c r="K2630"/>
    </row>
    <row r="2631" spans="5:11" x14ac:dyDescent="0.2">
      <c r="E2631" s="50"/>
      <c r="H2631" s="12"/>
      <c r="K2631"/>
    </row>
    <row r="2632" spans="5:11" x14ac:dyDescent="0.2">
      <c r="E2632" s="50"/>
      <c r="H2632" s="12"/>
      <c r="K2632"/>
    </row>
    <row r="2633" spans="5:11" x14ac:dyDescent="0.2">
      <c r="E2633" s="50"/>
      <c r="H2633" s="12"/>
      <c r="K2633"/>
    </row>
    <row r="2634" spans="5:11" x14ac:dyDescent="0.2">
      <c r="E2634" s="50"/>
      <c r="H2634" s="12"/>
      <c r="K2634"/>
    </row>
    <row r="2635" spans="5:11" x14ac:dyDescent="0.2">
      <c r="E2635" s="50"/>
      <c r="H2635" s="12"/>
      <c r="K2635"/>
    </row>
    <row r="2636" spans="5:11" x14ac:dyDescent="0.2">
      <c r="E2636" s="50"/>
      <c r="H2636" s="12"/>
      <c r="K2636"/>
    </row>
    <row r="2637" spans="5:11" x14ac:dyDescent="0.2">
      <c r="E2637" s="50"/>
      <c r="H2637" s="12"/>
      <c r="K2637"/>
    </row>
    <row r="2638" spans="5:11" x14ac:dyDescent="0.2">
      <c r="E2638" s="50"/>
      <c r="H2638" s="12"/>
      <c r="K2638"/>
    </row>
    <row r="2639" spans="5:11" x14ac:dyDescent="0.2">
      <c r="E2639" s="50"/>
      <c r="H2639" s="12"/>
      <c r="K2639"/>
    </row>
    <row r="2640" spans="5:11" x14ac:dyDescent="0.2">
      <c r="E2640" s="50"/>
      <c r="H2640" s="12"/>
      <c r="K2640"/>
    </row>
    <row r="2641" spans="5:11" x14ac:dyDescent="0.2">
      <c r="E2641" s="50"/>
      <c r="H2641" s="12"/>
      <c r="K2641"/>
    </row>
    <row r="2642" spans="5:11" x14ac:dyDescent="0.2">
      <c r="E2642" s="50"/>
      <c r="H2642" s="12"/>
      <c r="K2642"/>
    </row>
    <row r="2643" spans="5:11" x14ac:dyDescent="0.2">
      <c r="E2643" s="50"/>
      <c r="H2643" s="12"/>
      <c r="K2643"/>
    </row>
    <row r="2644" spans="5:11" x14ac:dyDescent="0.2">
      <c r="E2644" s="50"/>
      <c r="H2644" s="12"/>
      <c r="K2644"/>
    </row>
    <row r="2645" spans="5:11" x14ac:dyDescent="0.2">
      <c r="E2645" s="50"/>
      <c r="H2645" s="12"/>
      <c r="K2645"/>
    </row>
    <row r="2646" spans="5:11" x14ac:dyDescent="0.2">
      <c r="E2646" s="50"/>
      <c r="H2646" s="12"/>
      <c r="K2646"/>
    </row>
    <row r="2647" spans="5:11" x14ac:dyDescent="0.2">
      <c r="E2647" s="50"/>
      <c r="H2647" s="12"/>
      <c r="K2647"/>
    </row>
    <row r="2648" spans="5:11" x14ac:dyDescent="0.2">
      <c r="E2648" s="50"/>
      <c r="H2648" s="12"/>
      <c r="K2648"/>
    </row>
    <row r="2649" spans="5:11" x14ac:dyDescent="0.2">
      <c r="E2649" s="50"/>
      <c r="H2649" s="12"/>
      <c r="K2649"/>
    </row>
    <row r="2650" spans="5:11" x14ac:dyDescent="0.2">
      <c r="E2650" s="50"/>
      <c r="H2650" s="12"/>
      <c r="K2650"/>
    </row>
    <row r="2651" spans="5:11" x14ac:dyDescent="0.2">
      <c r="E2651" s="50"/>
      <c r="H2651" s="12"/>
      <c r="K2651"/>
    </row>
    <row r="2652" spans="5:11" x14ac:dyDescent="0.2">
      <c r="E2652" s="50"/>
      <c r="H2652" s="12"/>
      <c r="K2652"/>
    </row>
    <row r="2653" spans="5:11" x14ac:dyDescent="0.2">
      <c r="E2653" s="50"/>
      <c r="H2653" s="12"/>
      <c r="K2653"/>
    </row>
    <row r="2654" spans="5:11" x14ac:dyDescent="0.2">
      <c r="E2654" s="50"/>
      <c r="H2654" s="12"/>
      <c r="K2654"/>
    </row>
    <row r="2655" spans="5:11" x14ac:dyDescent="0.2">
      <c r="E2655" s="50"/>
      <c r="H2655" s="12"/>
      <c r="K2655"/>
    </row>
    <row r="2656" spans="5:11" x14ac:dyDescent="0.2">
      <c r="E2656" s="50"/>
      <c r="H2656" s="12"/>
      <c r="K2656"/>
    </row>
    <row r="2657" spans="5:11" x14ac:dyDescent="0.2">
      <c r="E2657" s="50"/>
      <c r="H2657" s="12"/>
      <c r="K2657"/>
    </row>
    <row r="2658" spans="5:11" x14ac:dyDescent="0.2">
      <c r="E2658" s="50"/>
      <c r="H2658" s="12"/>
      <c r="K2658"/>
    </row>
    <row r="2659" spans="5:11" x14ac:dyDescent="0.2">
      <c r="E2659" s="50"/>
      <c r="H2659" s="12"/>
      <c r="K2659"/>
    </row>
    <row r="2660" spans="5:11" x14ac:dyDescent="0.2">
      <c r="E2660" s="50"/>
      <c r="H2660" s="12"/>
      <c r="K2660"/>
    </row>
    <row r="2661" spans="5:11" x14ac:dyDescent="0.2">
      <c r="E2661" s="50"/>
      <c r="H2661" s="12"/>
      <c r="K2661"/>
    </row>
    <row r="2662" spans="5:11" x14ac:dyDescent="0.2">
      <c r="E2662" s="50"/>
      <c r="H2662" s="12"/>
      <c r="K2662"/>
    </row>
    <row r="2663" spans="5:11" x14ac:dyDescent="0.2">
      <c r="E2663" s="50"/>
      <c r="H2663" s="12"/>
      <c r="K2663"/>
    </row>
    <row r="2664" spans="5:11" x14ac:dyDescent="0.2">
      <c r="E2664" s="50"/>
      <c r="H2664" s="12"/>
      <c r="K2664"/>
    </row>
    <row r="2665" spans="5:11" x14ac:dyDescent="0.2">
      <c r="E2665" s="50"/>
      <c r="H2665" s="12"/>
      <c r="K2665"/>
    </row>
    <row r="2666" spans="5:11" x14ac:dyDescent="0.2">
      <c r="E2666" s="50"/>
      <c r="H2666" s="12"/>
      <c r="K2666"/>
    </row>
    <row r="2667" spans="5:11" x14ac:dyDescent="0.2">
      <c r="E2667" s="50"/>
      <c r="H2667" s="12"/>
      <c r="K2667"/>
    </row>
    <row r="2668" spans="5:11" x14ac:dyDescent="0.2">
      <c r="E2668" s="50"/>
      <c r="H2668" s="12"/>
      <c r="K2668"/>
    </row>
    <row r="2669" spans="5:11" x14ac:dyDescent="0.2">
      <c r="E2669" s="50"/>
      <c r="H2669" s="12"/>
      <c r="K2669"/>
    </row>
    <row r="2670" spans="5:11" x14ac:dyDescent="0.2">
      <c r="E2670" s="50"/>
      <c r="H2670" s="12"/>
      <c r="K2670"/>
    </row>
    <row r="2671" spans="5:11" x14ac:dyDescent="0.2">
      <c r="E2671" s="50"/>
      <c r="H2671" s="12"/>
      <c r="K2671"/>
    </row>
    <row r="2672" spans="5:11" x14ac:dyDescent="0.2">
      <c r="E2672" s="50"/>
      <c r="H2672" s="12"/>
      <c r="K2672"/>
    </row>
    <row r="2673" spans="5:11" x14ac:dyDescent="0.2">
      <c r="E2673" s="50"/>
      <c r="H2673" s="12"/>
      <c r="K2673"/>
    </row>
    <row r="2674" spans="5:11" x14ac:dyDescent="0.2">
      <c r="E2674" s="50"/>
      <c r="H2674" s="12"/>
      <c r="K2674"/>
    </row>
    <row r="2675" spans="5:11" x14ac:dyDescent="0.2">
      <c r="E2675" s="50"/>
      <c r="H2675" s="12"/>
      <c r="K2675"/>
    </row>
    <row r="2676" spans="5:11" x14ac:dyDescent="0.2">
      <c r="E2676" s="50"/>
      <c r="H2676" s="12"/>
      <c r="K2676"/>
    </row>
    <row r="2677" spans="5:11" x14ac:dyDescent="0.2">
      <c r="E2677" s="50"/>
      <c r="H2677" s="12"/>
      <c r="K2677"/>
    </row>
    <row r="2678" spans="5:11" x14ac:dyDescent="0.2">
      <c r="E2678" s="50"/>
      <c r="H2678" s="12"/>
      <c r="K2678"/>
    </row>
    <row r="2679" spans="5:11" x14ac:dyDescent="0.2">
      <c r="E2679" s="50"/>
      <c r="H2679" s="12"/>
      <c r="K2679"/>
    </row>
    <row r="2680" spans="5:11" x14ac:dyDescent="0.2">
      <c r="E2680" s="50"/>
      <c r="H2680" s="12"/>
      <c r="K2680"/>
    </row>
    <row r="2681" spans="5:11" x14ac:dyDescent="0.2">
      <c r="E2681" s="50"/>
      <c r="H2681" s="12"/>
      <c r="K2681"/>
    </row>
    <row r="2682" spans="5:11" x14ac:dyDescent="0.2">
      <c r="E2682" s="50"/>
      <c r="H2682" s="12"/>
      <c r="K2682"/>
    </row>
    <row r="2683" spans="5:11" x14ac:dyDescent="0.2">
      <c r="E2683" s="50"/>
      <c r="H2683" s="12"/>
      <c r="K2683"/>
    </row>
    <row r="2684" spans="5:11" x14ac:dyDescent="0.2">
      <c r="E2684" s="50"/>
      <c r="H2684" s="12"/>
      <c r="K2684"/>
    </row>
    <row r="2685" spans="5:11" x14ac:dyDescent="0.2">
      <c r="E2685" s="50"/>
      <c r="H2685" s="12"/>
      <c r="K2685"/>
    </row>
    <row r="2686" spans="5:11" x14ac:dyDescent="0.2">
      <c r="E2686" s="50"/>
      <c r="H2686" s="12"/>
      <c r="K2686"/>
    </row>
    <row r="2687" spans="5:11" x14ac:dyDescent="0.2">
      <c r="E2687" s="50"/>
      <c r="H2687" s="12"/>
      <c r="K2687"/>
    </row>
    <row r="2688" spans="5:11" x14ac:dyDescent="0.2">
      <c r="E2688" s="50"/>
      <c r="H2688" s="12"/>
      <c r="K2688"/>
    </row>
    <row r="2689" spans="5:11" x14ac:dyDescent="0.2">
      <c r="E2689" s="50"/>
      <c r="H2689" s="12"/>
      <c r="K2689"/>
    </row>
    <row r="2690" spans="5:11" x14ac:dyDescent="0.2">
      <c r="E2690" s="50"/>
      <c r="H2690" s="12"/>
      <c r="K2690"/>
    </row>
    <row r="2691" spans="5:11" x14ac:dyDescent="0.2">
      <c r="E2691" s="50"/>
      <c r="H2691" s="12"/>
      <c r="K2691"/>
    </row>
    <row r="2692" spans="5:11" x14ac:dyDescent="0.2">
      <c r="E2692" s="50"/>
      <c r="H2692" s="12"/>
      <c r="K2692"/>
    </row>
    <row r="2693" spans="5:11" x14ac:dyDescent="0.2">
      <c r="E2693" s="50"/>
      <c r="H2693" s="12"/>
      <c r="K2693"/>
    </row>
    <row r="2694" spans="5:11" x14ac:dyDescent="0.2">
      <c r="E2694" s="50"/>
      <c r="H2694" s="12"/>
      <c r="K2694"/>
    </row>
    <row r="2695" spans="5:11" x14ac:dyDescent="0.2">
      <c r="E2695" s="50"/>
      <c r="H2695" s="12"/>
      <c r="K2695"/>
    </row>
    <row r="2696" spans="5:11" x14ac:dyDescent="0.2">
      <c r="E2696" s="50"/>
      <c r="H2696" s="12"/>
      <c r="K2696"/>
    </row>
    <row r="2697" spans="5:11" x14ac:dyDescent="0.2">
      <c r="E2697" s="50"/>
      <c r="H2697" s="12"/>
      <c r="K2697"/>
    </row>
    <row r="2698" spans="5:11" x14ac:dyDescent="0.2">
      <c r="E2698" s="50"/>
      <c r="H2698" s="12"/>
      <c r="K2698"/>
    </row>
    <row r="2699" spans="5:11" x14ac:dyDescent="0.2">
      <c r="E2699" s="50"/>
      <c r="H2699" s="12"/>
      <c r="K2699"/>
    </row>
    <row r="2700" spans="5:11" x14ac:dyDescent="0.2">
      <c r="E2700" s="50"/>
      <c r="H2700" s="12"/>
      <c r="K2700"/>
    </row>
    <row r="2701" spans="5:11" x14ac:dyDescent="0.2">
      <c r="E2701" s="50"/>
      <c r="H2701" s="12"/>
      <c r="K2701"/>
    </row>
    <row r="2702" spans="5:11" x14ac:dyDescent="0.2">
      <c r="E2702" s="50"/>
      <c r="H2702" s="12"/>
      <c r="K2702"/>
    </row>
    <row r="2703" spans="5:11" x14ac:dyDescent="0.2">
      <c r="E2703" s="50"/>
      <c r="H2703" s="12"/>
      <c r="K2703"/>
    </row>
    <row r="2704" spans="5:11" x14ac:dyDescent="0.2">
      <c r="E2704" s="50"/>
      <c r="H2704" s="12"/>
      <c r="K2704"/>
    </row>
    <row r="2705" spans="5:11" x14ac:dyDescent="0.2">
      <c r="E2705" s="50"/>
      <c r="H2705" s="12"/>
      <c r="K2705"/>
    </row>
    <row r="2706" spans="5:11" x14ac:dyDescent="0.2">
      <c r="E2706" s="50"/>
      <c r="H2706" s="12"/>
      <c r="K2706"/>
    </row>
    <row r="2707" spans="5:11" x14ac:dyDescent="0.2">
      <c r="E2707" s="50"/>
      <c r="H2707" s="12"/>
      <c r="K2707"/>
    </row>
    <row r="2708" spans="5:11" x14ac:dyDescent="0.2">
      <c r="E2708" s="50"/>
      <c r="H2708" s="12"/>
      <c r="K2708"/>
    </row>
    <row r="2709" spans="5:11" x14ac:dyDescent="0.2">
      <c r="E2709" s="50"/>
      <c r="H2709" s="12"/>
      <c r="K2709"/>
    </row>
    <row r="2710" spans="5:11" x14ac:dyDescent="0.2">
      <c r="E2710" s="50"/>
      <c r="H2710" s="12"/>
      <c r="K2710"/>
    </row>
    <row r="2711" spans="5:11" x14ac:dyDescent="0.2">
      <c r="E2711" s="50"/>
      <c r="H2711" s="12"/>
      <c r="K2711"/>
    </row>
    <row r="2712" spans="5:11" x14ac:dyDescent="0.2">
      <c r="E2712" s="50"/>
      <c r="H2712" s="12"/>
      <c r="K2712"/>
    </row>
    <row r="2713" spans="5:11" x14ac:dyDescent="0.2">
      <c r="E2713" s="50"/>
      <c r="H2713" s="12"/>
      <c r="K2713"/>
    </row>
    <row r="2714" spans="5:11" x14ac:dyDescent="0.2">
      <c r="E2714" s="50"/>
      <c r="H2714" s="12"/>
      <c r="K2714"/>
    </row>
    <row r="2715" spans="5:11" x14ac:dyDescent="0.2">
      <c r="E2715" s="50"/>
      <c r="H2715" s="12"/>
      <c r="K2715"/>
    </row>
    <row r="2716" spans="5:11" x14ac:dyDescent="0.2">
      <c r="E2716" s="50"/>
      <c r="H2716" s="12"/>
      <c r="K2716"/>
    </row>
    <row r="2717" spans="5:11" x14ac:dyDescent="0.2">
      <c r="E2717" s="50"/>
      <c r="H2717" s="12"/>
      <c r="K2717"/>
    </row>
    <row r="2718" spans="5:11" x14ac:dyDescent="0.2">
      <c r="E2718" s="50"/>
      <c r="H2718" s="12"/>
      <c r="K2718"/>
    </row>
    <row r="2719" spans="5:11" x14ac:dyDescent="0.2">
      <c r="E2719" s="50"/>
      <c r="H2719" s="12"/>
      <c r="K2719"/>
    </row>
    <row r="2720" spans="5:11" x14ac:dyDescent="0.2">
      <c r="E2720" s="50"/>
      <c r="H2720" s="12"/>
      <c r="K2720"/>
    </row>
    <row r="2721" spans="5:11" x14ac:dyDescent="0.2">
      <c r="E2721" s="50"/>
      <c r="H2721" s="12"/>
      <c r="K2721"/>
    </row>
    <row r="2722" spans="5:11" x14ac:dyDescent="0.2">
      <c r="E2722" s="50"/>
      <c r="H2722" s="12"/>
      <c r="K2722"/>
    </row>
    <row r="2723" spans="5:11" x14ac:dyDescent="0.2">
      <c r="E2723" s="50"/>
      <c r="H2723" s="12"/>
      <c r="K2723"/>
    </row>
    <row r="2724" spans="5:11" x14ac:dyDescent="0.2">
      <c r="E2724" s="50"/>
      <c r="H2724" s="12"/>
      <c r="K2724"/>
    </row>
    <row r="2725" spans="5:11" x14ac:dyDescent="0.2">
      <c r="E2725" s="50"/>
      <c r="H2725" s="12"/>
      <c r="K2725"/>
    </row>
    <row r="2726" spans="5:11" x14ac:dyDescent="0.2">
      <c r="E2726" s="50"/>
      <c r="H2726" s="12"/>
      <c r="K2726"/>
    </row>
    <row r="2727" spans="5:11" x14ac:dyDescent="0.2">
      <c r="E2727" s="50"/>
      <c r="H2727" s="12"/>
      <c r="K2727"/>
    </row>
    <row r="2728" spans="5:11" x14ac:dyDescent="0.2">
      <c r="E2728" s="50"/>
      <c r="H2728" s="12"/>
      <c r="K2728"/>
    </row>
    <row r="2729" spans="5:11" x14ac:dyDescent="0.2">
      <c r="E2729" s="50"/>
      <c r="H2729" s="12"/>
      <c r="K2729"/>
    </row>
    <row r="2730" spans="5:11" x14ac:dyDescent="0.2">
      <c r="E2730" s="50"/>
      <c r="H2730" s="12"/>
      <c r="K2730"/>
    </row>
    <row r="2731" spans="5:11" x14ac:dyDescent="0.2">
      <c r="E2731" s="50"/>
      <c r="H2731" s="12"/>
      <c r="K2731"/>
    </row>
    <row r="2732" spans="5:11" x14ac:dyDescent="0.2">
      <c r="E2732" s="50"/>
      <c r="H2732" s="12"/>
      <c r="K2732"/>
    </row>
    <row r="2733" spans="5:11" x14ac:dyDescent="0.2">
      <c r="E2733" s="50"/>
      <c r="H2733" s="12"/>
      <c r="K2733"/>
    </row>
    <row r="2734" spans="5:11" x14ac:dyDescent="0.2">
      <c r="E2734" s="50"/>
      <c r="H2734" s="12"/>
      <c r="K2734"/>
    </row>
    <row r="2735" spans="5:11" x14ac:dyDescent="0.2">
      <c r="E2735" s="50"/>
      <c r="H2735" s="12"/>
      <c r="K2735"/>
    </row>
    <row r="2736" spans="5:11" x14ac:dyDescent="0.2">
      <c r="E2736" s="50"/>
      <c r="H2736" s="12"/>
      <c r="K2736"/>
    </row>
    <row r="2737" spans="5:11" x14ac:dyDescent="0.2">
      <c r="E2737" s="50"/>
      <c r="H2737" s="12"/>
      <c r="K2737"/>
    </row>
    <row r="2738" spans="5:11" x14ac:dyDescent="0.2">
      <c r="E2738" s="50"/>
      <c r="H2738" s="12"/>
      <c r="K2738"/>
    </row>
    <row r="2739" spans="5:11" x14ac:dyDescent="0.2">
      <c r="E2739" s="50"/>
      <c r="H2739" s="12"/>
      <c r="K2739"/>
    </row>
    <row r="2740" spans="5:11" x14ac:dyDescent="0.2">
      <c r="E2740" s="50"/>
      <c r="H2740" s="12"/>
      <c r="K2740"/>
    </row>
    <row r="2741" spans="5:11" x14ac:dyDescent="0.2">
      <c r="E2741" s="50"/>
      <c r="H2741" s="12"/>
      <c r="K2741"/>
    </row>
    <row r="2742" spans="5:11" x14ac:dyDescent="0.2">
      <c r="E2742" s="50"/>
      <c r="H2742" s="12"/>
      <c r="K2742"/>
    </row>
    <row r="2743" spans="5:11" x14ac:dyDescent="0.2">
      <c r="E2743" s="50"/>
      <c r="H2743" s="12"/>
      <c r="K2743"/>
    </row>
    <row r="2744" spans="5:11" x14ac:dyDescent="0.2">
      <c r="E2744" s="50"/>
      <c r="H2744" s="12"/>
      <c r="K2744"/>
    </row>
    <row r="2745" spans="5:11" x14ac:dyDescent="0.2">
      <c r="E2745" s="50"/>
      <c r="H2745" s="12"/>
      <c r="K2745"/>
    </row>
    <row r="2746" spans="5:11" x14ac:dyDescent="0.2">
      <c r="E2746" s="50"/>
      <c r="H2746" s="12"/>
      <c r="K2746"/>
    </row>
    <row r="2747" spans="5:11" x14ac:dyDescent="0.2">
      <c r="E2747" s="50"/>
      <c r="H2747" s="12"/>
      <c r="K2747"/>
    </row>
    <row r="2748" spans="5:11" x14ac:dyDescent="0.2">
      <c r="E2748" s="50"/>
      <c r="H2748" s="12"/>
      <c r="K2748"/>
    </row>
    <row r="2749" spans="5:11" x14ac:dyDescent="0.2">
      <c r="E2749" s="50"/>
      <c r="H2749" s="12"/>
      <c r="K2749"/>
    </row>
    <row r="2750" spans="5:11" x14ac:dyDescent="0.2">
      <c r="E2750" s="50"/>
      <c r="H2750" s="12"/>
      <c r="K2750"/>
    </row>
    <row r="2751" spans="5:11" x14ac:dyDescent="0.2">
      <c r="E2751" s="50"/>
      <c r="H2751" s="12"/>
      <c r="K2751"/>
    </row>
    <row r="2752" spans="5:11" x14ac:dyDescent="0.2">
      <c r="E2752" s="50"/>
      <c r="H2752" s="12"/>
      <c r="K2752"/>
    </row>
    <row r="2753" spans="5:11" x14ac:dyDescent="0.2">
      <c r="E2753" s="50"/>
      <c r="H2753" s="12"/>
      <c r="K2753"/>
    </row>
    <row r="2754" spans="5:11" x14ac:dyDescent="0.2">
      <c r="E2754" s="50"/>
      <c r="H2754" s="12"/>
      <c r="K2754"/>
    </row>
    <row r="2755" spans="5:11" x14ac:dyDescent="0.2">
      <c r="E2755" s="50"/>
      <c r="H2755" s="12"/>
      <c r="K2755"/>
    </row>
    <row r="2756" spans="5:11" x14ac:dyDescent="0.2">
      <c r="E2756" s="50"/>
      <c r="H2756" s="12"/>
      <c r="K2756"/>
    </row>
    <row r="2757" spans="5:11" x14ac:dyDescent="0.2">
      <c r="E2757" s="50"/>
      <c r="H2757" s="12"/>
      <c r="K2757"/>
    </row>
    <row r="2758" spans="5:11" x14ac:dyDescent="0.2">
      <c r="E2758" s="50"/>
      <c r="H2758" s="12"/>
      <c r="K2758"/>
    </row>
    <row r="2759" spans="5:11" x14ac:dyDescent="0.2">
      <c r="E2759" s="50"/>
      <c r="H2759" s="12"/>
      <c r="K2759"/>
    </row>
    <row r="2760" spans="5:11" x14ac:dyDescent="0.2">
      <c r="E2760" s="50"/>
      <c r="H2760" s="12"/>
      <c r="K2760"/>
    </row>
    <row r="2761" spans="5:11" x14ac:dyDescent="0.2">
      <c r="E2761" s="50"/>
      <c r="H2761" s="12"/>
      <c r="K2761"/>
    </row>
    <row r="2762" spans="5:11" x14ac:dyDescent="0.2">
      <c r="E2762" s="50"/>
      <c r="H2762" s="12"/>
      <c r="K2762"/>
    </row>
    <row r="2763" spans="5:11" x14ac:dyDescent="0.2">
      <c r="E2763" s="50"/>
      <c r="H2763" s="12"/>
      <c r="K2763"/>
    </row>
    <row r="2764" spans="5:11" x14ac:dyDescent="0.2">
      <c r="E2764" s="50"/>
      <c r="H2764" s="12"/>
      <c r="K2764"/>
    </row>
    <row r="2765" spans="5:11" x14ac:dyDescent="0.2">
      <c r="E2765" s="50"/>
      <c r="H2765" s="12"/>
      <c r="K2765"/>
    </row>
    <row r="2766" spans="5:11" x14ac:dyDescent="0.2">
      <c r="E2766" s="50"/>
      <c r="H2766" s="12"/>
      <c r="K2766"/>
    </row>
    <row r="2767" spans="5:11" x14ac:dyDescent="0.2">
      <c r="E2767" s="50"/>
      <c r="H2767" s="12"/>
      <c r="K2767"/>
    </row>
    <row r="2768" spans="5:11" x14ac:dyDescent="0.2">
      <c r="E2768" s="50"/>
      <c r="H2768" s="12"/>
      <c r="K2768"/>
    </row>
    <row r="2769" spans="5:11" x14ac:dyDescent="0.2">
      <c r="E2769" s="50"/>
      <c r="H2769" s="12"/>
      <c r="K2769"/>
    </row>
    <row r="2770" spans="5:11" x14ac:dyDescent="0.2">
      <c r="E2770" s="50"/>
      <c r="H2770" s="12"/>
      <c r="K2770"/>
    </row>
    <row r="2771" spans="5:11" x14ac:dyDescent="0.2">
      <c r="E2771" s="50"/>
      <c r="H2771" s="12"/>
      <c r="K2771"/>
    </row>
    <row r="2772" spans="5:11" x14ac:dyDescent="0.2">
      <c r="E2772" s="50"/>
      <c r="H2772" s="12"/>
      <c r="K2772"/>
    </row>
    <row r="2773" spans="5:11" x14ac:dyDescent="0.2">
      <c r="E2773" s="50"/>
      <c r="H2773" s="12"/>
      <c r="K2773"/>
    </row>
    <row r="2774" spans="5:11" x14ac:dyDescent="0.2">
      <c r="E2774" s="50"/>
      <c r="H2774" s="12"/>
      <c r="K2774"/>
    </row>
    <row r="2775" spans="5:11" x14ac:dyDescent="0.2">
      <c r="E2775" s="50"/>
      <c r="H2775" s="12"/>
      <c r="K2775"/>
    </row>
    <row r="2776" spans="5:11" x14ac:dyDescent="0.2">
      <c r="E2776" s="50"/>
      <c r="H2776" s="12"/>
      <c r="K2776"/>
    </row>
    <row r="2777" spans="5:11" x14ac:dyDescent="0.2">
      <c r="E2777" s="50"/>
      <c r="H2777" s="12"/>
      <c r="K2777"/>
    </row>
    <row r="2778" spans="5:11" x14ac:dyDescent="0.2">
      <c r="E2778" s="50"/>
      <c r="H2778" s="12"/>
      <c r="K2778"/>
    </row>
    <row r="2779" spans="5:11" x14ac:dyDescent="0.2">
      <c r="E2779" s="50"/>
      <c r="H2779" s="12"/>
      <c r="K2779"/>
    </row>
    <row r="2780" spans="5:11" x14ac:dyDescent="0.2">
      <c r="E2780" s="50"/>
      <c r="H2780" s="12"/>
      <c r="K2780"/>
    </row>
    <row r="2781" spans="5:11" x14ac:dyDescent="0.2">
      <c r="E2781" s="50"/>
      <c r="H2781" s="12"/>
      <c r="K2781"/>
    </row>
    <row r="2782" spans="5:11" x14ac:dyDescent="0.2">
      <c r="E2782" s="50"/>
      <c r="H2782" s="12"/>
      <c r="K2782"/>
    </row>
    <row r="2783" spans="5:11" x14ac:dyDescent="0.2">
      <c r="E2783" s="50"/>
      <c r="H2783" s="12"/>
      <c r="K2783"/>
    </row>
    <row r="2784" spans="5:11" x14ac:dyDescent="0.2">
      <c r="E2784" s="50"/>
      <c r="H2784" s="12"/>
      <c r="K2784"/>
    </row>
    <row r="2785" spans="5:11" x14ac:dyDescent="0.2">
      <c r="E2785" s="50"/>
      <c r="H2785" s="12"/>
      <c r="K2785"/>
    </row>
    <row r="2786" spans="5:11" x14ac:dyDescent="0.2">
      <c r="E2786" s="50"/>
      <c r="H2786" s="12"/>
      <c r="K2786"/>
    </row>
    <row r="2787" spans="5:11" x14ac:dyDescent="0.2">
      <c r="E2787" s="50"/>
      <c r="H2787" s="12"/>
      <c r="K2787"/>
    </row>
    <row r="2788" spans="5:11" x14ac:dyDescent="0.2">
      <c r="E2788" s="50"/>
      <c r="H2788" s="12"/>
      <c r="K2788"/>
    </row>
    <row r="2789" spans="5:11" x14ac:dyDescent="0.2">
      <c r="E2789" s="50"/>
      <c r="H2789" s="12"/>
      <c r="K2789"/>
    </row>
    <row r="2790" spans="5:11" x14ac:dyDescent="0.2">
      <c r="E2790" s="50"/>
      <c r="H2790" s="12"/>
      <c r="K2790"/>
    </row>
    <row r="2791" spans="5:11" x14ac:dyDescent="0.2">
      <c r="E2791" s="50"/>
      <c r="H2791" s="12"/>
      <c r="K2791"/>
    </row>
    <row r="2792" spans="5:11" x14ac:dyDescent="0.2">
      <c r="E2792" s="50"/>
      <c r="H2792" s="12"/>
      <c r="K2792"/>
    </row>
    <row r="2793" spans="5:11" x14ac:dyDescent="0.2">
      <c r="E2793" s="50"/>
      <c r="H2793" s="12"/>
      <c r="K2793"/>
    </row>
    <row r="2794" spans="5:11" x14ac:dyDescent="0.2">
      <c r="E2794" s="50"/>
      <c r="H2794" s="12"/>
      <c r="K2794"/>
    </row>
    <row r="2795" spans="5:11" x14ac:dyDescent="0.2">
      <c r="E2795" s="50"/>
      <c r="H2795" s="12"/>
      <c r="K2795"/>
    </row>
    <row r="2796" spans="5:11" x14ac:dyDescent="0.2">
      <c r="E2796" s="50"/>
      <c r="H2796" s="12"/>
      <c r="K2796"/>
    </row>
    <row r="2797" spans="5:11" x14ac:dyDescent="0.2">
      <c r="E2797" s="50"/>
      <c r="H2797" s="12"/>
      <c r="K2797"/>
    </row>
    <row r="2798" spans="5:11" x14ac:dyDescent="0.2">
      <c r="E2798" s="50"/>
      <c r="H2798" s="12"/>
      <c r="K2798"/>
    </row>
    <row r="2799" spans="5:11" x14ac:dyDescent="0.2">
      <c r="E2799" s="50"/>
      <c r="H2799" s="12"/>
      <c r="K2799"/>
    </row>
    <row r="2800" spans="5:11" x14ac:dyDescent="0.2">
      <c r="E2800" s="50"/>
      <c r="H2800" s="12"/>
      <c r="K2800"/>
    </row>
    <row r="2801" spans="5:11" x14ac:dyDescent="0.2">
      <c r="E2801" s="50"/>
      <c r="H2801" s="12"/>
      <c r="K2801"/>
    </row>
    <row r="2802" spans="5:11" x14ac:dyDescent="0.2">
      <c r="E2802" s="50"/>
      <c r="H2802" s="12"/>
      <c r="K2802"/>
    </row>
    <row r="2803" spans="5:11" x14ac:dyDescent="0.2">
      <c r="E2803" s="50"/>
      <c r="H2803" s="12"/>
      <c r="K2803"/>
    </row>
    <row r="2804" spans="5:11" x14ac:dyDescent="0.2">
      <c r="E2804" s="50"/>
      <c r="H2804" s="12"/>
      <c r="K2804"/>
    </row>
    <row r="2805" spans="5:11" x14ac:dyDescent="0.2">
      <c r="E2805" s="50"/>
      <c r="H2805" s="12"/>
      <c r="K2805"/>
    </row>
    <row r="2806" spans="5:11" x14ac:dyDescent="0.2">
      <c r="E2806" s="50"/>
      <c r="H2806" s="12"/>
      <c r="K2806"/>
    </row>
    <row r="2807" spans="5:11" x14ac:dyDescent="0.2">
      <c r="E2807" s="50"/>
      <c r="H2807" s="12"/>
      <c r="K2807"/>
    </row>
    <row r="2808" spans="5:11" x14ac:dyDescent="0.2">
      <c r="E2808" s="50"/>
      <c r="H2808" s="12"/>
      <c r="K2808"/>
    </row>
    <row r="2809" spans="5:11" x14ac:dyDescent="0.2">
      <c r="E2809" s="50"/>
      <c r="H2809" s="12"/>
      <c r="K2809"/>
    </row>
    <row r="2810" spans="5:11" x14ac:dyDescent="0.2">
      <c r="E2810" s="50"/>
      <c r="H2810" s="12"/>
      <c r="K2810"/>
    </row>
    <row r="2811" spans="5:11" x14ac:dyDescent="0.2">
      <c r="E2811" s="50"/>
      <c r="H2811" s="12"/>
      <c r="K2811"/>
    </row>
    <row r="2812" spans="5:11" x14ac:dyDescent="0.2">
      <c r="E2812" s="50"/>
      <c r="H2812" s="12"/>
      <c r="K2812"/>
    </row>
    <row r="2813" spans="5:11" x14ac:dyDescent="0.2">
      <c r="E2813" s="50"/>
      <c r="H2813" s="12"/>
      <c r="K2813"/>
    </row>
    <row r="2814" spans="5:11" x14ac:dyDescent="0.2">
      <c r="E2814" s="50"/>
      <c r="H2814" s="12"/>
      <c r="K2814"/>
    </row>
    <row r="2815" spans="5:11" x14ac:dyDescent="0.2">
      <c r="E2815" s="50"/>
      <c r="H2815" s="12"/>
      <c r="K2815"/>
    </row>
    <row r="2816" spans="5:11" x14ac:dyDescent="0.2">
      <c r="E2816" s="50"/>
      <c r="H2816" s="12"/>
      <c r="K2816"/>
    </row>
    <row r="2817" spans="5:11" x14ac:dyDescent="0.2">
      <c r="E2817" s="50"/>
      <c r="H2817" s="12"/>
      <c r="K2817"/>
    </row>
    <row r="2818" spans="5:11" x14ac:dyDescent="0.2">
      <c r="E2818" s="50"/>
      <c r="H2818" s="12"/>
      <c r="K2818"/>
    </row>
    <row r="2819" spans="5:11" x14ac:dyDescent="0.2">
      <c r="E2819" s="50"/>
      <c r="H2819" s="12"/>
      <c r="K2819"/>
    </row>
    <row r="2820" spans="5:11" x14ac:dyDescent="0.2">
      <c r="E2820" s="50"/>
      <c r="H2820" s="12"/>
      <c r="K2820"/>
    </row>
    <row r="2821" spans="5:11" x14ac:dyDescent="0.2">
      <c r="E2821" s="50"/>
      <c r="H2821" s="12"/>
      <c r="K2821"/>
    </row>
    <row r="2822" spans="5:11" x14ac:dyDescent="0.2">
      <c r="E2822" s="50"/>
      <c r="H2822" s="12"/>
      <c r="K2822"/>
    </row>
    <row r="2823" spans="5:11" x14ac:dyDescent="0.2">
      <c r="E2823" s="50"/>
      <c r="H2823" s="12"/>
      <c r="K2823"/>
    </row>
    <row r="2824" spans="5:11" x14ac:dyDescent="0.2">
      <c r="E2824" s="50"/>
      <c r="H2824" s="12"/>
      <c r="K2824"/>
    </row>
    <row r="2825" spans="5:11" x14ac:dyDescent="0.2">
      <c r="E2825" s="50"/>
      <c r="H2825" s="12"/>
      <c r="K2825"/>
    </row>
    <row r="2826" spans="5:11" x14ac:dyDescent="0.2">
      <c r="E2826" s="50"/>
      <c r="H2826" s="12"/>
      <c r="K2826"/>
    </row>
    <row r="2827" spans="5:11" x14ac:dyDescent="0.2">
      <c r="E2827" s="50"/>
      <c r="H2827" s="12"/>
      <c r="K2827"/>
    </row>
    <row r="2828" spans="5:11" x14ac:dyDescent="0.2">
      <c r="E2828" s="50"/>
      <c r="H2828" s="12"/>
      <c r="K2828"/>
    </row>
    <row r="2829" spans="5:11" x14ac:dyDescent="0.2">
      <c r="E2829" s="50"/>
      <c r="H2829" s="12"/>
      <c r="K2829"/>
    </row>
    <row r="2830" spans="5:11" x14ac:dyDescent="0.2">
      <c r="E2830" s="50"/>
      <c r="H2830" s="12"/>
      <c r="K2830"/>
    </row>
    <row r="2831" spans="5:11" x14ac:dyDescent="0.2">
      <c r="E2831" s="50"/>
      <c r="H2831" s="12"/>
      <c r="K2831"/>
    </row>
    <row r="2832" spans="5:11" x14ac:dyDescent="0.2">
      <c r="E2832" s="50"/>
      <c r="H2832" s="12"/>
      <c r="K2832"/>
    </row>
    <row r="2833" spans="5:11" x14ac:dyDescent="0.2">
      <c r="E2833" s="50"/>
      <c r="H2833" s="12"/>
      <c r="K2833"/>
    </row>
    <row r="2834" spans="5:11" x14ac:dyDescent="0.2">
      <c r="E2834" s="50"/>
      <c r="H2834" s="12"/>
      <c r="K2834"/>
    </row>
    <row r="2835" spans="5:11" x14ac:dyDescent="0.2">
      <c r="E2835" s="50"/>
      <c r="H2835" s="12"/>
      <c r="K2835"/>
    </row>
    <row r="2836" spans="5:11" x14ac:dyDescent="0.2">
      <c r="E2836" s="50"/>
      <c r="H2836" s="12"/>
      <c r="K2836"/>
    </row>
    <row r="2837" spans="5:11" x14ac:dyDescent="0.2">
      <c r="E2837" s="50"/>
      <c r="H2837" s="12"/>
      <c r="K2837"/>
    </row>
    <row r="2838" spans="5:11" x14ac:dyDescent="0.2">
      <c r="E2838" s="50"/>
      <c r="H2838" s="12"/>
      <c r="K2838"/>
    </row>
    <row r="2839" spans="5:11" x14ac:dyDescent="0.2">
      <c r="E2839" s="50"/>
      <c r="H2839" s="12"/>
      <c r="K2839"/>
    </row>
    <row r="2840" spans="5:11" x14ac:dyDescent="0.2">
      <c r="E2840" s="50"/>
      <c r="H2840" s="12"/>
      <c r="K2840"/>
    </row>
    <row r="2841" spans="5:11" x14ac:dyDescent="0.2">
      <c r="E2841" s="50"/>
      <c r="H2841" s="12"/>
      <c r="K2841"/>
    </row>
    <row r="2842" spans="5:11" x14ac:dyDescent="0.2">
      <c r="E2842" s="50"/>
      <c r="H2842" s="12"/>
      <c r="K2842"/>
    </row>
    <row r="2843" spans="5:11" x14ac:dyDescent="0.2">
      <c r="E2843" s="50"/>
      <c r="H2843" s="12"/>
      <c r="K2843"/>
    </row>
    <row r="2844" spans="5:11" x14ac:dyDescent="0.2">
      <c r="E2844" s="50"/>
      <c r="H2844" s="12"/>
      <c r="K2844"/>
    </row>
    <row r="2845" spans="5:11" x14ac:dyDescent="0.2">
      <c r="E2845" s="50"/>
      <c r="H2845" s="12"/>
      <c r="K2845"/>
    </row>
    <row r="2846" spans="5:11" x14ac:dyDescent="0.2">
      <c r="E2846" s="50"/>
      <c r="H2846" s="12"/>
      <c r="K2846"/>
    </row>
    <row r="2847" spans="5:11" x14ac:dyDescent="0.2">
      <c r="E2847" s="50"/>
      <c r="F2847" s="41"/>
      <c r="H2847" s="12"/>
      <c r="K2847"/>
    </row>
    <row r="2848" spans="5:11" x14ac:dyDescent="0.2">
      <c r="E2848" s="50"/>
      <c r="H2848" s="12"/>
      <c r="K2848"/>
    </row>
    <row r="2849" spans="5:11" x14ac:dyDescent="0.2">
      <c r="E2849" s="50"/>
      <c r="H2849" s="12"/>
      <c r="K2849"/>
    </row>
    <row r="2850" spans="5:11" x14ac:dyDescent="0.2">
      <c r="E2850" s="50"/>
      <c r="H2850" s="12"/>
      <c r="K2850"/>
    </row>
    <row r="2851" spans="5:11" x14ac:dyDescent="0.2">
      <c r="E2851" s="50"/>
      <c r="H2851" s="12"/>
      <c r="K2851"/>
    </row>
    <row r="2852" spans="5:11" x14ac:dyDescent="0.2">
      <c r="E2852" s="50"/>
      <c r="H2852" s="12"/>
      <c r="K2852"/>
    </row>
    <row r="2853" spans="5:11" x14ac:dyDescent="0.2">
      <c r="E2853" s="50"/>
      <c r="H2853" s="12"/>
      <c r="K2853"/>
    </row>
    <row r="2854" spans="5:11" x14ac:dyDescent="0.2">
      <c r="E2854" s="50"/>
      <c r="H2854" s="12"/>
      <c r="K2854"/>
    </row>
    <row r="2855" spans="5:11" x14ac:dyDescent="0.2">
      <c r="E2855" s="50"/>
      <c r="H2855" s="12"/>
      <c r="K2855"/>
    </row>
    <row r="2856" spans="5:11" x14ac:dyDescent="0.2">
      <c r="E2856" s="50"/>
      <c r="H2856" s="12"/>
      <c r="K2856"/>
    </row>
    <row r="2857" spans="5:11" x14ac:dyDescent="0.2">
      <c r="E2857" s="50"/>
      <c r="H2857" s="12"/>
      <c r="K2857"/>
    </row>
    <row r="2858" spans="5:11" x14ac:dyDescent="0.2">
      <c r="E2858" s="50"/>
      <c r="H2858" s="12"/>
      <c r="K2858"/>
    </row>
    <row r="2859" spans="5:11" x14ac:dyDescent="0.2">
      <c r="E2859" s="50"/>
      <c r="H2859" s="12"/>
      <c r="K2859"/>
    </row>
    <row r="2860" spans="5:11" x14ac:dyDescent="0.2">
      <c r="E2860" s="50"/>
      <c r="H2860" s="12"/>
      <c r="K2860"/>
    </row>
    <row r="2861" spans="5:11" x14ac:dyDescent="0.2">
      <c r="E2861" s="50"/>
      <c r="H2861" s="12"/>
      <c r="K2861"/>
    </row>
    <row r="2862" spans="5:11" x14ac:dyDescent="0.2">
      <c r="E2862" s="50"/>
      <c r="H2862" s="12"/>
      <c r="K2862"/>
    </row>
    <row r="2863" spans="5:11" x14ac:dyDescent="0.2">
      <c r="E2863" s="50"/>
      <c r="H2863" s="12"/>
      <c r="K2863"/>
    </row>
    <row r="2864" spans="5:11" x14ac:dyDescent="0.2">
      <c r="E2864" s="50"/>
      <c r="H2864" s="12"/>
      <c r="K2864"/>
    </row>
    <row r="2865" spans="1:11" x14ac:dyDescent="0.2">
      <c r="E2865" s="50"/>
      <c r="H2865" s="12"/>
      <c r="K2865"/>
    </row>
    <row r="2866" spans="1:11" x14ac:dyDescent="0.2">
      <c r="E2866" s="50"/>
      <c r="H2866" s="12"/>
      <c r="K2866"/>
    </row>
    <row r="2867" spans="1:11" x14ac:dyDescent="0.2">
      <c r="E2867" s="50"/>
      <c r="H2867" s="12"/>
      <c r="K2867"/>
    </row>
    <row r="2868" spans="1:11" x14ac:dyDescent="0.2">
      <c r="E2868" s="50"/>
      <c r="H2868" s="12"/>
      <c r="K2868"/>
    </row>
    <row r="2869" spans="1:11" x14ac:dyDescent="0.2">
      <c r="E2869" s="50"/>
      <c r="H2869" s="12"/>
      <c r="K2869"/>
    </row>
    <row r="2870" spans="1:11" x14ac:dyDescent="0.2">
      <c r="E2870" s="50"/>
      <c r="H2870" s="12"/>
      <c r="K2870"/>
    </row>
    <row r="2871" spans="1:11" x14ac:dyDescent="0.2">
      <c r="E2871" s="50"/>
      <c r="H2871" s="12"/>
      <c r="K2871"/>
    </row>
    <row r="2872" spans="1:11" x14ac:dyDescent="0.2">
      <c r="A2872" s="43"/>
      <c r="B2872" s="43"/>
      <c r="C2872" s="43"/>
      <c r="D2872" s="28" t="s">
        <v>55</v>
      </c>
      <c r="E2872" s="53" t="s">
        <v>43</v>
      </c>
      <c r="G2872" s="29"/>
      <c r="H2872" s="12"/>
    </row>
    <row r="2873" spans="1:11" ht="12" customHeight="1" x14ac:dyDescent="0.2">
      <c r="A2873" s="45" t="s">
        <v>0</v>
      </c>
      <c r="D2873" s="27" t="s">
        <v>17</v>
      </c>
      <c r="E2873" s="63">
        <v>44470</v>
      </c>
      <c r="G2873" s="26" t="s">
        <v>12</v>
      </c>
      <c r="H2873" s="123">
        <v>44470</v>
      </c>
      <c r="I2873" s="12" t="s">
        <v>53</v>
      </c>
    </row>
    <row r="2874" spans="1:11" x14ac:dyDescent="0.2">
      <c r="A2874" s="46" t="s">
        <v>41</v>
      </c>
      <c r="D2874" s="27" t="s">
        <v>17</v>
      </c>
      <c r="E2874" s="63">
        <v>44471</v>
      </c>
      <c r="G2874" s="26" t="s">
        <v>20</v>
      </c>
      <c r="H2874" s="123">
        <v>44473</v>
      </c>
      <c r="I2874" s="12" t="s">
        <v>53</v>
      </c>
    </row>
    <row r="2875" spans="1:11" x14ac:dyDescent="0.2">
      <c r="D2875" s="27" t="s">
        <v>17</v>
      </c>
      <c r="E2875" s="63">
        <v>44472</v>
      </c>
      <c r="G2875" s="26" t="s">
        <v>21</v>
      </c>
      <c r="H2875" s="123">
        <v>44473</v>
      </c>
      <c r="I2875" s="12" t="s">
        <v>53</v>
      </c>
    </row>
    <row r="2876" spans="1:11" x14ac:dyDescent="0.2">
      <c r="D2876" s="27" t="s">
        <v>17</v>
      </c>
      <c r="E2876" s="63">
        <v>44473</v>
      </c>
      <c r="G2876" s="26" t="s">
        <v>19</v>
      </c>
      <c r="H2876" s="123">
        <v>44473</v>
      </c>
      <c r="I2876" s="12" t="s">
        <v>53</v>
      </c>
    </row>
    <row r="2877" spans="1:11" x14ac:dyDescent="0.2">
      <c r="D2877" s="27" t="s">
        <v>17</v>
      </c>
      <c r="E2877" s="63">
        <v>44474</v>
      </c>
      <c r="G2877" s="26" t="s">
        <v>14</v>
      </c>
      <c r="H2877" s="123">
        <v>44474</v>
      </c>
      <c r="I2877" s="12" t="s">
        <v>53</v>
      </c>
    </row>
    <row r="2878" spans="1:11" x14ac:dyDescent="0.2">
      <c r="D2878" s="27" t="s">
        <v>17</v>
      </c>
      <c r="E2878" s="63">
        <v>44475</v>
      </c>
      <c r="G2878" s="26" t="s">
        <v>15</v>
      </c>
      <c r="H2878" s="123">
        <v>44475</v>
      </c>
      <c r="I2878" s="12" t="s">
        <v>53</v>
      </c>
    </row>
    <row r="2879" spans="1:11" x14ac:dyDescent="0.2">
      <c r="D2879" s="27" t="s">
        <v>17</v>
      </c>
      <c r="E2879" s="63">
        <v>44476</v>
      </c>
      <c r="G2879" s="26" t="s">
        <v>16</v>
      </c>
      <c r="H2879" s="123">
        <v>44476</v>
      </c>
      <c r="I2879" s="12" t="s">
        <v>53</v>
      </c>
    </row>
    <row r="2880" spans="1:11" x14ac:dyDescent="0.2">
      <c r="D2880" s="27" t="s">
        <v>17</v>
      </c>
      <c r="E2880" s="63">
        <v>44477</v>
      </c>
      <c r="G2880" s="26" t="s">
        <v>25</v>
      </c>
      <c r="H2880" s="123">
        <v>44477</v>
      </c>
      <c r="I2880" s="12" t="s">
        <v>53</v>
      </c>
    </row>
    <row r="2881" spans="4:11" x14ac:dyDescent="0.2">
      <c r="D2881" s="27" t="s">
        <v>17</v>
      </c>
      <c r="E2881" s="63">
        <v>44478</v>
      </c>
      <c r="G2881" s="26" t="s">
        <v>26</v>
      </c>
      <c r="H2881" s="123">
        <v>44480</v>
      </c>
      <c r="I2881" s="12" t="s">
        <v>53</v>
      </c>
    </row>
    <row r="2882" spans="4:11" x14ac:dyDescent="0.2">
      <c r="D2882" s="27" t="s">
        <v>17</v>
      </c>
      <c r="E2882" s="63">
        <v>44479</v>
      </c>
      <c r="G2882" s="26" t="s">
        <v>36</v>
      </c>
      <c r="H2882" s="123">
        <v>44480</v>
      </c>
      <c r="I2882" s="12" t="s">
        <v>53</v>
      </c>
      <c r="K2882"/>
    </row>
    <row r="2883" spans="4:11" x14ac:dyDescent="0.2">
      <c r="D2883" s="27" t="s">
        <v>17</v>
      </c>
      <c r="E2883" s="63">
        <v>44480</v>
      </c>
      <c r="G2883" s="26" t="s">
        <v>31</v>
      </c>
      <c r="H2883" s="123">
        <v>44480</v>
      </c>
      <c r="I2883" s="12" t="s">
        <v>53</v>
      </c>
      <c r="K2883"/>
    </row>
    <row r="2884" spans="4:11" x14ac:dyDescent="0.2">
      <c r="D2884" s="27" t="s">
        <v>17</v>
      </c>
      <c r="E2884" s="63">
        <v>44481</v>
      </c>
      <c r="G2884" s="26" t="s">
        <v>29</v>
      </c>
      <c r="H2884" s="123">
        <v>44481</v>
      </c>
      <c r="I2884" s="12" t="s">
        <v>53</v>
      </c>
      <c r="K2884"/>
    </row>
    <row r="2885" spans="4:11" x14ac:dyDescent="0.2">
      <c r="D2885" s="27" t="s">
        <v>17</v>
      </c>
      <c r="E2885" s="63">
        <v>44482</v>
      </c>
      <c r="G2885" s="26" t="s">
        <v>32</v>
      </c>
      <c r="H2885" s="123">
        <v>44482</v>
      </c>
      <c r="I2885" s="12" t="s">
        <v>53</v>
      </c>
      <c r="K2885"/>
    </row>
    <row r="2886" spans="4:11" x14ac:dyDescent="0.2">
      <c r="D2886" s="27" t="s">
        <v>17</v>
      </c>
      <c r="E2886" s="63">
        <v>44483</v>
      </c>
      <c r="G2886" s="26" t="s">
        <v>33</v>
      </c>
      <c r="H2886" s="123">
        <v>44483</v>
      </c>
      <c r="I2886" s="12" t="s">
        <v>53</v>
      </c>
      <c r="K2886"/>
    </row>
    <row r="2887" spans="4:11" x14ac:dyDescent="0.2">
      <c r="D2887" s="27" t="s">
        <v>17</v>
      </c>
      <c r="E2887" s="63">
        <v>44484</v>
      </c>
      <c r="G2887" s="26" t="s">
        <v>34</v>
      </c>
      <c r="H2887" s="123">
        <v>44484</v>
      </c>
      <c r="I2887" s="12" t="s">
        <v>53</v>
      </c>
      <c r="K2887"/>
    </row>
    <row r="2888" spans="4:11" x14ac:dyDescent="0.2">
      <c r="D2888" s="27" t="s">
        <v>17</v>
      </c>
      <c r="E2888" s="63">
        <v>44485</v>
      </c>
      <c r="G2888" s="26" t="s">
        <v>7</v>
      </c>
      <c r="H2888" s="123">
        <v>44487</v>
      </c>
      <c r="I2888" s="12" t="s">
        <v>53</v>
      </c>
      <c r="K2888"/>
    </row>
    <row r="2889" spans="4:11" x14ac:dyDescent="0.2">
      <c r="D2889" s="27" t="s">
        <v>17</v>
      </c>
      <c r="E2889" s="63">
        <v>44486</v>
      </c>
      <c r="G2889" s="26" t="s">
        <v>8</v>
      </c>
      <c r="H2889" s="123">
        <v>44487</v>
      </c>
      <c r="I2889" s="12" t="s">
        <v>53</v>
      </c>
      <c r="K2889"/>
    </row>
    <row r="2890" spans="4:11" x14ac:dyDescent="0.2">
      <c r="D2890" s="27" t="s">
        <v>17</v>
      </c>
      <c r="E2890" s="63">
        <v>44487</v>
      </c>
      <c r="G2890" s="26" t="s">
        <v>9</v>
      </c>
      <c r="H2890" s="123">
        <v>44487</v>
      </c>
      <c r="I2890" s="12" t="s">
        <v>53</v>
      </c>
      <c r="K2890"/>
    </row>
    <row r="2891" spans="4:11" x14ac:dyDescent="0.2">
      <c r="D2891" s="27" t="s">
        <v>17</v>
      </c>
      <c r="E2891" s="63">
        <v>44488</v>
      </c>
      <c r="G2891" s="26" t="s">
        <v>52</v>
      </c>
      <c r="H2891" s="123">
        <v>44488</v>
      </c>
      <c r="I2891" s="12" t="s">
        <v>53</v>
      </c>
      <c r="K2891"/>
    </row>
    <row r="2892" spans="4:11" x14ac:dyDescent="0.2">
      <c r="D2892" s="27" t="s">
        <v>17</v>
      </c>
      <c r="E2892" s="63">
        <v>44489</v>
      </c>
      <c r="G2892" s="26" t="s">
        <v>30</v>
      </c>
      <c r="H2892" s="123">
        <v>44489</v>
      </c>
      <c r="I2892" s="12" t="s">
        <v>53</v>
      </c>
      <c r="K2892"/>
    </row>
    <row r="2893" spans="4:11" x14ac:dyDescent="0.2">
      <c r="D2893" s="27" t="s">
        <v>17</v>
      </c>
      <c r="E2893" s="63">
        <v>44490</v>
      </c>
      <c r="G2893" s="26" t="s">
        <v>51</v>
      </c>
      <c r="H2893" s="123">
        <v>44490</v>
      </c>
      <c r="I2893" s="12" t="s">
        <v>53</v>
      </c>
      <c r="K2893"/>
    </row>
    <row r="2894" spans="4:11" x14ac:dyDescent="0.2">
      <c r="D2894" s="27" t="s">
        <v>17</v>
      </c>
      <c r="E2894" s="63">
        <v>44491</v>
      </c>
      <c r="G2894" s="26" t="s">
        <v>38</v>
      </c>
      <c r="H2894" s="123">
        <v>44491</v>
      </c>
      <c r="I2894" s="12" t="s">
        <v>53</v>
      </c>
      <c r="K2894"/>
    </row>
    <row r="2895" spans="4:11" x14ac:dyDescent="0.2">
      <c r="D2895" s="27" t="s">
        <v>17</v>
      </c>
      <c r="E2895" s="63">
        <v>44492</v>
      </c>
      <c r="G2895" s="26" t="s">
        <v>39</v>
      </c>
      <c r="H2895" s="123">
        <v>44494</v>
      </c>
      <c r="I2895" s="12" t="s">
        <v>53</v>
      </c>
      <c r="K2895"/>
    </row>
    <row r="2896" spans="4:11" x14ac:dyDescent="0.2">
      <c r="D2896" s="27" t="s">
        <v>17</v>
      </c>
      <c r="E2896" s="63">
        <v>44493</v>
      </c>
      <c r="G2896" s="26" t="s">
        <v>27</v>
      </c>
      <c r="H2896" s="123">
        <v>44494</v>
      </c>
      <c r="I2896" s="12" t="s">
        <v>53</v>
      </c>
      <c r="K2896"/>
    </row>
    <row r="2897" spans="4:11" x14ac:dyDescent="0.2">
      <c r="D2897" s="27" t="s">
        <v>17</v>
      </c>
      <c r="E2897" s="63">
        <v>44494</v>
      </c>
      <c r="G2897" s="26" t="s">
        <v>28</v>
      </c>
      <c r="H2897" s="123">
        <v>44494</v>
      </c>
      <c r="I2897" s="12" t="s">
        <v>53</v>
      </c>
      <c r="K2897"/>
    </row>
    <row r="2898" spans="4:11" x14ac:dyDescent="0.2">
      <c r="D2898" s="27" t="s">
        <v>17</v>
      </c>
      <c r="E2898" s="63">
        <v>44495</v>
      </c>
      <c r="G2898" s="26" t="s">
        <v>18</v>
      </c>
      <c r="H2898" s="123">
        <v>44495</v>
      </c>
      <c r="I2898" s="12" t="s">
        <v>53</v>
      </c>
      <c r="K2898"/>
    </row>
    <row r="2899" spans="4:11" x14ac:dyDescent="0.2">
      <c r="D2899" s="27" t="s">
        <v>17</v>
      </c>
      <c r="E2899" s="63">
        <v>44496</v>
      </c>
      <c r="G2899" s="26" t="s">
        <v>6</v>
      </c>
      <c r="H2899" s="123">
        <v>44496</v>
      </c>
      <c r="I2899" s="12" t="s">
        <v>53</v>
      </c>
      <c r="K2899"/>
    </row>
    <row r="2900" spans="4:11" x14ac:dyDescent="0.2">
      <c r="D2900" s="27" t="s">
        <v>17</v>
      </c>
      <c r="E2900" s="63">
        <v>44497</v>
      </c>
      <c r="G2900" s="26" t="s">
        <v>22</v>
      </c>
      <c r="H2900" s="123">
        <v>44497</v>
      </c>
      <c r="I2900" s="12" t="s">
        <v>53</v>
      </c>
      <c r="K2900"/>
    </row>
    <row r="2901" spans="4:11" x14ac:dyDescent="0.2">
      <c r="D2901" s="27" t="s">
        <v>17</v>
      </c>
      <c r="E2901" s="63">
        <v>44498</v>
      </c>
      <c r="G2901" s="26" t="s">
        <v>45</v>
      </c>
      <c r="H2901" s="123">
        <v>44498</v>
      </c>
      <c r="I2901" s="12" t="s">
        <v>53</v>
      </c>
      <c r="K2901"/>
    </row>
    <row r="2902" spans="4:11" x14ac:dyDescent="0.2">
      <c r="D2902" s="27" t="s">
        <v>17</v>
      </c>
      <c r="E2902" s="63"/>
      <c r="G2902" s="26" t="s">
        <v>13</v>
      </c>
      <c r="H2902" s="123"/>
      <c r="I2902" s="12" t="s">
        <v>53</v>
      </c>
      <c r="K2902"/>
    </row>
    <row r="2903" spans="4:11" x14ac:dyDescent="0.2">
      <c r="D2903" s="27" t="s">
        <v>17</v>
      </c>
      <c r="E2903" s="63"/>
      <c r="G2903" s="26"/>
      <c r="H2903" s="123"/>
      <c r="I2903" s="12" t="s">
        <v>53</v>
      </c>
      <c r="K2903"/>
    </row>
    <row r="2904" spans="4:11" x14ac:dyDescent="0.2">
      <c r="D2904" s="27" t="s">
        <v>44</v>
      </c>
      <c r="E2904" s="59">
        <v>44471</v>
      </c>
      <c r="G2904" s="26" t="s">
        <v>1</v>
      </c>
      <c r="H2904" s="65">
        <v>44471</v>
      </c>
      <c r="I2904" s="12"/>
      <c r="K2904"/>
    </row>
    <row r="2905" spans="4:11" x14ac:dyDescent="0.2">
      <c r="D2905" s="27" t="s">
        <v>44</v>
      </c>
      <c r="E2905" s="59">
        <v>44472</v>
      </c>
      <c r="G2905" s="26" t="s">
        <v>10</v>
      </c>
      <c r="H2905" s="65">
        <v>44472</v>
      </c>
      <c r="K2905"/>
    </row>
    <row r="2906" spans="4:11" x14ac:dyDescent="0.2">
      <c r="D2906" s="27" t="s">
        <v>44</v>
      </c>
      <c r="E2906" s="59">
        <v>44478</v>
      </c>
      <c r="G2906" s="26" t="s">
        <v>11</v>
      </c>
      <c r="H2906" s="65">
        <v>44478</v>
      </c>
      <c r="K2906"/>
    </row>
    <row r="2907" spans="4:11" x14ac:dyDescent="0.2">
      <c r="D2907" s="27" t="s">
        <v>44</v>
      </c>
      <c r="E2907" s="59">
        <v>44479</v>
      </c>
      <c r="G2907" s="26" t="s">
        <v>23</v>
      </c>
      <c r="H2907" s="65">
        <v>44479</v>
      </c>
      <c r="K2907"/>
    </row>
    <row r="2908" spans="4:11" x14ac:dyDescent="0.2">
      <c r="D2908" s="27" t="s">
        <v>44</v>
      </c>
      <c r="E2908" s="59">
        <v>44485</v>
      </c>
      <c r="G2908" s="26" t="s">
        <v>4</v>
      </c>
      <c r="H2908" s="65">
        <v>44485</v>
      </c>
      <c r="K2908"/>
    </row>
    <row r="2909" spans="4:11" x14ac:dyDescent="0.2">
      <c r="D2909" s="27" t="s">
        <v>44</v>
      </c>
      <c r="E2909" s="59">
        <v>44486</v>
      </c>
      <c r="G2909" s="26" t="s">
        <v>24</v>
      </c>
      <c r="H2909" s="65">
        <v>44486</v>
      </c>
      <c r="K2909"/>
    </row>
    <row r="2910" spans="4:11" x14ac:dyDescent="0.2">
      <c r="D2910" s="27" t="s">
        <v>44</v>
      </c>
      <c r="E2910" s="59">
        <v>44492</v>
      </c>
      <c r="G2910" s="26" t="s">
        <v>37</v>
      </c>
      <c r="H2910" s="65">
        <v>44492</v>
      </c>
      <c r="K2910"/>
    </row>
    <row r="2911" spans="4:11" x14ac:dyDescent="0.2">
      <c r="D2911" s="27" t="s">
        <v>44</v>
      </c>
      <c r="E2911" s="59">
        <v>44493</v>
      </c>
      <c r="H2911" s="65">
        <v>44493</v>
      </c>
      <c r="K2911"/>
    </row>
    <row r="2912" spans="4:11" x14ac:dyDescent="0.2">
      <c r="D2912" s="27" t="s">
        <v>44</v>
      </c>
      <c r="E2912" s="59">
        <v>44499</v>
      </c>
      <c r="H2912" s="65">
        <v>44499</v>
      </c>
      <c r="K2912"/>
    </row>
    <row r="2913" spans="4:11" x14ac:dyDescent="0.2">
      <c r="D2913" s="27" t="s">
        <v>44</v>
      </c>
      <c r="E2913" s="59">
        <v>44500</v>
      </c>
      <c r="H2913" s="65">
        <v>44500</v>
      </c>
      <c r="K2913"/>
    </row>
    <row r="2914" spans="4:11" x14ac:dyDescent="0.2">
      <c r="D2914" s="27"/>
      <c r="H2914" s="35"/>
      <c r="K2914"/>
    </row>
    <row r="2919" spans="4:11" x14ac:dyDescent="0.2">
      <c r="I2919" s="30"/>
      <c r="K2919"/>
    </row>
    <row r="2920" spans="4:11" x14ac:dyDescent="0.2">
      <c r="I2920" s="30"/>
      <c r="K2920"/>
    </row>
    <row r="2921" spans="4:11" x14ac:dyDescent="0.2">
      <c r="I2921" s="30"/>
      <c r="K2921"/>
    </row>
    <row r="2922" spans="4:11" x14ac:dyDescent="0.2">
      <c r="I2922" s="30"/>
      <c r="K2922"/>
    </row>
    <row r="2923" spans="4:11" x14ac:dyDescent="0.2">
      <c r="I2923" s="30"/>
      <c r="K2923"/>
    </row>
    <row r="2924" spans="4:11" x14ac:dyDescent="0.2">
      <c r="I2924" s="30"/>
      <c r="K2924"/>
    </row>
    <row r="2925" spans="4:11" x14ac:dyDescent="0.2">
      <c r="I2925" s="30"/>
      <c r="K2925"/>
    </row>
    <row r="2926" spans="4:11" x14ac:dyDescent="0.2">
      <c r="I2926" s="30"/>
      <c r="K2926"/>
    </row>
    <row r="2927" spans="4:11" x14ac:dyDescent="0.2">
      <c r="I2927" s="30"/>
      <c r="K2927"/>
    </row>
    <row r="2928" spans="4:11" x14ac:dyDescent="0.2">
      <c r="I2928" s="30"/>
      <c r="K2928"/>
    </row>
    <row r="2929" spans="5:11" x14ac:dyDescent="0.2">
      <c r="I2929" s="30"/>
      <c r="K2929"/>
    </row>
    <row r="2930" spans="5:11" x14ac:dyDescent="0.2">
      <c r="E2930"/>
      <c r="F2930"/>
      <c r="H2930"/>
      <c r="I2930" s="30"/>
      <c r="K2930"/>
    </row>
    <row r="2931" spans="5:11" x14ac:dyDescent="0.2">
      <c r="E2931"/>
      <c r="F2931"/>
      <c r="H2931"/>
      <c r="I2931" s="30"/>
      <c r="K2931"/>
    </row>
    <row r="2932" spans="5:11" x14ac:dyDescent="0.2">
      <c r="E2932"/>
      <c r="F2932"/>
      <c r="H2932"/>
      <c r="I2932" s="30"/>
      <c r="K2932"/>
    </row>
    <row r="2933" spans="5:11" x14ac:dyDescent="0.2">
      <c r="E2933"/>
      <c r="F2933"/>
      <c r="H2933"/>
      <c r="I2933" s="30"/>
      <c r="K2933"/>
    </row>
    <row r="2934" spans="5:11" x14ac:dyDescent="0.2">
      <c r="E2934"/>
      <c r="F2934"/>
      <c r="H2934"/>
      <c r="I2934" s="30"/>
      <c r="K2934"/>
    </row>
    <row r="2935" spans="5:11" x14ac:dyDescent="0.2">
      <c r="E2935"/>
      <c r="F2935"/>
      <c r="H2935"/>
      <c r="I2935" s="30"/>
      <c r="K2935"/>
    </row>
    <row r="2936" spans="5:11" x14ac:dyDescent="0.2">
      <c r="E2936"/>
      <c r="F2936"/>
      <c r="H2936"/>
      <c r="I2936" s="30"/>
      <c r="K2936"/>
    </row>
    <row r="2937" spans="5:11" x14ac:dyDescent="0.2">
      <c r="E2937"/>
      <c r="F2937"/>
      <c r="H2937"/>
      <c r="I2937" s="30"/>
      <c r="K2937"/>
    </row>
    <row r="2938" spans="5:11" x14ac:dyDescent="0.2">
      <c r="E2938"/>
      <c r="F2938"/>
      <c r="H2938"/>
      <c r="I2938" s="30"/>
      <c r="K2938"/>
    </row>
    <row r="2939" spans="5:11" x14ac:dyDescent="0.2">
      <c r="E2939"/>
      <c r="F2939"/>
      <c r="H2939"/>
      <c r="I2939" s="30"/>
      <c r="K2939"/>
    </row>
    <row r="2940" spans="5:11" x14ac:dyDescent="0.2">
      <c r="E2940"/>
      <c r="F2940"/>
      <c r="H2940"/>
      <c r="I2940" s="30"/>
      <c r="K2940"/>
    </row>
    <row r="2941" spans="5:11" x14ac:dyDescent="0.2">
      <c r="E2941"/>
      <c r="F2941"/>
      <c r="H2941"/>
      <c r="I2941" s="30"/>
      <c r="K2941"/>
    </row>
    <row r="2942" spans="5:11" x14ac:dyDescent="0.2">
      <c r="E2942"/>
      <c r="F2942"/>
      <c r="H2942"/>
      <c r="I2942" s="30"/>
      <c r="K2942"/>
    </row>
    <row r="2943" spans="5:11" x14ac:dyDescent="0.2">
      <c r="E2943"/>
      <c r="F2943"/>
      <c r="H2943"/>
      <c r="I2943" s="30"/>
      <c r="K2943"/>
    </row>
    <row r="2944" spans="5:11" x14ac:dyDescent="0.2">
      <c r="E2944"/>
      <c r="F2944"/>
      <c r="H2944"/>
      <c r="I2944" s="30"/>
      <c r="K2944"/>
    </row>
    <row r="2945" spans="9:9" customFormat="1" x14ac:dyDescent="0.2">
      <c r="I2945" s="30"/>
    </row>
    <row r="2946" spans="9:9" customFormat="1" x14ac:dyDescent="0.2">
      <c r="I2946" s="30"/>
    </row>
    <row r="2947" spans="9:9" customFormat="1" x14ac:dyDescent="0.2">
      <c r="I2947" s="30"/>
    </row>
    <row r="2948" spans="9:9" customFormat="1" x14ac:dyDescent="0.2">
      <c r="I2948" s="30"/>
    </row>
    <row r="2949" spans="9:9" customFormat="1" x14ac:dyDescent="0.2">
      <c r="I2949" s="30"/>
    </row>
  </sheetData>
  <autoFilter ref="A1:H158" xr:uid="{00000000-0009-0000-0000-000004000000}"/>
  <pageMargins left="0.19685039370078741" right="0.19685039370078741" top="0.19685039370078741" bottom="0.19685039370078741" header="0.51181102362204722" footer="0.51181102362204722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F50"/>
  <sheetViews>
    <sheetView zoomScale="75" zoomScaleNormal="75" workbookViewId="0">
      <pane xSplit="1" ySplit="4" topLeftCell="H5" activePane="bottomRight" state="frozen"/>
      <selection activeCell="G2826" sqref="G2826"/>
      <selection pane="topRight" activeCell="G2826" sqref="G2826"/>
      <selection pane="bottomLeft" activeCell="G2826" sqref="G2826"/>
      <selection pane="bottomRight" activeCell="J18" sqref="J18"/>
    </sheetView>
  </sheetViews>
  <sheetFormatPr defaultColWidth="15.7109375" defaultRowHeight="12.75" x14ac:dyDescent="0.2"/>
  <cols>
    <col min="1" max="1" width="15.7109375" customWidth="1"/>
    <col min="2" max="12" width="15.7109375" style="1" customWidth="1"/>
    <col min="13" max="23" width="15.7109375" customWidth="1"/>
  </cols>
  <sheetData>
    <row r="1" spans="1:22" s="2" customFormat="1" x14ac:dyDescent="0.2">
      <c r="B1" s="2" t="str">
        <f>IF(B5=1,"Domingo",IF(B5=2,"Segunda",IF(B5=3,"Terça",IF(B5=4,"Quarta",IF(B5=5,"Quinta",IF(B5=6,"Sexta",IF(B5=7,"Sábado",0)))))))</f>
        <v>Sexta</v>
      </c>
      <c r="C1" s="2" t="str">
        <f t="shared" ref="C1:V1" si="0">IF(C5=1,"Domingo",IF(C5=2,"Segunda",IF(C5=3,"Terça",IF(C5=4,"Quarta",IF(C5=5,"Quinta",IF(C5=6,"Sexta",IF(C5=7,"Sábado",0)))))))</f>
        <v>Segunda</v>
      </c>
      <c r="D1" s="2" t="str">
        <f t="shared" si="0"/>
        <v>Terça</v>
      </c>
      <c r="E1" s="2" t="str">
        <f t="shared" si="0"/>
        <v>Quarta</v>
      </c>
      <c r="F1" s="2" t="str">
        <f t="shared" si="0"/>
        <v>Quinta</v>
      </c>
      <c r="G1" s="2" t="str">
        <f t="shared" si="0"/>
        <v>Sexta</v>
      </c>
      <c r="H1" s="2" t="str">
        <f t="shared" si="0"/>
        <v>Segunda</v>
      </c>
      <c r="I1" s="2" t="str">
        <f t="shared" si="0"/>
        <v>Terça</v>
      </c>
      <c r="J1" s="2" t="str">
        <f t="shared" si="0"/>
        <v>Quarta</v>
      </c>
      <c r="K1" s="2" t="str">
        <f t="shared" si="0"/>
        <v>Quinta</v>
      </c>
      <c r="L1" s="2" t="str">
        <f t="shared" si="0"/>
        <v>Sexta</v>
      </c>
      <c r="M1" s="2" t="str">
        <f t="shared" si="0"/>
        <v>Segunda</v>
      </c>
      <c r="N1" s="2" t="str">
        <f t="shared" si="0"/>
        <v>Terça</v>
      </c>
      <c r="O1" s="2" t="str">
        <f t="shared" si="0"/>
        <v>Quarta</v>
      </c>
      <c r="P1" s="2" t="str">
        <f t="shared" si="0"/>
        <v>Quinta</v>
      </c>
      <c r="Q1" s="2" t="str">
        <f t="shared" si="0"/>
        <v>Sexta</v>
      </c>
      <c r="R1" s="2" t="str">
        <f t="shared" si="0"/>
        <v>Segunda</v>
      </c>
      <c r="S1" s="2" t="str">
        <f t="shared" si="0"/>
        <v>Terça</v>
      </c>
      <c r="T1" s="2" t="str">
        <f t="shared" si="0"/>
        <v>Quarta</v>
      </c>
      <c r="U1" s="2" t="str">
        <f t="shared" si="0"/>
        <v>Quinta</v>
      </c>
      <c r="V1" s="2" t="str">
        <f t="shared" si="0"/>
        <v>Sexta</v>
      </c>
    </row>
    <row r="2" spans="1:22" s="3" customFormat="1" x14ac:dyDescent="0.2">
      <c r="A2" s="4" t="s">
        <v>2</v>
      </c>
      <c r="B2" s="3">
        <f t="shared" ref="B2:V2" si="1">B29</f>
        <v>44470</v>
      </c>
      <c r="C2" s="3">
        <f t="shared" si="1"/>
        <v>44473</v>
      </c>
      <c r="D2" s="3">
        <f t="shared" si="1"/>
        <v>44474</v>
      </c>
      <c r="E2" s="3">
        <f t="shared" si="1"/>
        <v>44475</v>
      </c>
      <c r="F2" s="3">
        <f t="shared" si="1"/>
        <v>44476</v>
      </c>
      <c r="G2" s="3">
        <f t="shared" si="1"/>
        <v>44477</v>
      </c>
      <c r="H2" s="3">
        <f t="shared" si="1"/>
        <v>44480</v>
      </c>
      <c r="I2" s="3">
        <f t="shared" si="1"/>
        <v>44481</v>
      </c>
      <c r="J2" s="3">
        <f t="shared" si="1"/>
        <v>44482</v>
      </c>
      <c r="K2" s="3">
        <f t="shared" si="1"/>
        <v>44483</v>
      </c>
      <c r="L2" s="3">
        <f t="shared" si="1"/>
        <v>44484</v>
      </c>
      <c r="M2" s="3">
        <f t="shared" si="1"/>
        <v>44487</v>
      </c>
      <c r="N2" s="3">
        <f t="shared" si="1"/>
        <v>44488</v>
      </c>
      <c r="O2" s="3">
        <f t="shared" si="1"/>
        <v>44489</v>
      </c>
      <c r="P2" s="3">
        <f t="shared" si="1"/>
        <v>44490</v>
      </c>
      <c r="Q2" s="3">
        <f t="shared" si="1"/>
        <v>44491</v>
      </c>
      <c r="R2" s="3">
        <f t="shared" si="1"/>
        <v>44494</v>
      </c>
      <c r="S2" s="3">
        <f t="shared" si="1"/>
        <v>44495</v>
      </c>
      <c r="T2" s="3">
        <f t="shared" si="1"/>
        <v>44496</v>
      </c>
      <c r="U2" s="3">
        <f t="shared" si="1"/>
        <v>44497</v>
      </c>
      <c r="V2" s="3">
        <f t="shared" si="1"/>
        <v>44498</v>
      </c>
    </row>
    <row r="3" spans="1:22" ht="3.75" customHeight="1" thickBo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22" ht="14.25" thickTop="1" thickBot="1" x14ac:dyDescent="0.25">
      <c r="A4" s="7" t="s">
        <v>40</v>
      </c>
      <c r="B4" s="8">
        <f>Fluxo_09_21!W38</f>
        <v>-19248.831999999929</v>
      </c>
      <c r="C4" s="8">
        <f>B38</f>
        <v>-1729.8919999999289</v>
      </c>
      <c r="D4" s="8">
        <f>C38</f>
        <v>-4625.7919999999294</v>
      </c>
      <c r="E4" s="8">
        <f>D38</f>
        <v>-5299.5519999999296</v>
      </c>
      <c r="F4" s="8">
        <f>E38</f>
        <v>-21425.811999999925</v>
      </c>
      <c r="G4" s="8">
        <f>F38</f>
        <v>-21369.281999999923</v>
      </c>
      <c r="H4" s="8">
        <f t="shared" ref="H4:U4" si="2">G38</f>
        <v>-21931.591999999924</v>
      </c>
      <c r="I4" s="8">
        <f t="shared" si="2"/>
        <v>11806.548000000075</v>
      </c>
      <c r="J4" s="8">
        <f t="shared" si="2"/>
        <v>11806.548000000075</v>
      </c>
      <c r="K4" s="8">
        <f>J38</f>
        <v>-15588.241999999922</v>
      </c>
      <c r="L4" s="8">
        <f t="shared" si="2"/>
        <v>-21294.14199999992</v>
      </c>
      <c r="M4" s="8">
        <f t="shared" si="2"/>
        <v>-19374.061999999918</v>
      </c>
      <c r="N4" s="8">
        <f t="shared" si="2"/>
        <v>-22937.011999999919</v>
      </c>
      <c r="O4" s="8">
        <f t="shared" si="2"/>
        <v>-22859.761999999919</v>
      </c>
      <c r="P4" s="8">
        <f t="shared" si="2"/>
        <v>-21704.991999999918</v>
      </c>
      <c r="Q4" s="8">
        <f t="shared" si="2"/>
        <v>-22922.401999999918</v>
      </c>
      <c r="R4" s="8">
        <f t="shared" si="2"/>
        <v>-21184.731999999916</v>
      </c>
      <c r="S4" s="8">
        <f t="shared" si="2"/>
        <v>-9276.7419999999111</v>
      </c>
      <c r="T4" s="8">
        <f t="shared" si="2"/>
        <v>-10919.141999999911</v>
      </c>
      <c r="U4" s="8">
        <f t="shared" si="2"/>
        <v>3669.2980000000898</v>
      </c>
      <c r="V4" s="8">
        <f>U38</f>
        <v>-13130.70199999991</v>
      </c>
    </row>
    <row r="5" spans="1:22" ht="6.95" customHeight="1" thickTop="1" x14ac:dyDescent="0.2">
      <c r="A5" s="9"/>
      <c r="B5" s="10">
        <f t="shared" ref="B5:V5" si="3">WEEKDAY(B2)</f>
        <v>6</v>
      </c>
      <c r="C5" s="10">
        <f t="shared" si="3"/>
        <v>2</v>
      </c>
      <c r="D5" s="10">
        <f t="shared" si="3"/>
        <v>3</v>
      </c>
      <c r="E5" s="10">
        <f t="shared" si="3"/>
        <v>4</v>
      </c>
      <c r="F5" s="10">
        <f t="shared" si="3"/>
        <v>5</v>
      </c>
      <c r="G5" s="10">
        <f t="shared" si="3"/>
        <v>6</v>
      </c>
      <c r="H5" s="10">
        <f t="shared" si="3"/>
        <v>2</v>
      </c>
      <c r="I5" s="10">
        <f t="shared" si="3"/>
        <v>3</v>
      </c>
      <c r="J5" s="10">
        <f t="shared" si="3"/>
        <v>4</v>
      </c>
      <c r="K5" s="10">
        <f t="shared" si="3"/>
        <v>5</v>
      </c>
      <c r="L5" s="10">
        <f t="shared" si="3"/>
        <v>6</v>
      </c>
      <c r="M5" s="10">
        <f t="shared" si="3"/>
        <v>2</v>
      </c>
      <c r="N5" s="10">
        <f t="shared" si="3"/>
        <v>3</v>
      </c>
      <c r="O5" s="10">
        <f t="shared" si="3"/>
        <v>4</v>
      </c>
      <c r="P5" s="10">
        <f t="shared" si="3"/>
        <v>5</v>
      </c>
      <c r="Q5" s="10">
        <f t="shared" si="3"/>
        <v>6</v>
      </c>
      <c r="R5" s="10">
        <f t="shared" si="3"/>
        <v>2</v>
      </c>
      <c r="S5" s="10">
        <f t="shared" si="3"/>
        <v>3</v>
      </c>
      <c r="T5" s="10">
        <f t="shared" si="3"/>
        <v>4</v>
      </c>
      <c r="U5" s="10">
        <f t="shared" si="3"/>
        <v>5</v>
      </c>
      <c r="V5" s="10">
        <f t="shared" si="3"/>
        <v>6</v>
      </c>
    </row>
    <row r="6" spans="1:22" x14ac:dyDescent="0.2">
      <c r="A6" s="20" t="s">
        <v>3</v>
      </c>
      <c r="B6" s="23">
        <f t="shared" ref="B6:V6" si="4">SUM(B7:B26)</f>
        <v>26005.56</v>
      </c>
      <c r="C6" s="23">
        <f t="shared" si="4"/>
        <v>1957.97</v>
      </c>
      <c r="D6" s="23">
        <f t="shared" si="4"/>
        <v>0</v>
      </c>
      <c r="E6" s="23">
        <f t="shared" si="4"/>
        <v>43000</v>
      </c>
      <c r="F6" s="23">
        <f t="shared" si="4"/>
        <v>4220.8100000000004</v>
      </c>
      <c r="G6" s="23">
        <f t="shared" si="4"/>
        <v>14936.25</v>
      </c>
      <c r="H6" s="23">
        <f t="shared" si="4"/>
        <v>35146.14</v>
      </c>
      <c r="I6" s="23">
        <f t="shared" si="4"/>
        <v>0</v>
      </c>
      <c r="J6" s="23">
        <f t="shared" si="4"/>
        <v>827.34000000000378</v>
      </c>
      <c r="K6" s="23">
        <f t="shared" si="4"/>
        <v>0</v>
      </c>
      <c r="L6" s="23">
        <f t="shared" si="4"/>
        <v>4000</v>
      </c>
      <c r="M6" s="23">
        <f t="shared" si="4"/>
        <v>0</v>
      </c>
      <c r="N6" s="23">
        <f t="shared" si="4"/>
        <v>1500</v>
      </c>
      <c r="O6" s="23">
        <f t="shared" si="4"/>
        <v>10010</v>
      </c>
      <c r="P6" s="23">
        <f t="shared" si="4"/>
        <v>1736</v>
      </c>
      <c r="Q6" s="23">
        <f t="shared" si="4"/>
        <v>20000</v>
      </c>
      <c r="R6" s="23">
        <f t="shared" si="4"/>
        <v>67337.930000000008</v>
      </c>
      <c r="S6" s="23">
        <f t="shared" si="4"/>
        <v>0</v>
      </c>
      <c r="T6" s="23">
        <f t="shared" si="4"/>
        <v>14588.44</v>
      </c>
      <c r="U6" s="23">
        <f t="shared" si="4"/>
        <v>3200</v>
      </c>
      <c r="V6" s="23">
        <f t="shared" si="4"/>
        <v>9111</v>
      </c>
    </row>
    <row r="7" spans="1:22" x14ac:dyDescent="0.2">
      <c r="A7" t="s">
        <v>137</v>
      </c>
      <c r="B7" s="104">
        <f>2254.02+9664.2+11747.84-370.5</f>
        <v>23295.56</v>
      </c>
      <c r="C7" s="106">
        <f>1957.97</f>
        <v>1957.97</v>
      </c>
      <c r="E7" s="71"/>
      <c r="G7" s="104">
        <v>5215.3500000000004</v>
      </c>
      <c r="H7" s="104">
        <f>24319.05</f>
        <v>24319.05</v>
      </c>
      <c r="I7" s="71"/>
      <c r="J7" s="48"/>
      <c r="L7" s="15"/>
      <c r="M7" s="15"/>
      <c r="N7" s="1"/>
      <c r="O7" s="1"/>
      <c r="P7" s="1"/>
      <c r="Q7" s="1"/>
      <c r="R7" s="104">
        <v>13063.05</v>
      </c>
      <c r="S7" s="1"/>
      <c r="T7" s="1"/>
      <c r="U7" s="1"/>
      <c r="V7" s="104">
        <f>9681-570</f>
        <v>9111</v>
      </c>
    </row>
    <row r="8" spans="1:22" x14ac:dyDescent="0.2">
      <c r="A8" t="s">
        <v>60</v>
      </c>
      <c r="B8"/>
      <c r="E8" s="71"/>
      <c r="F8" s="71"/>
      <c r="G8" s="104">
        <v>9720.9</v>
      </c>
      <c r="I8" s="71"/>
      <c r="J8" s="71"/>
      <c r="K8" s="72"/>
      <c r="M8" s="73"/>
      <c r="N8" s="72"/>
      <c r="O8" s="72"/>
      <c r="P8" s="1"/>
      <c r="Q8" s="1"/>
      <c r="R8" s="18"/>
      <c r="S8" s="1"/>
      <c r="T8" s="1"/>
    </row>
    <row r="9" spans="1:22" x14ac:dyDescent="0.2">
      <c r="A9" t="s">
        <v>79</v>
      </c>
      <c r="B9" s="120"/>
      <c r="C9" s="73"/>
      <c r="D9" s="72"/>
      <c r="E9" s="72"/>
      <c r="F9" s="72"/>
      <c r="G9" s="72"/>
      <c r="H9" s="104">
        <f>3300+1583</f>
        <v>4883</v>
      </c>
      <c r="J9" s="72"/>
      <c r="K9" s="72"/>
      <c r="M9" s="18"/>
      <c r="N9" s="18"/>
      <c r="O9" s="72"/>
      <c r="P9" s="106">
        <v>1736</v>
      </c>
      <c r="R9" s="104">
        <v>45058</v>
      </c>
      <c r="S9" s="1"/>
    </row>
    <row r="10" spans="1:22" x14ac:dyDescent="0.2">
      <c r="A10" t="s">
        <v>138</v>
      </c>
      <c r="B10" s="120"/>
      <c r="C10" s="73"/>
      <c r="D10" s="72"/>
      <c r="E10" s="72"/>
      <c r="F10" s="72"/>
      <c r="G10" s="71"/>
      <c r="H10" s="71"/>
      <c r="I10" s="71"/>
      <c r="J10" s="74">
        <f>7338.24+1834.56</f>
        <v>9172.7999999999993</v>
      </c>
      <c r="K10" s="15"/>
      <c r="L10" s="15"/>
      <c r="M10" s="15"/>
      <c r="N10" s="15"/>
      <c r="O10" s="15"/>
      <c r="P10" s="15"/>
      <c r="Q10" s="15"/>
      <c r="R10" s="74">
        <v>2800</v>
      </c>
      <c r="S10" s="15"/>
      <c r="T10" s="15"/>
      <c r="V10" s="15"/>
    </row>
    <row r="11" spans="1:22" x14ac:dyDescent="0.2">
      <c r="A11" t="s">
        <v>61</v>
      </c>
      <c r="B11"/>
      <c r="C11" s="72"/>
      <c r="D11" s="73"/>
      <c r="E11" s="71"/>
      <c r="F11" s="71"/>
      <c r="G11" s="71"/>
      <c r="H11" s="71"/>
      <c r="I11" s="71"/>
      <c r="J11" s="71"/>
      <c r="K11" s="71"/>
      <c r="L11" s="15"/>
      <c r="M11" s="15"/>
      <c r="N11" s="71"/>
      <c r="O11" s="71"/>
      <c r="P11" s="15"/>
      <c r="Q11" s="15"/>
      <c r="R11" s="15"/>
      <c r="S11" s="15"/>
      <c r="T11" s="15"/>
    </row>
    <row r="12" spans="1:22" x14ac:dyDescent="0.2">
      <c r="A12" t="s">
        <v>58</v>
      </c>
      <c r="B12" s="106">
        <v>2710</v>
      </c>
      <c r="C12" s="73"/>
      <c r="D12"/>
      <c r="E12" s="71"/>
      <c r="F12" s="71"/>
      <c r="G12" s="71"/>
      <c r="H12" s="71"/>
      <c r="I12" s="15"/>
      <c r="J12" s="74">
        <v>2878.38</v>
      </c>
      <c r="K12" s="72"/>
      <c r="L12" s="15"/>
      <c r="N12" s="72"/>
      <c r="O12" s="72"/>
      <c r="P12" s="15"/>
      <c r="Q12" s="15"/>
      <c r="S12" s="15"/>
      <c r="T12" s="15"/>
    </row>
    <row r="13" spans="1:22" x14ac:dyDescent="0.2">
      <c r="A13" t="s">
        <v>59</v>
      </c>
      <c r="B13"/>
      <c r="C13" s="71"/>
      <c r="D13" s="71"/>
      <c r="E13" s="71"/>
      <c r="F13" s="73"/>
      <c r="G13" s="71"/>
      <c r="H13" s="71"/>
      <c r="I13" s="71"/>
      <c r="J13" s="71"/>
      <c r="K13" s="71"/>
      <c r="L13" s="15"/>
      <c r="M13" s="15"/>
      <c r="N13" s="71"/>
      <c r="O13" s="71"/>
      <c r="P13" s="15"/>
      <c r="Q13" s="15"/>
      <c r="R13" s="15"/>
      <c r="S13" s="15"/>
      <c r="T13" s="15"/>
      <c r="V13" s="15"/>
    </row>
    <row r="14" spans="1:22" x14ac:dyDescent="0.2">
      <c r="A14" t="s">
        <v>139</v>
      </c>
      <c r="D14" s="71"/>
      <c r="F14" s="104">
        <v>4220.8100000000004</v>
      </c>
      <c r="G14" s="71"/>
      <c r="H14" s="104">
        <v>5944.09</v>
      </c>
      <c r="I14" s="71"/>
      <c r="L14" s="15"/>
      <c r="M14" s="15"/>
      <c r="N14" s="1"/>
      <c r="O14" s="1"/>
      <c r="P14" s="1"/>
      <c r="Q14" s="1"/>
      <c r="R14" s="104">
        <v>6416.88</v>
      </c>
      <c r="S14" s="1"/>
      <c r="T14" s="1"/>
      <c r="U14" s="1"/>
      <c r="V14" s="1"/>
    </row>
    <row r="15" spans="1:22" x14ac:dyDescent="0.2">
      <c r="A15" t="s">
        <v>140</v>
      </c>
      <c r="B15"/>
      <c r="C15"/>
      <c r="D15" s="72"/>
      <c r="E15" s="72"/>
      <c r="F15" s="72"/>
      <c r="G15" s="72"/>
      <c r="H15" s="72"/>
      <c r="I15" s="72"/>
      <c r="J15" s="74">
        <f>2258.82+3822.62+5903.14+6693.45+2258.14+6050.14</f>
        <v>26986.31</v>
      </c>
      <c r="K15" s="71"/>
      <c r="L15" s="15"/>
      <c r="M15" s="15"/>
      <c r="N15" s="15"/>
      <c r="O15" s="15"/>
      <c r="P15" s="15"/>
      <c r="Q15" s="15"/>
      <c r="R15" s="15"/>
      <c r="S15" s="15"/>
      <c r="T15" s="74">
        <v>14588.44</v>
      </c>
    </row>
    <row r="16" spans="1:22" x14ac:dyDescent="0.2">
      <c r="A16" t="s">
        <v>230</v>
      </c>
      <c r="B16"/>
      <c r="C16"/>
      <c r="D16" s="73"/>
      <c r="E16" s="71"/>
      <c r="F16" s="71"/>
      <c r="G16" s="71"/>
      <c r="H16" s="15"/>
      <c r="I16" s="71"/>
      <c r="J16" s="74">
        <v>4789.8500000000004</v>
      </c>
      <c r="K16" s="71"/>
      <c r="L16" s="71"/>
      <c r="M16" s="15"/>
      <c r="N16" s="15"/>
      <c r="O16" s="15"/>
      <c r="P16" s="15"/>
      <c r="Q16" s="15"/>
      <c r="R16" s="71"/>
      <c r="S16" s="15"/>
      <c r="T16" s="15"/>
    </row>
    <row r="17" spans="1:32" x14ac:dyDescent="0.2">
      <c r="A17" t="s">
        <v>1545</v>
      </c>
      <c r="B17"/>
      <c r="C17"/>
      <c r="E17" s="152">
        <v>43000</v>
      </c>
      <c r="F17" s="15"/>
      <c r="G17" s="15"/>
      <c r="H17" s="15"/>
      <c r="I17" s="15"/>
      <c r="J17" s="153">
        <v>-43000</v>
      </c>
      <c r="K17" s="15"/>
      <c r="L17" s="74">
        <v>4000</v>
      </c>
      <c r="M17" s="15"/>
      <c r="N17" s="15"/>
      <c r="O17" s="74">
        <v>10010</v>
      </c>
      <c r="P17" s="15"/>
      <c r="Q17" s="152">
        <v>20000</v>
      </c>
      <c r="R17" s="15"/>
      <c r="S17" s="15"/>
      <c r="T17" s="15"/>
      <c r="U17" s="48"/>
    </row>
    <row r="18" spans="1:32" x14ac:dyDescent="0.2">
      <c r="A18" t="s">
        <v>1355</v>
      </c>
      <c r="D18" s="13"/>
      <c r="E18" s="16"/>
      <c r="F18" s="15"/>
      <c r="G18" s="15"/>
      <c r="I18" s="15"/>
      <c r="J18" s="15"/>
      <c r="M18" s="15"/>
      <c r="N18" s="14">
        <v>1500</v>
      </c>
      <c r="O18" s="17"/>
      <c r="P18" s="19"/>
      <c r="R18" s="15"/>
      <c r="S18" s="15"/>
      <c r="T18" s="19"/>
      <c r="U18" s="14">
        <v>3200</v>
      </c>
    </row>
    <row r="19" spans="1:32" x14ac:dyDescent="0.2">
      <c r="B19" s="15"/>
      <c r="C19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</row>
    <row r="20" spans="1:32" x14ac:dyDescent="0.2">
      <c r="A20" s="12"/>
      <c r="B20" s="15"/>
      <c r="C2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 spans="1:32" x14ac:dyDescent="0.2">
      <c r="A21" s="12"/>
      <c r="B21" s="15"/>
      <c r="C2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32" x14ac:dyDescent="0.2">
      <c r="B22"/>
      <c r="C22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spans="1:32" x14ac:dyDescent="0.2">
      <c r="D23" s="13"/>
      <c r="E23" s="16"/>
      <c r="F23" s="15"/>
      <c r="G23" s="15"/>
      <c r="I23" s="15"/>
      <c r="J23" s="15"/>
      <c r="M23" s="15"/>
      <c r="N23" s="15"/>
      <c r="O23" s="17"/>
      <c r="P23" s="19"/>
      <c r="R23" s="15"/>
      <c r="S23" s="15"/>
      <c r="T23" s="19"/>
    </row>
    <row r="24" spans="1:32" x14ac:dyDescent="0.2">
      <c r="D24" s="13"/>
      <c r="E24" s="16"/>
      <c r="F24" s="15"/>
      <c r="G24" s="15"/>
      <c r="I24" s="15"/>
      <c r="J24" s="15"/>
      <c r="M24" s="15"/>
      <c r="N24" s="15"/>
      <c r="O24" s="48"/>
      <c r="P24" s="19"/>
      <c r="R24" s="15"/>
      <c r="S24" s="15"/>
      <c r="T24" s="19"/>
    </row>
    <row r="25" spans="1:32" x14ac:dyDescent="0.2">
      <c r="A25" s="12"/>
      <c r="D25" s="13"/>
      <c r="E25" s="47"/>
      <c r="F25" s="15"/>
      <c r="G25" s="15"/>
      <c r="I25" s="15"/>
      <c r="J25" s="15"/>
      <c r="M25" s="15"/>
      <c r="N25" s="15"/>
      <c r="O25" s="17"/>
      <c r="P25" s="19"/>
      <c r="R25" s="15"/>
      <c r="S25" s="15"/>
      <c r="T25" s="19"/>
    </row>
    <row r="26" spans="1:32" x14ac:dyDescent="0.2">
      <c r="A26" s="12"/>
      <c r="B26"/>
      <c r="C26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32" x14ac:dyDescent="0.2">
      <c r="A27" s="21" t="s">
        <v>54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spans="1:32" x14ac:dyDescent="0.2">
      <c r="A28" s="80" t="s">
        <v>62</v>
      </c>
      <c r="B28" s="80" t="s">
        <v>42</v>
      </c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2"/>
    </row>
    <row r="29" spans="1:32" x14ac:dyDescent="0.2">
      <c r="A29" s="80" t="s">
        <v>50</v>
      </c>
      <c r="B29" s="83">
        <v>44470</v>
      </c>
      <c r="C29" s="84">
        <v>44473</v>
      </c>
      <c r="D29" s="84">
        <v>44474</v>
      </c>
      <c r="E29" s="84">
        <v>44475</v>
      </c>
      <c r="F29" s="84">
        <v>44476</v>
      </c>
      <c r="G29" s="84">
        <v>44477</v>
      </c>
      <c r="H29" s="84">
        <v>44480</v>
      </c>
      <c r="I29" s="84">
        <v>44481</v>
      </c>
      <c r="J29" s="84">
        <v>44482</v>
      </c>
      <c r="K29" s="84">
        <v>44483</v>
      </c>
      <c r="L29" s="84">
        <v>44484</v>
      </c>
      <c r="M29" s="84">
        <v>44487</v>
      </c>
      <c r="N29" s="84">
        <v>44488</v>
      </c>
      <c r="O29" s="84">
        <v>44489</v>
      </c>
      <c r="P29" s="84">
        <v>44490</v>
      </c>
      <c r="Q29" s="84">
        <v>44491</v>
      </c>
      <c r="R29" s="84">
        <v>44494</v>
      </c>
      <c r="S29" s="84">
        <v>44495</v>
      </c>
      <c r="T29" s="84">
        <v>44496</v>
      </c>
      <c r="U29" s="84">
        <v>44497</v>
      </c>
      <c r="V29" s="84">
        <v>44498</v>
      </c>
      <c r="W29" s="85" t="s">
        <v>71</v>
      </c>
    </row>
    <row r="30" spans="1:32" s="11" customFormat="1" x14ac:dyDescent="0.2">
      <c r="A30" s="86" t="s">
        <v>63</v>
      </c>
      <c r="B30" s="86">
        <v>1000</v>
      </c>
      <c r="C30" s="87">
        <v>2046.92</v>
      </c>
      <c r="D30" s="87"/>
      <c r="E30" s="87">
        <v>2032.81</v>
      </c>
      <c r="F30" s="87"/>
      <c r="G30" s="87">
        <v>246.8</v>
      </c>
      <c r="H30" s="87"/>
      <c r="I30" s="87"/>
      <c r="J30" s="87"/>
      <c r="K30" s="87"/>
      <c r="L30" s="87">
        <v>415.09</v>
      </c>
      <c r="M30" s="87">
        <v>2505</v>
      </c>
      <c r="N30" s="87"/>
      <c r="O30" s="87">
        <v>84.73</v>
      </c>
      <c r="P30" s="87"/>
      <c r="Q30" s="87"/>
      <c r="R30" s="87">
        <v>300</v>
      </c>
      <c r="S30" s="87"/>
      <c r="T30" s="87"/>
      <c r="U30" s="87"/>
      <c r="V30" s="87">
        <v>1020.5</v>
      </c>
      <c r="W30" s="85">
        <v>9651.8499999999985</v>
      </c>
      <c r="X30"/>
      <c r="Y30"/>
      <c r="Z30"/>
      <c r="AA30"/>
      <c r="AB30"/>
      <c r="AC30"/>
      <c r="AD30"/>
      <c r="AE30"/>
      <c r="AF30"/>
    </row>
    <row r="31" spans="1:32" s="11" customFormat="1" x14ac:dyDescent="0.2">
      <c r="A31" s="88" t="s">
        <v>67</v>
      </c>
      <c r="B31" s="88">
        <v>7275.6900000000005</v>
      </c>
      <c r="C31"/>
      <c r="D31"/>
      <c r="E31"/>
      <c r="F31">
        <v>783.61</v>
      </c>
      <c r="G31"/>
      <c r="H31"/>
      <c r="I31"/>
      <c r="J31">
        <v>4906.8899999999994</v>
      </c>
      <c r="K31"/>
      <c r="L31"/>
      <c r="M31"/>
      <c r="N31"/>
      <c r="O31">
        <v>2597.36</v>
      </c>
      <c r="P31">
        <v>2010</v>
      </c>
      <c r="Q31">
        <v>265.57</v>
      </c>
      <c r="R31">
        <v>36629.35</v>
      </c>
      <c r="S31"/>
      <c r="T31"/>
      <c r="U31"/>
      <c r="V31">
        <v>1291.5899999999999</v>
      </c>
      <c r="W31" s="89">
        <v>55760.06</v>
      </c>
      <c r="X31"/>
      <c r="Y31"/>
      <c r="Z31"/>
      <c r="AA31"/>
      <c r="AB31"/>
      <c r="AC31"/>
      <c r="AD31"/>
      <c r="AE31"/>
      <c r="AF31"/>
    </row>
    <row r="32" spans="1:32" s="11" customFormat="1" x14ac:dyDescent="0.2">
      <c r="A32" s="88" t="s">
        <v>64</v>
      </c>
      <c r="B32" s="88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>
        <v>91.05</v>
      </c>
      <c r="R32"/>
      <c r="S32"/>
      <c r="T32"/>
      <c r="U32"/>
      <c r="V32"/>
      <c r="W32" s="89">
        <v>91.05</v>
      </c>
      <c r="X32"/>
      <c r="Y32"/>
      <c r="Z32"/>
      <c r="AA32"/>
      <c r="AB32"/>
      <c r="AC32"/>
      <c r="AD32"/>
      <c r="AE32"/>
      <c r="AF32"/>
    </row>
    <row r="33" spans="1:32" s="11" customFormat="1" x14ac:dyDescent="0.2">
      <c r="A33" s="88" t="s">
        <v>91</v>
      </c>
      <c r="B33" s="88">
        <v>210.93</v>
      </c>
      <c r="C33">
        <v>2806.9500000000003</v>
      </c>
      <c r="D33">
        <v>673.76</v>
      </c>
      <c r="E33">
        <v>57093.45</v>
      </c>
      <c r="F33">
        <v>3380.67</v>
      </c>
      <c r="G33">
        <v>15251.76</v>
      </c>
      <c r="H33">
        <v>1408</v>
      </c>
      <c r="I33">
        <v>0</v>
      </c>
      <c r="J33">
        <v>23315.24</v>
      </c>
      <c r="K33">
        <v>5705.9</v>
      </c>
      <c r="L33">
        <v>1664.83</v>
      </c>
      <c r="M33">
        <v>1057.95</v>
      </c>
      <c r="N33">
        <v>1422.75</v>
      </c>
      <c r="O33">
        <v>6173.14</v>
      </c>
      <c r="P33">
        <v>943.41</v>
      </c>
      <c r="Q33">
        <v>17905.71</v>
      </c>
      <c r="R33">
        <v>18500.59</v>
      </c>
      <c r="S33">
        <v>1642.4</v>
      </c>
      <c r="T33">
        <v>0</v>
      </c>
      <c r="U33">
        <v>20000</v>
      </c>
      <c r="V33">
        <v>10730.39</v>
      </c>
      <c r="W33" s="89">
        <v>189887.82999999996</v>
      </c>
      <c r="X33"/>
      <c r="Y33"/>
      <c r="Z33"/>
      <c r="AA33"/>
      <c r="AB33"/>
      <c r="AC33"/>
      <c r="AD33"/>
      <c r="AE33"/>
      <c r="AF33"/>
    </row>
    <row r="34" spans="1:32" s="11" customFormat="1" x14ac:dyDescent="0.2">
      <c r="A34" s="90" t="s">
        <v>71</v>
      </c>
      <c r="B34" s="90">
        <v>8486.6200000000008</v>
      </c>
      <c r="C34" s="91">
        <v>4853.8700000000008</v>
      </c>
      <c r="D34" s="91">
        <v>673.76</v>
      </c>
      <c r="E34" s="91">
        <v>59126.259999999995</v>
      </c>
      <c r="F34" s="91">
        <v>4164.28</v>
      </c>
      <c r="G34" s="91">
        <v>15498.56</v>
      </c>
      <c r="H34" s="91">
        <v>1408</v>
      </c>
      <c r="I34" s="91">
        <v>0</v>
      </c>
      <c r="J34" s="91">
        <v>28222.13</v>
      </c>
      <c r="K34" s="91">
        <v>5705.9</v>
      </c>
      <c r="L34" s="91">
        <v>2079.92</v>
      </c>
      <c r="M34" s="91">
        <v>3562.95</v>
      </c>
      <c r="N34" s="91">
        <v>1422.75</v>
      </c>
      <c r="O34" s="91">
        <v>8855.23</v>
      </c>
      <c r="P34" s="91">
        <v>2953.41</v>
      </c>
      <c r="Q34" s="91">
        <v>18262.329999999998</v>
      </c>
      <c r="R34" s="91">
        <v>55429.94</v>
      </c>
      <c r="S34" s="91">
        <v>1642.4</v>
      </c>
      <c r="T34" s="91">
        <v>0</v>
      </c>
      <c r="U34" s="91">
        <v>20000</v>
      </c>
      <c r="V34" s="91">
        <v>13042.48</v>
      </c>
      <c r="W34" s="92">
        <v>255390.78999999995</v>
      </c>
      <c r="X34"/>
      <c r="Y34"/>
      <c r="Z34"/>
      <c r="AA34"/>
      <c r="AB34"/>
      <c r="AC34"/>
      <c r="AD34"/>
      <c r="AE34"/>
      <c r="AF34"/>
    </row>
    <row r="35" spans="1:32" s="11" customForma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 spans="1:32" s="11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2" s="1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2" s="25" customFormat="1" ht="13.5" thickBot="1" x14ac:dyDescent="0.25">
      <c r="A38" s="24" t="s">
        <v>35</v>
      </c>
      <c r="B38" s="24">
        <f>B4+B6-GETPIVOTDATA("Valor",$A$28,"Pagto.",DATE(2021,10,1))</f>
        <v>-1729.8919999999289</v>
      </c>
      <c r="C38" s="24">
        <f>C4+C6-GETPIVOTDATA("Valor",$A$28,"Pagto.",DATE(2021,10,4))</f>
        <v>-4625.7919999999294</v>
      </c>
      <c r="D38" s="24">
        <f>D4+D6-GETPIVOTDATA("Valor",$A$28,"Pagto.",DATE(2021,10,5))</f>
        <v>-5299.5519999999296</v>
      </c>
      <c r="E38" s="24">
        <f>E4+E6-GETPIVOTDATA("Valor",$A$28,"Pagto.",DATE(2021,10,6))</f>
        <v>-21425.811999999925</v>
      </c>
      <c r="F38" s="24">
        <f>F4+F6-GETPIVOTDATA("Valor",$A$28,"Pagto.",DATE(2021,10,7))</f>
        <v>-21369.281999999923</v>
      </c>
      <c r="G38" s="24">
        <f>G4+G6-GETPIVOTDATA("Valor",$A$28,"Pagto.",DATE(2021,10,8))</f>
        <v>-21931.591999999924</v>
      </c>
      <c r="H38" s="24">
        <f>H4+H6-GETPIVOTDATA("Valor",$A$28,"Pagto.",DATE(2021,10,11))</f>
        <v>11806.548000000075</v>
      </c>
      <c r="I38" s="24">
        <f>I4+I6-GETPIVOTDATA("Valor",$A$28,"Pagto.",DATE(2021,10,12))</f>
        <v>11806.548000000075</v>
      </c>
      <c r="J38" s="24">
        <f>J4+J6-GETPIVOTDATA("Valor",$A$28,"Pagto.",DATE(2021,10,13))</f>
        <v>-15588.241999999922</v>
      </c>
      <c r="K38" s="24">
        <f>K4+K6-GETPIVOTDATA("Valor",$A$28,"Pagto.",DATE(2021,10,14))</f>
        <v>-21294.14199999992</v>
      </c>
      <c r="L38" s="24">
        <f>L4+L6-GETPIVOTDATA("Valor",$A$28,"Pagto.",DATE(2021,10,15))</f>
        <v>-19374.061999999918</v>
      </c>
      <c r="M38" s="24">
        <f>M4+M6-GETPIVOTDATA("Valor",$A$28,"Pagto.",DATE(2021,10,18))</f>
        <v>-22937.011999999919</v>
      </c>
      <c r="N38" s="24">
        <f>N4+N6-GETPIVOTDATA("Valor",$A$28,"Pagto.",DATE(2021,10,19))</f>
        <v>-22859.761999999919</v>
      </c>
      <c r="O38" s="24">
        <f>O4+O6-GETPIVOTDATA("Valor",$A$28,"Pagto.",DATE(2021,10,20))</f>
        <v>-21704.991999999918</v>
      </c>
      <c r="P38" s="24">
        <f>P4+P6-GETPIVOTDATA("Valor",$A$28,"Pagto.",DATE(2021,10,21))</f>
        <v>-22922.401999999918</v>
      </c>
      <c r="Q38" s="24">
        <f>Q4+Q6-GETPIVOTDATA("Valor",$A$28,"Pagto.",DATE(2021,10,22))</f>
        <v>-21184.731999999916</v>
      </c>
      <c r="R38" s="24">
        <f>R4+R6-GETPIVOTDATA("Valor",$A$28,"Pagto.",DATE(2021,10,25))</f>
        <v>-9276.7419999999111</v>
      </c>
      <c r="S38" s="24">
        <f>S4+S6-GETPIVOTDATA("Valor",$A$28,"Pagto.",DATE(2021,10,26))</f>
        <v>-10919.141999999911</v>
      </c>
      <c r="T38" s="24">
        <f>T4+T6-GETPIVOTDATA("Valor",$A$28,"Pagto.",DATE(2021,10,27))</f>
        <v>3669.2980000000898</v>
      </c>
      <c r="U38" s="24">
        <f>U4+U6-GETPIVOTDATA("Valor",$A$28,"Pagto.",DATE(2021,10,28))</f>
        <v>-13130.70199999991</v>
      </c>
      <c r="V38" s="24">
        <f>V4+V6-GETPIVOTDATA("Valor",$A$28,"Pagto.",DATE(2021,10,29))</f>
        <v>-17062.18199999991</v>
      </c>
    </row>
    <row r="39" spans="1:32" ht="13.5" thickTop="1" x14ac:dyDescent="0.2">
      <c r="B39"/>
      <c r="C39"/>
      <c r="D39"/>
      <c r="E39"/>
      <c r="F39"/>
      <c r="G39"/>
      <c r="H39"/>
      <c r="I39"/>
      <c r="J39"/>
      <c r="K39"/>
      <c r="L39"/>
    </row>
    <row r="40" spans="1:32" x14ac:dyDescent="0.2">
      <c r="B40"/>
      <c r="C40"/>
      <c r="D40"/>
      <c r="E40"/>
      <c r="F40"/>
      <c r="G40"/>
      <c r="H40"/>
      <c r="I40"/>
    </row>
    <row r="41" spans="1:32" x14ac:dyDescent="0.2">
      <c r="B41"/>
      <c r="C41"/>
      <c r="D41"/>
      <c r="E41"/>
      <c r="F41"/>
      <c r="G41"/>
      <c r="H41"/>
      <c r="I41"/>
    </row>
    <row r="42" spans="1:32" x14ac:dyDescent="0.2">
      <c r="B42"/>
      <c r="C42"/>
      <c r="D42"/>
      <c r="E42"/>
      <c r="F42"/>
      <c r="G42"/>
      <c r="H42"/>
      <c r="I42"/>
    </row>
    <row r="43" spans="1:32" x14ac:dyDescent="0.2">
      <c r="B43"/>
      <c r="C43"/>
      <c r="D43"/>
      <c r="E43"/>
      <c r="F43"/>
      <c r="G43"/>
      <c r="H43"/>
      <c r="I43"/>
    </row>
    <row r="44" spans="1:32" x14ac:dyDescent="0.2">
      <c r="B44"/>
      <c r="C44"/>
      <c r="D44"/>
      <c r="E44"/>
      <c r="F44"/>
      <c r="G44"/>
      <c r="H44"/>
      <c r="I44"/>
    </row>
    <row r="45" spans="1:32" x14ac:dyDescent="0.2">
      <c r="B45"/>
      <c r="C45"/>
      <c r="D45"/>
      <c r="E45"/>
      <c r="F45"/>
      <c r="G45"/>
      <c r="H45"/>
      <c r="I45"/>
    </row>
    <row r="46" spans="1:32" x14ac:dyDescent="0.2">
      <c r="B46"/>
      <c r="C46"/>
      <c r="D46"/>
      <c r="E46"/>
      <c r="F46"/>
      <c r="G46"/>
      <c r="H46"/>
      <c r="I46"/>
    </row>
    <row r="47" spans="1:32" x14ac:dyDescent="0.2">
      <c r="B47"/>
      <c r="C47"/>
      <c r="D47"/>
      <c r="E47"/>
      <c r="F47"/>
      <c r="G47"/>
      <c r="H47"/>
      <c r="I47"/>
    </row>
    <row r="48" spans="1:32" x14ac:dyDescent="0.2">
      <c r="B48"/>
      <c r="C48"/>
      <c r="D48"/>
      <c r="E48"/>
      <c r="F48"/>
      <c r="G48"/>
      <c r="H48"/>
      <c r="I48"/>
    </row>
    <row r="49" spans="2:9" x14ac:dyDescent="0.2">
      <c r="B49"/>
      <c r="C49"/>
      <c r="D49"/>
      <c r="E49"/>
      <c r="F49"/>
      <c r="G49"/>
      <c r="H49"/>
      <c r="I49"/>
    </row>
    <row r="50" spans="2:9" x14ac:dyDescent="0.2">
      <c r="B50"/>
      <c r="C50"/>
      <c r="D50"/>
      <c r="E50"/>
      <c r="F50"/>
      <c r="G50"/>
      <c r="H50"/>
      <c r="I50"/>
    </row>
  </sheetData>
  <conditionalFormatting sqref="A36 A4:XFD4 A38:XFD38">
    <cfRule type="cellIs" dxfId="29" priority="3" stopIfTrue="1" operator="lessThan">
      <formula>0</formula>
    </cfRule>
  </conditionalFormatting>
  <conditionalFormatting sqref="A1:XFD1">
    <cfRule type="cellIs" dxfId="28" priority="1" stopIfTrue="1" operator="equal">
      <formula>"Sábado"</formula>
    </cfRule>
    <cfRule type="cellIs" dxfId="27" priority="2" stopIfTrue="1" operator="equal">
      <formula>"Domingo"</formula>
    </cfRule>
  </conditionalFormatting>
  <pageMargins left="0.74791666666666667" right="0.74791666666666667" top="0.98402777777777783" bottom="0.98402777777777783" header="0.51180555555555562" footer="0.51180555555555562"/>
  <pageSetup paperSize="9" firstPageNumber="0" orientation="landscape" horizontalDpi="300" verticalDpi="300" r:id="rId2"/>
  <headerFooter alignWithMargins="0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K2852"/>
  <sheetViews>
    <sheetView zoomScale="90" workbookViewId="0">
      <pane ySplit="1" topLeftCell="A72" activePane="bottomLeft" state="frozen"/>
      <selection activeCell="G2826" sqref="G2826"/>
      <selection pane="bottomLeft" activeCell="D116" sqref="D116"/>
    </sheetView>
  </sheetViews>
  <sheetFormatPr defaultRowHeight="12.75" x14ac:dyDescent="0.2"/>
  <cols>
    <col min="1" max="1" width="7.140625" customWidth="1"/>
    <col min="2" max="2" width="5.7109375" customWidth="1"/>
    <col min="3" max="3" width="16.7109375" bestFit="1" customWidth="1"/>
    <col min="4" max="4" width="75.28515625" bestFit="1" customWidth="1"/>
    <col min="5" max="5" width="12.5703125" style="49" customWidth="1"/>
    <col min="6" max="6" width="17.42578125" style="40" customWidth="1"/>
    <col min="7" max="7" width="24.85546875" customWidth="1"/>
    <col min="8" max="8" width="15.28515625" style="75" customWidth="1"/>
    <col min="9" max="9" width="21.7109375" bestFit="1" customWidth="1"/>
    <col min="10" max="10" width="19" customWidth="1"/>
    <col min="11" max="11" width="18.28515625" style="1" customWidth="1"/>
    <col min="12" max="12" width="17.28515625" customWidth="1"/>
    <col min="13" max="13" width="14.140625" customWidth="1"/>
    <col min="14" max="14" width="19.140625" customWidth="1"/>
  </cols>
  <sheetData>
    <row r="1" spans="1:11" s="36" customFormat="1" x14ac:dyDescent="0.2">
      <c r="A1" s="36">
        <v>0</v>
      </c>
      <c r="B1" s="36" t="s">
        <v>5</v>
      </c>
      <c r="C1" s="36" t="s">
        <v>46</v>
      </c>
      <c r="D1" s="36" t="s">
        <v>47</v>
      </c>
      <c r="E1" s="36" t="s">
        <v>48</v>
      </c>
      <c r="F1" s="67" t="s">
        <v>49</v>
      </c>
      <c r="G1" s="36" t="s">
        <v>50</v>
      </c>
      <c r="H1" s="33" t="s">
        <v>42</v>
      </c>
      <c r="K1" s="37"/>
    </row>
    <row r="2" spans="1:11" ht="13.5" customHeight="1" x14ac:dyDescent="0.2">
      <c r="C2" s="12" t="s">
        <v>199</v>
      </c>
      <c r="D2" s="57" t="s">
        <v>1402</v>
      </c>
      <c r="E2" s="60">
        <v>44440</v>
      </c>
      <c r="F2" s="58">
        <f>2197.64+250+485+200.64</f>
        <v>3133.2799999999997</v>
      </c>
      <c r="G2" s="12" t="s">
        <v>1676</v>
      </c>
      <c r="H2" s="61">
        <f t="shared" ref="H2:H33" si="0">VLOOKUP(E2,$E$2760:$H$2817,4,FALSE)</f>
        <v>44440</v>
      </c>
    </row>
    <row r="3" spans="1:11" ht="13.5" customHeight="1" x14ac:dyDescent="0.2">
      <c r="C3" s="12" t="s">
        <v>159</v>
      </c>
      <c r="D3" s="57" t="s">
        <v>1346</v>
      </c>
      <c r="E3" s="60">
        <v>44440</v>
      </c>
      <c r="F3" s="58">
        <v>589.88</v>
      </c>
      <c r="G3" s="12" t="s">
        <v>1689</v>
      </c>
      <c r="H3" s="61">
        <f t="shared" si="0"/>
        <v>44440</v>
      </c>
    </row>
    <row r="4" spans="1:11" ht="13.5" customHeight="1" x14ac:dyDescent="0.2">
      <c r="C4" s="12" t="s">
        <v>159</v>
      </c>
      <c r="D4" s="57" t="s">
        <v>1347</v>
      </c>
      <c r="E4" s="60">
        <v>44440</v>
      </c>
      <c r="F4" s="58">
        <v>251.83</v>
      </c>
      <c r="G4" s="12" t="s">
        <v>1689</v>
      </c>
      <c r="H4" s="61">
        <f t="shared" si="0"/>
        <v>44440</v>
      </c>
    </row>
    <row r="5" spans="1:11" ht="13.5" customHeight="1" x14ac:dyDescent="0.2">
      <c r="C5" s="12" t="s">
        <v>56</v>
      </c>
      <c r="D5" s="57" t="s">
        <v>1398</v>
      </c>
      <c r="E5" s="60">
        <v>44440</v>
      </c>
      <c r="F5" s="58">
        <f>26842+154+578+2000</f>
        <v>29574</v>
      </c>
      <c r="G5" s="12" t="s">
        <v>1689</v>
      </c>
      <c r="H5" s="61">
        <f t="shared" si="0"/>
        <v>44440</v>
      </c>
    </row>
    <row r="6" spans="1:11" ht="13.5" customHeight="1" x14ac:dyDescent="0.2">
      <c r="C6" s="12" t="s">
        <v>192</v>
      </c>
      <c r="D6" s="57" t="s">
        <v>1374</v>
      </c>
      <c r="E6" s="60">
        <v>44440</v>
      </c>
      <c r="F6" s="58">
        <v>26.82</v>
      </c>
      <c r="G6" s="12" t="s">
        <v>1689</v>
      </c>
      <c r="H6" s="61">
        <f t="shared" si="0"/>
        <v>44440</v>
      </c>
    </row>
    <row r="7" spans="1:11" ht="13.5" customHeight="1" x14ac:dyDescent="0.2">
      <c r="C7" s="12" t="s">
        <v>76</v>
      </c>
      <c r="D7" s="57" t="s">
        <v>1356</v>
      </c>
      <c r="E7" s="60">
        <v>44440</v>
      </c>
      <c r="F7" s="58">
        <v>2000</v>
      </c>
      <c r="G7" s="12" t="s">
        <v>1689</v>
      </c>
      <c r="H7" s="61">
        <f t="shared" si="0"/>
        <v>44440</v>
      </c>
    </row>
    <row r="8" spans="1:11" ht="13.5" customHeight="1" x14ac:dyDescent="0.2">
      <c r="C8" s="12" t="s">
        <v>80</v>
      </c>
      <c r="D8" s="57" t="s">
        <v>630</v>
      </c>
      <c r="E8" s="60">
        <v>44441</v>
      </c>
      <c r="F8" s="58">
        <v>50</v>
      </c>
      <c r="G8" s="12" t="s">
        <v>1689</v>
      </c>
      <c r="H8" s="61">
        <f t="shared" si="0"/>
        <v>44441</v>
      </c>
    </row>
    <row r="9" spans="1:11" ht="13.5" customHeight="1" x14ac:dyDescent="0.2">
      <c r="C9" s="12" t="s">
        <v>80</v>
      </c>
      <c r="D9" s="57" t="s">
        <v>1400</v>
      </c>
      <c r="E9" s="60">
        <v>44441</v>
      </c>
      <c r="F9" s="58">
        <v>50</v>
      </c>
      <c r="G9" s="12" t="s">
        <v>1689</v>
      </c>
      <c r="H9" s="61">
        <f t="shared" si="0"/>
        <v>44441</v>
      </c>
    </row>
    <row r="10" spans="1:11" ht="13.5" customHeight="1" x14ac:dyDescent="0.2">
      <c r="C10" s="12" t="s">
        <v>170</v>
      </c>
      <c r="D10" s="12" t="s">
        <v>996</v>
      </c>
      <c r="E10" s="60">
        <v>44441</v>
      </c>
      <c r="F10" s="58">
        <v>92</v>
      </c>
      <c r="G10" s="12" t="s">
        <v>1689</v>
      </c>
      <c r="H10" s="61">
        <f t="shared" si="0"/>
        <v>44441</v>
      </c>
    </row>
    <row r="11" spans="1:11" ht="13.5" customHeight="1" x14ac:dyDescent="0.2">
      <c r="C11" s="12" t="s">
        <v>56</v>
      </c>
      <c r="D11" s="57" t="s">
        <v>1398</v>
      </c>
      <c r="E11" s="60">
        <v>44441</v>
      </c>
      <c r="F11" s="58">
        <f>7939+2110</f>
        <v>10049</v>
      </c>
      <c r="G11" s="12" t="s">
        <v>1689</v>
      </c>
      <c r="H11" s="61">
        <f t="shared" si="0"/>
        <v>44441</v>
      </c>
    </row>
    <row r="12" spans="1:11" ht="13.5" customHeight="1" x14ac:dyDescent="0.2">
      <c r="C12" s="12" t="s">
        <v>159</v>
      </c>
      <c r="D12" s="57" t="s">
        <v>376</v>
      </c>
      <c r="E12" s="60">
        <v>44441</v>
      </c>
      <c r="F12" s="58">
        <v>97.2</v>
      </c>
      <c r="G12" s="12" t="s">
        <v>1689</v>
      </c>
      <c r="H12" s="61">
        <f t="shared" si="0"/>
        <v>44441</v>
      </c>
    </row>
    <row r="13" spans="1:11" ht="13.5" customHeight="1" x14ac:dyDescent="0.2">
      <c r="C13" s="12" t="s">
        <v>72</v>
      </c>
      <c r="D13" s="57" t="s">
        <v>1368</v>
      </c>
      <c r="E13" s="60">
        <v>44442</v>
      </c>
      <c r="F13" s="58">
        <v>80.989999999999995</v>
      </c>
      <c r="G13" s="12" t="s">
        <v>1688</v>
      </c>
      <c r="H13" s="61">
        <f t="shared" si="0"/>
        <v>44442</v>
      </c>
    </row>
    <row r="14" spans="1:11" ht="13.5" customHeight="1" x14ac:dyDescent="0.2">
      <c r="C14" s="12" t="s">
        <v>83</v>
      </c>
      <c r="D14" s="57" t="s">
        <v>87</v>
      </c>
      <c r="E14" s="60">
        <v>44442</v>
      </c>
      <c r="F14" s="58">
        <v>3000</v>
      </c>
      <c r="G14" s="12" t="s">
        <v>1689</v>
      </c>
      <c r="H14" s="61">
        <f t="shared" si="0"/>
        <v>44442</v>
      </c>
    </row>
    <row r="15" spans="1:11" ht="13.5" customHeight="1" x14ac:dyDescent="0.2">
      <c r="C15" s="12" t="s">
        <v>83</v>
      </c>
      <c r="D15" s="57" t="s">
        <v>235</v>
      </c>
      <c r="E15" s="60">
        <v>44442</v>
      </c>
      <c r="F15" s="58">
        <v>415</v>
      </c>
      <c r="G15" s="12" t="s">
        <v>1689</v>
      </c>
      <c r="H15" s="61">
        <f t="shared" si="0"/>
        <v>44442</v>
      </c>
    </row>
    <row r="16" spans="1:11" ht="13.5" customHeight="1" x14ac:dyDescent="0.2">
      <c r="C16" s="12" t="s">
        <v>80</v>
      </c>
      <c r="D16" s="57" t="s">
        <v>236</v>
      </c>
      <c r="E16" s="60">
        <v>44442</v>
      </c>
      <c r="F16" s="58">
        <v>150</v>
      </c>
      <c r="G16" s="12" t="s">
        <v>1689</v>
      </c>
      <c r="H16" s="61">
        <f t="shared" si="0"/>
        <v>44442</v>
      </c>
    </row>
    <row r="17" spans="3:8" ht="13.5" customHeight="1" x14ac:dyDescent="0.2">
      <c r="C17" s="12" t="s">
        <v>72</v>
      </c>
      <c r="D17" s="57" t="s">
        <v>1711</v>
      </c>
      <c r="E17" s="60">
        <v>44442</v>
      </c>
      <c r="F17" s="58">
        <v>1000</v>
      </c>
      <c r="G17" s="12" t="s">
        <v>1688</v>
      </c>
      <c r="H17" s="61">
        <f t="shared" si="0"/>
        <v>44442</v>
      </c>
    </row>
    <row r="18" spans="3:8" ht="13.5" customHeight="1" x14ac:dyDescent="0.2">
      <c r="C18" s="12" t="s">
        <v>56</v>
      </c>
      <c r="D18" s="57" t="s">
        <v>1405</v>
      </c>
      <c r="E18" s="60">
        <v>44442</v>
      </c>
      <c r="F18" s="58">
        <f>13092-2110</f>
        <v>10982</v>
      </c>
      <c r="G18" s="12" t="s">
        <v>1689</v>
      </c>
      <c r="H18" s="61">
        <f t="shared" si="0"/>
        <v>44442</v>
      </c>
    </row>
    <row r="19" spans="3:8" ht="13.5" customHeight="1" x14ac:dyDescent="0.2">
      <c r="C19" s="12" t="s">
        <v>75</v>
      </c>
      <c r="D19" s="57" t="s">
        <v>1411</v>
      </c>
      <c r="E19" s="60">
        <v>44442</v>
      </c>
      <c r="F19" s="58">
        <v>3000</v>
      </c>
      <c r="G19" s="12" t="s">
        <v>1689</v>
      </c>
      <c r="H19" s="61">
        <f t="shared" si="0"/>
        <v>44442</v>
      </c>
    </row>
    <row r="20" spans="3:8" ht="13.5" customHeight="1" x14ac:dyDescent="0.2">
      <c r="C20" s="12" t="s">
        <v>84</v>
      </c>
      <c r="D20" s="57" t="s">
        <v>1379</v>
      </c>
      <c r="E20" s="60">
        <v>44442</v>
      </c>
      <c r="F20" s="58">
        <f>3863.5+1863.5-1000</f>
        <v>4727</v>
      </c>
      <c r="G20" s="12" t="s">
        <v>1689</v>
      </c>
      <c r="H20" s="61">
        <f t="shared" si="0"/>
        <v>44442</v>
      </c>
    </row>
    <row r="21" spans="3:8" ht="13.5" customHeight="1" x14ac:dyDescent="0.2">
      <c r="C21" s="12" t="s">
        <v>97</v>
      </c>
      <c r="D21" s="57" t="s">
        <v>1413</v>
      </c>
      <c r="E21" s="60">
        <v>44443</v>
      </c>
      <c r="F21" s="58">
        <v>4465.8500000000004</v>
      </c>
      <c r="G21" s="12" t="s">
        <v>1689</v>
      </c>
      <c r="H21" s="61">
        <f t="shared" si="0"/>
        <v>44445</v>
      </c>
    </row>
    <row r="22" spans="3:8" ht="13.5" customHeight="1" x14ac:dyDescent="0.2">
      <c r="C22" s="12" t="s">
        <v>74</v>
      </c>
      <c r="D22" s="57" t="s">
        <v>1410</v>
      </c>
      <c r="E22" s="60">
        <v>44445</v>
      </c>
      <c r="F22" s="58">
        <v>793.15</v>
      </c>
      <c r="G22" s="12" t="s">
        <v>1676</v>
      </c>
      <c r="H22" s="61">
        <f t="shared" si="0"/>
        <v>44445</v>
      </c>
    </row>
    <row r="23" spans="3:8" ht="13.5" customHeight="1" x14ac:dyDescent="0.2">
      <c r="C23" s="12" t="s">
        <v>56</v>
      </c>
      <c r="D23" s="57" t="s">
        <v>1406</v>
      </c>
      <c r="E23" s="60">
        <v>44445</v>
      </c>
      <c r="F23" s="58">
        <f>2222+2848</f>
        <v>5070</v>
      </c>
      <c r="G23" s="12" t="s">
        <v>1689</v>
      </c>
      <c r="H23" s="61">
        <f t="shared" si="0"/>
        <v>44445</v>
      </c>
    </row>
    <row r="24" spans="3:8" ht="13.5" customHeight="1" x14ac:dyDescent="0.2">
      <c r="C24" s="12" t="s">
        <v>88</v>
      </c>
      <c r="D24" s="57" t="s">
        <v>1795</v>
      </c>
      <c r="E24" s="60">
        <v>44446</v>
      </c>
      <c r="F24" s="58">
        <v>594</v>
      </c>
      <c r="G24" s="12" t="s">
        <v>1689</v>
      </c>
      <c r="H24" s="61">
        <f t="shared" si="0"/>
        <v>44446</v>
      </c>
    </row>
    <row r="25" spans="3:8" ht="13.5" customHeight="1" x14ac:dyDescent="0.2">
      <c r="C25" s="12" t="s">
        <v>88</v>
      </c>
      <c r="D25" s="57" t="s">
        <v>1215</v>
      </c>
      <c r="E25" s="60">
        <v>44447</v>
      </c>
      <c r="F25" s="58">
        <v>1032</v>
      </c>
      <c r="G25" s="12" t="s">
        <v>1689</v>
      </c>
      <c r="H25" s="61">
        <f t="shared" si="0"/>
        <v>44447</v>
      </c>
    </row>
    <row r="26" spans="3:8" ht="13.5" customHeight="1" x14ac:dyDescent="0.2">
      <c r="C26" s="12" t="s">
        <v>77</v>
      </c>
      <c r="D26" s="57" t="s">
        <v>1421</v>
      </c>
      <c r="E26" s="60">
        <v>44448</v>
      </c>
      <c r="F26" s="58">
        <v>215.85</v>
      </c>
      <c r="G26" s="12" t="s">
        <v>1689</v>
      </c>
      <c r="H26" s="61">
        <f t="shared" si="0"/>
        <v>44448</v>
      </c>
    </row>
    <row r="27" spans="3:8" ht="13.5" customHeight="1" x14ac:dyDescent="0.2">
      <c r="C27" s="12" t="s">
        <v>88</v>
      </c>
      <c r="D27" s="57" t="s">
        <v>1383</v>
      </c>
      <c r="E27" s="60">
        <v>44448</v>
      </c>
      <c r="F27" s="58">
        <v>843</v>
      </c>
      <c r="G27" s="12" t="s">
        <v>1689</v>
      </c>
      <c r="H27" s="61">
        <f t="shared" si="0"/>
        <v>44448</v>
      </c>
    </row>
    <row r="28" spans="3:8" ht="13.5" customHeight="1" x14ac:dyDescent="0.2">
      <c r="C28" s="12" t="s">
        <v>192</v>
      </c>
      <c r="D28" s="57" t="s">
        <v>1393</v>
      </c>
      <c r="E28" s="60">
        <v>44448</v>
      </c>
      <c r="F28" s="58">
        <v>262.58999999999997</v>
      </c>
      <c r="G28" s="12" t="s">
        <v>1689</v>
      </c>
      <c r="H28" s="61">
        <f t="shared" si="0"/>
        <v>44448</v>
      </c>
    </row>
    <row r="29" spans="3:8" ht="13.5" customHeight="1" x14ac:dyDescent="0.2">
      <c r="C29" s="12" t="s">
        <v>56</v>
      </c>
      <c r="D29" s="57" t="s">
        <v>1414</v>
      </c>
      <c r="E29" s="60">
        <v>44448</v>
      </c>
      <c r="F29" s="58">
        <v>10835</v>
      </c>
      <c r="G29" s="12" t="s">
        <v>1689</v>
      </c>
      <c r="H29" s="61">
        <f t="shared" si="0"/>
        <v>44448</v>
      </c>
    </row>
    <row r="30" spans="3:8" ht="13.5" customHeight="1" x14ac:dyDescent="0.2">
      <c r="C30" s="12" t="s">
        <v>56</v>
      </c>
      <c r="D30" s="57" t="s">
        <v>1416</v>
      </c>
      <c r="E30" s="60">
        <v>44448</v>
      </c>
      <c r="F30" s="58">
        <v>928</v>
      </c>
      <c r="G30" s="12" t="s">
        <v>1689</v>
      </c>
      <c r="H30" s="61">
        <f t="shared" si="0"/>
        <v>44448</v>
      </c>
    </row>
    <row r="31" spans="3:8" ht="13.5" customHeight="1" x14ac:dyDescent="0.2">
      <c r="C31" s="12" t="s">
        <v>56</v>
      </c>
      <c r="D31" s="57" t="s">
        <v>1399</v>
      </c>
      <c r="E31" s="60">
        <v>44448</v>
      </c>
      <c r="F31" s="58">
        <f>692+441+630</f>
        <v>1763</v>
      </c>
      <c r="G31" s="12" t="s">
        <v>1689</v>
      </c>
      <c r="H31" s="61">
        <f t="shared" si="0"/>
        <v>44448</v>
      </c>
    </row>
    <row r="32" spans="3:8" ht="13.5" customHeight="1" x14ac:dyDescent="0.2">
      <c r="C32" s="12" t="s">
        <v>149</v>
      </c>
      <c r="D32" s="57" t="s">
        <v>1428</v>
      </c>
      <c r="E32" s="60">
        <v>44449</v>
      </c>
      <c r="F32" s="58">
        <v>200</v>
      </c>
      <c r="G32" s="12" t="s">
        <v>1676</v>
      </c>
      <c r="H32" s="61">
        <f t="shared" si="0"/>
        <v>44449</v>
      </c>
    </row>
    <row r="33" spans="3:11" ht="13.5" customHeight="1" x14ac:dyDescent="0.2">
      <c r="C33" s="12" t="s">
        <v>83</v>
      </c>
      <c r="D33" s="57" t="s">
        <v>235</v>
      </c>
      <c r="E33" s="60">
        <v>44449</v>
      </c>
      <c r="F33" s="58">
        <v>400</v>
      </c>
      <c r="G33" s="12" t="s">
        <v>1689</v>
      </c>
      <c r="H33" s="61">
        <f t="shared" si="0"/>
        <v>44449</v>
      </c>
    </row>
    <row r="34" spans="3:11" ht="13.5" customHeight="1" x14ac:dyDescent="0.2">
      <c r="C34" s="12" t="s">
        <v>192</v>
      </c>
      <c r="D34" s="57" t="s">
        <v>1426</v>
      </c>
      <c r="E34" s="60">
        <v>44449</v>
      </c>
      <c r="F34" s="58">
        <v>9.25</v>
      </c>
      <c r="G34" s="12" t="s">
        <v>1689</v>
      </c>
      <c r="H34" s="61">
        <f t="shared" ref="H34:H65" si="1">VLOOKUP(E34,$E$2760:$H$2817,4,FALSE)</f>
        <v>44449</v>
      </c>
    </row>
    <row r="35" spans="3:11" ht="13.5" customHeight="1" x14ac:dyDescent="0.2">
      <c r="C35" s="12" t="s">
        <v>80</v>
      </c>
      <c r="D35" s="57" t="s">
        <v>1744</v>
      </c>
      <c r="E35" s="60">
        <v>44449</v>
      </c>
      <c r="F35" s="58">
        <v>400</v>
      </c>
      <c r="G35" s="12" t="s">
        <v>1688</v>
      </c>
      <c r="H35" s="61">
        <f t="shared" si="1"/>
        <v>44449</v>
      </c>
    </row>
    <row r="36" spans="3:11" ht="13.5" customHeight="1" x14ac:dyDescent="0.2">
      <c r="C36" s="12" t="s">
        <v>56</v>
      </c>
      <c r="D36" s="57" t="s">
        <v>1427</v>
      </c>
      <c r="E36" s="60">
        <v>44449</v>
      </c>
      <c r="F36" s="58">
        <f>1000+2673+2114+1000+1444+1000+1000+2000</f>
        <v>12231</v>
      </c>
      <c r="G36" s="12" t="s">
        <v>1689</v>
      </c>
      <c r="H36" s="61">
        <f t="shared" si="1"/>
        <v>44449</v>
      </c>
    </row>
    <row r="37" spans="3:11" ht="13.5" customHeight="1" x14ac:dyDescent="0.2">
      <c r="C37" s="12" t="s">
        <v>159</v>
      </c>
      <c r="D37" s="57" t="s">
        <v>1367</v>
      </c>
      <c r="E37" s="60">
        <v>44449</v>
      </c>
      <c r="F37" s="58">
        <v>900</v>
      </c>
      <c r="G37" s="12" t="s">
        <v>1689</v>
      </c>
      <c r="H37" s="61">
        <f t="shared" si="1"/>
        <v>44449</v>
      </c>
    </row>
    <row r="38" spans="3:11" ht="13.5" customHeight="1" x14ac:dyDescent="0.2">
      <c r="C38" s="12" t="s">
        <v>192</v>
      </c>
      <c r="D38" s="57" t="s">
        <v>1796</v>
      </c>
      <c r="E38" s="60">
        <v>44449</v>
      </c>
      <c r="F38" s="58">
        <f>1555.98</f>
        <v>1555.98</v>
      </c>
      <c r="G38" s="12" t="s">
        <v>1689</v>
      </c>
      <c r="H38" s="61">
        <f t="shared" si="1"/>
        <v>44449</v>
      </c>
    </row>
    <row r="39" spans="3:11" ht="13.5" customHeight="1" x14ac:dyDescent="0.2">
      <c r="C39" s="12" t="s">
        <v>83</v>
      </c>
      <c r="D39" s="57" t="s">
        <v>1422</v>
      </c>
      <c r="E39" s="60">
        <v>44449</v>
      </c>
      <c r="F39" s="58">
        <v>3000</v>
      </c>
      <c r="G39" s="12" t="s">
        <v>1689</v>
      </c>
      <c r="H39" s="61">
        <f t="shared" si="1"/>
        <v>44449</v>
      </c>
    </row>
    <row r="40" spans="3:11" ht="13.5" customHeight="1" x14ac:dyDescent="0.2">
      <c r="C40" s="12" t="s">
        <v>187</v>
      </c>
      <c r="D40" s="57" t="s">
        <v>1376</v>
      </c>
      <c r="E40" s="60">
        <v>44449</v>
      </c>
      <c r="F40" s="58">
        <v>248.71</v>
      </c>
      <c r="G40" s="12" t="s">
        <v>1689</v>
      </c>
      <c r="H40" s="61">
        <f t="shared" si="1"/>
        <v>44449</v>
      </c>
    </row>
    <row r="41" spans="3:11" ht="13.5" customHeight="1" x14ac:dyDescent="0.2">
      <c r="C41" s="12" t="s">
        <v>76</v>
      </c>
      <c r="D41" s="57" t="s">
        <v>1424</v>
      </c>
      <c r="E41" s="60">
        <v>44449</v>
      </c>
      <c r="F41" s="58">
        <v>742.51</v>
      </c>
      <c r="G41" s="12" t="s">
        <v>1689</v>
      </c>
      <c r="H41" s="61">
        <f t="shared" si="1"/>
        <v>44449</v>
      </c>
    </row>
    <row r="42" spans="3:11" ht="13.5" customHeight="1" x14ac:dyDescent="0.2">
      <c r="C42" s="12" t="s">
        <v>76</v>
      </c>
      <c r="D42" s="57" t="s">
        <v>1357</v>
      </c>
      <c r="E42" s="60">
        <v>44449</v>
      </c>
      <c r="F42" s="58">
        <v>3120</v>
      </c>
      <c r="G42" s="12" t="s">
        <v>1689</v>
      </c>
      <c r="H42" s="61">
        <f t="shared" si="1"/>
        <v>44449</v>
      </c>
    </row>
    <row r="43" spans="3:11" ht="13.5" customHeight="1" x14ac:dyDescent="0.2">
      <c r="C43" s="12" t="s">
        <v>164</v>
      </c>
      <c r="D43" s="57" t="s">
        <v>1381</v>
      </c>
      <c r="E43" s="60">
        <v>44449</v>
      </c>
      <c r="F43" s="58">
        <v>853.65</v>
      </c>
      <c r="G43" s="12" t="s">
        <v>1689</v>
      </c>
      <c r="H43" s="61">
        <f t="shared" si="1"/>
        <v>44449</v>
      </c>
    </row>
    <row r="44" spans="3:11" ht="13.5" customHeight="1" x14ac:dyDescent="0.2">
      <c r="C44" s="12" t="s">
        <v>159</v>
      </c>
      <c r="D44" s="57" t="s">
        <v>1335</v>
      </c>
      <c r="E44" s="60">
        <v>44449</v>
      </c>
      <c r="F44" s="58">
        <v>495.25</v>
      </c>
      <c r="G44" s="12" t="s">
        <v>1689</v>
      </c>
      <c r="H44" s="61">
        <f t="shared" si="1"/>
        <v>44449</v>
      </c>
    </row>
    <row r="45" spans="3:11" ht="13.5" customHeight="1" x14ac:dyDescent="0.2">
      <c r="C45" s="12" t="s">
        <v>135</v>
      </c>
      <c r="D45" s="57" t="s">
        <v>1311</v>
      </c>
      <c r="E45" s="60">
        <v>44449</v>
      </c>
      <c r="F45" s="58">
        <v>100</v>
      </c>
      <c r="G45" s="12" t="s">
        <v>1689</v>
      </c>
      <c r="H45" s="61">
        <f t="shared" si="1"/>
        <v>44449</v>
      </c>
    </row>
    <row r="46" spans="3:11" ht="13.5" customHeight="1" x14ac:dyDescent="0.2">
      <c r="C46" s="12" t="s">
        <v>88</v>
      </c>
      <c r="D46" s="57" t="s">
        <v>1196</v>
      </c>
      <c r="E46" s="60">
        <v>44449</v>
      </c>
      <c r="F46" s="58">
        <v>1380</v>
      </c>
      <c r="G46" s="12" t="s">
        <v>1689</v>
      </c>
      <c r="H46" s="61">
        <f t="shared" si="1"/>
        <v>44449</v>
      </c>
      <c r="K46" s="144"/>
    </row>
    <row r="47" spans="3:11" ht="13.5" customHeight="1" x14ac:dyDescent="0.2">
      <c r="C47" s="12" t="s">
        <v>77</v>
      </c>
      <c r="D47" s="57" t="s">
        <v>1306</v>
      </c>
      <c r="E47" s="60">
        <v>44449</v>
      </c>
      <c r="F47" s="58">
        <f>1283.16+54.76+189.41</f>
        <v>1527.3300000000002</v>
      </c>
      <c r="G47" s="12" t="s">
        <v>1676</v>
      </c>
      <c r="H47" s="61">
        <f t="shared" si="1"/>
        <v>44449</v>
      </c>
      <c r="K47" s="144"/>
    </row>
    <row r="48" spans="3:11" ht="13.5" customHeight="1" x14ac:dyDescent="0.2">
      <c r="C48" s="12" t="s">
        <v>56</v>
      </c>
      <c r="D48" s="57" t="s">
        <v>911</v>
      </c>
      <c r="E48" s="60">
        <v>44449</v>
      </c>
      <c r="F48" s="58">
        <f>740.56+750.11+693.64</f>
        <v>2184.31</v>
      </c>
      <c r="G48" s="12" t="s">
        <v>1689</v>
      </c>
      <c r="H48" s="61">
        <f t="shared" si="1"/>
        <v>44449</v>
      </c>
      <c r="K48" s="144"/>
    </row>
    <row r="49" spans="3:11" ht="13.5" customHeight="1" x14ac:dyDescent="0.2">
      <c r="C49" s="12" t="s">
        <v>159</v>
      </c>
      <c r="D49" s="57" t="s">
        <v>1401</v>
      </c>
      <c r="E49" s="60">
        <v>44449</v>
      </c>
      <c r="F49" s="58">
        <v>728.94</v>
      </c>
      <c r="G49" s="12" t="s">
        <v>1689</v>
      </c>
      <c r="H49" s="61">
        <f t="shared" si="1"/>
        <v>44449</v>
      </c>
      <c r="K49" s="144"/>
    </row>
    <row r="50" spans="3:11" ht="13.5" customHeight="1" x14ac:dyDescent="0.2">
      <c r="C50" s="12" t="s">
        <v>164</v>
      </c>
      <c r="D50" s="57" t="s">
        <v>1696</v>
      </c>
      <c r="E50" s="60">
        <v>44450</v>
      </c>
      <c r="F50" s="58">
        <v>140</v>
      </c>
      <c r="G50" s="12" t="s">
        <v>1689</v>
      </c>
      <c r="H50" s="61">
        <f t="shared" si="1"/>
        <v>44452</v>
      </c>
      <c r="K50" s="144"/>
    </row>
    <row r="51" spans="3:11" ht="13.5" customHeight="1" x14ac:dyDescent="0.2">
      <c r="C51" s="12" t="s">
        <v>131</v>
      </c>
      <c r="D51" s="57" t="s">
        <v>1358</v>
      </c>
      <c r="E51" s="60">
        <v>44451</v>
      </c>
      <c r="F51" s="58">
        <v>404.34</v>
      </c>
      <c r="G51" s="12" t="s">
        <v>1688</v>
      </c>
      <c r="H51" s="61">
        <f t="shared" si="1"/>
        <v>44452</v>
      </c>
      <c r="K51" s="144"/>
    </row>
    <row r="52" spans="3:11" ht="13.5" customHeight="1" x14ac:dyDescent="0.2">
      <c r="C52" s="12" t="s">
        <v>135</v>
      </c>
      <c r="D52" s="57" t="s">
        <v>1423</v>
      </c>
      <c r="E52" s="60">
        <v>44452</v>
      </c>
      <c r="F52" s="58">
        <v>892.29</v>
      </c>
      <c r="G52" s="12" t="s">
        <v>1689</v>
      </c>
      <c r="H52" s="61">
        <f t="shared" si="1"/>
        <v>44452</v>
      </c>
      <c r="K52" s="144"/>
    </row>
    <row r="53" spans="3:11" ht="13.5" customHeight="1" x14ac:dyDescent="0.2">
      <c r="C53" s="12" t="s">
        <v>72</v>
      </c>
      <c r="D53" s="57" t="s">
        <v>1711</v>
      </c>
      <c r="E53" s="60">
        <v>44452</v>
      </c>
      <c r="F53" s="58">
        <v>200</v>
      </c>
      <c r="G53" s="12" t="s">
        <v>1688</v>
      </c>
      <c r="H53" s="61">
        <f t="shared" si="1"/>
        <v>44452</v>
      </c>
      <c r="K53" s="144"/>
    </row>
    <row r="54" spans="3:11" ht="13.5" customHeight="1" x14ac:dyDescent="0.2">
      <c r="C54" s="12" t="s">
        <v>56</v>
      </c>
      <c r="D54" s="57" t="s">
        <v>1399</v>
      </c>
      <c r="E54" s="60">
        <v>44452</v>
      </c>
      <c r="F54" s="58">
        <f>498+629+518+434+630</f>
        <v>2709</v>
      </c>
      <c r="G54" s="12" t="s">
        <v>1689</v>
      </c>
      <c r="H54" s="61">
        <f t="shared" si="1"/>
        <v>44452</v>
      </c>
      <c r="K54" s="144"/>
    </row>
    <row r="55" spans="3:11" ht="13.5" customHeight="1" x14ac:dyDescent="0.2">
      <c r="C55" s="12" t="s">
        <v>192</v>
      </c>
      <c r="D55" s="57" t="s">
        <v>1436</v>
      </c>
      <c r="E55" s="60">
        <v>44452</v>
      </c>
      <c r="F55" s="58">
        <v>14.18</v>
      </c>
      <c r="G55" s="12" t="s">
        <v>1689</v>
      </c>
      <c r="H55" s="61">
        <f t="shared" si="1"/>
        <v>44452</v>
      </c>
      <c r="K55" s="144"/>
    </row>
    <row r="56" spans="3:11" ht="13.5" customHeight="1" x14ac:dyDescent="0.2">
      <c r="C56" s="12" t="s">
        <v>97</v>
      </c>
      <c r="D56" s="57" t="s">
        <v>1384</v>
      </c>
      <c r="E56" s="60">
        <v>44452</v>
      </c>
      <c r="F56" s="58">
        <v>622.41999999999996</v>
      </c>
      <c r="G56" s="12" t="s">
        <v>1689</v>
      </c>
      <c r="H56" s="61">
        <f t="shared" si="1"/>
        <v>44452</v>
      </c>
      <c r="K56" s="144"/>
    </row>
    <row r="57" spans="3:11" ht="13.5" customHeight="1" x14ac:dyDescent="0.2">
      <c r="C57" s="12" t="s">
        <v>97</v>
      </c>
      <c r="D57" s="57" t="s">
        <v>1385</v>
      </c>
      <c r="E57" s="60">
        <v>44452</v>
      </c>
      <c r="F57" s="58">
        <v>1284.04</v>
      </c>
      <c r="G57" s="12" t="s">
        <v>1689</v>
      </c>
      <c r="H57" s="61">
        <f t="shared" si="1"/>
        <v>44452</v>
      </c>
      <c r="K57" s="144"/>
    </row>
    <row r="58" spans="3:11" ht="13.5" customHeight="1" x14ac:dyDescent="0.2">
      <c r="C58" s="12" t="s">
        <v>97</v>
      </c>
      <c r="D58" s="57" t="s">
        <v>1437</v>
      </c>
      <c r="E58" s="60">
        <v>44452</v>
      </c>
      <c r="F58" s="58">
        <v>522.01</v>
      </c>
      <c r="G58" s="12" t="s">
        <v>1689</v>
      </c>
      <c r="H58" s="61">
        <f t="shared" si="1"/>
        <v>44452</v>
      </c>
      <c r="K58" s="144"/>
    </row>
    <row r="59" spans="3:11" ht="13.5" customHeight="1" x14ac:dyDescent="0.2">
      <c r="C59" s="12" t="s">
        <v>192</v>
      </c>
      <c r="D59" s="57" t="s">
        <v>1433</v>
      </c>
      <c r="E59" s="60">
        <v>44452</v>
      </c>
      <c r="F59" s="58">
        <v>302.45999999999998</v>
      </c>
      <c r="G59" s="12" t="s">
        <v>1689</v>
      </c>
      <c r="H59" s="61">
        <f t="shared" si="1"/>
        <v>44452</v>
      </c>
      <c r="K59" s="144"/>
    </row>
    <row r="60" spans="3:11" ht="13.5" customHeight="1" x14ac:dyDescent="0.2">
      <c r="C60" s="12" t="s">
        <v>159</v>
      </c>
      <c r="D60" s="57" t="s">
        <v>1408</v>
      </c>
      <c r="E60" s="60">
        <v>44452</v>
      </c>
      <c r="F60" s="58">
        <v>440.74</v>
      </c>
      <c r="G60" s="12" t="s">
        <v>1689</v>
      </c>
      <c r="H60" s="61">
        <f t="shared" si="1"/>
        <v>44452</v>
      </c>
      <c r="K60" s="144"/>
    </row>
    <row r="61" spans="3:11" ht="13.5" customHeight="1" x14ac:dyDescent="0.2">
      <c r="C61" s="12" t="s">
        <v>159</v>
      </c>
      <c r="D61" s="57" t="s">
        <v>1409</v>
      </c>
      <c r="E61" s="60">
        <v>44452</v>
      </c>
      <c r="F61" s="58">
        <v>145</v>
      </c>
      <c r="G61" s="12" t="s">
        <v>1689</v>
      </c>
      <c r="H61" s="61">
        <f t="shared" si="1"/>
        <v>44452</v>
      </c>
      <c r="K61" s="144"/>
    </row>
    <row r="62" spans="3:11" ht="13.5" customHeight="1" x14ac:dyDescent="0.2">
      <c r="C62" s="12" t="s">
        <v>97</v>
      </c>
      <c r="D62" s="57" t="s">
        <v>1440</v>
      </c>
      <c r="E62" s="60">
        <v>44452</v>
      </c>
      <c r="F62" s="58">
        <v>176189.58</v>
      </c>
      <c r="G62" s="12" t="s">
        <v>1689</v>
      </c>
      <c r="H62" s="61">
        <f t="shared" si="1"/>
        <v>44452</v>
      </c>
      <c r="K62" s="144"/>
    </row>
    <row r="63" spans="3:11" ht="13.5" customHeight="1" x14ac:dyDescent="0.2">
      <c r="C63" s="12" t="s">
        <v>192</v>
      </c>
      <c r="D63" s="57" t="s">
        <v>1348</v>
      </c>
      <c r="E63" s="60">
        <v>44452</v>
      </c>
      <c r="F63" s="58">
        <v>96.86</v>
      </c>
      <c r="G63" s="12" t="s">
        <v>1689</v>
      </c>
      <c r="H63" s="61">
        <f t="shared" si="1"/>
        <v>44452</v>
      </c>
      <c r="K63" s="144"/>
    </row>
    <row r="64" spans="3:11" ht="13.5" customHeight="1" x14ac:dyDescent="0.2">
      <c r="C64" s="12" t="s">
        <v>83</v>
      </c>
      <c r="D64" s="57" t="s">
        <v>1429</v>
      </c>
      <c r="E64" s="60">
        <v>44453</v>
      </c>
      <c r="F64" s="58">
        <v>523</v>
      </c>
      <c r="G64" s="12" t="s">
        <v>1689</v>
      </c>
      <c r="H64" s="61">
        <f t="shared" si="1"/>
        <v>44453</v>
      </c>
      <c r="K64" s="144"/>
    </row>
    <row r="65" spans="3:11" ht="13.5" customHeight="1" x14ac:dyDescent="0.2">
      <c r="C65" s="12" t="s">
        <v>88</v>
      </c>
      <c r="D65" s="57" t="s">
        <v>1446</v>
      </c>
      <c r="E65" s="60">
        <v>44453</v>
      </c>
      <c r="F65" s="58">
        <v>400</v>
      </c>
      <c r="G65" s="12" t="s">
        <v>1689</v>
      </c>
      <c r="H65" s="61">
        <f t="shared" si="1"/>
        <v>44453</v>
      </c>
      <c r="K65" s="144"/>
    </row>
    <row r="66" spans="3:11" ht="13.5" customHeight="1" x14ac:dyDescent="0.2">
      <c r="C66" s="12" t="s">
        <v>72</v>
      </c>
      <c r="D66" s="57" t="s">
        <v>1745</v>
      </c>
      <c r="E66" s="60">
        <v>44453</v>
      </c>
      <c r="F66" s="58">
        <v>460</v>
      </c>
      <c r="G66" s="12" t="s">
        <v>1688</v>
      </c>
      <c r="H66" s="61">
        <f t="shared" ref="H66:H97" si="2">VLOOKUP(E66,$E$2760:$H$2817,4,FALSE)</f>
        <v>44453</v>
      </c>
      <c r="K66" s="144"/>
    </row>
    <row r="67" spans="3:11" ht="13.5" customHeight="1" x14ac:dyDescent="0.2">
      <c r="C67" s="12" t="s">
        <v>135</v>
      </c>
      <c r="D67" s="57" t="s">
        <v>1431</v>
      </c>
      <c r="E67" s="60">
        <v>44453</v>
      </c>
      <c r="F67" s="58">
        <v>550</v>
      </c>
      <c r="G67" s="12" t="s">
        <v>1689</v>
      </c>
      <c r="H67" s="61">
        <f t="shared" si="2"/>
        <v>44453</v>
      </c>
      <c r="K67" s="144"/>
    </row>
    <row r="68" spans="3:11" ht="13.5" customHeight="1" x14ac:dyDescent="0.2">
      <c r="C68" s="12" t="s">
        <v>97</v>
      </c>
      <c r="D68" s="57" t="s">
        <v>1438</v>
      </c>
      <c r="E68" s="60">
        <v>44453</v>
      </c>
      <c r="F68" s="58">
        <v>4000</v>
      </c>
      <c r="G68" s="12" t="s">
        <v>1676</v>
      </c>
      <c r="H68" s="61">
        <f t="shared" si="2"/>
        <v>44453</v>
      </c>
      <c r="K68" s="144"/>
    </row>
    <row r="69" spans="3:11" ht="13.5" customHeight="1" x14ac:dyDescent="0.2">
      <c r="C69" s="12" t="s">
        <v>83</v>
      </c>
      <c r="D69" s="57" t="s">
        <v>1441</v>
      </c>
      <c r="E69" s="60">
        <v>44453</v>
      </c>
      <c r="F69" s="58">
        <v>3169</v>
      </c>
      <c r="G69" s="12" t="s">
        <v>1689</v>
      </c>
      <c r="H69" s="61">
        <f t="shared" si="2"/>
        <v>44453</v>
      </c>
      <c r="K69" s="144"/>
    </row>
    <row r="70" spans="3:11" ht="13.5" customHeight="1" x14ac:dyDescent="0.2">
      <c r="C70" s="12" t="s">
        <v>83</v>
      </c>
      <c r="D70" s="57" t="s">
        <v>1442</v>
      </c>
      <c r="E70" s="60">
        <v>44453</v>
      </c>
      <c r="F70" s="58">
        <v>2377</v>
      </c>
      <c r="G70" s="12" t="s">
        <v>1689</v>
      </c>
      <c r="H70" s="61">
        <f t="shared" si="2"/>
        <v>44453</v>
      </c>
      <c r="K70" s="144"/>
    </row>
    <row r="71" spans="3:11" ht="13.5" customHeight="1" x14ac:dyDescent="0.2">
      <c r="C71" s="12" t="s">
        <v>170</v>
      </c>
      <c r="D71" s="57" t="s">
        <v>1395</v>
      </c>
      <c r="E71" s="60">
        <v>44453</v>
      </c>
      <c r="F71" s="58">
        <v>200</v>
      </c>
      <c r="G71" s="12" t="s">
        <v>1676</v>
      </c>
      <c r="H71" s="61">
        <f t="shared" si="2"/>
        <v>44453</v>
      </c>
      <c r="K71" s="144"/>
    </row>
    <row r="72" spans="3:11" ht="13.5" customHeight="1" x14ac:dyDescent="0.2">
      <c r="C72" s="12" t="s">
        <v>77</v>
      </c>
      <c r="D72" s="57" t="s">
        <v>1307</v>
      </c>
      <c r="E72" s="60">
        <v>44453</v>
      </c>
      <c r="F72" s="58">
        <v>534.69000000000005</v>
      </c>
      <c r="G72" s="12" t="s">
        <v>64</v>
      </c>
      <c r="H72" s="61">
        <f t="shared" si="2"/>
        <v>44453</v>
      </c>
      <c r="K72" s="144"/>
    </row>
    <row r="73" spans="3:11" ht="13.5" customHeight="1" x14ac:dyDescent="0.2">
      <c r="C73" s="12" t="s">
        <v>84</v>
      </c>
      <c r="D73" s="57" t="s">
        <v>1378</v>
      </c>
      <c r="E73" s="60">
        <v>44453</v>
      </c>
      <c r="F73" s="58">
        <v>4167.41</v>
      </c>
      <c r="G73" s="12" t="s">
        <v>1689</v>
      </c>
      <c r="H73" s="61">
        <f t="shared" si="2"/>
        <v>44453</v>
      </c>
      <c r="K73" s="144"/>
    </row>
    <row r="74" spans="3:11" ht="13.5" customHeight="1" x14ac:dyDescent="0.2">
      <c r="C74" s="12" t="s">
        <v>192</v>
      </c>
      <c r="D74" s="57" t="s">
        <v>1425</v>
      </c>
      <c r="E74" s="60">
        <v>44453</v>
      </c>
      <c r="F74" s="58">
        <v>72.89</v>
      </c>
      <c r="G74" s="12" t="s">
        <v>1689</v>
      </c>
      <c r="H74" s="61">
        <f t="shared" si="2"/>
        <v>44453</v>
      </c>
      <c r="K74" s="144"/>
    </row>
    <row r="75" spans="3:11" ht="13.5" customHeight="1" x14ac:dyDescent="0.2">
      <c r="C75" s="12" t="s">
        <v>86</v>
      </c>
      <c r="D75" s="57" t="s">
        <v>85</v>
      </c>
      <c r="E75" s="60">
        <v>44454</v>
      </c>
      <c r="F75" s="16">
        <v>84</v>
      </c>
      <c r="G75" s="12" t="s">
        <v>1689</v>
      </c>
      <c r="H75" s="61">
        <f t="shared" si="2"/>
        <v>44454</v>
      </c>
      <c r="K75" s="144"/>
    </row>
    <row r="76" spans="3:11" ht="13.5" customHeight="1" x14ac:dyDescent="0.2">
      <c r="C76" s="12" t="s">
        <v>89</v>
      </c>
      <c r="D76" s="57" t="s">
        <v>212</v>
      </c>
      <c r="E76" s="60">
        <v>44454</v>
      </c>
      <c r="F76" s="58">
        <v>92.25</v>
      </c>
      <c r="G76" s="12" t="s">
        <v>1676</v>
      </c>
      <c r="H76" s="61">
        <f t="shared" si="2"/>
        <v>44454</v>
      </c>
      <c r="K76" s="144"/>
    </row>
    <row r="77" spans="3:11" ht="13.5" customHeight="1" x14ac:dyDescent="0.2">
      <c r="C77" s="12" t="s">
        <v>56</v>
      </c>
      <c r="D77" s="57" t="s">
        <v>1460</v>
      </c>
      <c r="E77" s="60">
        <v>44454</v>
      </c>
      <c r="F77" s="16">
        <f>2263+3505+1232+3366</f>
        <v>10366</v>
      </c>
      <c r="G77" s="12" t="s">
        <v>1689</v>
      </c>
      <c r="H77" s="61">
        <f t="shared" si="2"/>
        <v>44454</v>
      </c>
      <c r="K77" s="144"/>
    </row>
    <row r="78" spans="3:11" ht="13.5" customHeight="1" x14ac:dyDescent="0.2">
      <c r="C78" s="12" t="s">
        <v>56</v>
      </c>
      <c r="D78" s="57" t="s">
        <v>1458</v>
      </c>
      <c r="E78" s="60">
        <v>44454</v>
      </c>
      <c r="F78" s="16">
        <v>2000</v>
      </c>
      <c r="G78" s="12" t="s">
        <v>1689</v>
      </c>
      <c r="H78" s="61">
        <f t="shared" si="2"/>
        <v>44454</v>
      </c>
      <c r="K78" s="144"/>
    </row>
    <row r="79" spans="3:11" ht="13.5" customHeight="1" x14ac:dyDescent="0.2">
      <c r="C79" s="12" t="s">
        <v>56</v>
      </c>
      <c r="D79" s="57" t="s">
        <v>1420</v>
      </c>
      <c r="E79" s="60">
        <v>44454</v>
      </c>
      <c r="F79" s="58">
        <f>2800+10.5-200</f>
        <v>2610.5</v>
      </c>
      <c r="G79" s="12" t="s">
        <v>1689</v>
      </c>
      <c r="H79" s="61">
        <f t="shared" si="2"/>
        <v>44454</v>
      </c>
      <c r="K79" s="144"/>
    </row>
    <row r="80" spans="3:11" ht="13.5" customHeight="1" x14ac:dyDescent="0.2">
      <c r="C80" s="12" t="s">
        <v>192</v>
      </c>
      <c r="D80" s="57" t="s">
        <v>1432</v>
      </c>
      <c r="E80" s="60">
        <v>44454</v>
      </c>
      <c r="F80" s="58">
        <v>273.952</v>
      </c>
      <c r="G80" s="12" t="s">
        <v>1689</v>
      </c>
      <c r="H80" s="61">
        <f t="shared" si="2"/>
        <v>44454</v>
      </c>
      <c r="K80" s="144"/>
    </row>
    <row r="81" spans="3:11" ht="13.5" customHeight="1" x14ac:dyDescent="0.2">
      <c r="C81" s="12" t="s">
        <v>80</v>
      </c>
      <c r="D81" s="57" t="s">
        <v>240</v>
      </c>
      <c r="E81" s="60">
        <v>44454</v>
      </c>
      <c r="F81" s="58">
        <v>370</v>
      </c>
      <c r="G81" s="12" t="s">
        <v>1688</v>
      </c>
      <c r="H81" s="61">
        <f t="shared" si="2"/>
        <v>44454</v>
      </c>
      <c r="K81" s="144"/>
    </row>
    <row r="82" spans="3:11" ht="13.5" customHeight="1" x14ac:dyDescent="0.2">
      <c r="C82" s="12" t="s">
        <v>97</v>
      </c>
      <c r="D82" s="57" t="s">
        <v>1365</v>
      </c>
      <c r="E82" s="60">
        <v>44454</v>
      </c>
      <c r="F82" s="58">
        <v>1100</v>
      </c>
      <c r="G82" s="12" t="s">
        <v>1689</v>
      </c>
      <c r="H82" s="61">
        <f t="shared" si="2"/>
        <v>44454</v>
      </c>
      <c r="K82" s="144"/>
    </row>
    <row r="83" spans="3:11" ht="13.5" customHeight="1" x14ac:dyDescent="0.2">
      <c r="C83" s="12" t="s">
        <v>74</v>
      </c>
      <c r="D83" s="57" t="s">
        <v>69</v>
      </c>
      <c r="E83" s="60">
        <v>44454</v>
      </c>
      <c r="F83" s="58">
        <v>624.19000000000005</v>
      </c>
      <c r="G83" s="12" t="s">
        <v>1676</v>
      </c>
      <c r="H83" s="61">
        <f t="shared" si="2"/>
        <v>44454</v>
      </c>
      <c r="K83" s="144"/>
    </row>
    <row r="84" spans="3:11" ht="13.5" customHeight="1" x14ac:dyDescent="0.2">
      <c r="C84" s="12" t="s">
        <v>76</v>
      </c>
      <c r="D84" s="57" t="s">
        <v>1366</v>
      </c>
      <c r="E84" s="60">
        <v>44454</v>
      </c>
      <c r="F84" s="58">
        <v>2322</v>
      </c>
      <c r="G84" s="12" t="s">
        <v>1676</v>
      </c>
      <c r="H84" s="61">
        <f t="shared" si="2"/>
        <v>44454</v>
      </c>
      <c r="K84" s="144"/>
    </row>
    <row r="85" spans="3:11" ht="13.5" customHeight="1" x14ac:dyDescent="0.2">
      <c r="C85" s="12" t="s">
        <v>74</v>
      </c>
      <c r="D85" s="57" t="s">
        <v>1459</v>
      </c>
      <c r="E85" s="60">
        <v>44454</v>
      </c>
      <c r="F85" s="58">
        <v>51.78</v>
      </c>
      <c r="G85" s="12" t="s">
        <v>1689</v>
      </c>
      <c r="H85" s="61">
        <f t="shared" si="2"/>
        <v>44454</v>
      </c>
      <c r="K85" s="144"/>
    </row>
    <row r="86" spans="3:11" ht="13.5" customHeight="1" x14ac:dyDescent="0.2">
      <c r="C86" s="12" t="s">
        <v>192</v>
      </c>
      <c r="D86" s="57" t="s">
        <v>1415</v>
      </c>
      <c r="E86" s="60">
        <v>44454</v>
      </c>
      <c r="F86" s="58">
        <v>331.43</v>
      </c>
      <c r="G86" s="12" t="s">
        <v>1689</v>
      </c>
      <c r="H86" s="61">
        <f t="shared" si="2"/>
        <v>44454</v>
      </c>
      <c r="K86" s="144"/>
    </row>
    <row r="87" spans="3:11" ht="13.5" customHeight="1" x14ac:dyDescent="0.2">
      <c r="C87" s="12" t="s">
        <v>56</v>
      </c>
      <c r="D87" s="57" t="s">
        <v>1399</v>
      </c>
      <c r="E87" s="60">
        <v>44454</v>
      </c>
      <c r="F87" s="58">
        <f>196+448+484</f>
        <v>1128</v>
      </c>
      <c r="G87" s="12" t="s">
        <v>1689</v>
      </c>
      <c r="H87" s="61">
        <f t="shared" si="2"/>
        <v>44454</v>
      </c>
      <c r="K87" s="144"/>
    </row>
    <row r="88" spans="3:11" ht="13.5" customHeight="1" x14ac:dyDescent="0.2">
      <c r="C88" s="12" t="s">
        <v>171</v>
      </c>
      <c r="D88" s="57" t="s">
        <v>172</v>
      </c>
      <c r="E88" s="60">
        <v>44455</v>
      </c>
      <c r="F88" s="58">
        <v>81.99</v>
      </c>
      <c r="G88" s="12" t="s">
        <v>1676</v>
      </c>
      <c r="H88" s="61">
        <f t="shared" si="2"/>
        <v>44455</v>
      </c>
      <c r="K88" s="144"/>
    </row>
    <row r="89" spans="3:11" ht="13.5" customHeight="1" x14ac:dyDescent="0.2">
      <c r="C89" s="12" t="s">
        <v>80</v>
      </c>
      <c r="D89" s="57" t="s">
        <v>197</v>
      </c>
      <c r="E89" s="60">
        <v>44456</v>
      </c>
      <c r="F89" s="58">
        <v>50</v>
      </c>
      <c r="G89" s="12" t="s">
        <v>1689</v>
      </c>
      <c r="H89" s="61">
        <f t="shared" si="2"/>
        <v>44456</v>
      </c>
      <c r="K89" s="144"/>
    </row>
    <row r="90" spans="3:11" ht="13.5" customHeight="1" x14ac:dyDescent="0.2">
      <c r="C90" s="12" t="s">
        <v>83</v>
      </c>
      <c r="D90" s="57" t="s">
        <v>235</v>
      </c>
      <c r="E90" s="60">
        <v>44456</v>
      </c>
      <c r="F90" s="58">
        <v>400</v>
      </c>
      <c r="G90" s="12" t="s">
        <v>1689</v>
      </c>
      <c r="H90" s="61">
        <f t="shared" si="2"/>
        <v>44456</v>
      </c>
      <c r="K90" s="144"/>
    </row>
    <row r="91" spans="3:11" ht="13.5" customHeight="1" x14ac:dyDescent="0.2">
      <c r="C91" s="12" t="s">
        <v>75</v>
      </c>
      <c r="D91" s="57" t="s">
        <v>1474</v>
      </c>
      <c r="E91" s="60">
        <v>44456</v>
      </c>
      <c r="F91" s="58">
        <v>1750</v>
      </c>
      <c r="G91" s="12" t="s">
        <v>1676</v>
      </c>
      <c r="H91" s="61">
        <f t="shared" si="2"/>
        <v>44456</v>
      </c>
      <c r="K91" s="144"/>
    </row>
    <row r="92" spans="3:11" ht="13.5" customHeight="1" x14ac:dyDescent="0.2">
      <c r="C92" s="12" t="s">
        <v>72</v>
      </c>
      <c r="D92" s="57" t="s">
        <v>1707</v>
      </c>
      <c r="E92" s="60">
        <v>44456</v>
      </c>
      <c r="F92" s="58">
        <v>600</v>
      </c>
      <c r="G92" s="12" t="s">
        <v>1688</v>
      </c>
      <c r="H92" s="61">
        <f t="shared" si="2"/>
        <v>44456</v>
      </c>
      <c r="K92" s="144"/>
    </row>
    <row r="93" spans="3:11" ht="13.5" customHeight="1" x14ac:dyDescent="0.2">
      <c r="C93" s="12" t="s">
        <v>84</v>
      </c>
      <c r="D93" s="57" t="s">
        <v>260</v>
      </c>
      <c r="E93" s="60">
        <v>44456</v>
      </c>
      <c r="F93" s="58">
        <v>190</v>
      </c>
      <c r="G93" s="12" t="s">
        <v>1689</v>
      </c>
      <c r="H93" s="61">
        <f t="shared" si="2"/>
        <v>44456</v>
      </c>
      <c r="K93" s="144"/>
    </row>
    <row r="94" spans="3:11" ht="13.5" customHeight="1" x14ac:dyDescent="0.2">
      <c r="C94" s="12" t="s">
        <v>229</v>
      </c>
      <c r="D94" s="57" t="s">
        <v>1434</v>
      </c>
      <c r="E94" s="60">
        <v>44456</v>
      </c>
      <c r="F94" s="58">
        <f>130</f>
        <v>130</v>
      </c>
      <c r="G94" s="12" t="s">
        <v>1676</v>
      </c>
      <c r="H94" s="61">
        <f t="shared" si="2"/>
        <v>44456</v>
      </c>
      <c r="K94" s="144"/>
    </row>
    <row r="95" spans="3:11" ht="13.5" customHeight="1" x14ac:dyDescent="0.2">
      <c r="C95" s="12" t="s">
        <v>164</v>
      </c>
      <c r="D95" s="57" t="s">
        <v>1331</v>
      </c>
      <c r="E95" s="60">
        <v>44456</v>
      </c>
      <c r="F95" s="58">
        <v>244.2</v>
      </c>
      <c r="G95" s="12" t="s">
        <v>1676</v>
      </c>
      <c r="H95" s="61">
        <f t="shared" si="2"/>
        <v>44456</v>
      </c>
      <c r="K95" s="144"/>
    </row>
    <row r="96" spans="3:11" ht="13.5" customHeight="1" x14ac:dyDescent="0.2">
      <c r="C96" s="12" t="s">
        <v>83</v>
      </c>
      <c r="D96" s="57" t="s">
        <v>1389</v>
      </c>
      <c r="E96" s="60">
        <v>44456</v>
      </c>
      <c r="F96" s="58">
        <v>460</v>
      </c>
      <c r="G96" s="12" t="s">
        <v>1689</v>
      </c>
      <c r="H96" s="61">
        <f t="shared" si="2"/>
        <v>44456</v>
      </c>
      <c r="K96" s="144"/>
    </row>
    <row r="97" spans="3:11" ht="13.5" customHeight="1" x14ac:dyDescent="0.2">
      <c r="C97" s="12" t="s">
        <v>73</v>
      </c>
      <c r="D97" s="57" t="s">
        <v>1472</v>
      </c>
      <c r="E97" s="60">
        <v>44456</v>
      </c>
      <c r="F97" s="58">
        <f>142.95+46.12</f>
        <v>189.07</v>
      </c>
      <c r="G97" s="12" t="s">
        <v>1689</v>
      </c>
      <c r="H97" s="61">
        <f t="shared" si="2"/>
        <v>44456</v>
      </c>
      <c r="K97" s="144"/>
    </row>
    <row r="98" spans="3:11" ht="13.5" customHeight="1" x14ac:dyDescent="0.2">
      <c r="C98" s="12" t="s">
        <v>56</v>
      </c>
      <c r="D98" s="57" t="s">
        <v>1399</v>
      </c>
      <c r="E98" s="60">
        <v>44456</v>
      </c>
      <c r="F98" s="58">
        <f>699+609</f>
        <v>1308</v>
      </c>
      <c r="G98" s="12" t="s">
        <v>1689</v>
      </c>
      <c r="H98" s="61">
        <f t="shared" ref="H98:H129" si="3">VLOOKUP(E98,$E$2760:$H$2817,4,FALSE)</f>
        <v>44456</v>
      </c>
      <c r="K98" s="144"/>
    </row>
    <row r="99" spans="3:11" ht="13.5" customHeight="1" x14ac:dyDescent="0.2">
      <c r="C99" s="12" t="s">
        <v>76</v>
      </c>
      <c r="D99" s="57" t="s">
        <v>1475</v>
      </c>
      <c r="E99" s="60">
        <v>44456</v>
      </c>
      <c r="F99" s="58">
        <v>3120</v>
      </c>
      <c r="G99" s="12" t="s">
        <v>1689</v>
      </c>
      <c r="H99" s="61">
        <f t="shared" si="3"/>
        <v>44456</v>
      </c>
    </row>
    <row r="100" spans="3:11" ht="13.5" customHeight="1" x14ac:dyDescent="0.2">
      <c r="C100" s="12" t="s">
        <v>72</v>
      </c>
      <c r="D100" s="57" t="s">
        <v>65</v>
      </c>
      <c r="E100" s="60">
        <v>44456</v>
      </c>
      <c r="F100" s="58">
        <v>1000</v>
      </c>
      <c r="G100" s="12" t="s">
        <v>1688</v>
      </c>
      <c r="H100" s="61">
        <f t="shared" si="3"/>
        <v>44456</v>
      </c>
    </row>
    <row r="101" spans="3:11" ht="13.5" customHeight="1" x14ac:dyDescent="0.2">
      <c r="C101" s="12" t="s">
        <v>72</v>
      </c>
      <c r="D101" s="12" t="s">
        <v>1794</v>
      </c>
      <c r="E101" s="60">
        <v>44456</v>
      </c>
      <c r="F101" s="58">
        <v>2500</v>
      </c>
      <c r="G101" s="12" t="s">
        <v>1688</v>
      </c>
      <c r="H101" s="61">
        <f t="shared" si="3"/>
        <v>44456</v>
      </c>
    </row>
    <row r="102" spans="3:11" ht="13.5" customHeight="1" x14ac:dyDescent="0.2">
      <c r="C102" s="12" t="s">
        <v>159</v>
      </c>
      <c r="D102" s="57" t="s">
        <v>1396</v>
      </c>
      <c r="E102" s="60">
        <v>44456</v>
      </c>
      <c r="F102" s="58">
        <v>787.5</v>
      </c>
      <c r="G102" s="12" t="s">
        <v>1689</v>
      </c>
      <c r="H102" s="61">
        <f t="shared" si="3"/>
        <v>44456</v>
      </c>
    </row>
    <row r="103" spans="3:11" ht="13.5" customHeight="1" x14ac:dyDescent="0.2">
      <c r="C103" s="12" t="s">
        <v>56</v>
      </c>
      <c r="D103" s="57" t="s">
        <v>1443</v>
      </c>
      <c r="E103" s="60">
        <v>44456</v>
      </c>
      <c r="F103" s="58">
        <v>5037</v>
      </c>
      <c r="G103" s="12" t="s">
        <v>1689</v>
      </c>
      <c r="H103" s="61">
        <f t="shared" si="3"/>
        <v>44456</v>
      </c>
    </row>
    <row r="104" spans="3:11" ht="13.5" customHeight="1" x14ac:dyDescent="0.2">
      <c r="C104" s="12" t="s">
        <v>56</v>
      </c>
      <c r="D104" s="57" t="s">
        <v>1370</v>
      </c>
      <c r="E104" s="60">
        <v>44456</v>
      </c>
      <c r="F104" s="58">
        <v>5166</v>
      </c>
      <c r="G104" s="12" t="s">
        <v>1689</v>
      </c>
      <c r="H104" s="61">
        <f t="shared" si="3"/>
        <v>44456</v>
      </c>
    </row>
    <row r="105" spans="3:11" ht="13.5" customHeight="1" x14ac:dyDescent="0.2">
      <c r="C105" s="12" t="s">
        <v>84</v>
      </c>
      <c r="D105" s="57" t="s">
        <v>1469</v>
      </c>
      <c r="E105" s="60">
        <v>44456</v>
      </c>
      <c r="F105" s="58">
        <v>1000</v>
      </c>
      <c r="G105" s="12" t="s">
        <v>1689</v>
      </c>
      <c r="H105" s="61">
        <f t="shared" si="3"/>
        <v>44456</v>
      </c>
    </row>
    <row r="106" spans="3:11" ht="13.5" customHeight="1" x14ac:dyDescent="0.2">
      <c r="C106" s="12"/>
      <c r="D106" s="57"/>
      <c r="E106" s="60">
        <v>44457</v>
      </c>
      <c r="F106" s="58">
        <v>0</v>
      </c>
      <c r="G106" s="12" t="s">
        <v>1689</v>
      </c>
      <c r="H106" s="61">
        <f t="shared" si="3"/>
        <v>44459</v>
      </c>
    </row>
    <row r="107" spans="3:11" ht="13.5" customHeight="1" x14ac:dyDescent="0.2">
      <c r="C107" s="12"/>
      <c r="D107" s="57"/>
      <c r="E107" s="60">
        <v>44458</v>
      </c>
      <c r="F107" s="58">
        <v>0</v>
      </c>
      <c r="G107" s="12" t="s">
        <v>1689</v>
      </c>
      <c r="H107" s="61">
        <f t="shared" si="3"/>
        <v>44459</v>
      </c>
    </row>
    <row r="108" spans="3:11" ht="13.5" customHeight="1" x14ac:dyDescent="0.2">
      <c r="C108" s="12"/>
      <c r="D108" s="57"/>
      <c r="E108" s="60">
        <v>44459</v>
      </c>
      <c r="F108" s="58">
        <v>0</v>
      </c>
      <c r="G108" s="12" t="s">
        <v>1689</v>
      </c>
      <c r="H108" s="61">
        <f t="shared" si="3"/>
        <v>44459</v>
      </c>
    </row>
    <row r="109" spans="3:11" ht="13.5" customHeight="1" x14ac:dyDescent="0.2">
      <c r="C109" s="12" t="s">
        <v>83</v>
      </c>
      <c r="D109" s="57" t="s">
        <v>1508</v>
      </c>
      <c r="E109" s="60">
        <v>44460</v>
      </c>
      <c r="F109" s="58">
        <v>664</v>
      </c>
      <c r="G109" s="12" t="s">
        <v>1689</v>
      </c>
      <c r="H109" s="61">
        <f t="shared" si="3"/>
        <v>44460</v>
      </c>
    </row>
    <row r="110" spans="3:11" ht="13.5" customHeight="1" x14ac:dyDescent="0.2">
      <c r="C110" s="12" t="s">
        <v>135</v>
      </c>
      <c r="D110" s="57" t="s">
        <v>1485</v>
      </c>
      <c r="E110" s="60">
        <v>44461</v>
      </c>
      <c r="F110" s="58">
        <v>177</v>
      </c>
      <c r="G110" s="12" t="s">
        <v>1676</v>
      </c>
      <c r="H110" s="61">
        <f t="shared" si="3"/>
        <v>44461</v>
      </c>
    </row>
    <row r="111" spans="3:11" ht="13.5" customHeight="1" x14ac:dyDescent="0.2">
      <c r="C111" s="12" t="s">
        <v>56</v>
      </c>
      <c r="D111" s="57" t="s">
        <v>1399</v>
      </c>
      <c r="E111" s="60">
        <v>44461</v>
      </c>
      <c r="F111" s="58">
        <f>2172-484-699-609</f>
        <v>380</v>
      </c>
      <c r="G111" s="12" t="s">
        <v>1689</v>
      </c>
      <c r="H111" s="61">
        <f t="shared" si="3"/>
        <v>44461</v>
      </c>
    </row>
    <row r="112" spans="3:11" ht="13.5" customHeight="1" x14ac:dyDescent="0.2">
      <c r="C112" s="12" t="s">
        <v>229</v>
      </c>
      <c r="D112" s="57" t="s">
        <v>1465</v>
      </c>
      <c r="E112" s="60">
        <v>44462</v>
      </c>
      <c r="F112" s="58">
        <v>700</v>
      </c>
      <c r="G112" s="12" t="s">
        <v>1689</v>
      </c>
      <c r="H112" s="61">
        <f t="shared" si="3"/>
        <v>44462</v>
      </c>
    </row>
    <row r="113" spans="3:8" ht="13.5" customHeight="1" x14ac:dyDescent="0.2">
      <c r="C113" s="12" t="s">
        <v>96</v>
      </c>
      <c r="D113" s="57" t="s">
        <v>1372</v>
      </c>
      <c r="E113" s="60">
        <v>44462</v>
      </c>
      <c r="F113" s="58">
        <v>1643</v>
      </c>
      <c r="G113" s="12" t="s">
        <v>1689</v>
      </c>
      <c r="H113" s="61">
        <f t="shared" si="3"/>
        <v>44462</v>
      </c>
    </row>
    <row r="114" spans="3:8" ht="13.5" customHeight="1" x14ac:dyDescent="0.2">
      <c r="C114" s="12" t="s">
        <v>56</v>
      </c>
      <c r="D114" s="57" t="s">
        <v>122</v>
      </c>
      <c r="E114" s="60">
        <v>44462</v>
      </c>
      <c r="F114" s="58">
        <v>2078</v>
      </c>
      <c r="G114" s="12" t="s">
        <v>1689</v>
      </c>
      <c r="H114" s="61">
        <f t="shared" si="3"/>
        <v>44462</v>
      </c>
    </row>
    <row r="115" spans="3:8" ht="13.5" customHeight="1" x14ac:dyDescent="0.2">
      <c r="C115" s="12" t="s">
        <v>159</v>
      </c>
      <c r="D115" s="57" t="s">
        <v>1705</v>
      </c>
      <c r="E115" s="60">
        <v>44462</v>
      </c>
      <c r="F115" s="58">
        <v>507.09</v>
      </c>
      <c r="G115" s="12" t="s">
        <v>1689</v>
      </c>
      <c r="H115" s="61">
        <f t="shared" si="3"/>
        <v>44462</v>
      </c>
    </row>
    <row r="116" spans="3:8" ht="13.5" customHeight="1" x14ac:dyDescent="0.2">
      <c r="C116" s="12" t="s">
        <v>74</v>
      </c>
      <c r="D116" s="57" t="s">
        <v>1801</v>
      </c>
      <c r="E116" s="60">
        <v>44462</v>
      </c>
      <c r="F116" s="58">
        <v>11287.05</v>
      </c>
      <c r="G116" s="12" t="s">
        <v>1689</v>
      </c>
      <c r="H116" s="61">
        <f t="shared" si="3"/>
        <v>44462</v>
      </c>
    </row>
    <row r="117" spans="3:8" ht="13.5" customHeight="1" x14ac:dyDescent="0.2">
      <c r="C117" s="12" t="s">
        <v>584</v>
      </c>
      <c r="D117" s="57" t="s">
        <v>1481</v>
      </c>
      <c r="E117" s="60">
        <v>44462</v>
      </c>
      <c r="F117" s="58">
        <v>3200</v>
      </c>
      <c r="G117" s="12" t="s">
        <v>1689</v>
      </c>
      <c r="H117" s="61">
        <f t="shared" si="3"/>
        <v>44462</v>
      </c>
    </row>
    <row r="118" spans="3:8" ht="13.5" customHeight="1" x14ac:dyDescent="0.2">
      <c r="C118" s="12" t="s">
        <v>83</v>
      </c>
      <c r="D118" s="57" t="s">
        <v>1442</v>
      </c>
      <c r="E118" s="60">
        <v>44462</v>
      </c>
      <c r="F118" s="58">
        <v>2300</v>
      </c>
      <c r="G118" s="12" t="s">
        <v>1689</v>
      </c>
      <c r="H118" s="61">
        <f t="shared" si="3"/>
        <v>44462</v>
      </c>
    </row>
    <row r="119" spans="3:8" ht="13.5" customHeight="1" x14ac:dyDescent="0.2">
      <c r="C119" s="12" t="s">
        <v>96</v>
      </c>
      <c r="D119" s="57" t="s">
        <v>1361</v>
      </c>
      <c r="E119" s="60">
        <v>44462</v>
      </c>
      <c r="F119" s="58">
        <v>1500</v>
      </c>
      <c r="G119" s="12" t="s">
        <v>1689</v>
      </c>
      <c r="H119" s="61">
        <f t="shared" si="3"/>
        <v>44462</v>
      </c>
    </row>
    <row r="120" spans="3:8" ht="13.5" customHeight="1" x14ac:dyDescent="0.2">
      <c r="C120" s="12" t="s">
        <v>96</v>
      </c>
      <c r="D120" s="57" t="s">
        <v>1362</v>
      </c>
      <c r="E120" s="60">
        <v>44462</v>
      </c>
      <c r="F120" s="58">
        <v>1604.18</v>
      </c>
      <c r="G120" s="12" t="s">
        <v>1689</v>
      </c>
      <c r="H120" s="61">
        <f t="shared" si="3"/>
        <v>44462</v>
      </c>
    </row>
    <row r="121" spans="3:8" ht="13.5" customHeight="1" x14ac:dyDescent="0.2">
      <c r="C121" s="12" t="s">
        <v>96</v>
      </c>
      <c r="D121" s="57" t="s">
        <v>1363</v>
      </c>
      <c r="E121" s="60">
        <v>44462</v>
      </c>
      <c r="F121" s="58">
        <v>1500</v>
      </c>
      <c r="G121" s="12" t="s">
        <v>1689</v>
      </c>
      <c r="H121" s="61">
        <f t="shared" si="3"/>
        <v>44462</v>
      </c>
    </row>
    <row r="122" spans="3:8" ht="13.5" customHeight="1" x14ac:dyDescent="0.2">
      <c r="C122" s="12" t="s">
        <v>229</v>
      </c>
      <c r="D122" s="57" t="s">
        <v>1463</v>
      </c>
      <c r="E122" s="60">
        <v>44462</v>
      </c>
      <c r="F122" s="58">
        <v>110</v>
      </c>
      <c r="G122" s="12" t="s">
        <v>1676</v>
      </c>
      <c r="H122" s="61">
        <f t="shared" si="3"/>
        <v>44462</v>
      </c>
    </row>
    <row r="123" spans="3:8" ht="13.5" customHeight="1" x14ac:dyDescent="0.2">
      <c r="C123" s="12" t="s">
        <v>83</v>
      </c>
      <c r="D123" s="57" t="s">
        <v>1430</v>
      </c>
      <c r="E123" s="60">
        <v>44462</v>
      </c>
      <c r="F123" s="58">
        <v>800</v>
      </c>
      <c r="G123" s="12" t="s">
        <v>1689</v>
      </c>
      <c r="H123" s="61">
        <f t="shared" si="3"/>
        <v>44462</v>
      </c>
    </row>
    <row r="124" spans="3:8" ht="13.5" customHeight="1" x14ac:dyDescent="0.2">
      <c r="C124" s="12" t="s">
        <v>83</v>
      </c>
      <c r="D124" s="57" t="s">
        <v>1430</v>
      </c>
      <c r="E124" s="60">
        <v>44463</v>
      </c>
      <c r="F124" s="58">
        <v>800</v>
      </c>
      <c r="G124" s="12" t="s">
        <v>1689</v>
      </c>
      <c r="H124" s="61">
        <f t="shared" si="3"/>
        <v>44463</v>
      </c>
    </row>
    <row r="125" spans="3:8" ht="13.5" customHeight="1" x14ac:dyDescent="0.2">
      <c r="C125" s="12" t="s">
        <v>584</v>
      </c>
      <c r="D125" s="57" t="s">
        <v>1484</v>
      </c>
      <c r="E125" s="60">
        <v>44463</v>
      </c>
      <c r="F125" s="58">
        <v>2000</v>
      </c>
      <c r="G125" s="12" t="s">
        <v>1689</v>
      </c>
      <c r="H125" s="61">
        <f t="shared" si="3"/>
        <v>44463</v>
      </c>
    </row>
    <row r="126" spans="3:8" ht="13.5" customHeight="1" x14ac:dyDescent="0.2">
      <c r="C126" s="12" t="s">
        <v>83</v>
      </c>
      <c r="D126" s="57" t="s">
        <v>235</v>
      </c>
      <c r="E126" s="60">
        <v>44463</v>
      </c>
      <c r="F126" s="58">
        <v>400</v>
      </c>
      <c r="G126" s="12" t="s">
        <v>1689</v>
      </c>
      <c r="H126" s="61">
        <f t="shared" si="3"/>
        <v>44463</v>
      </c>
    </row>
    <row r="127" spans="3:8" ht="13.5" customHeight="1" x14ac:dyDescent="0.2">
      <c r="C127" s="12" t="s">
        <v>159</v>
      </c>
      <c r="D127" s="57" t="s">
        <v>1477</v>
      </c>
      <c r="E127" s="60">
        <v>44463</v>
      </c>
      <c r="F127" s="58">
        <v>75.66</v>
      </c>
      <c r="G127" s="12" t="s">
        <v>1689</v>
      </c>
      <c r="H127" s="61">
        <f t="shared" si="3"/>
        <v>44463</v>
      </c>
    </row>
    <row r="128" spans="3:8" ht="13.5" customHeight="1" x14ac:dyDescent="0.2">
      <c r="C128" s="12" t="s">
        <v>159</v>
      </c>
      <c r="D128" s="57" t="s">
        <v>1477</v>
      </c>
      <c r="E128" s="60">
        <v>44463</v>
      </c>
      <c r="F128" s="58">
        <v>36.68</v>
      </c>
      <c r="G128" s="12" t="s">
        <v>1689</v>
      </c>
      <c r="H128" s="61">
        <f t="shared" si="3"/>
        <v>44463</v>
      </c>
    </row>
    <row r="129" spans="3:11" ht="13.5" customHeight="1" x14ac:dyDescent="0.2">
      <c r="C129" s="12" t="s">
        <v>74</v>
      </c>
      <c r="D129" s="57" t="s">
        <v>1497</v>
      </c>
      <c r="E129" s="60">
        <v>44463</v>
      </c>
      <c r="F129" s="58">
        <v>38.880000000000003</v>
      </c>
      <c r="G129" s="12" t="s">
        <v>1689</v>
      </c>
      <c r="H129" s="61">
        <f t="shared" si="3"/>
        <v>44463</v>
      </c>
    </row>
    <row r="130" spans="3:11" ht="13.5" customHeight="1" x14ac:dyDescent="0.2">
      <c r="C130" s="12" t="s">
        <v>84</v>
      </c>
      <c r="D130" s="57" t="s">
        <v>260</v>
      </c>
      <c r="E130" s="60">
        <v>44463</v>
      </c>
      <c r="F130" s="58">
        <v>190</v>
      </c>
      <c r="G130" s="12" t="s">
        <v>1689</v>
      </c>
      <c r="H130" s="61">
        <f t="shared" ref="H130:H161" si="4">VLOOKUP(E130,$E$2760:$H$2817,4,FALSE)</f>
        <v>44463</v>
      </c>
    </row>
    <row r="131" spans="3:11" ht="13.5" customHeight="1" x14ac:dyDescent="0.2">
      <c r="C131" s="12" t="s">
        <v>74</v>
      </c>
      <c r="D131" s="57" t="s">
        <v>1802</v>
      </c>
      <c r="E131" s="60">
        <v>44464</v>
      </c>
      <c r="F131" s="58">
        <v>11638.19</v>
      </c>
      <c r="G131" s="12" t="s">
        <v>1689</v>
      </c>
      <c r="H131" s="61">
        <f t="shared" si="4"/>
        <v>44466</v>
      </c>
      <c r="K131"/>
    </row>
    <row r="132" spans="3:11" ht="13.5" customHeight="1" x14ac:dyDescent="0.2">
      <c r="C132" s="12" t="s">
        <v>74</v>
      </c>
      <c r="D132" s="57" t="s">
        <v>1485</v>
      </c>
      <c r="E132" s="60">
        <v>44465</v>
      </c>
      <c r="F132" s="58">
        <v>178</v>
      </c>
      <c r="G132" s="12" t="s">
        <v>1676</v>
      </c>
      <c r="H132" s="61">
        <f t="shared" si="4"/>
        <v>44466</v>
      </c>
      <c r="K132"/>
    </row>
    <row r="133" spans="3:11" ht="13.5" customHeight="1" x14ac:dyDescent="0.2">
      <c r="C133" s="12" t="s">
        <v>170</v>
      </c>
      <c r="D133" s="57" t="s">
        <v>1470</v>
      </c>
      <c r="E133" s="60">
        <v>44466</v>
      </c>
      <c r="F133" s="58">
        <v>135.56</v>
      </c>
      <c r="G133" s="12" t="s">
        <v>1689</v>
      </c>
      <c r="H133" s="61">
        <f t="shared" si="4"/>
        <v>44466</v>
      </c>
      <c r="K133"/>
    </row>
    <row r="134" spans="3:11" ht="13.5" customHeight="1" x14ac:dyDescent="0.2">
      <c r="C134" s="12" t="s">
        <v>164</v>
      </c>
      <c r="D134" s="57" t="s">
        <v>1696</v>
      </c>
      <c r="E134" s="60">
        <v>44466</v>
      </c>
      <c r="F134" s="58">
        <v>140</v>
      </c>
      <c r="G134" s="12" t="s">
        <v>1689</v>
      </c>
      <c r="H134" s="61">
        <f t="shared" si="4"/>
        <v>44466</v>
      </c>
      <c r="K134"/>
    </row>
    <row r="135" spans="3:11" ht="13.5" customHeight="1" x14ac:dyDescent="0.2">
      <c r="C135" s="12" t="s">
        <v>83</v>
      </c>
      <c r="D135" s="57" t="s">
        <v>1430</v>
      </c>
      <c r="E135" s="60">
        <v>44466</v>
      </c>
      <c r="F135" s="58">
        <v>1000</v>
      </c>
      <c r="G135" s="12" t="s">
        <v>1689</v>
      </c>
      <c r="H135" s="61">
        <f t="shared" si="4"/>
        <v>44466</v>
      </c>
      <c r="K135"/>
    </row>
    <row r="136" spans="3:11" ht="13.5" customHeight="1" x14ac:dyDescent="0.2">
      <c r="C136" s="12" t="s">
        <v>72</v>
      </c>
      <c r="D136" s="12" t="s">
        <v>1794</v>
      </c>
      <c r="E136" s="60">
        <v>44466</v>
      </c>
      <c r="F136" s="58">
        <v>3500</v>
      </c>
      <c r="G136" s="12" t="s">
        <v>1688</v>
      </c>
      <c r="H136" s="61">
        <f t="shared" si="4"/>
        <v>44466</v>
      </c>
      <c r="K136"/>
    </row>
    <row r="137" spans="3:11" ht="13.5" customHeight="1" x14ac:dyDescent="0.2">
      <c r="C137" s="12" t="s">
        <v>83</v>
      </c>
      <c r="D137" s="12" t="s">
        <v>1388</v>
      </c>
      <c r="E137" s="60">
        <v>44466</v>
      </c>
      <c r="F137" s="58">
        <f>456+571</f>
        <v>1027</v>
      </c>
      <c r="G137" s="12" t="s">
        <v>1689</v>
      </c>
      <c r="H137" s="61">
        <f t="shared" si="4"/>
        <v>44466</v>
      </c>
      <c r="K137"/>
    </row>
    <row r="138" spans="3:11" ht="13.5" customHeight="1" x14ac:dyDescent="0.2">
      <c r="C138" s="12" t="s">
        <v>159</v>
      </c>
      <c r="D138" s="57" t="s">
        <v>1473</v>
      </c>
      <c r="E138" s="60">
        <v>44466</v>
      </c>
      <c r="F138" s="58">
        <v>927.58</v>
      </c>
      <c r="G138" s="12" t="s">
        <v>1689</v>
      </c>
      <c r="H138" s="61">
        <f t="shared" si="4"/>
        <v>44466</v>
      </c>
      <c r="K138"/>
    </row>
    <row r="139" spans="3:11" ht="13.5" customHeight="1" x14ac:dyDescent="0.2">
      <c r="C139" s="12" t="s">
        <v>159</v>
      </c>
      <c r="D139" s="57" t="s">
        <v>1496</v>
      </c>
      <c r="E139" s="60">
        <v>44466</v>
      </c>
      <c r="F139" s="58">
        <v>835.35</v>
      </c>
      <c r="G139" s="12" t="s">
        <v>1689</v>
      </c>
      <c r="H139" s="61">
        <f t="shared" si="4"/>
        <v>44466</v>
      </c>
      <c r="K139"/>
    </row>
    <row r="140" spans="3:11" ht="13.5" customHeight="1" x14ac:dyDescent="0.2">
      <c r="C140" s="12" t="s">
        <v>56</v>
      </c>
      <c r="D140" s="57" t="s">
        <v>1371</v>
      </c>
      <c r="E140" s="60">
        <v>44466</v>
      </c>
      <c r="F140" s="58">
        <v>5166</v>
      </c>
      <c r="G140" s="12" t="s">
        <v>1689</v>
      </c>
      <c r="H140" s="61">
        <f t="shared" si="4"/>
        <v>44466</v>
      </c>
      <c r="K140"/>
    </row>
    <row r="141" spans="3:11" ht="13.5" customHeight="1" x14ac:dyDescent="0.2">
      <c r="C141" s="12" t="s">
        <v>89</v>
      </c>
      <c r="D141" s="57" t="s">
        <v>1490</v>
      </c>
      <c r="E141" s="60">
        <v>44466</v>
      </c>
      <c r="F141" s="58">
        <v>3710.47</v>
      </c>
      <c r="G141" s="12" t="s">
        <v>64</v>
      </c>
      <c r="H141" s="61">
        <f t="shared" si="4"/>
        <v>44466</v>
      </c>
      <c r="K141"/>
    </row>
    <row r="142" spans="3:11" ht="13.5" customHeight="1" x14ac:dyDescent="0.2">
      <c r="C142" s="12" t="s">
        <v>159</v>
      </c>
      <c r="D142" s="57" t="s">
        <v>1479</v>
      </c>
      <c r="E142" s="60">
        <v>44466</v>
      </c>
      <c r="F142" s="58">
        <v>642.4</v>
      </c>
      <c r="G142" s="12" t="s">
        <v>1689</v>
      </c>
      <c r="H142" s="61">
        <f t="shared" si="4"/>
        <v>44466</v>
      </c>
      <c r="K142"/>
    </row>
    <row r="143" spans="3:11" ht="13.5" customHeight="1" x14ac:dyDescent="0.2">
      <c r="C143" s="12" t="s">
        <v>159</v>
      </c>
      <c r="D143" s="57" t="s">
        <v>1489</v>
      </c>
      <c r="E143" s="60">
        <v>44466</v>
      </c>
      <c r="F143" s="58">
        <v>1024.03</v>
      </c>
      <c r="G143" s="12" t="s">
        <v>1676</v>
      </c>
      <c r="H143" s="61">
        <f t="shared" si="4"/>
        <v>44466</v>
      </c>
      <c r="K143"/>
    </row>
    <row r="144" spans="3:11" ht="13.5" customHeight="1" x14ac:dyDescent="0.2">
      <c r="C144" s="12" t="s">
        <v>84</v>
      </c>
      <c r="D144" s="57" t="s">
        <v>1491</v>
      </c>
      <c r="E144" s="60">
        <v>44466</v>
      </c>
      <c r="F144" s="58">
        <v>4000</v>
      </c>
      <c r="G144" s="12" t="s">
        <v>1689</v>
      </c>
      <c r="H144" s="61">
        <f t="shared" si="4"/>
        <v>44466</v>
      </c>
      <c r="K144"/>
    </row>
    <row r="145" spans="3:11" ht="13.5" customHeight="1" x14ac:dyDescent="0.2">
      <c r="C145" s="12" t="s">
        <v>216</v>
      </c>
      <c r="D145" s="57" t="s">
        <v>1417</v>
      </c>
      <c r="E145" s="60">
        <v>44466</v>
      </c>
      <c r="F145" s="58">
        <v>122.63</v>
      </c>
      <c r="G145" s="12" t="s">
        <v>1676</v>
      </c>
      <c r="H145" s="61">
        <f t="shared" si="4"/>
        <v>44466</v>
      </c>
      <c r="K145"/>
    </row>
    <row r="146" spans="3:11" ht="13.5" customHeight="1" x14ac:dyDescent="0.2">
      <c r="C146" s="12" t="s">
        <v>72</v>
      </c>
      <c r="D146" s="57" t="s">
        <v>1746</v>
      </c>
      <c r="E146" s="60">
        <v>44466</v>
      </c>
      <c r="F146" s="58">
        <v>1020</v>
      </c>
      <c r="G146" s="12" t="s">
        <v>1688</v>
      </c>
      <c r="H146" s="61">
        <f t="shared" si="4"/>
        <v>44466</v>
      </c>
      <c r="K146"/>
    </row>
    <row r="147" spans="3:11" ht="13.5" customHeight="1" x14ac:dyDescent="0.2">
      <c r="C147" s="12" t="s">
        <v>82</v>
      </c>
      <c r="D147" s="57" t="s">
        <v>1327</v>
      </c>
      <c r="E147" s="60">
        <v>44466</v>
      </c>
      <c r="F147" s="58">
        <v>1600.37</v>
      </c>
      <c r="G147" s="12" t="s">
        <v>1676</v>
      </c>
      <c r="H147" s="61">
        <f t="shared" si="4"/>
        <v>44466</v>
      </c>
      <c r="K147"/>
    </row>
    <row r="148" spans="3:11" ht="13.5" customHeight="1" x14ac:dyDescent="0.2">
      <c r="C148" s="12" t="s">
        <v>76</v>
      </c>
      <c r="D148" s="57" t="s">
        <v>1444</v>
      </c>
      <c r="E148" s="60">
        <v>44466</v>
      </c>
      <c r="F148" s="58">
        <v>2507.86</v>
      </c>
      <c r="G148" s="12" t="s">
        <v>1689</v>
      </c>
      <c r="H148" s="61">
        <f t="shared" si="4"/>
        <v>44466</v>
      </c>
      <c r="K148"/>
    </row>
    <row r="149" spans="3:11" ht="13.5" customHeight="1" x14ac:dyDescent="0.2">
      <c r="C149" s="12" t="s">
        <v>89</v>
      </c>
      <c r="D149" s="57" t="s">
        <v>1214</v>
      </c>
      <c r="E149" s="60">
        <v>44466</v>
      </c>
      <c r="F149" s="58">
        <v>2935.87</v>
      </c>
      <c r="G149" s="12" t="s">
        <v>1689</v>
      </c>
      <c r="H149" s="61">
        <f t="shared" si="4"/>
        <v>44466</v>
      </c>
      <c r="K149"/>
    </row>
    <row r="150" spans="3:11" ht="13.5" customHeight="1" x14ac:dyDescent="0.2">
      <c r="C150" s="12" t="s">
        <v>76</v>
      </c>
      <c r="D150" s="57" t="s">
        <v>1467</v>
      </c>
      <c r="E150" s="60">
        <v>44466</v>
      </c>
      <c r="F150" s="58">
        <v>1000</v>
      </c>
      <c r="G150" s="12" t="s">
        <v>1689</v>
      </c>
      <c r="H150" s="61">
        <f t="shared" si="4"/>
        <v>44466</v>
      </c>
      <c r="K150"/>
    </row>
    <row r="151" spans="3:11" ht="13.5" customHeight="1" x14ac:dyDescent="0.2">
      <c r="C151" s="12" t="s">
        <v>622</v>
      </c>
      <c r="D151" s="57" t="s">
        <v>1369</v>
      </c>
      <c r="E151" s="60">
        <v>44467</v>
      </c>
      <c r="F151" s="58">
        <v>2640</v>
      </c>
      <c r="G151" s="12" t="s">
        <v>1689</v>
      </c>
      <c r="H151" s="61">
        <f t="shared" si="4"/>
        <v>44467</v>
      </c>
      <c r="K151"/>
    </row>
    <row r="152" spans="3:11" ht="13.5" customHeight="1" x14ac:dyDescent="0.2">
      <c r="C152" s="12" t="s">
        <v>72</v>
      </c>
      <c r="D152" s="57" t="s">
        <v>1711</v>
      </c>
      <c r="E152" s="60">
        <v>44467</v>
      </c>
      <c r="F152" s="58">
        <v>300</v>
      </c>
      <c r="G152" s="12" t="s">
        <v>1689</v>
      </c>
      <c r="H152" s="61">
        <f t="shared" si="4"/>
        <v>44467</v>
      </c>
      <c r="K152"/>
    </row>
    <row r="153" spans="3:11" ht="13.5" customHeight="1" x14ac:dyDescent="0.2">
      <c r="C153" s="12" t="s">
        <v>187</v>
      </c>
      <c r="D153" s="57" t="s">
        <v>1499</v>
      </c>
      <c r="E153" s="60">
        <v>44467</v>
      </c>
      <c r="F153" s="58">
        <v>260</v>
      </c>
      <c r="G153" s="12" t="s">
        <v>1689</v>
      </c>
      <c r="H153" s="61">
        <f t="shared" si="4"/>
        <v>44467</v>
      </c>
      <c r="K153"/>
    </row>
    <row r="154" spans="3:11" ht="13.5" customHeight="1" x14ac:dyDescent="0.2">
      <c r="C154" s="12" t="s">
        <v>96</v>
      </c>
      <c r="D154" s="57" t="s">
        <v>1500</v>
      </c>
      <c r="E154" s="60">
        <v>44467</v>
      </c>
      <c r="F154" s="58">
        <v>2200</v>
      </c>
      <c r="G154" s="12" t="s">
        <v>1689</v>
      </c>
      <c r="H154" s="61">
        <f t="shared" si="4"/>
        <v>44467</v>
      </c>
      <c r="K154"/>
    </row>
    <row r="155" spans="3:11" ht="13.5" customHeight="1" x14ac:dyDescent="0.2">
      <c r="C155" s="12" t="s">
        <v>229</v>
      </c>
      <c r="D155" s="57" t="s">
        <v>1501</v>
      </c>
      <c r="E155" s="60">
        <v>44467</v>
      </c>
      <c r="F155" s="58">
        <v>950</v>
      </c>
      <c r="G155" s="12" t="s">
        <v>1689</v>
      </c>
      <c r="H155" s="61">
        <f t="shared" si="4"/>
        <v>44467</v>
      </c>
      <c r="K155"/>
    </row>
    <row r="156" spans="3:11" ht="13.5" customHeight="1" x14ac:dyDescent="0.2">
      <c r="C156" s="12" t="s">
        <v>192</v>
      </c>
      <c r="D156" s="57" t="s">
        <v>1513</v>
      </c>
      <c r="E156" s="60">
        <v>44468</v>
      </c>
      <c r="F156" s="58">
        <v>223.57</v>
      </c>
      <c r="G156" s="12" t="s">
        <v>1689</v>
      </c>
      <c r="H156" s="61">
        <f t="shared" si="4"/>
        <v>44468</v>
      </c>
      <c r="K156"/>
    </row>
    <row r="157" spans="3:11" ht="13.5" customHeight="1" x14ac:dyDescent="0.2">
      <c r="C157" s="12" t="s">
        <v>164</v>
      </c>
      <c r="D157" s="57" t="s">
        <v>1219</v>
      </c>
      <c r="E157" s="60">
        <v>44468</v>
      </c>
      <c r="F157" s="58">
        <v>279.95</v>
      </c>
      <c r="G157" s="12" t="s">
        <v>1676</v>
      </c>
      <c r="H157" s="61">
        <f t="shared" si="4"/>
        <v>44468</v>
      </c>
      <c r="K157"/>
    </row>
    <row r="158" spans="3:11" ht="13.5" customHeight="1" x14ac:dyDescent="0.2">
      <c r="C158" s="12" t="s">
        <v>96</v>
      </c>
      <c r="D158" s="57" t="s">
        <v>1240</v>
      </c>
      <c r="E158" s="60">
        <v>44468</v>
      </c>
      <c r="F158" s="58">
        <v>1758.2</v>
      </c>
      <c r="G158" s="12" t="s">
        <v>1689</v>
      </c>
      <c r="H158" s="61">
        <f t="shared" si="4"/>
        <v>44468</v>
      </c>
      <c r="K158"/>
    </row>
    <row r="159" spans="3:11" ht="13.5" customHeight="1" x14ac:dyDescent="0.2">
      <c r="C159" s="12" t="s">
        <v>96</v>
      </c>
      <c r="D159" s="57" t="s">
        <v>1261</v>
      </c>
      <c r="E159" s="60">
        <v>44468</v>
      </c>
      <c r="F159" s="58">
        <v>1350</v>
      </c>
      <c r="G159" s="12" t="s">
        <v>1689</v>
      </c>
      <c r="H159" s="61">
        <f t="shared" si="4"/>
        <v>44468</v>
      </c>
      <c r="K159"/>
    </row>
    <row r="160" spans="3:11" ht="13.5" customHeight="1" x14ac:dyDescent="0.2">
      <c r="C160" s="12" t="s">
        <v>83</v>
      </c>
      <c r="D160" s="57" t="s">
        <v>1501</v>
      </c>
      <c r="E160" s="60">
        <v>44468</v>
      </c>
      <c r="F160" s="58">
        <v>500</v>
      </c>
      <c r="G160" s="12" t="s">
        <v>1689</v>
      </c>
      <c r="H160" s="61">
        <f t="shared" si="4"/>
        <v>44468</v>
      </c>
      <c r="K160"/>
    </row>
    <row r="161" spans="3:11" ht="13.5" customHeight="1" x14ac:dyDescent="0.2">
      <c r="C161" s="12" t="s">
        <v>72</v>
      </c>
      <c r="D161" s="57" t="s">
        <v>1779</v>
      </c>
      <c r="E161" s="60">
        <v>44468</v>
      </c>
      <c r="F161" s="58">
        <v>2000</v>
      </c>
      <c r="G161" s="12" t="s">
        <v>1688</v>
      </c>
      <c r="H161" s="61">
        <f t="shared" si="4"/>
        <v>44468</v>
      </c>
      <c r="K161"/>
    </row>
    <row r="162" spans="3:11" ht="13.5" customHeight="1" x14ac:dyDescent="0.2">
      <c r="C162" s="12" t="s">
        <v>159</v>
      </c>
      <c r="D162" s="57" t="s">
        <v>1504</v>
      </c>
      <c r="E162" s="60">
        <v>44468</v>
      </c>
      <c r="F162" s="58">
        <v>787.5</v>
      </c>
      <c r="G162" s="12" t="s">
        <v>1689</v>
      </c>
      <c r="H162" s="61">
        <f t="shared" ref="H162:H185" si="5">VLOOKUP(E162,$E$2760:$H$2817,4,FALSE)</f>
        <v>44468</v>
      </c>
      <c r="K162"/>
    </row>
    <row r="163" spans="3:11" ht="13.5" customHeight="1" x14ac:dyDescent="0.2">
      <c r="C163" s="12" t="s">
        <v>135</v>
      </c>
      <c r="D163" s="57" t="s">
        <v>1390</v>
      </c>
      <c r="E163" s="60">
        <v>44468</v>
      </c>
      <c r="F163" s="58">
        <v>1000</v>
      </c>
      <c r="G163" s="12" t="s">
        <v>1676</v>
      </c>
      <c r="H163" s="61">
        <f t="shared" si="5"/>
        <v>44468</v>
      </c>
      <c r="K163"/>
    </row>
    <row r="164" spans="3:11" ht="13.5" customHeight="1" x14ac:dyDescent="0.2">
      <c r="C164" s="12" t="s">
        <v>117</v>
      </c>
      <c r="D164" s="57" t="s">
        <v>1377</v>
      </c>
      <c r="E164" s="60">
        <v>44468</v>
      </c>
      <c r="F164" s="58">
        <v>500</v>
      </c>
      <c r="G164" s="12" t="s">
        <v>1689</v>
      </c>
      <c r="H164" s="61">
        <f t="shared" si="5"/>
        <v>44468</v>
      </c>
      <c r="K164"/>
    </row>
    <row r="165" spans="3:11" ht="13.5" customHeight="1" x14ac:dyDescent="0.2">
      <c r="C165" s="12" t="s">
        <v>117</v>
      </c>
      <c r="D165" s="57" t="s">
        <v>1498</v>
      </c>
      <c r="E165" s="60">
        <v>44468</v>
      </c>
      <c r="F165" s="58">
        <v>260</v>
      </c>
      <c r="G165" s="12" t="s">
        <v>1689</v>
      </c>
      <c r="H165" s="61">
        <f t="shared" si="5"/>
        <v>44468</v>
      </c>
      <c r="K165"/>
    </row>
    <row r="166" spans="3:11" ht="13.5" customHeight="1" x14ac:dyDescent="0.2">
      <c r="C166" s="12" t="s">
        <v>86</v>
      </c>
      <c r="D166" s="57" t="s">
        <v>1439</v>
      </c>
      <c r="E166" s="60">
        <v>44468</v>
      </c>
      <c r="F166" s="58">
        <v>1283.0899999999999</v>
      </c>
      <c r="G166" s="12" t="s">
        <v>68</v>
      </c>
      <c r="H166" s="61">
        <f t="shared" si="5"/>
        <v>44468</v>
      </c>
      <c r="K166"/>
    </row>
    <row r="167" spans="3:11" ht="13.5" customHeight="1" x14ac:dyDescent="0.2">
      <c r="C167" s="12" t="s">
        <v>84</v>
      </c>
      <c r="D167" s="57" t="s">
        <v>1403</v>
      </c>
      <c r="E167" s="60">
        <v>44468</v>
      </c>
      <c r="F167" s="58">
        <v>4132.34</v>
      </c>
      <c r="G167" s="12" t="s">
        <v>1689</v>
      </c>
      <c r="H167" s="61">
        <f t="shared" si="5"/>
        <v>44468</v>
      </c>
      <c r="K167"/>
    </row>
    <row r="168" spans="3:11" ht="13.5" customHeight="1" x14ac:dyDescent="0.2">
      <c r="C168" s="12" t="s">
        <v>149</v>
      </c>
      <c r="D168" s="57" t="s">
        <v>1487</v>
      </c>
      <c r="E168" s="60">
        <v>44468</v>
      </c>
      <c r="F168" s="58">
        <v>742</v>
      </c>
      <c r="G168" s="12" t="s">
        <v>1676</v>
      </c>
      <c r="H168" s="61">
        <f t="shared" si="5"/>
        <v>44468</v>
      </c>
      <c r="K168"/>
    </row>
    <row r="169" spans="3:11" ht="13.5" customHeight="1" x14ac:dyDescent="0.2">
      <c r="C169" s="12" t="s">
        <v>83</v>
      </c>
      <c r="D169" s="57" t="s">
        <v>1442</v>
      </c>
      <c r="E169" s="60">
        <v>44468</v>
      </c>
      <c r="F169" s="58">
        <v>2377</v>
      </c>
      <c r="G169" s="12" t="s">
        <v>1689</v>
      </c>
      <c r="H169" s="61">
        <f t="shared" si="5"/>
        <v>44468</v>
      </c>
      <c r="K169"/>
    </row>
    <row r="170" spans="3:11" ht="13.5" customHeight="1" x14ac:dyDescent="0.2">
      <c r="C170" s="12" t="s">
        <v>135</v>
      </c>
      <c r="D170" s="57" t="s">
        <v>1223</v>
      </c>
      <c r="E170" s="60">
        <v>44468</v>
      </c>
      <c r="F170" s="58">
        <v>3000</v>
      </c>
      <c r="G170" s="12" t="s">
        <v>1676</v>
      </c>
      <c r="H170" s="61">
        <f t="shared" si="5"/>
        <v>44468</v>
      </c>
      <c r="K170"/>
    </row>
    <row r="171" spans="3:11" ht="13.5" customHeight="1" x14ac:dyDescent="0.2">
      <c r="C171" s="12" t="s">
        <v>83</v>
      </c>
      <c r="D171" s="57" t="s">
        <v>1480</v>
      </c>
      <c r="E171" s="60">
        <v>44468</v>
      </c>
      <c r="F171" s="58">
        <v>319</v>
      </c>
      <c r="G171" s="12" t="s">
        <v>1689</v>
      </c>
      <c r="H171" s="61">
        <f t="shared" si="5"/>
        <v>44468</v>
      </c>
      <c r="K171"/>
    </row>
    <row r="172" spans="3:11" ht="13.5" customHeight="1" x14ac:dyDescent="0.2">
      <c r="C172" s="12" t="s">
        <v>164</v>
      </c>
      <c r="D172" s="57" t="s">
        <v>1495</v>
      </c>
      <c r="E172" s="60">
        <v>44468</v>
      </c>
      <c r="F172" s="58">
        <v>473.94</v>
      </c>
      <c r="G172" s="12" t="s">
        <v>1676</v>
      </c>
      <c r="H172" s="61">
        <f t="shared" si="5"/>
        <v>44468</v>
      </c>
      <c r="K172"/>
    </row>
    <row r="173" spans="3:11" ht="13.5" customHeight="1" x14ac:dyDescent="0.2">
      <c r="C173" s="12" t="s">
        <v>89</v>
      </c>
      <c r="D173" s="57" t="s">
        <v>1476</v>
      </c>
      <c r="E173" s="60">
        <v>44468</v>
      </c>
      <c r="F173" s="58">
        <v>1153.53</v>
      </c>
      <c r="G173" s="12" t="s">
        <v>1689</v>
      </c>
      <c r="H173" s="61">
        <f t="shared" si="5"/>
        <v>44468</v>
      </c>
      <c r="K173"/>
    </row>
    <row r="174" spans="3:11" ht="13.5" customHeight="1" x14ac:dyDescent="0.2">
      <c r="C174" s="12" t="s">
        <v>97</v>
      </c>
      <c r="D174" s="57" t="s">
        <v>348</v>
      </c>
      <c r="E174" s="60">
        <v>44468</v>
      </c>
      <c r="F174" s="58">
        <v>532.54999999999995</v>
      </c>
      <c r="G174" s="12" t="s">
        <v>1689</v>
      </c>
      <c r="H174" s="61">
        <f t="shared" si="5"/>
        <v>44468</v>
      </c>
      <c r="K174"/>
    </row>
    <row r="175" spans="3:11" ht="13.5" customHeight="1" x14ac:dyDescent="0.2">
      <c r="C175" s="12" t="s">
        <v>72</v>
      </c>
      <c r="D175" s="57" t="s">
        <v>780</v>
      </c>
      <c r="E175" s="60">
        <v>44468</v>
      </c>
      <c r="F175" s="58">
        <v>241.77</v>
      </c>
      <c r="G175" s="12" t="s">
        <v>1689</v>
      </c>
      <c r="H175" s="61">
        <f t="shared" si="5"/>
        <v>44468</v>
      </c>
      <c r="K175"/>
    </row>
    <row r="176" spans="3:11" ht="13.5" customHeight="1" x14ac:dyDescent="0.2">
      <c r="C176" s="12" t="s">
        <v>76</v>
      </c>
      <c r="D176" s="57" t="s">
        <v>1471</v>
      </c>
      <c r="E176" s="60">
        <v>44468</v>
      </c>
      <c r="F176" s="58">
        <v>749.28</v>
      </c>
      <c r="G176" s="12" t="s">
        <v>1689</v>
      </c>
      <c r="H176" s="61">
        <f t="shared" si="5"/>
        <v>44468</v>
      </c>
      <c r="K176"/>
    </row>
    <row r="177" spans="3:11" ht="13.5" customHeight="1" x14ac:dyDescent="0.2">
      <c r="C177" s="12" t="s">
        <v>117</v>
      </c>
      <c r="D177" s="57" t="s">
        <v>1505</v>
      </c>
      <c r="E177" s="60">
        <v>44468</v>
      </c>
      <c r="F177" s="58">
        <v>178.5</v>
      </c>
      <c r="G177" s="12" t="s">
        <v>1676</v>
      </c>
      <c r="H177" s="61">
        <f t="shared" si="5"/>
        <v>44468</v>
      </c>
      <c r="K177"/>
    </row>
    <row r="178" spans="3:11" ht="13.5" customHeight="1" x14ac:dyDescent="0.2">
      <c r="C178" s="12" t="s">
        <v>229</v>
      </c>
      <c r="D178" s="57" t="s">
        <v>1523</v>
      </c>
      <c r="E178" s="60">
        <v>44468</v>
      </c>
      <c r="F178" s="58">
        <v>160.32</v>
      </c>
      <c r="G178" s="12" t="s">
        <v>1676</v>
      </c>
      <c r="H178" s="61">
        <f t="shared" si="5"/>
        <v>44468</v>
      </c>
      <c r="K178"/>
    </row>
    <row r="179" spans="3:11" ht="13.5" customHeight="1" x14ac:dyDescent="0.2">
      <c r="C179" s="12" t="s">
        <v>84</v>
      </c>
      <c r="D179" s="57" t="s">
        <v>1468</v>
      </c>
      <c r="E179" s="60">
        <v>44469</v>
      </c>
      <c r="F179" s="58">
        <v>3151</v>
      </c>
      <c r="G179" s="12" t="s">
        <v>1689</v>
      </c>
      <c r="H179" s="61">
        <f t="shared" si="5"/>
        <v>44469</v>
      </c>
      <c r="K179"/>
    </row>
    <row r="180" spans="3:11" ht="13.5" customHeight="1" x14ac:dyDescent="0.2">
      <c r="C180" s="12" t="s">
        <v>170</v>
      </c>
      <c r="D180" s="57" t="s">
        <v>1507</v>
      </c>
      <c r="E180" s="60">
        <v>44469</v>
      </c>
      <c r="F180" s="58">
        <v>325.27</v>
      </c>
      <c r="G180" s="12" t="s">
        <v>1689</v>
      </c>
      <c r="H180" s="61">
        <f t="shared" si="5"/>
        <v>44469</v>
      </c>
      <c r="K180"/>
    </row>
    <row r="181" spans="3:11" ht="13.5" customHeight="1" x14ac:dyDescent="0.2">
      <c r="C181" s="12" t="s">
        <v>170</v>
      </c>
      <c r="D181" s="57" t="s">
        <v>1518</v>
      </c>
      <c r="E181" s="60">
        <v>44469</v>
      </c>
      <c r="F181" s="58">
        <v>60</v>
      </c>
      <c r="G181" s="12" t="s">
        <v>1689</v>
      </c>
      <c r="H181" s="61">
        <f t="shared" si="5"/>
        <v>44469</v>
      </c>
      <c r="K181"/>
    </row>
    <row r="182" spans="3:11" ht="13.5" customHeight="1" x14ac:dyDescent="0.2">
      <c r="C182" s="12" t="s">
        <v>80</v>
      </c>
      <c r="D182" s="57" t="s">
        <v>630</v>
      </c>
      <c r="E182" s="60">
        <v>44469</v>
      </c>
      <c r="F182" s="58">
        <v>40</v>
      </c>
      <c r="G182" s="12" t="s">
        <v>1689</v>
      </c>
      <c r="H182" s="61">
        <f t="shared" si="5"/>
        <v>44469</v>
      </c>
      <c r="K182"/>
    </row>
    <row r="183" spans="3:11" ht="13.5" customHeight="1" x14ac:dyDescent="0.2">
      <c r="C183" s="12" t="s">
        <v>80</v>
      </c>
      <c r="D183" s="57" t="s">
        <v>1400</v>
      </c>
      <c r="E183" s="60">
        <v>44469</v>
      </c>
      <c r="F183" s="58">
        <v>150</v>
      </c>
      <c r="G183" s="12" t="s">
        <v>1689</v>
      </c>
      <c r="H183" s="61">
        <f t="shared" si="5"/>
        <v>44469</v>
      </c>
      <c r="K183"/>
    </row>
    <row r="184" spans="3:11" ht="13.5" customHeight="1" x14ac:dyDescent="0.2">
      <c r="C184" s="12" t="s">
        <v>187</v>
      </c>
      <c r="D184" s="57" t="s">
        <v>1297</v>
      </c>
      <c r="E184" s="60">
        <v>44469</v>
      </c>
      <c r="F184" s="58">
        <v>52</v>
      </c>
      <c r="G184" s="12" t="s">
        <v>1689</v>
      </c>
      <c r="H184" s="61">
        <f t="shared" si="5"/>
        <v>44469</v>
      </c>
      <c r="K184"/>
    </row>
    <row r="185" spans="3:11" ht="13.5" customHeight="1" x14ac:dyDescent="0.2">
      <c r="C185" s="12" t="s">
        <v>88</v>
      </c>
      <c r="D185" s="57" t="s">
        <v>1486</v>
      </c>
      <c r="E185" s="60">
        <v>44469</v>
      </c>
      <c r="F185" s="58">
        <v>565</v>
      </c>
      <c r="G185" s="12" t="s">
        <v>1689</v>
      </c>
      <c r="H185" s="61">
        <f t="shared" si="5"/>
        <v>44469</v>
      </c>
      <c r="K185"/>
    </row>
    <row r="186" spans="3:11" ht="13.5" customHeight="1" x14ac:dyDescent="0.2">
      <c r="E186" s="52"/>
      <c r="H186" s="61"/>
      <c r="K186"/>
    </row>
    <row r="187" spans="3:11" ht="13.5" customHeight="1" x14ac:dyDescent="0.2">
      <c r="E187" s="52"/>
      <c r="H187" s="61"/>
      <c r="K187"/>
    </row>
    <row r="188" spans="3:11" ht="13.5" customHeight="1" x14ac:dyDescent="0.2">
      <c r="E188" s="52"/>
      <c r="H188" s="61"/>
      <c r="K188"/>
    </row>
    <row r="189" spans="3:11" ht="13.5" customHeight="1" x14ac:dyDescent="0.2">
      <c r="E189" s="52"/>
      <c r="H189" s="61"/>
      <c r="K189"/>
    </row>
    <row r="190" spans="3:11" ht="13.5" customHeight="1" x14ac:dyDescent="0.2">
      <c r="E190" s="52"/>
      <c r="H190" s="61"/>
      <c r="K190"/>
    </row>
    <row r="191" spans="3:11" ht="13.5" customHeight="1" x14ac:dyDescent="0.2">
      <c r="E191" s="52"/>
      <c r="H191" s="61"/>
      <c r="K191"/>
    </row>
    <row r="192" spans="3:11" ht="13.5" customHeight="1" x14ac:dyDescent="0.2">
      <c r="E192" s="52"/>
      <c r="H192" s="61"/>
      <c r="K192"/>
    </row>
    <row r="193" spans="5:11" ht="13.5" customHeight="1" x14ac:dyDescent="0.2">
      <c r="E193" s="52"/>
      <c r="H193" s="61"/>
      <c r="K193"/>
    </row>
    <row r="194" spans="5:11" ht="13.5" customHeight="1" x14ac:dyDescent="0.2">
      <c r="E194" s="52"/>
      <c r="H194" s="61"/>
      <c r="K194"/>
    </row>
    <row r="195" spans="5:11" ht="13.5" customHeight="1" x14ac:dyDescent="0.2">
      <c r="E195" s="52"/>
      <c r="H195" s="61"/>
      <c r="K195"/>
    </row>
    <row r="196" spans="5:11" ht="13.5" customHeight="1" x14ac:dyDescent="0.2">
      <c r="E196" s="52"/>
      <c r="H196" s="61"/>
      <c r="K196"/>
    </row>
    <row r="197" spans="5:11" ht="13.5" customHeight="1" x14ac:dyDescent="0.2">
      <c r="E197" s="52"/>
      <c r="H197" s="61"/>
      <c r="K197"/>
    </row>
    <row r="198" spans="5:11" ht="13.5" customHeight="1" x14ac:dyDescent="0.2">
      <c r="E198" s="52"/>
      <c r="H198" s="61"/>
      <c r="K198"/>
    </row>
    <row r="199" spans="5:11" ht="13.5" customHeight="1" x14ac:dyDescent="0.2">
      <c r="E199" s="52"/>
      <c r="H199" s="61"/>
      <c r="K199"/>
    </row>
    <row r="200" spans="5:11" ht="13.5" customHeight="1" x14ac:dyDescent="0.2">
      <c r="E200" s="52"/>
      <c r="H200" s="61"/>
      <c r="K200"/>
    </row>
    <row r="201" spans="5:11" ht="13.5" customHeight="1" x14ac:dyDescent="0.2">
      <c r="E201" s="52"/>
      <c r="H201" s="61"/>
      <c r="K201"/>
    </row>
    <row r="202" spans="5:11" ht="13.5" customHeight="1" x14ac:dyDescent="0.2">
      <c r="E202" s="52"/>
      <c r="H202" s="61"/>
      <c r="K202"/>
    </row>
    <row r="203" spans="5:11" ht="13.5" customHeight="1" x14ac:dyDescent="0.2">
      <c r="E203" s="52"/>
      <c r="H203" s="61"/>
      <c r="K203"/>
    </row>
    <row r="204" spans="5:11" ht="13.5" customHeight="1" x14ac:dyDescent="0.2">
      <c r="E204" s="52"/>
      <c r="H204" s="61"/>
      <c r="K204"/>
    </row>
    <row r="205" spans="5:11" ht="13.5" customHeight="1" x14ac:dyDescent="0.2">
      <c r="E205" s="52"/>
      <c r="H205" s="61"/>
      <c r="K205"/>
    </row>
    <row r="206" spans="5:11" ht="13.5" customHeight="1" x14ac:dyDescent="0.2">
      <c r="E206" s="52"/>
      <c r="H206" s="61"/>
      <c r="K206"/>
    </row>
    <row r="207" spans="5:11" ht="13.5" customHeight="1" x14ac:dyDescent="0.2">
      <c r="E207" s="52"/>
      <c r="H207" s="61"/>
      <c r="K207"/>
    </row>
    <row r="208" spans="5:11" ht="13.5" customHeight="1" x14ac:dyDescent="0.2">
      <c r="E208" s="52"/>
      <c r="H208" s="61"/>
      <c r="K208"/>
    </row>
    <row r="209" spans="5:11" ht="13.5" customHeight="1" x14ac:dyDescent="0.2">
      <c r="E209" s="52"/>
      <c r="H209" s="61"/>
      <c r="K209"/>
    </row>
    <row r="210" spans="5:11" ht="13.5" customHeight="1" x14ac:dyDescent="0.2">
      <c r="E210" s="52"/>
      <c r="H210" s="61"/>
      <c r="K210"/>
    </row>
    <row r="211" spans="5:11" ht="13.5" customHeight="1" x14ac:dyDescent="0.2">
      <c r="E211" s="52"/>
      <c r="H211" s="61"/>
      <c r="K211"/>
    </row>
    <row r="212" spans="5:11" ht="13.5" customHeight="1" x14ac:dyDescent="0.2">
      <c r="E212" s="52"/>
      <c r="H212" s="61"/>
      <c r="K212"/>
    </row>
    <row r="213" spans="5:11" ht="13.5" customHeight="1" x14ac:dyDescent="0.2">
      <c r="E213" s="52"/>
      <c r="H213" s="61"/>
      <c r="K213"/>
    </row>
    <row r="214" spans="5:11" ht="13.5" customHeight="1" x14ac:dyDescent="0.2">
      <c r="E214" s="52"/>
      <c r="H214" s="61"/>
      <c r="K214"/>
    </row>
    <row r="215" spans="5:11" ht="13.5" customHeight="1" x14ac:dyDescent="0.2">
      <c r="E215" s="52"/>
      <c r="H215" s="61"/>
      <c r="K215"/>
    </row>
    <row r="216" spans="5:11" ht="13.5" customHeight="1" x14ac:dyDescent="0.2">
      <c r="E216" s="52"/>
      <c r="H216" s="61"/>
      <c r="K216"/>
    </row>
    <row r="217" spans="5:11" ht="13.5" customHeight="1" x14ac:dyDescent="0.2">
      <c r="E217" s="52"/>
      <c r="H217" s="61"/>
      <c r="K217"/>
    </row>
    <row r="218" spans="5:11" ht="13.5" customHeight="1" x14ac:dyDescent="0.2">
      <c r="E218" s="52"/>
      <c r="H218" s="61"/>
      <c r="K218"/>
    </row>
    <row r="219" spans="5:11" ht="13.5" customHeight="1" x14ac:dyDescent="0.2">
      <c r="E219" s="52"/>
      <c r="H219" s="61"/>
      <c r="K219"/>
    </row>
    <row r="220" spans="5:11" ht="13.5" customHeight="1" x14ac:dyDescent="0.2">
      <c r="E220" s="52"/>
      <c r="H220" s="61"/>
      <c r="K220"/>
    </row>
    <row r="221" spans="5:11" ht="13.5" customHeight="1" x14ac:dyDescent="0.2">
      <c r="E221" s="52"/>
      <c r="H221" s="61"/>
      <c r="K221"/>
    </row>
    <row r="222" spans="5:11" ht="13.5" customHeight="1" x14ac:dyDescent="0.2">
      <c r="E222" s="52"/>
      <c r="H222" s="61"/>
      <c r="K222"/>
    </row>
    <row r="223" spans="5:11" ht="13.5" customHeight="1" x14ac:dyDescent="0.2">
      <c r="E223" s="52"/>
      <c r="H223" s="61"/>
      <c r="K223"/>
    </row>
    <row r="224" spans="5:11" ht="13.5" customHeight="1" x14ac:dyDescent="0.2">
      <c r="E224" s="52"/>
      <c r="H224" s="61"/>
      <c r="K224"/>
    </row>
    <row r="225" spans="5:11" ht="13.5" customHeight="1" x14ac:dyDescent="0.2">
      <c r="E225" s="52"/>
      <c r="H225" s="61"/>
      <c r="K225"/>
    </row>
    <row r="226" spans="5:11" ht="13.5" customHeight="1" x14ac:dyDescent="0.2">
      <c r="E226" s="52"/>
      <c r="H226" s="61"/>
      <c r="K226"/>
    </row>
    <row r="227" spans="5:11" ht="13.5" customHeight="1" x14ac:dyDescent="0.2">
      <c r="E227" s="52"/>
      <c r="H227" s="61"/>
      <c r="K227"/>
    </row>
    <row r="228" spans="5:11" ht="13.5" customHeight="1" x14ac:dyDescent="0.2">
      <c r="E228" s="52"/>
      <c r="H228" s="61"/>
      <c r="K228"/>
    </row>
    <row r="229" spans="5:11" ht="13.5" customHeight="1" x14ac:dyDescent="0.2">
      <c r="E229" s="52"/>
      <c r="H229" s="61"/>
      <c r="K229"/>
    </row>
    <row r="230" spans="5:11" ht="13.5" customHeight="1" x14ac:dyDescent="0.2">
      <c r="E230" s="52"/>
      <c r="H230" s="61"/>
      <c r="K230"/>
    </row>
    <row r="231" spans="5:11" ht="13.5" customHeight="1" x14ac:dyDescent="0.2">
      <c r="E231" s="52"/>
      <c r="H231" s="61"/>
      <c r="K231"/>
    </row>
    <row r="232" spans="5:11" ht="13.5" customHeight="1" x14ac:dyDescent="0.2">
      <c r="E232" s="52"/>
      <c r="H232" s="61"/>
      <c r="K232"/>
    </row>
    <row r="233" spans="5:11" ht="13.5" customHeight="1" x14ac:dyDescent="0.2">
      <c r="E233" s="52"/>
      <c r="H233" s="61"/>
      <c r="K233"/>
    </row>
    <row r="234" spans="5:11" ht="13.5" customHeight="1" x14ac:dyDescent="0.2">
      <c r="E234" s="52"/>
      <c r="H234" s="61"/>
      <c r="K234"/>
    </row>
    <row r="235" spans="5:11" ht="13.5" customHeight="1" x14ac:dyDescent="0.2">
      <c r="E235" s="52"/>
      <c r="H235" s="61"/>
      <c r="K235"/>
    </row>
    <row r="236" spans="5:11" ht="13.5" customHeight="1" x14ac:dyDescent="0.2">
      <c r="E236" s="52"/>
      <c r="H236" s="61"/>
      <c r="K236"/>
    </row>
    <row r="237" spans="5:11" ht="13.5" customHeight="1" x14ac:dyDescent="0.2">
      <c r="E237" s="52"/>
      <c r="H237" s="61"/>
      <c r="K237"/>
    </row>
    <row r="238" spans="5:11" ht="13.5" customHeight="1" x14ac:dyDescent="0.2">
      <c r="E238" s="52"/>
      <c r="H238" s="61"/>
      <c r="K238"/>
    </row>
    <row r="239" spans="5:11" ht="13.5" customHeight="1" x14ac:dyDescent="0.2">
      <c r="E239" s="52"/>
      <c r="H239" s="61"/>
      <c r="K239"/>
    </row>
    <row r="240" spans="5:11" ht="13.5" customHeight="1" x14ac:dyDescent="0.2">
      <c r="E240" s="52"/>
      <c r="H240" s="61"/>
      <c r="K240"/>
    </row>
    <row r="241" spans="5:11" ht="13.5" customHeight="1" x14ac:dyDescent="0.2">
      <c r="E241" s="52"/>
      <c r="H241" s="61"/>
      <c r="K241"/>
    </row>
    <row r="242" spans="5:11" ht="13.5" customHeight="1" x14ac:dyDescent="0.2">
      <c r="E242" s="52"/>
      <c r="H242" s="61"/>
      <c r="K242"/>
    </row>
    <row r="243" spans="5:11" ht="13.5" customHeight="1" x14ac:dyDescent="0.2">
      <c r="E243" s="52"/>
      <c r="H243" s="61"/>
      <c r="K243"/>
    </row>
    <row r="244" spans="5:11" ht="13.5" customHeight="1" x14ac:dyDescent="0.2">
      <c r="E244" s="52"/>
      <c r="H244" s="61"/>
      <c r="K244"/>
    </row>
    <row r="245" spans="5:11" ht="13.5" customHeight="1" x14ac:dyDescent="0.2">
      <c r="E245" s="52"/>
      <c r="H245" s="61"/>
      <c r="K245"/>
    </row>
    <row r="246" spans="5:11" ht="13.5" customHeight="1" x14ac:dyDescent="0.2">
      <c r="E246" s="52"/>
      <c r="H246" s="61"/>
      <c r="K246"/>
    </row>
    <row r="247" spans="5:11" ht="13.5" customHeight="1" x14ac:dyDescent="0.2">
      <c r="E247" s="52"/>
      <c r="H247" s="61"/>
      <c r="K247"/>
    </row>
    <row r="248" spans="5:11" ht="13.5" customHeight="1" x14ac:dyDescent="0.2">
      <c r="E248" s="52"/>
      <c r="H248" s="61"/>
      <c r="K248"/>
    </row>
    <row r="249" spans="5:11" ht="13.5" customHeight="1" x14ac:dyDescent="0.2">
      <c r="E249" s="52"/>
      <c r="H249" s="61"/>
      <c r="K249"/>
    </row>
    <row r="250" spans="5:11" ht="13.5" customHeight="1" x14ac:dyDescent="0.2">
      <c r="E250" s="52"/>
      <c r="H250" s="61"/>
      <c r="K250"/>
    </row>
    <row r="251" spans="5:11" ht="13.5" customHeight="1" x14ac:dyDescent="0.2">
      <c r="E251" s="52"/>
      <c r="H251" s="61"/>
      <c r="K251"/>
    </row>
    <row r="252" spans="5:11" ht="13.5" customHeight="1" x14ac:dyDescent="0.2">
      <c r="E252" s="52"/>
      <c r="H252" s="61"/>
      <c r="K252"/>
    </row>
    <row r="253" spans="5:11" ht="13.5" customHeight="1" x14ac:dyDescent="0.2">
      <c r="E253" s="52"/>
      <c r="H253" s="61"/>
      <c r="K253"/>
    </row>
    <row r="254" spans="5:11" ht="13.5" customHeight="1" x14ac:dyDescent="0.2">
      <c r="E254" s="52"/>
      <c r="H254" s="61"/>
      <c r="K254"/>
    </row>
    <row r="255" spans="5:11" ht="13.5" customHeight="1" x14ac:dyDescent="0.2">
      <c r="E255" s="52"/>
      <c r="H255" s="61"/>
      <c r="K255"/>
    </row>
    <row r="256" spans="5:11" ht="13.5" customHeight="1" x14ac:dyDescent="0.2">
      <c r="E256" s="52"/>
      <c r="H256" s="61"/>
      <c r="K256"/>
    </row>
    <row r="257" spans="5:11" ht="13.5" customHeight="1" x14ac:dyDescent="0.2">
      <c r="E257" s="52"/>
      <c r="H257" s="61"/>
      <c r="K257"/>
    </row>
    <row r="258" spans="5:11" ht="13.5" customHeight="1" x14ac:dyDescent="0.2">
      <c r="E258" s="52"/>
      <c r="H258" s="61"/>
      <c r="K258"/>
    </row>
    <row r="259" spans="5:11" ht="14.25" customHeight="1" x14ac:dyDescent="0.2">
      <c r="E259" s="52"/>
      <c r="H259" s="61"/>
      <c r="K259"/>
    </row>
    <row r="260" spans="5:11" ht="14.25" customHeight="1" x14ac:dyDescent="0.2">
      <c r="E260" s="52"/>
      <c r="H260" s="61"/>
      <c r="K260"/>
    </row>
    <row r="261" spans="5:11" ht="14.25" customHeight="1" x14ac:dyDescent="0.2">
      <c r="E261" s="52"/>
      <c r="H261" s="61"/>
      <c r="K261"/>
    </row>
    <row r="262" spans="5:11" ht="14.25" customHeight="1" x14ac:dyDescent="0.2">
      <c r="E262" s="52"/>
      <c r="H262" s="61"/>
      <c r="K262"/>
    </row>
    <row r="263" spans="5:11" ht="14.25" customHeight="1" x14ac:dyDescent="0.2">
      <c r="E263" s="52"/>
      <c r="H263" s="61"/>
      <c r="K263"/>
    </row>
    <row r="264" spans="5:11" ht="14.25" customHeight="1" x14ac:dyDescent="0.2">
      <c r="E264" s="52"/>
      <c r="H264" s="61"/>
      <c r="K264"/>
    </row>
    <row r="265" spans="5:11" ht="14.25" customHeight="1" x14ac:dyDescent="0.2">
      <c r="E265" s="52"/>
      <c r="H265" s="61"/>
      <c r="K265"/>
    </row>
    <row r="266" spans="5:11" ht="14.25" customHeight="1" x14ac:dyDescent="0.2">
      <c r="E266" s="52"/>
      <c r="H266" s="61"/>
      <c r="K266"/>
    </row>
    <row r="267" spans="5:11" ht="14.25" customHeight="1" x14ac:dyDescent="0.2">
      <c r="E267" s="52"/>
      <c r="H267" s="61"/>
      <c r="K267"/>
    </row>
    <row r="268" spans="5:11" ht="14.25" customHeight="1" x14ac:dyDescent="0.2">
      <c r="E268" s="52"/>
      <c r="H268" s="61"/>
      <c r="K268"/>
    </row>
    <row r="269" spans="5:11" ht="14.25" customHeight="1" x14ac:dyDescent="0.2">
      <c r="E269" s="52"/>
      <c r="H269" s="61"/>
      <c r="K269"/>
    </row>
    <row r="270" spans="5:11" ht="14.25" customHeight="1" x14ac:dyDescent="0.2">
      <c r="E270" s="52"/>
      <c r="H270" s="61"/>
      <c r="K270"/>
    </row>
    <row r="271" spans="5:11" ht="14.25" customHeight="1" x14ac:dyDescent="0.2">
      <c r="E271" s="52"/>
      <c r="H271" s="61"/>
      <c r="K271"/>
    </row>
    <row r="272" spans="5:11" ht="14.25" customHeight="1" x14ac:dyDescent="0.2">
      <c r="E272" s="52"/>
      <c r="H272" s="61"/>
      <c r="K272"/>
    </row>
    <row r="273" spans="5:11" ht="14.25" customHeight="1" x14ac:dyDescent="0.2">
      <c r="E273" s="52"/>
      <c r="H273" s="61"/>
      <c r="K273"/>
    </row>
    <row r="274" spans="5:11" ht="14.25" customHeight="1" x14ac:dyDescent="0.2">
      <c r="E274" s="52"/>
      <c r="H274" s="61"/>
      <c r="K274"/>
    </row>
    <row r="275" spans="5:11" ht="14.25" customHeight="1" x14ac:dyDescent="0.2">
      <c r="E275" s="52"/>
      <c r="H275" s="61"/>
      <c r="K275"/>
    </row>
    <row r="276" spans="5:11" ht="14.25" customHeight="1" x14ac:dyDescent="0.2">
      <c r="E276" s="52"/>
      <c r="H276" s="61"/>
      <c r="K276"/>
    </row>
    <row r="277" spans="5:11" ht="14.25" customHeight="1" x14ac:dyDescent="0.2">
      <c r="E277" s="52"/>
      <c r="H277" s="61"/>
      <c r="K277"/>
    </row>
    <row r="278" spans="5:11" ht="14.25" customHeight="1" x14ac:dyDescent="0.2">
      <c r="E278" s="52"/>
      <c r="H278" s="61"/>
      <c r="K278"/>
    </row>
    <row r="279" spans="5:11" ht="14.25" customHeight="1" x14ac:dyDescent="0.2">
      <c r="E279" s="52"/>
      <c r="H279" s="61"/>
      <c r="K279"/>
    </row>
    <row r="280" spans="5:11" ht="14.25" customHeight="1" x14ac:dyDescent="0.2">
      <c r="E280" s="52"/>
      <c r="H280" s="61"/>
      <c r="K280"/>
    </row>
    <row r="281" spans="5:11" ht="14.25" customHeight="1" x14ac:dyDescent="0.2">
      <c r="E281" s="52"/>
      <c r="H281" s="61"/>
      <c r="K281"/>
    </row>
    <row r="282" spans="5:11" ht="14.25" customHeight="1" x14ac:dyDescent="0.2">
      <c r="E282" s="52"/>
      <c r="H282" s="61"/>
      <c r="K282"/>
    </row>
    <row r="283" spans="5:11" ht="14.25" customHeight="1" x14ac:dyDescent="0.2">
      <c r="E283" s="52"/>
      <c r="H283" s="61"/>
      <c r="K283"/>
    </row>
    <row r="284" spans="5:11" ht="14.25" customHeight="1" x14ac:dyDescent="0.2">
      <c r="E284" s="52"/>
      <c r="H284" s="61"/>
      <c r="K284"/>
    </row>
    <row r="285" spans="5:11" ht="14.25" customHeight="1" x14ac:dyDescent="0.2">
      <c r="E285" s="52"/>
      <c r="H285" s="61"/>
      <c r="K285"/>
    </row>
    <row r="286" spans="5:11" ht="14.25" customHeight="1" x14ac:dyDescent="0.2">
      <c r="E286" s="52"/>
      <c r="H286" s="61"/>
      <c r="K286"/>
    </row>
    <row r="287" spans="5:11" ht="14.25" customHeight="1" x14ac:dyDescent="0.2">
      <c r="E287" s="52"/>
      <c r="H287" s="61"/>
      <c r="K287"/>
    </row>
    <row r="288" spans="5:11" ht="14.25" customHeight="1" x14ac:dyDescent="0.2">
      <c r="E288" s="52"/>
      <c r="H288" s="61"/>
      <c r="K288"/>
    </row>
    <row r="289" spans="5:11" ht="14.25" customHeight="1" x14ac:dyDescent="0.2">
      <c r="E289" s="52"/>
      <c r="H289" s="61"/>
      <c r="K289"/>
    </row>
    <row r="290" spans="5:11" ht="14.25" customHeight="1" x14ac:dyDescent="0.2">
      <c r="E290" s="52"/>
      <c r="H290" s="61"/>
      <c r="K290"/>
    </row>
    <row r="291" spans="5:11" ht="14.25" customHeight="1" x14ac:dyDescent="0.2">
      <c r="E291" s="52"/>
      <c r="H291" s="61"/>
      <c r="K291"/>
    </row>
    <row r="292" spans="5:11" ht="14.25" customHeight="1" x14ac:dyDescent="0.2">
      <c r="E292" s="52"/>
      <c r="H292" s="61"/>
      <c r="K292"/>
    </row>
    <row r="293" spans="5:11" ht="14.25" customHeight="1" x14ac:dyDescent="0.2">
      <c r="E293" s="52"/>
      <c r="H293" s="61"/>
      <c r="K293"/>
    </row>
    <row r="294" spans="5:11" ht="14.25" customHeight="1" x14ac:dyDescent="0.2">
      <c r="E294" s="52"/>
      <c r="H294" s="61"/>
      <c r="K294"/>
    </row>
    <row r="295" spans="5:11" ht="14.25" customHeight="1" x14ac:dyDescent="0.2">
      <c r="E295" s="52"/>
      <c r="H295" s="61"/>
      <c r="K295"/>
    </row>
    <row r="296" spans="5:11" ht="14.25" customHeight="1" x14ac:dyDescent="0.2">
      <c r="E296" s="52"/>
      <c r="H296" s="61"/>
      <c r="K296"/>
    </row>
    <row r="297" spans="5:11" ht="14.25" customHeight="1" x14ac:dyDescent="0.2">
      <c r="E297" s="52"/>
      <c r="H297" s="61"/>
      <c r="K297"/>
    </row>
    <row r="298" spans="5:11" ht="14.25" customHeight="1" x14ac:dyDescent="0.2">
      <c r="E298" s="52"/>
      <c r="H298" s="61"/>
      <c r="K298"/>
    </row>
    <row r="299" spans="5:11" ht="14.25" customHeight="1" x14ac:dyDescent="0.2">
      <c r="E299" s="52"/>
      <c r="H299" s="61"/>
      <c r="K299"/>
    </row>
    <row r="300" spans="5:11" ht="14.25" customHeight="1" x14ac:dyDescent="0.2">
      <c r="E300" s="52"/>
      <c r="H300" s="61"/>
      <c r="K300"/>
    </row>
    <row r="301" spans="5:11" ht="14.25" customHeight="1" x14ac:dyDescent="0.2">
      <c r="E301" s="52"/>
      <c r="H301" s="61"/>
      <c r="K301"/>
    </row>
    <row r="302" spans="5:11" ht="14.25" customHeight="1" x14ac:dyDescent="0.2">
      <c r="E302" s="52"/>
      <c r="H302" s="61"/>
      <c r="K302"/>
    </row>
    <row r="303" spans="5:11" ht="14.25" customHeight="1" x14ac:dyDescent="0.2">
      <c r="E303" s="52"/>
      <c r="H303" s="61"/>
      <c r="K303"/>
    </row>
    <row r="304" spans="5:11" ht="14.25" customHeight="1" x14ac:dyDescent="0.2">
      <c r="E304" s="52"/>
      <c r="H304" s="61"/>
      <c r="K304"/>
    </row>
    <row r="305" spans="5:11" ht="14.25" customHeight="1" x14ac:dyDescent="0.2">
      <c r="E305" s="52"/>
      <c r="H305" s="61"/>
      <c r="K305"/>
    </row>
    <row r="306" spans="5:11" ht="14.25" customHeight="1" x14ac:dyDescent="0.2">
      <c r="E306" s="52"/>
      <c r="H306" s="61"/>
      <c r="K306"/>
    </row>
    <row r="307" spans="5:11" ht="14.25" customHeight="1" x14ac:dyDescent="0.2">
      <c r="E307" s="52"/>
      <c r="H307" s="61"/>
      <c r="K307"/>
    </row>
    <row r="308" spans="5:11" ht="14.25" customHeight="1" x14ac:dyDescent="0.2">
      <c r="E308" s="52"/>
      <c r="H308" s="61"/>
      <c r="K308"/>
    </row>
    <row r="309" spans="5:11" ht="14.25" customHeight="1" x14ac:dyDescent="0.2">
      <c r="E309" s="52"/>
      <c r="H309" s="61"/>
      <c r="K309"/>
    </row>
    <row r="310" spans="5:11" ht="14.25" customHeight="1" x14ac:dyDescent="0.2">
      <c r="E310" s="52"/>
      <c r="H310" s="61"/>
      <c r="K310"/>
    </row>
    <row r="311" spans="5:11" ht="14.25" customHeight="1" x14ac:dyDescent="0.2">
      <c r="E311" s="52"/>
      <c r="H311" s="61"/>
      <c r="K311"/>
    </row>
    <row r="312" spans="5:11" ht="14.25" customHeight="1" x14ac:dyDescent="0.2">
      <c r="E312" s="52"/>
      <c r="H312" s="61"/>
      <c r="K312"/>
    </row>
    <row r="313" spans="5:11" ht="14.25" customHeight="1" x14ac:dyDescent="0.2">
      <c r="E313" s="52"/>
      <c r="H313" s="61"/>
      <c r="K313"/>
    </row>
    <row r="314" spans="5:11" ht="14.25" customHeight="1" x14ac:dyDescent="0.2">
      <c r="E314" s="52"/>
      <c r="H314" s="61"/>
      <c r="K314"/>
    </row>
    <row r="315" spans="5:11" ht="14.25" customHeight="1" x14ac:dyDescent="0.2">
      <c r="E315" s="52"/>
      <c r="H315" s="61"/>
      <c r="K315"/>
    </row>
    <row r="316" spans="5:11" ht="14.25" customHeight="1" x14ac:dyDescent="0.2">
      <c r="E316" s="52"/>
      <c r="H316" s="61"/>
      <c r="K316"/>
    </row>
    <row r="317" spans="5:11" ht="14.25" customHeight="1" x14ac:dyDescent="0.2">
      <c r="E317" s="52"/>
      <c r="H317" s="61"/>
      <c r="K317"/>
    </row>
    <row r="318" spans="5:11" ht="14.25" customHeight="1" x14ac:dyDescent="0.2">
      <c r="E318" s="52"/>
      <c r="H318" s="61"/>
      <c r="K318"/>
    </row>
    <row r="319" spans="5:11" ht="14.25" customHeight="1" x14ac:dyDescent="0.2">
      <c r="E319" s="52"/>
      <c r="H319" s="61"/>
      <c r="K319"/>
    </row>
    <row r="320" spans="5:11" ht="14.25" customHeight="1" x14ac:dyDescent="0.2">
      <c r="E320" s="52"/>
      <c r="H320" s="61"/>
      <c r="K320"/>
    </row>
    <row r="321" spans="5:11" ht="14.25" customHeight="1" x14ac:dyDescent="0.2">
      <c r="E321" s="52"/>
      <c r="H321" s="61"/>
      <c r="K321"/>
    </row>
    <row r="322" spans="5:11" ht="14.25" customHeight="1" x14ac:dyDescent="0.2">
      <c r="E322" s="52"/>
      <c r="H322" s="61"/>
      <c r="K322"/>
    </row>
    <row r="323" spans="5:11" ht="14.25" customHeight="1" x14ac:dyDescent="0.2">
      <c r="E323" s="52"/>
      <c r="H323" s="61"/>
      <c r="K323"/>
    </row>
    <row r="324" spans="5:11" ht="14.25" customHeight="1" x14ac:dyDescent="0.2">
      <c r="E324" s="52"/>
      <c r="H324" s="61"/>
      <c r="K324"/>
    </row>
    <row r="325" spans="5:11" ht="14.25" customHeight="1" x14ac:dyDescent="0.2">
      <c r="E325" s="52"/>
      <c r="H325" s="61"/>
      <c r="K325"/>
    </row>
    <row r="326" spans="5:11" ht="14.25" customHeight="1" x14ac:dyDescent="0.2">
      <c r="E326" s="52"/>
      <c r="H326" s="61"/>
      <c r="K326"/>
    </row>
    <row r="327" spans="5:11" ht="14.25" customHeight="1" x14ac:dyDescent="0.2">
      <c r="E327" s="52"/>
      <c r="H327" s="61"/>
      <c r="K327"/>
    </row>
    <row r="328" spans="5:11" ht="14.25" customHeight="1" x14ac:dyDescent="0.2">
      <c r="E328" s="52"/>
      <c r="H328" s="61"/>
      <c r="K328"/>
    </row>
    <row r="329" spans="5:11" ht="14.25" customHeight="1" x14ac:dyDescent="0.2">
      <c r="E329" s="52"/>
      <c r="H329" s="61"/>
      <c r="K329"/>
    </row>
    <row r="330" spans="5:11" ht="14.25" customHeight="1" x14ac:dyDescent="0.2">
      <c r="E330" s="52"/>
      <c r="H330" s="61"/>
      <c r="K330"/>
    </row>
    <row r="331" spans="5:11" ht="14.25" customHeight="1" x14ac:dyDescent="0.2">
      <c r="E331" s="52"/>
      <c r="H331" s="61"/>
      <c r="K331"/>
    </row>
    <row r="332" spans="5:11" ht="14.25" customHeight="1" x14ac:dyDescent="0.2">
      <c r="E332" s="52"/>
      <c r="H332" s="61"/>
      <c r="K332"/>
    </row>
    <row r="333" spans="5:11" ht="14.25" customHeight="1" x14ac:dyDescent="0.2">
      <c r="E333" s="52"/>
      <c r="H333" s="61"/>
      <c r="K333"/>
    </row>
    <row r="334" spans="5:11" ht="14.25" customHeight="1" x14ac:dyDescent="0.2">
      <c r="E334" s="52"/>
      <c r="H334" s="61"/>
      <c r="K334"/>
    </row>
    <row r="335" spans="5:11" ht="14.25" customHeight="1" x14ac:dyDescent="0.2">
      <c r="E335" s="52"/>
      <c r="H335" s="61"/>
      <c r="K335"/>
    </row>
    <row r="336" spans="5:11" ht="14.25" customHeight="1" x14ac:dyDescent="0.2">
      <c r="E336" s="52"/>
      <c r="H336" s="61"/>
      <c r="K336"/>
    </row>
    <row r="337" spans="5:11" ht="14.25" customHeight="1" x14ac:dyDescent="0.2">
      <c r="E337" s="52"/>
      <c r="H337" s="61"/>
      <c r="K337"/>
    </row>
    <row r="338" spans="5:11" ht="14.25" customHeight="1" x14ac:dyDescent="0.2">
      <c r="E338" s="52"/>
      <c r="H338" s="61"/>
      <c r="K338"/>
    </row>
    <row r="339" spans="5:11" ht="14.25" customHeight="1" x14ac:dyDescent="0.2">
      <c r="E339" s="52"/>
      <c r="H339" s="61"/>
      <c r="K339"/>
    </row>
    <row r="340" spans="5:11" ht="14.25" customHeight="1" x14ac:dyDescent="0.2">
      <c r="E340" s="52"/>
      <c r="H340" s="61"/>
      <c r="K340"/>
    </row>
    <row r="341" spans="5:11" ht="14.25" customHeight="1" x14ac:dyDescent="0.2">
      <c r="E341" s="52"/>
      <c r="H341" s="61"/>
      <c r="K341"/>
    </row>
    <row r="342" spans="5:11" ht="14.25" customHeight="1" x14ac:dyDescent="0.2">
      <c r="E342" s="52"/>
      <c r="H342" s="61"/>
      <c r="K342"/>
    </row>
    <row r="343" spans="5:11" ht="14.25" customHeight="1" x14ac:dyDescent="0.2">
      <c r="E343" s="52"/>
      <c r="H343" s="61"/>
      <c r="K343"/>
    </row>
    <row r="344" spans="5:11" ht="14.25" customHeight="1" x14ac:dyDescent="0.2">
      <c r="E344" s="52"/>
      <c r="H344" s="61"/>
      <c r="K344"/>
    </row>
    <row r="345" spans="5:11" ht="14.25" customHeight="1" x14ac:dyDescent="0.2">
      <c r="E345" s="52"/>
      <c r="H345" s="61"/>
      <c r="K345"/>
    </row>
    <row r="346" spans="5:11" ht="14.25" customHeight="1" x14ac:dyDescent="0.2">
      <c r="E346" s="52"/>
      <c r="H346" s="61"/>
      <c r="K346"/>
    </row>
    <row r="347" spans="5:11" ht="14.25" customHeight="1" x14ac:dyDescent="0.2">
      <c r="E347" s="52"/>
      <c r="H347" s="61"/>
      <c r="K347"/>
    </row>
    <row r="348" spans="5:11" ht="14.25" customHeight="1" x14ac:dyDescent="0.2">
      <c r="E348" s="52"/>
      <c r="H348" s="61"/>
      <c r="K348"/>
    </row>
    <row r="349" spans="5:11" ht="14.25" customHeight="1" x14ac:dyDescent="0.2">
      <c r="E349" s="52"/>
      <c r="H349" s="61"/>
      <c r="K349"/>
    </row>
    <row r="350" spans="5:11" ht="14.25" customHeight="1" x14ac:dyDescent="0.2">
      <c r="E350" s="52"/>
      <c r="H350" s="61"/>
      <c r="K350"/>
    </row>
    <row r="351" spans="5:11" ht="14.25" customHeight="1" x14ac:dyDescent="0.2">
      <c r="E351" s="52"/>
      <c r="H351" s="61"/>
      <c r="K351"/>
    </row>
    <row r="352" spans="5:11" ht="14.25" customHeight="1" x14ac:dyDescent="0.2">
      <c r="E352" s="52"/>
      <c r="H352" s="61"/>
      <c r="K352"/>
    </row>
    <row r="353" spans="5:11" ht="14.25" customHeight="1" x14ac:dyDescent="0.2">
      <c r="E353" s="52"/>
      <c r="H353" s="61"/>
      <c r="K353"/>
    </row>
    <row r="354" spans="5:11" ht="14.25" customHeight="1" x14ac:dyDescent="0.2">
      <c r="E354" s="52"/>
      <c r="H354" s="61"/>
      <c r="K354"/>
    </row>
    <row r="355" spans="5:11" ht="14.25" customHeight="1" x14ac:dyDescent="0.2">
      <c r="E355" s="52"/>
      <c r="H355" s="61"/>
      <c r="K355"/>
    </row>
    <row r="356" spans="5:11" ht="14.25" customHeight="1" x14ac:dyDescent="0.2">
      <c r="E356" s="52"/>
      <c r="H356" s="61"/>
      <c r="K356"/>
    </row>
    <row r="357" spans="5:11" ht="14.25" customHeight="1" x14ac:dyDescent="0.2">
      <c r="E357" s="52"/>
      <c r="H357" s="61"/>
      <c r="K357"/>
    </row>
    <row r="358" spans="5:11" ht="14.25" customHeight="1" x14ac:dyDescent="0.2">
      <c r="E358" s="52"/>
      <c r="H358" s="61"/>
      <c r="K358"/>
    </row>
    <row r="359" spans="5:11" ht="14.25" customHeight="1" x14ac:dyDescent="0.2">
      <c r="E359" s="52"/>
      <c r="H359" s="61"/>
      <c r="K359"/>
    </row>
    <row r="360" spans="5:11" ht="14.25" customHeight="1" x14ac:dyDescent="0.2">
      <c r="E360" s="52"/>
      <c r="H360" s="61"/>
      <c r="K360"/>
    </row>
    <row r="361" spans="5:11" ht="14.25" customHeight="1" x14ac:dyDescent="0.2">
      <c r="E361" s="52"/>
      <c r="H361" s="61"/>
      <c r="K361"/>
    </row>
    <row r="362" spans="5:11" ht="14.25" customHeight="1" x14ac:dyDescent="0.2">
      <c r="E362" s="52"/>
      <c r="H362" s="61"/>
      <c r="K362"/>
    </row>
    <row r="363" spans="5:11" ht="14.25" customHeight="1" x14ac:dyDescent="0.2">
      <c r="E363" s="52"/>
      <c r="H363" s="61"/>
      <c r="K363"/>
    </row>
    <row r="364" spans="5:11" ht="14.25" customHeight="1" x14ac:dyDescent="0.2">
      <c r="E364" s="52"/>
      <c r="H364" s="61"/>
      <c r="K364"/>
    </row>
    <row r="365" spans="5:11" ht="14.25" customHeight="1" x14ac:dyDescent="0.2">
      <c r="E365" s="52"/>
      <c r="H365" s="61"/>
      <c r="K365"/>
    </row>
    <row r="366" spans="5:11" ht="14.25" customHeight="1" x14ac:dyDescent="0.2">
      <c r="E366" s="52"/>
      <c r="H366" s="61"/>
      <c r="K366"/>
    </row>
    <row r="367" spans="5:11" ht="14.25" customHeight="1" x14ac:dyDescent="0.2">
      <c r="E367" s="52"/>
      <c r="H367" s="61"/>
      <c r="K367"/>
    </row>
    <row r="368" spans="5:11" ht="14.25" customHeight="1" x14ac:dyDescent="0.2">
      <c r="E368" s="52"/>
      <c r="H368" s="61"/>
      <c r="K368"/>
    </row>
    <row r="369" spans="5:11" ht="14.25" customHeight="1" x14ac:dyDescent="0.2">
      <c r="E369" s="52"/>
      <c r="H369" s="61"/>
      <c r="K369"/>
    </row>
    <row r="370" spans="5:11" ht="14.25" customHeight="1" x14ac:dyDescent="0.2">
      <c r="E370" s="52"/>
      <c r="H370" s="61"/>
      <c r="K370"/>
    </row>
    <row r="371" spans="5:11" ht="14.25" customHeight="1" x14ac:dyDescent="0.2">
      <c r="E371" s="52"/>
      <c r="H371" s="61"/>
      <c r="K371"/>
    </row>
    <row r="372" spans="5:11" ht="14.25" customHeight="1" x14ac:dyDescent="0.2">
      <c r="E372" s="52"/>
      <c r="H372" s="61"/>
      <c r="K372"/>
    </row>
    <row r="373" spans="5:11" ht="14.25" customHeight="1" x14ac:dyDescent="0.2">
      <c r="E373" s="52"/>
      <c r="H373" s="61"/>
      <c r="K373"/>
    </row>
    <row r="374" spans="5:11" ht="14.25" customHeight="1" x14ac:dyDescent="0.2">
      <c r="E374" s="52"/>
      <c r="H374" s="61"/>
      <c r="K374"/>
    </row>
    <row r="375" spans="5:11" ht="14.25" customHeight="1" x14ac:dyDescent="0.2">
      <c r="E375" s="52"/>
      <c r="H375" s="61"/>
      <c r="K375"/>
    </row>
    <row r="376" spans="5:11" ht="14.25" customHeight="1" x14ac:dyDescent="0.2">
      <c r="E376" s="52"/>
      <c r="H376" s="61"/>
      <c r="K376"/>
    </row>
    <row r="377" spans="5:11" ht="14.25" customHeight="1" x14ac:dyDescent="0.2">
      <c r="E377" s="52"/>
      <c r="H377" s="61"/>
      <c r="K377"/>
    </row>
    <row r="378" spans="5:11" ht="14.25" customHeight="1" x14ac:dyDescent="0.2">
      <c r="E378" s="52"/>
      <c r="H378" s="61"/>
      <c r="K378"/>
    </row>
    <row r="379" spans="5:11" ht="14.25" customHeight="1" x14ac:dyDescent="0.2">
      <c r="E379" s="52"/>
      <c r="H379" s="61"/>
      <c r="K379"/>
    </row>
    <row r="380" spans="5:11" ht="14.25" customHeight="1" x14ac:dyDescent="0.2">
      <c r="E380" s="52"/>
      <c r="H380" s="61"/>
      <c r="K380"/>
    </row>
    <row r="381" spans="5:11" ht="14.25" customHeight="1" x14ac:dyDescent="0.2">
      <c r="E381" s="52"/>
      <c r="H381" s="61"/>
      <c r="K381"/>
    </row>
    <row r="382" spans="5:11" ht="14.25" customHeight="1" x14ac:dyDescent="0.2">
      <c r="E382" s="52"/>
      <c r="H382" s="61"/>
      <c r="K382"/>
    </row>
    <row r="383" spans="5:11" ht="14.25" customHeight="1" x14ac:dyDescent="0.2">
      <c r="E383" s="52"/>
      <c r="H383" s="61"/>
      <c r="K383"/>
    </row>
    <row r="384" spans="5:11" ht="14.25" customHeight="1" x14ac:dyDescent="0.2">
      <c r="E384" s="52"/>
      <c r="H384" s="61"/>
      <c r="K384"/>
    </row>
    <row r="385" spans="5:11" ht="14.25" customHeight="1" x14ac:dyDescent="0.2">
      <c r="E385" s="52"/>
      <c r="H385" s="61"/>
      <c r="K385"/>
    </row>
    <row r="386" spans="5:11" ht="14.25" customHeight="1" x14ac:dyDescent="0.2">
      <c r="E386" s="52"/>
      <c r="H386" s="61"/>
      <c r="K386"/>
    </row>
    <row r="387" spans="5:11" ht="14.25" customHeight="1" x14ac:dyDescent="0.2">
      <c r="E387" s="52"/>
      <c r="H387" s="61"/>
      <c r="K387"/>
    </row>
    <row r="388" spans="5:11" ht="14.25" customHeight="1" x14ac:dyDescent="0.2">
      <c r="E388" s="52"/>
      <c r="H388" s="61"/>
      <c r="K388"/>
    </row>
    <row r="389" spans="5:11" ht="14.25" customHeight="1" x14ac:dyDescent="0.2">
      <c r="E389" s="52"/>
      <c r="H389" s="61"/>
      <c r="K389"/>
    </row>
    <row r="390" spans="5:11" ht="14.25" customHeight="1" x14ac:dyDescent="0.2">
      <c r="E390" s="52"/>
      <c r="H390" s="61"/>
      <c r="K390"/>
    </row>
    <row r="391" spans="5:11" ht="14.25" customHeight="1" x14ac:dyDescent="0.2">
      <c r="E391" s="52"/>
      <c r="F391" s="41"/>
      <c r="H391" s="61"/>
      <c r="K391"/>
    </row>
    <row r="392" spans="5:11" ht="14.25" customHeight="1" x14ac:dyDescent="0.2">
      <c r="E392" s="52"/>
      <c r="F392" s="41"/>
      <c r="H392" s="61"/>
      <c r="K392"/>
    </row>
    <row r="393" spans="5:11" ht="14.25" customHeight="1" x14ac:dyDescent="0.2">
      <c r="E393" s="52"/>
      <c r="F393" s="41"/>
      <c r="H393" s="61"/>
      <c r="K393"/>
    </row>
    <row r="394" spans="5:11" ht="14.25" customHeight="1" x14ac:dyDescent="0.2">
      <c r="E394" s="52"/>
      <c r="F394" s="41"/>
      <c r="H394" s="61"/>
      <c r="K394"/>
    </row>
    <row r="395" spans="5:11" ht="14.25" customHeight="1" x14ac:dyDescent="0.2">
      <c r="E395" s="52"/>
      <c r="F395" s="41"/>
      <c r="H395" s="61"/>
      <c r="K395"/>
    </row>
    <row r="396" spans="5:11" ht="14.25" customHeight="1" x14ac:dyDescent="0.2">
      <c r="E396" s="52"/>
      <c r="F396" s="41"/>
      <c r="H396" s="61"/>
      <c r="K396"/>
    </row>
    <row r="397" spans="5:11" ht="14.25" customHeight="1" x14ac:dyDescent="0.2">
      <c r="E397" s="52"/>
      <c r="F397" s="41"/>
      <c r="H397" s="61"/>
      <c r="K397"/>
    </row>
    <row r="398" spans="5:11" ht="14.25" customHeight="1" x14ac:dyDescent="0.2">
      <c r="E398" s="52"/>
      <c r="F398" s="41"/>
      <c r="H398" s="61"/>
      <c r="K398"/>
    </row>
    <row r="399" spans="5:11" ht="14.25" customHeight="1" x14ac:dyDescent="0.2">
      <c r="E399" s="52"/>
      <c r="F399" s="41"/>
      <c r="H399" s="61"/>
      <c r="K399"/>
    </row>
    <row r="400" spans="5:11" ht="14.25" customHeight="1" x14ac:dyDescent="0.2">
      <c r="E400" s="52"/>
      <c r="F400" s="41"/>
      <c r="H400" s="61"/>
      <c r="K400"/>
    </row>
    <row r="401" spans="5:11" ht="14.25" customHeight="1" x14ac:dyDescent="0.2">
      <c r="E401" s="52"/>
      <c r="F401" s="41"/>
      <c r="H401" s="61"/>
      <c r="K401"/>
    </row>
    <row r="402" spans="5:11" ht="14.25" customHeight="1" x14ac:dyDescent="0.2">
      <c r="E402" s="52"/>
      <c r="F402" s="41"/>
      <c r="H402" s="61"/>
      <c r="K402"/>
    </row>
    <row r="403" spans="5:11" ht="13.5" customHeight="1" x14ac:dyDescent="0.2">
      <c r="E403" s="52"/>
      <c r="F403" s="41"/>
      <c r="H403" s="61"/>
      <c r="K403"/>
    </row>
    <row r="404" spans="5:11" ht="13.5" customHeight="1" x14ac:dyDescent="0.2">
      <c r="E404" s="52"/>
      <c r="F404" s="41"/>
      <c r="H404" s="61"/>
      <c r="K404"/>
    </row>
    <row r="405" spans="5:11" ht="13.5" customHeight="1" x14ac:dyDescent="0.2">
      <c r="E405" s="52"/>
      <c r="F405" s="41"/>
      <c r="H405" s="61"/>
      <c r="K405"/>
    </row>
    <row r="406" spans="5:11" ht="13.5" customHeight="1" x14ac:dyDescent="0.2">
      <c r="E406" s="52"/>
      <c r="F406" s="41"/>
      <c r="H406" s="61"/>
      <c r="K406"/>
    </row>
    <row r="407" spans="5:11" ht="13.5" customHeight="1" x14ac:dyDescent="0.2">
      <c r="E407" s="52"/>
      <c r="F407" s="41"/>
      <c r="H407" s="61"/>
      <c r="K407"/>
    </row>
    <row r="408" spans="5:11" ht="13.5" customHeight="1" x14ac:dyDescent="0.2">
      <c r="E408" s="52"/>
      <c r="F408" s="41"/>
      <c r="H408" s="61"/>
      <c r="K408"/>
    </row>
    <row r="409" spans="5:11" ht="13.5" customHeight="1" x14ac:dyDescent="0.2">
      <c r="E409" s="52"/>
      <c r="F409" s="41"/>
      <c r="H409" s="61"/>
      <c r="K409"/>
    </row>
    <row r="410" spans="5:11" ht="13.5" customHeight="1" x14ac:dyDescent="0.2">
      <c r="E410" s="52"/>
      <c r="F410" s="41"/>
      <c r="H410" s="61"/>
      <c r="K410"/>
    </row>
    <row r="411" spans="5:11" ht="13.5" customHeight="1" x14ac:dyDescent="0.2">
      <c r="E411" s="52"/>
      <c r="F411" s="41"/>
      <c r="H411" s="61"/>
      <c r="K411"/>
    </row>
    <row r="412" spans="5:11" ht="13.5" customHeight="1" x14ac:dyDescent="0.2">
      <c r="E412" s="52"/>
      <c r="F412" s="41"/>
      <c r="H412" s="61"/>
      <c r="K412"/>
    </row>
    <row r="413" spans="5:11" ht="13.5" customHeight="1" x14ac:dyDescent="0.2">
      <c r="E413" s="52"/>
      <c r="F413" s="41"/>
      <c r="H413" s="61"/>
      <c r="K413"/>
    </row>
    <row r="414" spans="5:11" ht="13.5" customHeight="1" x14ac:dyDescent="0.2">
      <c r="E414" s="52"/>
      <c r="F414" s="41"/>
      <c r="H414" s="61"/>
      <c r="K414"/>
    </row>
    <row r="415" spans="5:11" ht="13.5" customHeight="1" x14ac:dyDescent="0.2">
      <c r="E415" s="52"/>
      <c r="F415" s="41"/>
      <c r="H415" s="61"/>
      <c r="K415"/>
    </row>
    <row r="416" spans="5:11" ht="13.5" customHeight="1" x14ac:dyDescent="0.2">
      <c r="E416" s="52"/>
      <c r="F416" s="41"/>
      <c r="H416" s="61"/>
      <c r="K416"/>
    </row>
    <row r="417" spans="5:11" ht="13.5" customHeight="1" x14ac:dyDescent="0.2">
      <c r="E417" s="52"/>
      <c r="F417" s="41"/>
      <c r="H417" s="61"/>
      <c r="K417"/>
    </row>
    <row r="418" spans="5:11" ht="13.5" customHeight="1" x14ac:dyDescent="0.2">
      <c r="E418" s="52"/>
      <c r="F418" s="41"/>
      <c r="H418" s="61"/>
      <c r="K418"/>
    </row>
    <row r="419" spans="5:11" ht="13.5" customHeight="1" x14ac:dyDescent="0.2">
      <c r="E419" s="52"/>
      <c r="F419" s="41"/>
      <c r="H419" s="61"/>
      <c r="K419"/>
    </row>
    <row r="420" spans="5:11" ht="13.5" customHeight="1" x14ac:dyDescent="0.2">
      <c r="E420" s="52"/>
      <c r="F420" s="41"/>
      <c r="H420" s="61"/>
      <c r="K420"/>
    </row>
    <row r="421" spans="5:11" ht="13.5" customHeight="1" x14ac:dyDescent="0.2">
      <c r="E421" s="52"/>
      <c r="F421" s="41"/>
      <c r="H421" s="61"/>
      <c r="K421"/>
    </row>
    <row r="422" spans="5:11" ht="13.5" customHeight="1" x14ac:dyDescent="0.2">
      <c r="E422" s="52"/>
      <c r="F422" s="41"/>
      <c r="H422" s="61"/>
      <c r="K422"/>
    </row>
    <row r="423" spans="5:11" ht="13.5" customHeight="1" x14ac:dyDescent="0.2">
      <c r="E423" s="52"/>
      <c r="F423" s="41"/>
      <c r="H423" s="61"/>
      <c r="K423"/>
    </row>
    <row r="424" spans="5:11" ht="13.5" customHeight="1" x14ac:dyDescent="0.2">
      <c r="E424" s="52"/>
      <c r="F424" s="41"/>
      <c r="H424" s="61"/>
      <c r="K424"/>
    </row>
    <row r="425" spans="5:11" ht="13.5" customHeight="1" x14ac:dyDescent="0.2">
      <c r="E425" s="52"/>
      <c r="F425" s="41"/>
      <c r="H425" s="61"/>
      <c r="K425"/>
    </row>
    <row r="426" spans="5:11" ht="13.5" customHeight="1" x14ac:dyDescent="0.2">
      <c r="E426" s="52"/>
      <c r="F426" s="41"/>
      <c r="H426" s="61"/>
      <c r="K426"/>
    </row>
    <row r="427" spans="5:11" ht="13.5" customHeight="1" x14ac:dyDescent="0.2">
      <c r="E427" s="52"/>
      <c r="H427" s="61"/>
      <c r="K427"/>
    </row>
    <row r="428" spans="5:11" ht="13.5" customHeight="1" x14ac:dyDescent="0.2">
      <c r="E428" s="52"/>
      <c r="H428" s="61"/>
      <c r="K428"/>
    </row>
    <row r="429" spans="5:11" ht="13.5" customHeight="1" x14ac:dyDescent="0.2">
      <c r="E429" s="52"/>
      <c r="H429" s="61"/>
      <c r="K429"/>
    </row>
    <row r="430" spans="5:11" ht="13.5" customHeight="1" x14ac:dyDescent="0.2">
      <c r="E430" s="52"/>
      <c r="H430" s="61"/>
      <c r="K430"/>
    </row>
    <row r="431" spans="5:11" ht="13.5" customHeight="1" x14ac:dyDescent="0.2">
      <c r="E431" s="52"/>
      <c r="H431" s="61"/>
      <c r="K431"/>
    </row>
    <row r="432" spans="5:11" ht="13.5" customHeight="1" x14ac:dyDescent="0.2">
      <c r="E432" s="52"/>
      <c r="H432" s="61"/>
      <c r="K432"/>
    </row>
    <row r="433" spans="5:11" ht="13.5" customHeight="1" x14ac:dyDescent="0.2">
      <c r="E433" s="52"/>
      <c r="H433" s="61"/>
      <c r="K433"/>
    </row>
    <row r="434" spans="5:11" ht="13.5" customHeight="1" x14ac:dyDescent="0.2">
      <c r="E434" s="52"/>
      <c r="H434" s="61"/>
      <c r="K434"/>
    </row>
    <row r="435" spans="5:11" ht="13.5" customHeight="1" x14ac:dyDescent="0.2">
      <c r="E435" s="52"/>
      <c r="H435" s="61"/>
      <c r="K435"/>
    </row>
    <row r="436" spans="5:11" ht="13.5" customHeight="1" x14ac:dyDescent="0.2">
      <c r="E436" s="52"/>
      <c r="H436" s="61"/>
      <c r="K436"/>
    </row>
    <row r="437" spans="5:11" ht="13.5" customHeight="1" x14ac:dyDescent="0.2">
      <c r="E437" s="52"/>
      <c r="H437" s="61"/>
      <c r="K437"/>
    </row>
    <row r="438" spans="5:11" ht="13.5" customHeight="1" x14ac:dyDescent="0.2">
      <c r="E438" s="52"/>
      <c r="H438" s="61"/>
      <c r="K438"/>
    </row>
    <row r="439" spans="5:11" ht="13.5" customHeight="1" x14ac:dyDescent="0.2">
      <c r="E439" s="52"/>
      <c r="H439" s="61"/>
      <c r="K439"/>
    </row>
    <row r="440" spans="5:11" ht="13.5" customHeight="1" x14ac:dyDescent="0.2">
      <c r="E440" s="52"/>
      <c r="H440" s="61"/>
      <c r="K440"/>
    </row>
    <row r="441" spans="5:11" ht="13.5" customHeight="1" x14ac:dyDescent="0.2">
      <c r="E441" s="52"/>
      <c r="H441" s="61"/>
      <c r="K441"/>
    </row>
    <row r="442" spans="5:11" ht="13.5" customHeight="1" x14ac:dyDescent="0.2">
      <c r="E442" s="52"/>
      <c r="H442" s="61"/>
      <c r="K442"/>
    </row>
    <row r="443" spans="5:11" ht="13.5" customHeight="1" x14ac:dyDescent="0.2">
      <c r="E443" s="52"/>
      <c r="H443" s="61"/>
      <c r="K443"/>
    </row>
    <row r="444" spans="5:11" ht="13.5" customHeight="1" x14ac:dyDescent="0.2">
      <c r="E444" s="52"/>
      <c r="H444" s="61"/>
      <c r="K444"/>
    </row>
    <row r="445" spans="5:11" ht="13.5" customHeight="1" x14ac:dyDescent="0.2">
      <c r="E445" s="52"/>
      <c r="H445" s="61"/>
      <c r="K445"/>
    </row>
    <row r="446" spans="5:11" ht="13.5" customHeight="1" x14ac:dyDescent="0.2">
      <c r="E446" s="52"/>
      <c r="H446" s="61"/>
      <c r="K446"/>
    </row>
    <row r="447" spans="5:11" ht="13.5" customHeight="1" x14ac:dyDescent="0.2">
      <c r="E447" s="52"/>
      <c r="H447" s="61"/>
      <c r="K447"/>
    </row>
    <row r="448" spans="5:11" ht="13.5" customHeight="1" x14ac:dyDescent="0.2">
      <c r="E448" s="52"/>
      <c r="H448" s="61"/>
      <c r="K448"/>
    </row>
    <row r="449" spans="5:11" ht="13.5" customHeight="1" x14ac:dyDescent="0.2">
      <c r="E449" s="52"/>
      <c r="H449" s="61"/>
      <c r="K449"/>
    </row>
    <row r="450" spans="5:11" ht="13.5" customHeight="1" x14ac:dyDescent="0.2">
      <c r="E450" s="52"/>
      <c r="H450" s="61"/>
      <c r="K450"/>
    </row>
    <row r="451" spans="5:11" ht="13.5" customHeight="1" x14ac:dyDescent="0.2">
      <c r="E451" s="52"/>
      <c r="H451" s="61"/>
      <c r="K451"/>
    </row>
    <row r="452" spans="5:11" ht="13.5" customHeight="1" x14ac:dyDescent="0.2">
      <c r="E452" s="52"/>
      <c r="H452" s="61"/>
      <c r="K452"/>
    </row>
    <row r="453" spans="5:11" ht="13.5" customHeight="1" x14ac:dyDescent="0.2">
      <c r="E453" s="52"/>
      <c r="H453" s="61"/>
      <c r="K453"/>
    </row>
    <row r="454" spans="5:11" ht="13.5" customHeight="1" x14ac:dyDescent="0.2">
      <c r="E454" s="52"/>
      <c r="H454" s="61"/>
      <c r="K454"/>
    </row>
    <row r="455" spans="5:11" ht="13.5" customHeight="1" x14ac:dyDescent="0.2">
      <c r="E455" s="52"/>
      <c r="H455" s="61"/>
      <c r="K455"/>
    </row>
    <row r="456" spans="5:11" ht="13.5" customHeight="1" x14ac:dyDescent="0.2">
      <c r="E456" s="52"/>
      <c r="H456" s="61"/>
      <c r="K456"/>
    </row>
    <row r="457" spans="5:11" ht="13.5" customHeight="1" x14ac:dyDescent="0.2">
      <c r="E457" s="52"/>
      <c r="H457" s="61"/>
      <c r="K457"/>
    </row>
    <row r="458" spans="5:11" ht="13.5" customHeight="1" x14ac:dyDescent="0.2">
      <c r="E458" s="52"/>
      <c r="H458" s="61"/>
      <c r="K458"/>
    </row>
    <row r="459" spans="5:11" ht="13.5" customHeight="1" x14ac:dyDescent="0.2">
      <c r="E459" s="52"/>
      <c r="H459" s="61"/>
      <c r="K459"/>
    </row>
    <row r="460" spans="5:11" ht="13.5" customHeight="1" x14ac:dyDescent="0.2">
      <c r="E460" s="52"/>
      <c r="H460" s="61"/>
      <c r="K460"/>
    </row>
    <row r="461" spans="5:11" ht="13.5" customHeight="1" x14ac:dyDescent="0.2">
      <c r="E461" s="52"/>
      <c r="H461" s="61"/>
      <c r="K461"/>
    </row>
    <row r="462" spans="5:11" ht="13.5" customHeight="1" x14ac:dyDescent="0.2">
      <c r="E462" s="52"/>
      <c r="H462" s="61"/>
      <c r="K462"/>
    </row>
    <row r="463" spans="5:11" ht="13.5" customHeight="1" x14ac:dyDescent="0.2">
      <c r="E463" s="52"/>
      <c r="H463" s="61"/>
      <c r="K463"/>
    </row>
    <row r="464" spans="5:11" ht="13.5" customHeight="1" x14ac:dyDescent="0.2">
      <c r="E464" s="52"/>
      <c r="H464" s="61"/>
      <c r="K464"/>
    </row>
    <row r="465" spans="5:11" ht="13.5" customHeight="1" x14ac:dyDescent="0.2">
      <c r="E465" s="52"/>
      <c r="H465" s="61"/>
      <c r="K465"/>
    </row>
    <row r="466" spans="5:11" ht="13.5" customHeight="1" x14ac:dyDescent="0.2">
      <c r="E466" s="52"/>
      <c r="H466" s="61"/>
      <c r="K466"/>
    </row>
    <row r="467" spans="5:11" ht="13.5" customHeight="1" x14ac:dyDescent="0.2">
      <c r="E467" s="52"/>
      <c r="H467" s="61"/>
      <c r="K467"/>
    </row>
    <row r="468" spans="5:11" ht="13.5" customHeight="1" x14ac:dyDescent="0.2">
      <c r="E468" s="52"/>
      <c r="H468" s="61"/>
      <c r="K468"/>
    </row>
    <row r="469" spans="5:11" ht="13.5" customHeight="1" x14ac:dyDescent="0.2">
      <c r="E469" s="52"/>
      <c r="H469" s="61"/>
      <c r="K469"/>
    </row>
    <row r="470" spans="5:11" ht="13.5" customHeight="1" x14ac:dyDescent="0.2">
      <c r="E470" s="52"/>
      <c r="H470" s="61"/>
      <c r="K470"/>
    </row>
    <row r="471" spans="5:11" ht="13.5" customHeight="1" x14ac:dyDescent="0.2">
      <c r="E471" s="52"/>
      <c r="H471" s="61"/>
      <c r="K471"/>
    </row>
    <row r="472" spans="5:11" ht="13.5" customHeight="1" x14ac:dyDescent="0.2">
      <c r="E472" s="52"/>
      <c r="H472" s="61"/>
      <c r="K472"/>
    </row>
    <row r="473" spans="5:11" ht="13.5" customHeight="1" x14ac:dyDescent="0.2">
      <c r="E473" s="52"/>
      <c r="H473" s="61"/>
      <c r="K473"/>
    </row>
    <row r="474" spans="5:11" ht="13.5" customHeight="1" x14ac:dyDescent="0.2">
      <c r="E474" s="52"/>
      <c r="H474" s="61"/>
      <c r="K474"/>
    </row>
    <row r="475" spans="5:11" ht="13.5" customHeight="1" x14ac:dyDescent="0.2">
      <c r="E475" s="52"/>
      <c r="H475" s="61"/>
      <c r="K475"/>
    </row>
    <row r="476" spans="5:11" ht="13.5" customHeight="1" x14ac:dyDescent="0.2">
      <c r="E476" s="52"/>
      <c r="H476" s="61"/>
      <c r="K476"/>
    </row>
    <row r="477" spans="5:11" ht="13.5" customHeight="1" x14ac:dyDescent="0.2">
      <c r="E477" s="52"/>
      <c r="H477" s="61"/>
      <c r="K477"/>
    </row>
    <row r="478" spans="5:11" ht="13.5" customHeight="1" x14ac:dyDescent="0.2">
      <c r="E478" s="52"/>
      <c r="H478" s="61"/>
      <c r="K478"/>
    </row>
    <row r="479" spans="5:11" ht="13.5" customHeight="1" x14ac:dyDescent="0.2">
      <c r="E479" s="52"/>
      <c r="H479" s="61"/>
      <c r="K479"/>
    </row>
    <row r="480" spans="5:11" ht="13.5" customHeight="1" x14ac:dyDescent="0.2">
      <c r="E480" s="52"/>
      <c r="H480" s="61"/>
      <c r="K480"/>
    </row>
    <row r="481" spans="5:11" ht="13.5" customHeight="1" x14ac:dyDescent="0.2">
      <c r="E481" s="52"/>
      <c r="H481" s="61"/>
      <c r="K481"/>
    </row>
    <row r="482" spans="5:11" ht="13.5" customHeight="1" x14ac:dyDescent="0.2">
      <c r="E482" s="52"/>
      <c r="H482" s="61"/>
      <c r="K482"/>
    </row>
    <row r="483" spans="5:11" ht="13.5" customHeight="1" x14ac:dyDescent="0.2">
      <c r="E483" s="52"/>
      <c r="H483" s="61"/>
      <c r="K483"/>
    </row>
    <row r="484" spans="5:11" ht="13.5" customHeight="1" x14ac:dyDescent="0.2">
      <c r="E484" s="52"/>
      <c r="H484" s="61"/>
      <c r="K484"/>
    </row>
    <row r="485" spans="5:11" ht="13.5" customHeight="1" x14ac:dyDescent="0.2">
      <c r="E485" s="52"/>
      <c r="H485" s="61"/>
      <c r="K485"/>
    </row>
    <row r="486" spans="5:11" ht="13.5" customHeight="1" x14ac:dyDescent="0.2">
      <c r="E486" s="52"/>
      <c r="H486" s="61"/>
      <c r="K486"/>
    </row>
    <row r="487" spans="5:11" ht="13.5" customHeight="1" x14ac:dyDescent="0.2">
      <c r="E487" s="52"/>
      <c r="H487" s="61"/>
      <c r="K487"/>
    </row>
    <row r="488" spans="5:11" ht="13.5" customHeight="1" x14ac:dyDescent="0.2">
      <c r="E488" s="52"/>
      <c r="H488" s="61"/>
      <c r="K488"/>
    </row>
    <row r="489" spans="5:11" ht="13.5" customHeight="1" x14ac:dyDescent="0.2">
      <c r="E489" s="52"/>
      <c r="H489" s="61"/>
      <c r="K489"/>
    </row>
    <row r="490" spans="5:11" ht="13.5" customHeight="1" x14ac:dyDescent="0.2">
      <c r="E490" s="52"/>
      <c r="H490" s="61"/>
      <c r="K490"/>
    </row>
    <row r="491" spans="5:11" ht="13.5" customHeight="1" x14ac:dyDescent="0.2">
      <c r="E491" s="52"/>
      <c r="H491" s="61"/>
      <c r="K491"/>
    </row>
    <row r="492" spans="5:11" ht="13.5" customHeight="1" x14ac:dyDescent="0.2">
      <c r="E492" s="52"/>
      <c r="H492" s="61"/>
      <c r="K492"/>
    </row>
    <row r="493" spans="5:11" ht="13.5" customHeight="1" x14ac:dyDescent="0.2">
      <c r="E493" s="52"/>
      <c r="H493" s="61"/>
      <c r="K493"/>
    </row>
    <row r="494" spans="5:11" ht="13.5" customHeight="1" x14ac:dyDescent="0.2">
      <c r="E494" s="52"/>
      <c r="H494" s="61"/>
      <c r="K494"/>
    </row>
    <row r="495" spans="5:11" ht="13.5" customHeight="1" x14ac:dyDescent="0.2">
      <c r="E495" s="52"/>
      <c r="H495" s="61"/>
      <c r="K495"/>
    </row>
    <row r="496" spans="5:11" ht="13.5" customHeight="1" x14ac:dyDescent="0.2">
      <c r="E496" s="52"/>
      <c r="H496" s="61"/>
      <c r="K496"/>
    </row>
    <row r="497" spans="5:11" ht="13.5" customHeight="1" x14ac:dyDescent="0.2">
      <c r="E497" s="52"/>
      <c r="H497" s="61"/>
      <c r="K497"/>
    </row>
    <row r="498" spans="5:11" ht="13.5" customHeight="1" x14ac:dyDescent="0.2">
      <c r="E498" s="52"/>
      <c r="H498" s="61"/>
      <c r="K498"/>
    </row>
    <row r="499" spans="5:11" ht="13.5" customHeight="1" x14ac:dyDescent="0.2">
      <c r="E499" s="52"/>
      <c r="H499" s="61"/>
      <c r="K499"/>
    </row>
    <row r="500" spans="5:11" ht="13.5" customHeight="1" x14ac:dyDescent="0.2">
      <c r="E500" s="52"/>
      <c r="H500" s="61"/>
      <c r="K500"/>
    </row>
    <row r="501" spans="5:11" ht="13.5" customHeight="1" x14ac:dyDescent="0.2">
      <c r="E501" s="52"/>
      <c r="H501" s="61"/>
      <c r="K501"/>
    </row>
    <row r="502" spans="5:11" ht="13.5" customHeight="1" x14ac:dyDescent="0.2">
      <c r="E502" s="52"/>
      <c r="H502" s="61"/>
      <c r="K502"/>
    </row>
    <row r="503" spans="5:11" ht="13.5" customHeight="1" x14ac:dyDescent="0.2">
      <c r="E503" s="52"/>
      <c r="H503" s="61"/>
      <c r="K503"/>
    </row>
    <row r="504" spans="5:11" ht="13.5" customHeight="1" x14ac:dyDescent="0.2">
      <c r="E504" s="52"/>
      <c r="H504" s="61"/>
      <c r="K504"/>
    </row>
    <row r="505" spans="5:11" ht="13.5" customHeight="1" x14ac:dyDescent="0.2">
      <c r="E505" s="52"/>
      <c r="H505" s="61"/>
      <c r="K505"/>
    </row>
    <row r="506" spans="5:11" ht="13.5" customHeight="1" x14ac:dyDescent="0.2">
      <c r="E506" s="52"/>
      <c r="H506" s="61"/>
      <c r="K506"/>
    </row>
    <row r="507" spans="5:11" ht="13.5" customHeight="1" x14ac:dyDescent="0.2">
      <c r="E507" s="52"/>
      <c r="H507" s="61"/>
      <c r="K507"/>
    </row>
    <row r="508" spans="5:11" ht="13.5" customHeight="1" x14ac:dyDescent="0.2">
      <c r="E508" s="52"/>
      <c r="H508" s="61"/>
      <c r="K508"/>
    </row>
    <row r="509" spans="5:11" ht="13.5" customHeight="1" x14ac:dyDescent="0.2">
      <c r="E509" s="52"/>
      <c r="H509" s="61"/>
      <c r="K509"/>
    </row>
    <row r="510" spans="5:11" ht="13.5" customHeight="1" x14ac:dyDescent="0.2">
      <c r="E510" s="52"/>
      <c r="H510" s="61"/>
      <c r="K510"/>
    </row>
    <row r="511" spans="5:11" ht="13.5" customHeight="1" x14ac:dyDescent="0.2">
      <c r="E511" s="52"/>
      <c r="H511" s="61"/>
      <c r="K511"/>
    </row>
    <row r="512" spans="5:11" ht="13.5" customHeight="1" x14ac:dyDescent="0.2">
      <c r="E512" s="52"/>
      <c r="H512" s="61"/>
      <c r="K512"/>
    </row>
    <row r="513" spans="5:11" ht="13.5" customHeight="1" x14ac:dyDescent="0.2">
      <c r="E513" s="52"/>
      <c r="H513" s="61"/>
      <c r="K513"/>
    </row>
    <row r="514" spans="5:11" ht="13.5" customHeight="1" x14ac:dyDescent="0.2">
      <c r="E514" s="52"/>
      <c r="H514" s="61"/>
      <c r="K514"/>
    </row>
    <row r="515" spans="5:11" ht="13.5" customHeight="1" x14ac:dyDescent="0.2">
      <c r="E515" s="52"/>
      <c r="H515" s="61"/>
      <c r="K515"/>
    </row>
    <row r="516" spans="5:11" ht="13.5" customHeight="1" x14ac:dyDescent="0.2">
      <c r="E516" s="52"/>
      <c r="H516" s="61"/>
      <c r="K516"/>
    </row>
    <row r="517" spans="5:11" ht="13.5" customHeight="1" x14ac:dyDescent="0.2">
      <c r="E517" s="52"/>
      <c r="H517" s="61"/>
      <c r="K517"/>
    </row>
    <row r="518" spans="5:11" ht="13.5" customHeight="1" x14ac:dyDescent="0.2">
      <c r="E518" s="52"/>
      <c r="H518" s="61"/>
      <c r="K518"/>
    </row>
    <row r="519" spans="5:11" ht="13.5" customHeight="1" x14ac:dyDescent="0.2">
      <c r="E519" s="52"/>
      <c r="H519" s="61"/>
      <c r="K519"/>
    </row>
    <row r="520" spans="5:11" ht="13.5" customHeight="1" x14ac:dyDescent="0.2">
      <c r="E520" s="52"/>
      <c r="H520" s="61"/>
      <c r="K520"/>
    </row>
    <row r="521" spans="5:11" ht="13.5" customHeight="1" x14ac:dyDescent="0.2">
      <c r="E521" s="52"/>
      <c r="H521" s="61"/>
      <c r="K521"/>
    </row>
    <row r="522" spans="5:11" ht="13.5" customHeight="1" x14ac:dyDescent="0.2">
      <c r="E522" s="52"/>
      <c r="H522" s="61"/>
      <c r="K522"/>
    </row>
    <row r="523" spans="5:11" ht="13.5" customHeight="1" x14ac:dyDescent="0.2">
      <c r="E523" s="52"/>
      <c r="H523" s="61"/>
      <c r="K523"/>
    </row>
    <row r="524" spans="5:11" ht="13.5" customHeight="1" x14ac:dyDescent="0.2">
      <c r="E524" s="52"/>
      <c r="H524" s="61"/>
      <c r="K524"/>
    </row>
    <row r="525" spans="5:11" ht="13.5" customHeight="1" x14ac:dyDescent="0.2">
      <c r="E525" s="52"/>
      <c r="H525" s="61"/>
      <c r="K525"/>
    </row>
    <row r="526" spans="5:11" ht="13.5" customHeight="1" x14ac:dyDescent="0.2">
      <c r="E526" s="52"/>
      <c r="H526" s="61"/>
      <c r="K526"/>
    </row>
    <row r="527" spans="5:11" ht="13.5" customHeight="1" x14ac:dyDescent="0.2">
      <c r="E527" s="52"/>
      <c r="H527" s="61"/>
      <c r="K527"/>
    </row>
    <row r="528" spans="5:11" ht="13.5" customHeight="1" x14ac:dyDescent="0.2">
      <c r="E528" s="52"/>
      <c r="H528" s="61"/>
      <c r="K528"/>
    </row>
    <row r="529" spans="5:11" ht="13.5" customHeight="1" x14ac:dyDescent="0.2">
      <c r="E529" s="52"/>
      <c r="H529" s="61"/>
      <c r="K529"/>
    </row>
    <row r="530" spans="5:11" ht="13.5" customHeight="1" x14ac:dyDescent="0.2">
      <c r="E530" s="52"/>
      <c r="H530" s="61"/>
      <c r="K530"/>
    </row>
    <row r="531" spans="5:11" ht="13.5" customHeight="1" x14ac:dyDescent="0.2">
      <c r="E531" s="52"/>
      <c r="H531" s="61"/>
      <c r="K531"/>
    </row>
    <row r="532" spans="5:11" ht="13.5" customHeight="1" x14ac:dyDescent="0.2">
      <c r="E532" s="52"/>
      <c r="H532" s="61"/>
      <c r="K532"/>
    </row>
    <row r="533" spans="5:11" ht="13.5" customHeight="1" x14ac:dyDescent="0.2">
      <c r="E533" s="52"/>
      <c r="H533" s="61"/>
      <c r="K533"/>
    </row>
    <row r="534" spans="5:11" ht="13.5" customHeight="1" x14ac:dyDescent="0.2">
      <c r="E534" s="52"/>
      <c r="H534" s="61"/>
      <c r="K534"/>
    </row>
    <row r="535" spans="5:11" ht="13.5" customHeight="1" x14ac:dyDescent="0.2">
      <c r="E535" s="52"/>
      <c r="H535" s="61"/>
      <c r="K535"/>
    </row>
    <row r="536" spans="5:11" ht="13.5" customHeight="1" x14ac:dyDescent="0.2">
      <c r="E536" s="52"/>
      <c r="H536" s="61"/>
      <c r="K536"/>
    </row>
    <row r="537" spans="5:11" ht="13.5" customHeight="1" x14ac:dyDescent="0.2">
      <c r="E537" s="52"/>
      <c r="H537" s="61"/>
      <c r="K537"/>
    </row>
    <row r="538" spans="5:11" ht="13.5" customHeight="1" x14ac:dyDescent="0.2">
      <c r="E538" s="52"/>
      <c r="H538" s="61"/>
      <c r="K538"/>
    </row>
    <row r="539" spans="5:11" ht="13.5" customHeight="1" x14ac:dyDescent="0.2">
      <c r="E539" s="52"/>
      <c r="H539" s="61"/>
      <c r="K539"/>
    </row>
    <row r="540" spans="5:11" ht="13.5" customHeight="1" x14ac:dyDescent="0.2">
      <c r="E540" s="52"/>
      <c r="H540" s="61"/>
      <c r="K540"/>
    </row>
    <row r="541" spans="5:11" ht="13.5" customHeight="1" x14ac:dyDescent="0.2">
      <c r="E541" s="52"/>
      <c r="H541" s="61"/>
      <c r="K541"/>
    </row>
    <row r="542" spans="5:11" ht="13.5" customHeight="1" x14ac:dyDescent="0.2">
      <c r="E542" s="52"/>
      <c r="H542" s="61"/>
      <c r="K542"/>
    </row>
    <row r="543" spans="5:11" ht="13.5" customHeight="1" x14ac:dyDescent="0.2">
      <c r="E543" s="52"/>
      <c r="H543" s="61"/>
      <c r="K543"/>
    </row>
    <row r="544" spans="5:11" ht="13.5" customHeight="1" x14ac:dyDescent="0.2">
      <c r="E544" s="52"/>
      <c r="H544" s="61"/>
      <c r="K544"/>
    </row>
    <row r="545" spans="5:11" ht="13.5" customHeight="1" x14ac:dyDescent="0.2">
      <c r="E545" s="52"/>
      <c r="H545" s="61"/>
      <c r="K545"/>
    </row>
    <row r="546" spans="5:11" ht="13.5" customHeight="1" x14ac:dyDescent="0.2">
      <c r="E546" s="52"/>
      <c r="H546" s="61"/>
      <c r="K546"/>
    </row>
    <row r="547" spans="5:11" ht="13.5" customHeight="1" x14ac:dyDescent="0.2">
      <c r="E547" s="52"/>
      <c r="H547" s="61"/>
      <c r="K547"/>
    </row>
    <row r="548" spans="5:11" ht="13.5" customHeight="1" x14ac:dyDescent="0.2">
      <c r="E548" s="52"/>
      <c r="H548" s="61"/>
      <c r="K548"/>
    </row>
    <row r="549" spans="5:11" ht="13.5" customHeight="1" x14ac:dyDescent="0.2">
      <c r="E549" s="52"/>
      <c r="H549" s="61"/>
      <c r="K549"/>
    </row>
    <row r="550" spans="5:11" ht="13.5" customHeight="1" x14ac:dyDescent="0.2">
      <c r="E550" s="52"/>
      <c r="H550" s="61"/>
      <c r="K550"/>
    </row>
    <row r="551" spans="5:11" ht="13.5" customHeight="1" x14ac:dyDescent="0.2">
      <c r="E551" s="52"/>
      <c r="H551" s="61"/>
      <c r="K551"/>
    </row>
    <row r="552" spans="5:11" ht="13.5" customHeight="1" x14ac:dyDescent="0.2">
      <c r="E552" s="52"/>
      <c r="H552" s="61"/>
      <c r="K552"/>
    </row>
    <row r="553" spans="5:11" ht="13.5" customHeight="1" x14ac:dyDescent="0.2">
      <c r="E553" s="52"/>
      <c r="H553" s="61"/>
      <c r="K553"/>
    </row>
    <row r="554" spans="5:11" ht="13.5" customHeight="1" x14ac:dyDescent="0.2">
      <c r="E554" s="52"/>
      <c r="H554" s="61"/>
      <c r="K554"/>
    </row>
    <row r="555" spans="5:11" ht="13.5" customHeight="1" x14ac:dyDescent="0.2">
      <c r="E555" s="52"/>
      <c r="H555" s="61"/>
      <c r="K555"/>
    </row>
    <row r="556" spans="5:11" ht="13.5" customHeight="1" x14ac:dyDescent="0.2">
      <c r="E556" s="52"/>
      <c r="H556" s="61"/>
      <c r="K556"/>
    </row>
    <row r="557" spans="5:11" ht="13.5" customHeight="1" x14ac:dyDescent="0.2">
      <c r="E557" s="52"/>
      <c r="H557" s="61"/>
      <c r="K557"/>
    </row>
    <row r="558" spans="5:11" ht="13.5" customHeight="1" x14ac:dyDescent="0.2">
      <c r="E558" s="52"/>
      <c r="H558" s="61"/>
      <c r="K558"/>
    </row>
    <row r="559" spans="5:11" ht="13.5" customHeight="1" x14ac:dyDescent="0.2">
      <c r="E559" s="52"/>
      <c r="H559" s="61"/>
      <c r="K559"/>
    </row>
    <row r="560" spans="5:11" ht="13.5" customHeight="1" x14ac:dyDescent="0.2">
      <c r="E560" s="52"/>
      <c r="H560" s="61"/>
      <c r="K560"/>
    </row>
    <row r="561" spans="5:11" ht="13.5" customHeight="1" x14ac:dyDescent="0.2">
      <c r="E561" s="52"/>
      <c r="H561" s="61"/>
      <c r="K561"/>
    </row>
    <row r="562" spans="5:11" ht="13.5" customHeight="1" x14ac:dyDescent="0.2">
      <c r="E562" s="52"/>
      <c r="H562" s="61"/>
      <c r="K562"/>
    </row>
    <row r="563" spans="5:11" ht="13.5" customHeight="1" x14ac:dyDescent="0.2">
      <c r="E563" s="52"/>
      <c r="H563" s="61"/>
      <c r="K563"/>
    </row>
    <row r="564" spans="5:11" ht="13.5" customHeight="1" x14ac:dyDescent="0.2">
      <c r="E564" s="52"/>
      <c r="H564" s="61"/>
      <c r="K564"/>
    </row>
    <row r="565" spans="5:11" ht="13.5" customHeight="1" x14ac:dyDescent="0.2">
      <c r="E565" s="52"/>
      <c r="H565" s="61"/>
      <c r="K565"/>
    </row>
    <row r="566" spans="5:11" ht="13.5" customHeight="1" x14ac:dyDescent="0.2">
      <c r="E566" s="52"/>
      <c r="H566" s="61"/>
      <c r="K566"/>
    </row>
    <row r="567" spans="5:11" ht="13.5" customHeight="1" x14ac:dyDescent="0.2">
      <c r="E567" s="52"/>
      <c r="H567" s="61"/>
      <c r="K567"/>
    </row>
    <row r="568" spans="5:11" ht="13.5" customHeight="1" x14ac:dyDescent="0.2">
      <c r="E568" s="52"/>
      <c r="H568" s="61"/>
      <c r="K568"/>
    </row>
    <row r="569" spans="5:11" ht="13.5" customHeight="1" x14ac:dyDescent="0.2">
      <c r="E569" s="52"/>
      <c r="H569" s="61"/>
      <c r="K569"/>
    </row>
    <row r="570" spans="5:11" ht="13.5" customHeight="1" x14ac:dyDescent="0.2">
      <c r="E570" s="52"/>
      <c r="H570" s="61"/>
      <c r="K570"/>
    </row>
    <row r="571" spans="5:11" ht="13.5" customHeight="1" x14ac:dyDescent="0.2">
      <c r="E571" s="52"/>
      <c r="H571" s="61"/>
      <c r="K571"/>
    </row>
    <row r="572" spans="5:11" ht="13.5" customHeight="1" x14ac:dyDescent="0.2">
      <c r="E572" s="52"/>
      <c r="H572" s="61"/>
      <c r="K572"/>
    </row>
    <row r="573" spans="5:11" ht="13.5" customHeight="1" x14ac:dyDescent="0.2">
      <c r="E573" s="52"/>
      <c r="H573" s="61"/>
      <c r="K573"/>
    </row>
    <row r="574" spans="5:11" ht="13.5" customHeight="1" x14ac:dyDescent="0.2">
      <c r="E574" s="52"/>
      <c r="H574" s="61"/>
      <c r="K574"/>
    </row>
    <row r="575" spans="5:11" ht="13.5" customHeight="1" x14ac:dyDescent="0.2">
      <c r="E575" s="52"/>
      <c r="H575" s="61"/>
      <c r="K575"/>
    </row>
    <row r="576" spans="5:11" ht="13.5" customHeight="1" x14ac:dyDescent="0.2">
      <c r="E576" s="52"/>
      <c r="H576" s="61"/>
      <c r="K576"/>
    </row>
    <row r="577" spans="5:11" ht="13.5" customHeight="1" x14ac:dyDescent="0.2">
      <c r="E577" s="52"/>
      <c r="H577" s="61"/>
      <c r="K577"/>
    </row>
    <row r="578" spans="5:11" ht="13.5" customHeight="1" x14ac:dyDescent="0.2">
      <c r="E578" s="52"/>
      <c r="H578" s="61"/>
      <c r="K578"/>
    </row>
    <row r="579" spans="5:11" ht="13.5" customHeight="1" x14ac:dyDescent="0.2">
      <c r="E579" s="52"/>
      <c r="H579" s="61"/>
      <c r="K579"/>
    </row>
    <row r="580" spans="5:11" ht="13.5" customHeight="1" x14ac:dyDescent="0.2">
      <c r="E580" s="52"/>
      <c r="H580" s="61"/>
      <c r="K580"/>
    </row>
    <row r="581" spans="5:11" ht="13.5" customHeight="1" x14ac:dyDescent="0.2">
      <c r="E581" s="52"/>
      <c r="H581" s="61"/>
      <c r="K581"/>
    </row>
    <row r="582" spans="5:11" ht="13.5" customHeight="1" x14ac:dyDescent="0.2">
      <c r="E582" s="52"/>
      <c r="H582" s="61"/>
      <c r="K582"/>
    </row>
    <row r="583" spans="5:11" ht="13.5" customHeight="1" x14ac:dyDescent="0.2">
      <c r="E583" s="52"/>
      <c r="H583" s="61"/>
      <c r="K583"/>
    </row>
    <row r="584" spans="5:11" ht="13.5" customHeight="1" x14ac:dyDescent="0.2">
      <c r="E584" s="52"/>
      <c r="H584" s="61"/>
      <c r="K584"/>
    </row>
    <row r="585" spans="5:11" ht="13.5" customHeight="1" x14ac:dyDescent="0.2">
      <c r="E585" s="52"/>
      <c r="H585" s="61"/>
      <c r="K585"/>
    </row>
    <row r="586" spans="5:11" ht="13.5" customHeight="1" x14ac:dyDescent="0.2">
      <c r="E586" s="52"/>
      <c r="H586" s="61"/>
      <c r="K586"/>
    </row>
    <row r="587" spans="5:11" ht="13.5" customHeight="1" x14ac:dyDescent="0.2">
      <c r="E587" s="52"/>
      <c r="H587" s="61"/>
      <c r="K587"/>
    </row>
    <row r="588" spans="5:11" ht="13.5" customHeight="1" x14ac:dyDescent="0.2">
      <c r="E588" s="52"/>
      <c r="H588" s="61"/>
      <c r="K588"/>
    </row>
    <row r="589" spans="5:11" ht="13.5" customHeight="1" x14ac:dyDescent="0.2">
      <c r="E589" s="52"/>
      <c r="H589" s="61"/>
      <c r="K589"/>
    </row>
    <row r="590" spans="5:11" ht="13.5" customHeight="1" x14ac:dyDescent="0.2">
      <c r="E590" s="52"/>
      <c r="H590" s="61"/>
      <c r="K590"/>
    </row>
    <row r="591" spans="5:11" ht="13.5" customHeight="1" x14ac:dyDescent="0.2">
      <c r="E591" s="52"/>
      <c r="H591" s="61"/>
      <c r="K591"/>
    </row>
    <row r="592" spans="5:11" ht="13.5" customHeight="1" x14ac:dyDescent="0.2">
      <c r="E592" s="52"/>
      <c r="H592" s="61"/>
      <c r="K592"/>
    </row>
    <row r="593" spans="5:11" ht="13.5" customHeight="1" x14ac:dyDescent="0.2">
      <c r="E593" s="52"/>
      <c r="H593" s="61"/>
      <c r="K593"/>
    </row>
    <row r="594" spans="5:11" ht="13.5" customHeight="1" x14ac:dyDescent="0.2">
      <c r="E594" s="52"/>
      <c r="H594" s="61"/>
      <c r="K594"/>
    </row>
    <row r="595" spans="5:11" ht="13.5" customHeight="1" x14ac:dyDescent="0.2">
      <c r="E595" s="52"/>
      <c r="H595" s="61"/>
      <c r="K595"/>
    </row>
    <row r="596" spans="5:11" ht="13.5" customHeight="1" x14ac:dyDescent="0.2">
      <c r="E596" s="52"/>
      <c r="H596" s="61"/>
      <c r="K596"/>
    </row>
    <row r="597" spans="5:11" ht="13.5" customHeight="1" x14ac:dyDescent="0.2">
      <c r="E597" s="52"/>
      <c r="H597" s="61"/>
      <c r="K597"/>
    </row>
    <row r="598" spans="5:11" ht="13.5" customHeight="1" x14ac:dyDescent="0.2">
      <c r="E598" s="52"/>
      <c r="H598" s="61"/>
      <c r="K598"/>
    </row>
    <row r="599" spans="5:11" ht="13.5" customHeight="1" x14ac:dyDescent="0.2">
      <c r="E599" s="52"/>
      <c r="H599" s="61"/>
      <c r="K599"/>
    </row>
    <row r="600" spans="5:11" ht="13.5" customHeight="1" x14ac:dyDescent="0.2">
      <c r="E600" s="52"/>
      <c r="H600" s="61"/>
      <c r="K600"/>
    </row>
    <row r="601" spans="5:11" ht="13.5" customHeight="1" x14ac:dyDescent="0.2">
      <c r="E601" s="52"/>
      <c r="H601" s="61"/>
      <c r="K601"/>
    </row>
    <row r="602" spans="5:11" ht="13.5" customHeight="1" x14ac:dyDescent="0.2">
      <c r="E602" s="52"/>
      <c r="H602" s="61"/>
      <c r="K602"/>
    </row>
    <row r="603" spans="5:11" ht="13.5" customHeight="1" x14ac:dyDescent="0.2">
      <c r="E603" s="52"/>
      <c r="H603" s="61"/>
      <c r="K603"/>
    </row>
    <row r="604" spans="5:11" ht="13.5" customHeight="1" x14ac:dyDescent="0.2">
      <c r="E604" s="52"/>
      <c r="H604" s="61"/>
      <c r="K604"/>
    </row>
    <row r="605" spans="5:11" ht="13.5" customHeight="1" x14ac:dyDescent="0.2">
      <c r="E605" s="52"/>
      <c r="H605" s="61"/>
      <c r="K605"/>
    </row>
    <row r="606" spans="5:11" ht="13.5" customHeight="1" x14ac:dyDescent="0.2">
      <c r="E606" s="52"/>
      <c r="H606" s="61"/>
      <c r="K606"/>
    </row>
    <row r="607" spans="5:11" ht="13.5" customHeight="1" x14ac:dyDescent="0.2">
      <c r="E607" s="52"/>
      <c r="H607" s="61"/>
      <c r="K607"/>
    </row>
    <row r="608" spans="5:11" ht="13.5" customHeight="1" x14ac:dyDescent="0.2">
      <c r="E608" s="52"/>
      <c r="H608" s="61"/>
      <c r="K608"/>
    </row>
    <row r="609" spans="5:11" ht="13.5" customHeight="1" x14ac:dyDescent="0.2">
      <c r="E609" s="52"/>
      <c r="H609" s="61"/>
      <c r="K609"/>
    </row>
    <row r="610" spans="5:11" ht="13.5" customHeight="1" x14ac:dyDescent="0.2">
      <c r="E610" s="52"/>
      <c r="H610" s="61"/>
      <c r="K610"/>
    </row>
    <row r="611" spans="5:11" ht="13.5" customHeight="1" x14ac:dyDescent="0.2">
      <c r="E611" s="52"/>
      <c r="H611" s="61"/>
      <c r="K611"/>
    </row>
    <row r="612" spans="5:11" ht="13.5" customHeight="1" x14ac:dyDescent="0.2">
      <c r="E612" s="52"/>
      <c r="H612" s="61"/>
      <c r="K612"/>
    </row>
    <row r="613" spans="5:11" ht="13.5" customHeight="1" x14ac:dyDescent="0.2">
      <c r="E613" s="52"/>
      <c r="H613" s="61"/>
      <c r="K613"/>
    </row>
    <row r="614" spans="5:11" ht="13.5" customHeight="1" x14ac:dyDescent="0.2">
      <c r="E614" s="52"/>
      <c r="H614" s="61"/>
      <c r="K614"/>
    </row>
    <row r="615" spans="5:11" ht="13.5" customHeight="1" x14ac:dyDescent="0.2">
      <c r="E615" s="52"/>
      <c r="H615" s="61"/>
      <c r="K615"/>
    </row>
    <row r="616" spans="5:11" ht="13.5" customHeight="1" x14ac:dyDescent="0.2">
      <c r="E616" s="52"/>
      <c r="H616" s="61"/>
      <c r="K616"/>
    </row>
    <row r="617" spans="5:11" ht="13.5" customHeight="1" x14ac:dyDescent="0.2">
      <c r="E617" s="52"/>
      <c r="H617" s="61"/>
      <c r="K617"/>
    </row>
    <row r="618" spans="5:11" ht="13.5" customHeight="1" x14ac:dyDescent="0.2">
      <c r="E618" s="52"/>
      <c r="H618" s="61"/>
      <c r="K618"/>
    </row>
    <row r="619" spans="5:11" ht="13.5" customHeight="1" x14ac:dyDescent="0.2">
      <c r="E619" s="52"/>
      <c r="H619" s="61"/>
      <c r="K619"/>
    </row>
    <row r="620" spans="5:11" ht="13.5" customHeight="1" x14ac:dyDescent="0.2">
      <c r="E620" s="52"/>
      <c r="H620" s="61"/>
      <c r="K620"/>
    </row>
    <row r="621" spans="5:11" ht="13.5" customHeight="1" x14ac:dyDescent="0.2">
      <c r="E621" s="52"/>
      <c r="H621" s="61"/>
      <c r="K621"/>
    </row>
    <row r="622" spans="5:11" ht="13.5" customHeight="1" x14ac:dyDescent="0.2">
      <c r="E622" s="52"/>
      <c r="H622" s="61"/>
      <c r="K622"/>
    </row>
    <row r="623" spans="5:11" ht="13.5" customHeight="1" x14ac:dyDescent="0.2">
      <c r="E623" s="52"/>
      <c r="H623" s="61"/>
      <c r="K623"/>
    </row>
    <row r="624" spans="5:11" ht="13.5" customHeight="1" x14ac:dyDescent="0.2">
      <c r="E624" s="52"/>
      <c r="H624" s="61"/>
      <c r="K624"/>
    </row>
    <row r="625" spans="5:11" ht="13.5" customHeight="1" x14ac:dyDescent="0.2">
      <c r="E625" s="52"/>
      <c r="H625" s="61"/>
      <c r="K625"/>
    </row>
    <row r="626" spans="5:11" ht="13.5" customHeight="1" x14ac:dyDescent="0.2">
      <c r="E626" s="52"/>
      <c r="H626" s="61"/>
      <c r="K626"/>
    </row>
    <row r="627" spans="5:11" ht="13.5" customHeight="1" x14ac:dyDescent="0.2">
      <c r="E627" s="52"/>
      <c r="H627" s="61"/>
      <c r="K627"/>
    </row>
    <row r="628" spans="5:11" ht="13.5" customHeight="1" x14ac:dyDescent="0.2">
      <c r="E628" s="52"/>
      <c r="H628" s="61"/>
      <c r="K628"/>
    </row>
    <row r="629" spans="5:11" ht="13.5" customHeight="1" x14ac:dyDescent="0.2">
      <c r="E629" s="52"/>
      <c r="H629" s="61"/>
      <c r="K629"/>
    </row>
    <row r="630" spans="5:11" ht="13.5" customHeight="1" x14ac:dyDescent="0.2">
      <c r="E630" s="52"/>
      <c r="H630" s="61"/>
      <c r="K630"/>
    </row>
    <row r="631" spans="5:11" ht="13.5" customHeight="1" x14ac:dyDescent="0.2">
      <c r="E631" s="52"/>
      <c r="H631" s="61"/>
      <c r="K631"/>
    </row>
    <row r="632" spans="5:11" ht="13.5" customHeight="1" x14ac:dyDescent="0.2">
      <c r="E632" s="52"/>
      <c r="H632" s="61"/>
      <c r="K632"/>
    </row>
    <row r="633" spans="5:11" ht="13.5" customHeight="1" x14ac:dyDescent="0.2">
      <c r="E633" s="52"/>
      <c r="H633" s="61"/>
      <c r="K633"/>
    </row>
    <row r="634" spans="5:11" ht="13.5" customHeight="1" x14ac:dyDescent="0.2">
      <c r="E634" s="52"/>
      <c r="H634" s="61"/>
      <c r="K634"/>
    </row>
    <row r="635" spans="5:11" ht="13.5" customHeight="1" x14ac:dyDescent="0.2">
      <c r="E635" s="52"/>
      <c r="H635" s="61"/>
      <c r="K635"/>
    </row>
    <row r="636" spans="5:11" ht="13.5" customHeight="1" x14ac:dyDescent="0.2">
      <c r="E636" s="52"/>
      <c r="H636" s="61"/>
      <c r="K636"/>
    </row>
    <row r="637" spans="5:11" ht="13.5" customHeight="1" x14ac:dyDescent="0.2">
      <c r="E637" s="52"/>
      <c r="H637" s="61"/>
      <c r="K637"/>
    </row>
    <row r="638" spans="5:11" ht="13.5" customHeight="1" x14ac:dyDescent="0.2">
      <c r="E638" s="52"/>
      <c r="H638" s="61"/>
      <c r="K638"/>
    </row>
    <row r="639" spans="5:11" ht="13.5" customHeight="1" x14ac:dyDescent="0.2">
      <c r="E639" s="52"/>
      <c r="H639" s="61"/>
      <c r="K639"/>
    </row>
    <row r="640" spans="5:11" ht="13.5" customHeight="1" x14ac:dyDescent="0.2">
      <c r="E640" s="52"/>
      <c r="H640" s="61"/>
      <c r="K640"/>
    </row>
    <row r="641" spans="5:11" ht="13.5" customHeight="1" x14ac:dyDescent="0.2">
      <c r="E641" s="52"/>
      <c r="H641" s="61"/>
      <c r="K641"/>
    </row>
    <row r="642" spans="5:11" ht="13.5" customHeight="1" x14ac:dyDescent="0.2">
      <c r="E642" s="52"/>
      <c r="H642" s="61"/>
      <c r="K642"/>
    </row>
    <row r="643" spans="5:11" ht="13.5" customHeight="1" x14ac:dyDescent="0.2">
      <c r="E643" s="52"/>
      <c r="H643" s="61"/>
      <c r="K643"/>
    </row>
    <row r="644" spans="5:11" ht="13.5" customHeight="1" x14ac:dyDescent="0.2">
      <c r="E644" s="52"/>
      <c r="H644" s="61"/>
      <c r="K644"/>
    </row>
    <row r="645" spans="5:11" ht="13.5" customHeight="1" x14ac:dyDescent="0.2">
      <c r="E645" s="52"/>
      <c r="H645" s="61"/>
      <c r="K645"/>
    </row>
    <row r="646" spans="5:11" ht="13.5" customHeight="1" x14ac:dyDescent="0.2">
      <c r="E646" s="52"/>
      <c r="H646" s="61"/>
      <c r="K646"/>
    </row>
    <row r="647" spans="5:11" ht="13.5" customHeight="1" x14ac:dyDescent="0.2">
      <c r="E647" s="52"/>
      <c r="H647" s="61"/>
      <c r="K647"/>
    </row>
    <row r="648" spans="5:11" ht="13.5" customHeight="1" x14ac:dyDescent="0.2">
      <c r="E648" s="52"/>
      <c r="H648" s="61"/>
      <c r="K648"/>
    </row>
    <row r="649" spans="5:11" ht="13.5" customHeight="1" x14ac:dyDescent="0.2">
      <c r="E649" s="52"/>
      <c r="H649" s="61"/>
      <c r="K649"/>
    </row>
    <row r="650" spans="5:11" ht="13.5" customHeight="1" x14ac:dyDescent="0.2">
      <c r="E650" s="52"/>
      <c r="H650" s="61"/>
      <c r="K650"/>
    </row>
    <row r="651" spans="5:11" ht="13.5" customHeight="1" x14ac:dyDescent="0.2">
      <c r="E651" s="52"/>
      <c r="H651" s="61"/>
      <c r="K651"/>
    </row>
    <row r="652" spans="5:11" ht="13.5" customHeight="1" x14ac:dyDescent="0.2">
      <c r="E652" s="52"/>
      <c r="H652" s="61"/>
      <c r="K652"/>
    </row>
    <row r="653" spans="5:11" ht="13.5" customHeight="1" x14ac:dyDescent="0.2">
      <c r="E653" s="52"/>
      <c r="H653" s="61"/>
      <c r="K653"/>
    </row>
    <row r="654" spans="5:11" ht="13.5" customHeight="1" x14ac:dyDescent="0.2">
      <c r="E654" s="52"/>
      <c r="H654" s="61"/>
      <c r="K654"/>
    </row>
    <row r="655" spans="5:11" ht="13.5" customHeight="1" x14ac:dyDescent="0.2">
      <c r="E655" s="52"/>
      <c r="H655" s="61"/>
      <c r="K655"/>
    </row>
    <row r="656" spans="5:11" ht="13.5" customHeight="1" x14ac:dyDescent="0.2">
      <c r="E656" s="52"/>
      <c r="H656" s="61"/>
      <c r="K656"/>
    </row>
    <row r="657" spans="5:11" ht="13.5" customHeight="1" x14ac:dyDescent="0.2">
      <c r="E657" s="52"/>
      <c r="H657" s="61"/>
      <c r="K657"/>
    </row>
    <row r="658" spans="5:11" ht="13.5" customHeight="1" x14ac:dyDescent="0.2">
      <c r="E658" s="52"/>
      <c r="H658" s="61"/>
      <c r="K658"/>
    </row>
    <row r="659" spans="5:11" ht="13.5" customHeight="1" x14ac:dyDescent="0.2">
      <c r="E659" s="52"/>
      <c r="H659" s="61"/>
      <c r="K659"/>
    </row>
    <row r="660" spans="5:11" ht="13.5" customHeight="1" x14ac:dyDescent="0.2">
      <c r="E660" s="52"/>
      <c r="H660" s="61"/>
      <c r="K660"/>
    </row>
    <row r="661" spans="5:11" ht="13.5" customHeight="1" x14ac:dyDescent="0.2">
      <c r="E661" s="52"/>
      <c r="H661" s="61"/>
      <c r="K661"/>
    </row>
    <row r="662" spans="5:11" ht="13.5" customHeight="1" x14ac:dyDescent="0.2">
      <c r="E662" s="52"/>
      <c r="H662" s="61"/>
      <c r="K662"/>
    </row>
    <row r="663" spans="5:11" ht="13.5" customHeight="1" x14ac:dyDescent="0.2">
      <c r="E663" s="52"/>
      <c r="H663" s="61"/>
      <c r="K663"/>
    </row>
    <row r="664" spans="5:11" ht="13.5" customHeight="1" x14ac:dyDescent="0.2">
      <c r="E664" s="52"/>
      <c r="H664" s="61"/>
      <c r="K664"/>
    </row>
    <row r="665" spans="5:11" ht="13.5" customHeight="1" x14ac:dyDescent="0.2">
      <c r="E665" s="52"/>
      <c r="H665" s="61"/>
      <c r="K665"/>
    </row>
    <row r="666" spans="5:11" ht="13.5" customHeight="1" x14ac:dyDescent="0.2">
      <c r="E666" s="52"/>
      <c r="H666" s="61"/>
      <c r="K666"/>
    </row>
    <row r="667" spans="5:11" ht="13.5" customHeight="1" x14ac:dyDescent="0.2">
      <c r="E667" s="52"/>
      <c r="H667" s="61"/>
      <c r="K667"/>
    </row>
    <row r="668" spans="5:11" ht="13.5" customHeight="1" x14ac:dyDescent="0.2">
      <c r="E668" s="52"/>
      <c r="H668" s="61"/>
      <c r="K668"/>
    </row>
    <row r="669" spans="5:11" ht="13.5" customHeight="1" x14ac:dyDescent="0.2">
      <c r="E669" s="52"/>
      <c r="H669" s="61"/>
      <c r="K669"/>
    </row>
    <row r="670" spans="5:11" ht="13.5" customHeight="1" x14ac:dyDescent="0.2">
      <c r="E670" s="52"/>
      <c r="H670" s="61"/>
      <c r="K670"/>
    </row>
    <row r="671" spans="5:11" ht="13.5" customHeight="1" x14ac:dyDescent="0.2">
      <c r="E671" s="52"/>
      <c r="H671" s="61"/>
      <c r="K671"/>
    </row>
    <row r="672" spans="5:11" ht="13.5" customHeight="1" x14ac:dyDescent="0.2">
      <c r="E672" s="52"/>
      <c r="H672" s="61"/>
      <c r="K672"/>
    </row>
    <row r="673" spans="5:11" ht="13.5" customHeight="1" x14ac:dyDescent="0.2">
      <c r="E673" s="52"/>
      <c r="H673" s="61"/>
      <c r="K673"/>
    </row>
    <row r="674" spans="5:11" ht="13.5" customHeight="1" x14ac:dyDescent="0.2">
      <c r="E674" s="52"/>
      <c r="H674" s="61"/>
      <c r="K674"/>
    </row>
    <row r="675" spans="5:11" ht="13.5" customHeight="1" x14ac:dyDescent="0.2">
      <c r="E675" s="52"/>
      <c r="H675" s="61"/>
      <c r="K675"/>
    </row>
    <row r="676" spans="5:11" ht="13.5" customHeight="1" x14ac:dyDescent="0.2">
      <c r="E676" s="52"/>
      <c r="H676" s="61"/>
      <c r="K676"/>
    </row>
    <row r="677" spans="5:11" ht="13.5" customHeight="1" x14ac:dyDescent="0.2">
      <c r="E677" s="52"/>
      <c r="H677" s="61"/>
      <c r="K677"/>
    </row>
    <row r="678" spans="5:11" ht="13.5" customHeight="1" x14ac:dyDescent="0.2">
      <c r="E678" s="52"/>
      <c r="H678" s="61"/>
      <c r="K678"/>
    </row>
    <row r="679" spans="5:11" ht="13.5" customHeight="1" x14ac:dyDescent="0.2">
      <c r="E679" s="52"/>
      <c r="H679" s="61"/>
      <c r="K679"/>
    </row>
    <row r="680" spans="5:11" ht="13.5" customHeight="1" x14ac:dyDescent="0.2">
      <c r="E680" s="52"/>
      <c r="H680" s="61"/>
      <c r="K680"/>
    </row>
    <row r="681" spans="5:11" ht="13.5" customHeight="1" x14ac:dyDescent="0.2">
      <c r="E681" s="52"/>
      <c r="H681" s="61"/>
      <c r="K681"/>
    </row>
    <row r="682" spans="5:11" ht="13.5" customHeight="1" x14ac:dyDescent="0.2">
      <c r="E682" s="52"/>
      <c r="H682" s="61"/>
      <c r="K682"/>
    </row>
    <row r="683" spans="5:11" ht="13.5" customHeight="1" x14ac:dyDescent="0.2">
      <c r="E683" s="52"/>
      <c r="H683" s="61"/>
      <c r="K683"/>
    </row>
    <row r="684" spans="5:11" ht="13.5" customHeight="1" x14ac:dyDescent="0.2">
      <c r="E684" s="52"/>
      <c r="H684" s="61"/>
      <c r="K684"/>
    </row>
    <row r="685" spans="5:11" ht="13.5" customHeight="1" x14ac:dyDescent="0.2">
      <c r="E685" s="52"/>
      <c r="H685" s="61"/>
      <c r="K685"/>
    </row>
    <row r="686" spans="5:11" ht="13.5" customHeight="1" x14ac:dyDescent="0.2">
      <c r="E686" s="52"/>
      <c r="H686" s="61"/>
    </row>
    <row r="687" spans="5:11" ht="13.5" customHeight="1" x14ac:dyDescent="0.2">
      <c r="E687" s="52"/>
      <c r="H687" s="61"/>
    </row>
    <row r="688" spans="5:11" ht="13.5" customHeight="1" x14ac:dyDescent="0.2">
      <c r="E688" s="52"/>
      <c r="H688" s="61"/>
    </row>
    <row r="689" spans="5:11" ht="13.5" customHeight="1" x14ac:dyDescent="0.2">
      <c r="E689" s="52"/>
      <c r="H689" s="61"/>
    </row>
    <row r="690" spans="5:11" ht="13.5" customHeight="1" x14ac:dyDescent="0.2">
      <c r="E690" s="52"/>
      <c r="H690" s="61"/>
    </row>
    <row r="691" spans="5:11" ht="13.5" customHeight="1" x14ac:dyDescent="0.2">
      <c r="E691" s="52"/>
      <c r="H691" s="61"/>
    </row>
    <row r="692" spans="5:11" ht="13.5" customHeight="1" x14ac:dyDescent="0.2">
      <c r="E692" s="52"/>
      <c r="H692" s="61"/>
      <c r="K692"/>
    </row>
    <row r="693" spans="5:11" ht="13.5" customHeight="1" x14ac:dyDescent="0.2">
      <c r="E693" s="52"/>
      <c r="H693" s="61"/>
      <c r="K693"/>
    </row>
    <row r="694" spans="5:11" ht="13.5" customHeight="1" x14ac:dyDescent="0.2">
      <c r="E694" s="52"/>
      <c r="H694" s="61"/>
      <c r="K694"/>
    </row>
    <row r="695" spans="5:11" ht="13.5" customHeight="1" x14ac:dyDescent="0.2">
      <c r="E695" s="52"/>
      <c r="H695" s="61"/>
      <c r="K695"/>
    </row>
    <row r="696" spans="5:11" ht="13.5" customHeight="1" x14ac:dyDescent="0.2">
      <c r="E696" s="52"/>
      <c r="H696" s="61"/>
      <c r="K696"/>
    </row>
    <row r="697" spans="5:11" ht="13.5" customHeight="1" x14ac:dyDescent="0.2">
      <c r="E697" s="52"/>
      <c r="H697" s="61"/>
      <c r="K697"/>
    </row>
    <row r="698" spans="5:11" ht="13.5" customHeight="1" x14ac:dyDescent="0.2">
      <c r="E698" s="52"/>
      <c r="H698" s="61"/>
      <c r="K698"/>
    </row>
    <row r="699" spans="5:11" ht="13.5" customHeight="1" x14ac:dyDescent="0.2">
      <c r="E699" s="52"/>
      <c r="H699" s="61"/>
      <c r="K699"/>
    </row>
    <row r="700" spans="5:11" ht="13.5" customHeight="1" x14ac:dyDescent="0.2">
      <c r="E700" s="52"/>
      <c r="H700" s="61"/>
      <c r="K700"/>
    </row>
    <row r="701" spans="5:11" ht="13.5" customHeight="1" x14ac:dyDescent="0.2">
      <c r="E701" s="52"/>
      <c r="H701" s="61"/>
      <c r="K701"/>
    </row>
    <row r="702" spans="5:11" ht="13.5" customHeight="1" x14ac:dyDescent="0.2">
      <c r="E702" s="52"/>
      <c r="H702" s="61"/>
      <c r="K702"/>
    </row>
    <row r="703" spans="5:11" ht="13.5" customHeight="1" x14ac:dyDescent="0.2">
      <c r="E703" s="52"/>
      <c r="H703" s="61"/>
      <c r="K703"/>
    </row>
    <row r="704" spans="5:11" ht="13.5" customHeight="1" x14ac:dyDescent="0.2">
      <c r="E704" s="52"/>
      <c r="H704" s="61"/>
      <c r="K704"/>
    </row>
    <row r="705" spans="5:11" ht="13.5" customHeight="1" x14ac:dyDescent="0.2">
      <c r="E705" s="52"/>
      <c r="H705" s="61"/>
      <c r="K705"/>
    </row>
    <row r="706" spans="5:11" ht="13.5" customHeight="1" x14ac:dyDescent="0.2">
      <c r="E706" s="52"/>
      <c r="H706" s="61"/>
      <c r="K706"/>
    </row>
    <row r="707" spans="5:11" ht="13.5" customHeight="1" x14ac:dyDescent="0.2">
      <c r="E707" s="52"/>
      <c r="H707" s="61"/>
      <c r="K707"/>
    </row>
    <row r="708" spans="5:11" ht="13.5" customHeight="1" x14ac:dyDescent="0.2">
      <c r="E708" s="52"/>
      <c r="H708" s="61"/>
      <c r="K708"/>
    </row>
    <row r="709" spans="5:11" ht="13.5" customHeight="1" x14ac:dyDescent="0.2">
      <c r="E709" s="50"/>
      <c r="H709" s="61"/>
      <c r="K709"/>
    </row>
    <row r="710" spans="5:11" ht="13.5" customHeight="1" x14ac:dyDescent="0.2">
      <c r="E710" s="50"/>
      <c r="H710" s="61"/>
      <c r="K710"/>
    </row>
    <row r="711" spans="5:11" ht="13.5" customHeight="1" x14ac:dyDescent="0.2">
      <c r="E711" s="50"/>
      <c r="H711" s="61"/>
      <c r="K711"/>
    </row>
    <row r="712" spans="5:11" ht="13.5" customHeight="1" x14ac:dyDescent="0.2">
      <c r="E712" s="50"/>
      <c r="H712" s="61"/>
      <c r="K712"/>
    </row>
    <row r="713" spans="5:11" ht="13.5" customHeight="1" x14ac:dyDescent="0.2">
      <c r="E713" s="50"/>
      <c r="H713" s="61"/>
      <c r="K713"/>
    </row>
    <row r="714" spans="5:11" ht="13.5" customHeight="1" x14ac:dyDescent="0.2">
      <c r="E714" s="50"/>
      <c r="H714" s="61"/>
      <c r="K714"/>
    </row>
    <row r="715" spans="5:11" ht="13.5" customHeight="1" x14ac:dyDescent="0.2">
      <c r="E715" s="50"/>
      <c r="H715" s="61"/>
      <c r="K715"/>
    </row>
    <row r="716" spans="5:11" ht="13.5" customHeight="1" x14ac:dyDescent="0.2">
      <c r="E716" s="50"/>
      <c r="H716" s="61"/>
      <c r="K716"/>
    </row>
    <row r="717" spans="5:11" ht="13.5" customHeight="1" x14ac:dyDescent="0.2">
      <c r="E717" s="50"/>
      <c r="H717" s="61"/>
      <c r="K717"/>
    </row>
    <row r="718" spans="5:11" ht="13.5" customHeight="1" x14ac:dyDescent="0.2">
      <c r="E718" s="50"/>
      <c r="H718" s="61"/>
      <c r="K718"/>
    </row>
    <row r="719" spans="5:11" ht="13.5" customHeight="1" x14ac:dyDescent="0.2">
      <c r="E719" s="50"/>
      <c r="H719" s="61"/>
      <c r="K719"/>
    </row>
    <row r="720" spans="5:11" ht="13.5" customHeight="1" x14ac:dyDescent="0.2">
      <c r="E720" s="50"/>
      <c r="H720" s="61"/>
      <c r="K720"/>
    </row>
    <row r="721" spans="5:11" ht="13.5" customHeight="1" x14ac:dyDescent="0.2">
      <c r="E721" s="50"/>
      <c r="H721" s="61"/>
      <c r="K721"/>
    </row>
    <row r="722" spans="5:11" ht="13.5" customHeight="1" x14ac:dyDescent="0.2">
      <c r="E722" s="50"/>
      <c r="H722" s="61"/>
      <c r="K722"/>
    </row>
    <row r="723" spans="5:11" ht="13.5" customHeight="1" x14ac:dyDescent="0.2">
      <c r="E723" s="50"/>
      <c r="H723" s="61"/>
      <c r="K723"/>
    </row>
    <row r="724" spans="5:11" ht="13.5" customHeight="1" x14ac:dyDescent="0.2">
      <c r="E724" s="50"/>
      <c r="H724" s="61"/>
      <c r="K724"/>
    </row>
    <row r="725" spans="5:11" ht="13.5" customHeight="1" x14ac:dyDescent="0.2">
      <c r="E725" s="50"/>
      <c r="H725" s="61"/>
      <c r="K725"/>
    </row>
    <row r="726" spans="5:11" ht="13.5" customHeight="1" x14ac:dyDescent="0.2">
      <c r="E726" s="50"/>
      <c r="H726" s="61"/>
      <c r="K726"/>
    </row>
    <row r="727" spans="5:11" ht="13.5" customHeight="1" x14ac:dyDescent="0.2">
      <c r="E727" s="50"/>
      <c r="H727" s="61"/>
      <c r="K727"/>
    </row>
    <row r="728" spans="5:11" ht="13.5" customHeight="1" x14ac:dyDescent="0.2">
      <c r="E728" s="50"/>
      <c r="H728" s="61"/>
      <c r="K728"/>
    </row>
    <row r="729" spans="5:11" ht="13.5" customHeight="1" x14ac:dyDescent="0.2">
      <c r="E729" s="50"/>
      <c r="H729" s="61"/>
      <c r="K729"/>
    </row>
    <row r="730" spans="5:11" ht="13.5" customHeight="1" x14ac:dyDescent="0.2">
      <c r="E730" s="50"/>
      <c r="H730" s="61"/>
      <c r="K730"/>
    </row>
    <row r="731" spans="5:11" ht="13.5" customHeight="1" x14ac:dyDescent="0.2">
      <c r="E731" s="50"/>
      <c r="H731" s="61"/>
      <c r="K731"/>
    </row>
    <row r="732" spans="5:11" ht="13.5" customHeight="1" x14ac:dyDescent="0.2">
      <c r="E732" s="50"/>
      <c r="H732" s="61"/>
      <c r="K732"/>
    </row>
    <row r="733" spans="5:11" ht="13.5" customHeight="1" x14ac:dyDescent="0.2">
      <c r="E733" s="50"/>
      <c r="H733" s="61"/>
      <c r="K733"/>
    </row>
    <row r="734" spans="5:11" ht="13.5" customHeight="1" x14ac:dyDescent="0.2">
      <c r="E734" s="50"/>
      <c r="H734" s="61"/>
      <c r="K734"/>
    </row>
    <row r="735" spans="5:11" ht="13.5" customHeight="1" x14ac:dyDescent="0.2">
      <c r="E735" s="50"/>
      <c r="H735" s="61"/>
      <c r="K735"/>
    </row>
    <row r="736" spans="5:11" ht="13.5" customHeight="1" x14ac:dyDescent="0.2">
      <c r="E736" s="50"/>
      <c r="H736" s="61"/>
      <c r="K736"/>
    </row>
    <row r="737" spans="5:11" ht="13.5" customHeight="1" x14ac:dyDescent="0.2">
      <c r="E737" s="50"/>
      <c r="H737" s="61"/>
      <c r="K737"/>
    </row>
    <row r="738" spans="5:11" ht="13.5" customHeight="1" x14ac:dyDescent="0.2">
      <c r="E738" s="50"/>
      <c r="H738" s="61"/>
      <c r="K738"/>
    </row>
    <row r="739" spans="5:11" ht="13.5" customHeight="1" x14ac:dyDescent="0.2">
      <c r="E739" s="50"/>
      <c r="H739" s="61"/>
      <c r="K739"/>
    </row>
    <row r="740" spans="5:11" ht="13.5" customHeight="1" x14ac:dyDescent="0.2">
      <c r="E740" s="50"/>
      <c r="H740" s="61"/>
      <c r="K740"/>
    </row>
    <row r="741" spans="5:11" ht="13.5" customHeight="1" x14ac:dyDescent="0.2">
      <c r="E741" s="50"/>
      <c r="H741" s="61"/>
      <c r="K741"/>
    </row>
    <row r="742" spans="5:11" ht="13.5" customHeight="1" x14ac:dyDescent="0.2">
      <c r="E742" s="50"/>
      <c r="H742" s="61"/>
      <c r="K742"/>
    </row>
    <row r="743" spans="5:11" ht="13.5" customHeight="1" x14ac:dyDescent="0.2">
      <c r="E743" s="50"/>
      <c r="H743" s="61"/>
      <c r="K743"/>
    </row>
    <row r="744" spans="5:11" ht="13.5" customHeight="1" x14ac:dyDescent="0.2">
      <c r="E744" s="50"/>
      <c r="H744" s="61"/>
      <c r="K744"/>
    </row>
    <row r="745" spans="5:11" ht="13.5" customHeight="1" x14ac:dyDescent="0.2">
      <c r="E745" s="50"/>
      <c r="H745" s="61"/>
      <c r="K745"/>
    </row>
    <row r="746" spans="5:11" ht="13.5" customHeight="1" x14ac:dyDescent="0.2">
      <c r="E746" s="50"/>
      <c r="H746" s="61"/>
      <c r="K746"/>
    </row>
    <row r="747" spans="5:11" ht="13.5" customHeight="1" x14ac:dyDescent="0.2">
      <c r="E747" s="50"/>
      <c r="H747" s="61"/>
      <c r="K747"/>
    </row>
    <row r="748" spans="5:11" ht="13.5" customHeight="1" x14ac:dyDescent="0.2">
      <c r="E748" s="50"/>
      <c r="H748" s="61"/>
      <c r="K748"/>
    </row>
    <row r="749" spans="5:11" ht="13.5" customHeight="1" x14ac:dyDescent="0.2">
      <c r="E749" s="50"/>
      <c r="H749" s="61"/>
      <c r="K749"/>
    </row>
    <row r="750" spans="5:11" ht="13.5" customHeight="1" x14ac:dyDescent="0.2">
      <c r="E750" s="50"/>
      <c r="H750" s="61"/>
      <c r="K750"/>
    </row>
    <row r="751" spans="5:11" ht="13.5" customHeight="1" x14ac:dyDescent="0.2">
      <c r="E751" s="50"/>
      <c r="H751" s="61"/>
      <c r="K751"/>
    </row>
    <row r="752" spans="5:11" ht="13.5" customHeight="1" x14ac:dyDescent="0.2">
      <c r="E752" s="50"/>
      <c r="H752" s="61"/>
      <c r="K752"/>
    </row>
    <row r="753" spans="5:11" ht="13.5" customHeight="1" x14ac:dyDescent="0.2">
      <c r="E753" s="50"/>
      <c r="H753" s="61"/>
      <c r="K753"/>
    </row>
    <row r="754" spans="5:11" ht="13.5" customHeight="1" x14ac:dyDescent="0.2">
      <c r="E754" s="50"/>
      <c r="H754" s="61"/>
      <c r="K754"/>
    </row>
    <row r="755" spans="5:11" ht="13.5" customHeight="1" x14ac:dyDescent="0.2">
      <c r="E755" s="50"/>
      <c r="H755" s="61"/>
      <c r="K755"/>
    </row>
    <row r="756" spans="5:11" ht="13.5" customHeight="1" x14ac:dyDescent="0.2">
      <c r="E756" s="50"/>
      <c r="H756" s="61"/>
      <c r="K756"/>
    </row>
    <row r="757" spans="5:11" ht="13.5" customHeight="1" x14ac:dyDescent="0.2">
      <c r="E757" s="50"/>
      <c r="H757" s="61"/>
      <c r="K757"/>
    </row>
    <row r="758" spans="5:11" ht="13.5" customHeight="1" x14ac:dyDescent="0.2">
      <c r="E758" s="50"/>
      <c r="H758" s="61"/>
      <c r="K758"/>
    </row>
    <row r="759" spans="5:11" ht="13.5" customHeight="1" x14ac:dyDescent="0.2">
      <c r="E759" s="50"/>
      <c r="H759" s="61"/>
      <c r="K759"/>
    </row>
    <row r="760" spans="5:11" ht="13.5" customHeight="1" x14ac:dyDescent="0.2">
      <c r="E760" s="50"/>
      <c r="H760" s="61"/>
      <c r="K760"/>
    </row>
    <row r="761" spans="5:11" ht="13.5" customHeight="1" x14ac:dyDescent="0.2">
      <c r="E761" s="50"/>
      <c r="H761" s="61"/>
      <c r="K761"/>
    </row>
    <row r="762" spans="5:11" ht="13.5" customHeight="1" x14ac:dyDescent="0.2">
      <c r="E762" s="50"/>
      <c r="H762" s="61"/>
      <c r="K762"/>
    </row>
    <row r="763" spans="5:11" ht="13.5" customHeight="1" x14ac:dyDescent="0.2">
      <c r="E763" s="50"/>
      <c r="H763" s="12"/>
      <c r="K763"/>
    </row>
    <row r="764" spans="5:11" ht="13.5" customHeight="1" x14ac:dyDescent="0.2">
      <c r="E764" s="50"/>
      <c r="H764" s="12"/>
      <c r="K764"/>
    </row>
    <row r="765" spans="5:11" ht="13.5" customHeight="1" x14ac:dyDescent="0.2">
      <c r="E765" s="50"/>
      <c r="H765" s="12"/>
      <c r="K765"/>
    </row>
    <row r="766" spans="5:11" ht="13.5" customHeight="1" x14ac:dyDescent="0.2">
      <c r="E766" s="50"/>
      <c r="H766" s="12"/>
      <c r="K766"/>
    </row>
    <row r="767" spans="5:11" ht="13.5" customHeight="1" x14ac:dyDescent="0.2">
      <c r="E767" s="50"/>
      <c r="H767" s="12"/>
      <c r="K767"/>
    </row>
    <row r="768" spans="5:11" ht="13.5" customHeight="1" x14ac:dyDescent="0.2">
      <c r="E768" s="50"/>
      <c r="H768" s="12"/>
      <c r="K768"/>
    </row>
    <row r="769" spans="5:11" ht="13.5" customHeight="1" x14ac:dyDescent="0.2">
      <c r="E769" s="50"/>
      <c r="H769" s="12"/>
      <c r="K769"/>
    </row>
    <row r="770" spans="5:11" ht="13.5" customHeight="1" x14ac:dyDescent="0.2">
      <c r="E770" s="50"/>
      <c r="H770" s="12"/>
      <c r="K770"/>
    </row>
    <row r="771" spans="5:11" ht="13.5" customHeight="1" x14ac:dyDescent="0.2">
      <c r="E771" s="50"/>
      <c r="H771" s="12"/>
      <c r="K771"/>
    </row>
    <row r="772" spans="5:11" ht="13.5" customHeight="1" x14ac:dyDescent="0.2">
      <c r="E772" s="50"/>
      <c r="H772" s="12"/>
      <c r="K772"/>
    </row>
    <row r="773" spans="5:11" ht="13.5" customHeight="1" x14ac:dyDescent="0.2">
      <c r="E773" s="50"/>
      <c r="H773" s="12"/>
      <c r="K773"/>
    </row>
    <row r="774" spans="5:11" ht="13.5" customHeight="1" x14ac:dyDescent="0.2">
      <c r="E774" s="50"/>
      <c r="H774" s="12"/>
      <c r="K774"/>
    </row>
    <row r="775" spans="5:11" ht="13.5" customHeight="1" x14ac:dyDescent="0.2">
      <c r="E775" s="50"/>
      <c r="H775" s="12"/>
      <c r="K775"/>
    </row>
    <row r="776" spans="5:11" ht="13.5" customHeight="1" x14ac:dyDescent="0.2">
      <c r="E776" s="50"/>
      <c r="H776" s="12"/>
      <c r="K776"/>
    </row>
    <row r="777" spans="5:11" ht="13.5" customHeight="1" x14ac:dyDescent="0.2">
      <c r="E777" s="50"/>
      <c r="H777" s="12"/>
      <c r="K777"/>
    </row>
    <row r="778" spans="5:11" ht="13.5" customHeight="1" x14ac:dyDescent="0.2">
      <c r="E778" s="50"/>
      <c r="H778" s="12"/>
      <c r="K778"/>
    </row>
    <row r="779" spans="5:11" ht="13.5" customHeight="1" x14ac:dyDescent="0.2">
      <c r="E779" s="50"/>
      <c r="H779" s="12"/>
      <c r="K779"/>
    </row>
    <row r="780" spans="5:11" ht="13.5" customHeight="1" x14ac:dyDescent="0.2">
      <c r="E780" s="50"/>
      <c r="H780" s="12"/>
      <c r="K780"/>
    </row>
    <row r="781" spans="5:11" ht="13.5" customHeight="1" x14ac:dyDescent="0.2">
      <c r="E781" s="50"/>
      <c r="H781" s="12"/>
      <c r="K781"/>
    </row>
    <row r="782" spans="5:11" ht="13.5" customHeight="1" x14ac:dyDescent="0.2">
      <c r="E782" s="50"/>
      <c r="H782" s="12"/>
      <c r="K782"/>
    </row>
    <row r="783" spans="5:11" ht="13.5" customHeight="1" x14ac:dyDescent="0.2">
      <c r="E783" s="50"/>
      <c r="H783" s="12"/>
      <c r="K783"/>
    </row>
    <row r="784" spans="5:11" ht="13.5" customHeight="1" x14ac:dyDescent="0.2">
      <c r="E784" s="50"/>
      <c r="H784" s="12"/>
      <c r="K784"/>
    </row>
    <row r="785" spans="5:11" ht="13.5" customHeight="1" x14ac:dyDescent="0.2">
      <c r="E785" s="50"/>
      <c r="H785" s="12"/>
      <c r="K785"/>
    </row>
    <row r="786" spans="5:11" ht="13.5" customHeight="1" x14ac:dyDescent="0.2">
      <c r="E786" s="50"/>
      <c r="H786" s="12"/>
      <c r="K786"/>
    </row>
    <row r="787" spans="5:11" ht="13.5" customHeight="1" x14ac:dyDescent="0.2">
      <c r="E787" s="50"/>
      <c r="H787" s="12"/>
      <c r="K787"/>
    </row>
    <row r="788" spans="5:11" ht="13.5" customHeight="1" x14ac:dyDescent="0.2">
      <c r="E788" s="50"/>
      <c r="H788" s="12"/>
      <c r="K788"/>
    </row>
    <row r="789" spans="5:11" ht="13.5" customHeight="1" x14ac:dyDescent="0.2">
      <c r="E789" s="50"/>
      <c r="H789" s="12"/>
      <c r="K789"/>
    </row>
    <row r="790" spans="5:11" ht="13.5" customHeight="1" x14ac:dyDescent="0.2">
      <c r="E790" s="50"/>
      <c r="H790" s="12"/>
      <c r="K790"/>
    </row>
    <row r="791" spans="5:11" ht="13.5" customHeight="1" x14ac:dyDescent="0.2">
      <c r="E791" s="50"/>
      <c r="H791" s="12"/>
      <c r="K791"/>
    </row>
    <row r="792" spans="5:11" ht="13.5" customHeight="1" x14ac:dyDescent="0.2">
      <c r="E792" s="50"/>
      <c r="H792" s="12"/>
      <c r="K792"/>
    </row>
    <row r="793" spans="5:11" ht="13.5" customHeight="1" x14ac:dyDescent="0.2">
      <c r="E793" s="50"/>
      <c r="H793" s="12"/>
      <c r="K793"/>
    </row>
    <row r="794" spans="5:11" ht="13.5" customHeight="1" x14ac:dyDescent="0.2">
      <c r="E794" s="50"/>
      <c r="H794" s="12"/>
      <c r="K794"/>
    </row>
    <row r="795" spans="5:11" ht="13.5" customHeight="1" x14ac:dyDescent="0.2">
      <c r="E795" s="50"/>
      <c r="H795" s="12"/>
      <c r="K795"/>
    </row>
    <row r="796" spans="5:11" ht="13.5" customHeight="1" x14ac:dyDescent="0.2">
      <c r="E796" s="50"/>
      <c r="H796" s="12"/>
      <c r="K796"/>
    </row>
    <row r="797" spans="5:11" ht="13.5" customHeight="1" x14ac:dyDescent="0.2">
      <c r="E797" s="50"/>
      <c r="H797" s="12"/>
      <c r="K797"/>
    </row>
    <row r="798" spans="5:11" ht="13.5" customHeight="1" x14ac:dyDescent="0.2">
      <c r="E798" s="50"/>
      <c r="H798" s="12"/>
      <c r="K798"/>
    </row>
    <row r="799" spans="5:11" ht="13.5" customHeight="1" x14ac:dyDescent="0.2">
      <c r="E799" s="50"/>
      <c r="H799" s="12"/>
      <c r="K799"/>
    </row>
    <row r="800" spans="5:11" ht="13.5" customHeight="1" x14ac:dyDescent="0.2">
      <c r="E800" s="50"/>
      <c r="H800" s="12"/>
      <c r="K800"/>
    </row>
    <row r="801" spans="5:11" ht="13.5" customHeight="1" x14ac:dyDescent="0.2">
      <c r="E801" s="50"/>
      <c r="H801" s="12"/>
      <c r="K801"/>
    </row>
    <row r="802" spans="5:11" ht="13.5" customHeight="1" x14ac:dyDescent="0.2">
      <c r="E802" s="50"/>
      <c r="H802" s="12"/>
      <c r="K802"/>
    </row>
    <row r="803" spans="5:11" ht="13.5" customHeight="1" x14ac:dyDescent="0.2">
      <c r="E803" s="50"/>
      <c r="H803" s="12"/>
      <c r="K803"/>
    </row>
    <row r="804" spans="5:11" ht="13.5" customHeight="1" x14ac:dyDescent="0.2">
      <c r="E804" s="50"/>
      <c r="H804" s="12"/>
      <c r="K804"/>
    </row>
    <row r="805" spans="5:11" ht="13.5" customHeight="1" x14ac:dyDescent="0.2">
      <c r="E805" s="50"/>
      <c r="H805" s="12"/>
      <c r="K805"/>
    </row>
    <row r="806" spans="5:11" ht="13.5" customHeight="1" x14ac:dyDescent="0.2">
      <c r="E806" s="50"/>
      <c r="H806" s="12"/>
      <c r="K806"/>
    </row>
    <row r="807" spans="5:11" ht="13.5" customHeight="1" x14ac:dyDescent="0.2">
      <c r="E807" s="50"/>
      <c r="H807" s="12"/>
      <c r="K807"/>
    </row>
    <row r="808" spans="5:11" ht="13.5" customHeight="1" x14ac:dyDescent="0.2">
      <c r="E808" s="50"/>
      <c r="H808" s="12"/>
      <c r="K808"/>
    </row>
    <row r="809" spans="5:11" ht="13.5" customHeight="1" x14ac:dyDescent="0.2">
      <c r="E809" s="50"/>
      <c r="H809" s="12"/>
      <c r="K809"/>
    </row>
    <row r="810" spans="5:11" ht="13.5" customHeight="1" x14ac:dyDescent="0.2">
      <c r="E810" s="50"/>
      <c r="H810" s="12"/>
      <c r="K810"/>
    </row>
    <row r="811" spans="5:11" ht="13.5" customHeight="1" x14ac:dyDescent="0.2">
      <c r="E811" s="50"/>
      <c r="H811" s="12"/>
      <c r="K811"/>
    </row>
    <row r="812" spans="5:11" ht="13.5" customHeight="1" x14ac:dyDescent="0.2">
      <c r="E812" s="50"/>
      <c r="H812" s="12"/>
      <c r="K812"/>
    </row>
    <row r="813" spans="5:11" ht="13.5" customHeight="1" x14ac:dyDescent="0.2">
      <c r="E813" s="50"/>
      <c r="H813" s="12"/>
      <c r="K813"/>
    </row>
    <row r="814" spans="5:11" ht="13.5" customHeight="1" x14ac:dyDescent="0.2">
      <c r="E814" s="50"/>
      <c r="H814" s="12"/>
      <c r="K814"/>
    </row>
    <row r="815" spans="5:11" ht="13.5" customHeight="1" x14ac:dyDescent="0.2">
      <c r="E815" s="50"/>
      <c r="H815" s="12"/>
      <c r="K815"/>
    </row>
    <row r="816" spans="5:11" ht="13.5" customHeight="1" x14ac:dyDescent="0.2">
      <c r="E816" s="50"/>
      <c r="H816" s="12"/>
      <c r="K816"/>
    </row>
    <row r="817" spans="5:11" ht="13.5" customHeight="1" x14ac:dyDescent="0.2">
      <c r="E817" s="50"/>
      <c r="H817" s="12"/>
      <c r="K817"/>
    </row>
    <row r="818" spans="5:11" ht="13.5" customHeight="1" x14ac:dyDescent="0.2">
      <c r="E818" s="50"/>
      <c r="H818" s="12"/>
      <c r="K818"/>
    </row>
    <row r="819" spans="5:11" ht="13.5" customHeight="1" x14ac:dyDescent="0.2">
      <c r="E819" s="50"/>
      <c r="H819" s="12"/>
      <c r="K819"/>
    </row>
    <row r="820" spans="5:11" ht="13.5" customHeight="1" x14ac:dyDescent="0.2">
      <c r="E820" s="50"/>
      <c r="H820" s="12"/>
      <c r="K820"/>
    </row>
    <row r="821" spans="5:11" ht="13.5" customHeight="1" x14ac:dyDescent="0.2">
      <c r="E821" s="50"/>
      <c r="H821" s="12"/>
      <c r="K821"/>
    </row>
    <row r="822" spans="5:11" ht="13.5" customHeight="1" x14ac:dyDescent="0.2">
      <c r="E822" s="50"/>
      <c r="H822" s="12"/>
      <c r="K822"/>
    </row>
    <row r="823" spans="5:11" ht="13.5" customHeight="1" x14ac:dyDescent="0.2">
      <c r="E823" s="50"/>
      <c r="H823" s="12"/>
      <c r="K823"/>
    </row>
    <row r="824" spans="5:11" ht="13.5" customHeight="1" x14ac:dyDescent="0.2">
      <c r="E824" s="50"/>
      <c r="H824" s="12"/>
      <c r="K824"/>
    </row>
    <row r="825" spans="5:11" ht="13.5" customHeight="1" x14ac:dyDescent="0.2">
      <c r="E825" s="50"/>
      <c r="H825" s="12"/>
      <c r="K825"/>
    </row>
    <row r="826" spans="5:11" ht="13.5" customHeight="1" x14ac:dyDescent="0.2">
      <c r="E826" s="50"/>
      <c r="H826" s="12"/>
      <c r="K826"/>
    </row>
    <row r="827" spans="5:11" ht="13.5" customHeight="1" x14ac:dyDescent="0.2">
      <c r="E827" s="50"/>
      <c r="H827" s="12"/>
      <c r="K827"/>
    </row>
    <row r="828" spans="5:11" ht="13.5" customHeight="1" x14ac:dyDescent="0.2">
      <c r="E828" s="50"/>
      <c r="H828" s="12"/>
      <c r="K828"/>
    </row>
    <row r="829" spans="5:11" ht="13.5" customHeight="1" x14ac:dyDescent="0.2">
      <c r="E829" s="50"/>
      <c r="H829" s="12"/>
      <c r="K829"/>
    </row>
    <row r="830" spans="5:11" ht="13.5" customHeight="1" x14ac:dyDescent="0.2">
      <c r="E830" s="50"/>
      <c r="H830" s="12"/>
      <c r="K830"/>
    </row>
    <row r="831" spans="5:11" ht="13.5" customHeight="1" x14ac:dyDescent="0.2">
      <c r="E831" s="50"/>
      <c r="H831" s="12"/>
      <c r="K831"/>
    </row>
    <row r="832" spans="5:11" ht="13.5" customHeight="1" x14ac:dyDescent="0.2">
      <c r="E832" s="50"/>
      <c r="H832" s="12"/>
      <c r="K832"/>
    </row>
    <row r="833" spans="5:11" ht="13.5" customHeight="1" x14ac:dyDescent="0.2">
      <c r="E833" s="50"/>
      <c r="H833" s="12"/>
      <c r="K833"/>
    </row>
    <row r="834" spans="5:11" ht="13.5" customHeight="1" x14ac:dyDescent="0.2">
      <c r="E834" s="50"/>
      <c r="H834" s="12"/>
      <c r="K834"/>
    </row>
    <row r="835" spans="5:11" ht="13.5" customHeight="1" x14ac:dyDescent="0.2">
      <c r="E835" s="50"/>
      <c r="H835" s="12"/>
      <c r="K835"/>
    </row>
    <row r="836" spans="5:11" ht="13.5" customHeight="1" x14ac:dyDescent="0.2">
      <c r="E836" s="50"/>
      <c r="H836" s="12"/>
      <c r="K836"/>
    </row>
    <row r="837" spans="5:11" ht="13.5" customHeight="1" x14ac:dyDescent="0.2">
      <c r="E837" s="50"/>
      <c r="H837" s="12"/>
      <c r="K837"/>
    </row>
    <row r="838" spans="5:11" ht="13.5" customHeight="1" x14ac:dyDescent="0.2">
      <c r="E838" s="50"/>
      <c r="H838" s="12"/>
      <c r="K838"/>
    </row>
    <row r="839" spans="5:11" ht="13.5" customHeight="1" x14ac:dyDescent="0.2">
      <c r="E839" s="50"/>
      <c r="H839" s="12"/>
      <c r="K839"/>
    </row>
    <row r="840" spans="5:11" ht="13.5" customHeight="1" x14ac:dyDescent="0.2">
      <c r="E840" s="50"/>
      <c r="H840" s="12"/>
      <c r="K840"/>
    </row>
    <row r="841" spans="5:11" ht="13.5" customHeight="1" x14ac:dyDescent="0.2">
      <c r="E841" s="50"/>
      <c r="H841" s="12"/>
      <c r="K841"/>
    </row>
    <row r="842" spans="5:11" ht="13.5" customHeight="1" x14ac:dyDescent="0.2">
      <c r="E842" s="50"/>
      <c r="H842" s="12"/>
      <c r="K842"/>
    </row>
    <row r="843" spans="5:11" ht="13.5" customHeight="1" x14ac:dyDescent="0.2">
      <c r="E843" s="50"/>
      <c r="H843" s="12"/>
      <c r="K843"/>
    </row>
    <row r="844" spans="5:11" ht="13.5" customHeight="1" x14ac:dyDescent="0.2">
      <c r="E844" s="50"/>
      <c r="H844" s="12"/>
      <c r="K844"/>
    </row>
    <row r="845" spans="5:11" ht="13.5" customHeight="1" x14ac:dyDescent="0.2">
      <c r="E845" s="50"/>
      <c r="H845" s="12"/>
      <c r="K845"/>
    </row>
    <row r="846" spans="5:11" ht="13.5" customHeight="1" x14ac:dyDescent="0.2">
      <c r="E846" s="50"/>
      <c r="H846" s="12"/>
      <c r="K846"/>
    </row>
    <row r="847" spans="5:11" ht="13.5" customHeight="1" x14ac:dyDescent="0.2">
      <c r="E847" s="50"/>
      <c r="H847" s="12"/>
      <c r="K847"/>
    </row>
    <row r="848" spans="5:11" ht="13.5" customHeight="1" x14ac:dyDescent="0.2">
      <c r="E848" s="50"/>
      <c r="H848" s="12"/>
      <c r="K848"/>
    </row>
    <row r="849" spans="5:11" ht="13.5" customHeight="1" x14ac:dyDescent="0.2">
      <c r="E849" s="50"/>
      <c r="H849" s="12"/>
      <c r="K849"/>
    </row>
    <row r="850" spans="5:11" ht="13.5" customHeight="1" x14ac:dyDescent="0.2">
      <c r="E850" s="50"/>
      <c r="H850" s="12"/>
      <c r="K850"/>
    </row>
    <row r="851" spans="5:11" ht="13.5" customHeight="1" x14ac:dyDescent="0.2">
      <c r="E851" s="50"/>
      <c r="H851" s="12"/>
      <c r="K851"/>
    </row>
    <row r="852" spans="5:11" ht="13.5" customHeight="1" x14ac:dyDescent="0.2">
      <c r="E852" s="50"/>
      <c r="H852" s="12"/>
      <c r="K852"/>
    </row>
    <row r="853" spans="5:11" ht="13.5" customHeight="1" x14ac:dyDescent="0.2">
      <c r="E853" s="50"/>
      <c r="H853" s="12"/>
      <c r="K853"/>
    </row>
    <row r="854" spans="5:11" ht="13.5" customHeight="1" x14ac:dyDescent="0.2">
      <c r="E854" s="50"/>
      <c r="H854" s="12"/>
      <c r="K854"/>
    </row>
    <row r="855" spans="5:11" ht="13.5" customHeight="1" x14ac:dyDescent="0.2">
      <c r="E855" s="50"/>
      <c r="H855" s="12"/>
      <c r="K855"/>
    </row>
    <row r="856" spans="5:11" ht="13.5" customHeight="1" x14ac:dyDescent="0.2">
      <c r="E856" s="50"/>
      <c r="H856" s="12"/>
      <c r="K856"/>
    </row>
    <row r="857" spans="5:11" ht="13.5" customHeight="1" x14ac:dyDescent="0.2">
      <c r="E857" s="50"/>
      <c r="H857" s="12"/>
      <c r="K857"/>
    </row>
    <row r="858" spans="5:11" ht="13.5" customHeight="1" x14ac:dyDescent="0.2">
      <c r="E858" s="50"/>
      <c r="H858" s="12"/>
      <c r="K858"/>
    </row>
    <row r="859" spans="5:11" ht="13.5" customHeight="1" x14ac:dyDescent="0.2">
      <c r="E859" s="50"/>
      <c r="H859" s="12"/>
      <c r="K859"/>
    </row>
    <row r="860" spans="5:11" ht="13.5" customHeight="1" x14ac:dyDescent="0.2">
      <c r="E860" s="50"/>
      <c r="H860" s="12"/>
      <c r="K860"/>
    </row>
    <row r="861" spans="5:11" ht="13.5" customHeight="1" x14ac:dyDescent="0.2">
      <c r="E861" s="50"/>
      <c r="H861" s="12"/>
      <c r="K861"/>
    </row>
    <row r="862" spans="5:11" ht="13.5" customHeight="1" x14ac:dyDescent="0.2">
      <c r="E862" s="50"/>
      <c r="H862" s="12"/>
      <c r="K862"/>
    </row>
    <row r="863" spans="5:11" ht="13.5" customHeight="1" x14ac:dyDescent="0.2">
      <c r="E863" s="50"/>
      <c r="H863" s="12"/>
      <c r="K863"/>
    </row>
    <row r="864" spans="5:11" ht="14.25" customHeight="1" x14ac:dyDescent="0.2">
      <c r="E864" s="50"/>
      <c r="H864" s="12"/>
      <c r="K864"/>
    </row>
    <row r="865" spans="5:11" ht="13.5" customHeight="1" x14ac:dyDescent="0.2">
      <c r="E865" s="50"/>
      <c r="H865" s="12"/>
      <c r="K865"/>
    </row>
    <row r="866" spans="5:11" ht="13.5" customHeight="1" x14ac:dyDescent="0.2">
      <c r="E866" s="50"/>
      <c r="H866" s="12"/>
      <c r="K866"/>
    </row>
    <row r="867" spans="5:11" ht="13.5" customHeight="1" x14ac:dyDescent="0.2">
      <c r="E867" s="50"/>
      <c r="H867" s="12"/>
      <c r="K867"/>
    </row>
    <row r="868" spans="5:11" ht="13.5" customHeight="1" x14ac:dyDescent="0.2">
      <c r="E868" s="50"/>
      <c r="H868" s="12"/>
      <c r="K868"/>
    </row>
    <row r="869" spans="5:11" ht="13.5" customHeight="1" x14ac:dyDescent="0.2">
      <c r="E869" s="50"/>
      <c r="H869" s="12"/>
      <c r="K869"/>
    </row>
    <row r="870" spans="5:11" ht="13.5" customHeight="1" x14ac:dyDescent="0.2">
      <c r="E870" s="50"/>
      <c r="H870" s="12"/>
      <c r="K870"/>
    </row>
    <row r="871" spans="5:11" ht="13.5" customHeight="1" x14ac:dyDescent="0.2">
      <c r="E871" s="50"/>
      <c r="H871" s="12"/>
      <c r="K871"/>
    </row>
    <row r="872" spans="5:11" ht="13.5" customHeight="1" x14ac:dyDescent="0.2">
      <c r="E872" s="50"/>
      <c r="H872" s="12"/>
      <c r="K872"/>
    </row>
    <row r="873" spans="5:11" ht="13.5" customHeight="1" x14ac:dyDescent="0.2">
      <c r="E873" s="50"/>
      <c r="H873" s="12"/>
      <c r="K873"/>
    </row>
    <row r="874" spans="5:11" ht="13.5" customHeight="1" x14ac:dyDescent="0.2">
      <c r="E874" s="50"/>
      <c r="H874" s="12"/>
      <c r="K874"/>
    </row>
    <row r="875" spans="5:11" ht="13.5" customHeight="1" x14ac:dyDescent="0.2">
      <c r="E875" s="50"/>
      <c r="H875" s="12"/>
      <c r="K875"/>
    </row>
    <row r="876" spans="5:11" ht="13.5" customHeight="1" x14ac:dyDescent="0.2">
      <c r="E876" s="50"/>
      <c r="H876" s="12"/>
      <c r="K876"/>
    </row>
    <row r="877" spans="5:11" ht="13.5" customHeight="1" x14ac:dyDescent="0.2">
      <c r="E877" s="50"/>
      <c r="H877" s="12"/>
      <c r="K877"/>
    </row>
    <row r="878" spans="5:11" ht="13.5" customHeight="1" x14ac:dyDescent="0.2">
      <c r="E878" s="50"/>
      <c r="H878" s="12"/>
      <c r="K878"/>
    </row>
    <row r="879" spans="5:11" ht="13.5" customHeight="1" x14ac:dyDescent="0.2">
      <c r="E879" s="50"/>
      <c r="H879" s="12"/>
      <c r="K879"/>
    </row>
    <row r="880" spans="5:11" ht="13.5" customHeight="1" x14ac:dyDescent="0.2">
      <c r="E880" s="50"/>
      <c r="H880" s="12"/>
      <c r="K880"/>
    </row>
    <row r="881" spans="5:11" ht="13.5" customHeight="1" x14ac:dyDescent="0.2">
      <c r="E881" s="50"/>
      <c r="H881" s="12"/>
      <c r="K881"/>
    </row>
    <row r="882" spans="5:11" ht="13.5" customHeight="1" x14ac:dyDescent="0.2">
      <c r="E882" s="50"/>
      <c r="H882" s="12"/>
      <c r="K882"/>
    </row>
    <row r="883" spans="5:11" ht="13.5" customHeight="1" x14ac:dyDescent="0.2">
      <c r="E883" s="50"/>
      <c r="H883" s="12"/>
      <c r="K883"/>
    </row>
    <row r="884" spans="5:11" ht="13.5" customHeight="1" x14ac:dyDescent="0.2">
      <c r="E884" s="50"/>
      <c r="H884" s="12"/>
      <c r="K884"/>
    </row>
    <row r="885" spans="5:11" ht="13.5" customHeight="1" x14ac:dyDescent="0.2">
      <c r="E885" s="50"/>
      <c r="H885" s="12"/>
      <c r="K885"/>
    </row>
    <row r="886" spans="5:11" ht="13.5" customHeight="1" x14ac:dyDescent="0.2">
      <c r="E886" s="50"/>
      <c r="H886" s="12"/>
      <c r="K886"/>
    </row>
    <row r="887" spans="5:11" ht="13.5" customHeight="1" x14ac:dyDescent="0.2">
      <c r="E887" s="50"/>
      <c r="H887" s="12"/>
      <c r="K887"/>
    </row>
    <row r="888" spans="5:11" ht="13.5" customHeight="1" x14ac:dyDescent="0.2">
      <c r="E888" s="50"/>
      <c r="H888" s="12"/>
      <c r="K888"/>
    </row>
    <row r="889" spans="5:11" ht="13.5" customHeight="1" x14ac:dyDescent="0.2">
      <c r="E889" s="50"/>
      <c r="H889" s="12"/>
      <c r="K889"/>
    </row>
    <row r="890" spans="5:11" ht="13.5" customHeight="1" x14ac:dyDescent="0.2">
      <c r="E890" s="50"/>
      <c r="H890" s="12"/>
      <c r="K890"/>
    </row>
    <row r="891" spans="5:11" ht="13.5" customHeight="1" x14ac:dyDescent="0.2">
      <c r="E891" s="50"/>
      <c r="H891" s="12"/>
      <c r="K891"/>
    </row>
    <row r="892" spans="5:11" ht="13.5" customHeight="1" x14ac:dyDescent="0.2">
      <c r="E892" s="50"/>
      <c r="H892" s="12"/>
      <c r="K892"/>
    </row>
    <row r="893" spans="5:11" ht="13.5" customHeight="1" x14ac:dyDescent="0.2">
      <c r="E893" s="50"/>
      <c r="H893" s="12"/>
      <c r="K893"/>
    </row>
    <row r="894" spans="5:11" ht="13.5" customHeight="1" x14ac:dyDescent="0.2">
      <c r="E894" s="50"/>
      <c r="H894" s="12"/>
      <c r="K894"/>
    </row>
    <row r="895" spans="5:11" ht="13.5" customHeight="1" x14ac:dyDescent="0.2">
      <c r="E895" s="50"/>
      <c r="H895" s="12"/>
      <c r="K895"/>
    </row>
    <row r="896" spans="5:11" ht="13.5" customHeight="1" x14ac:dyDescent="0.2">
      <c r="E896" s="50"/>
      <c r="H896" s="12"/>
      <c r="K896"/>
    </row>
    <row r="897" spans="5:11" ht="13.5" customHeight="1" x14ac:dyDescent="0.2">
      <c r="E897" s="50"/>
      <c r="H897" s="12"/>
      <c r="K897"/>
    </row>
    <row r="898" spans="5:11" ht="13.5" customHeight="1" x14ac:dyDescent="0.2">
      <c r="E898" s="50"/>
      <c r="H898" s="12"/>
      <c r="K898"/>
    </row>
    <row r="899" spans="5:11" ht="13.5" customHeight="1" x14ac:dyDescent="0.2">
      <c r="E899" s="50"/>
      <c r="H899" s="12"/>
      <c r="K899"/>
    </row>
    <row r="900" spans="5:11" ht="13.5" customHeight="1" x14ac:dyDescent="0.2">
      <c r="E900" s="50"/>
      <c r="H900" s="12"/>
      <c r="K900"/>
    </row>
    <row r="901" spans="5:11" ht="13.5" customHeight="1" x14ac:dyDescent="0.2">
      <c r="E901" s="50"/>
      <c r="H901" s="12"/>
      <c r="K901"/>
    </row>
    <row r="902" spans="5:11" ht="13.5" customHeight="1" x14ac:dyDescent="0.2">
      <c r="E902" s="50"/>
      <c r="H902" s="12"/>
      <c r="K902"/>
    </row>
    <row r="903" spans="5:11" ht="13.5" customHeight="1" x14ac:dyDescent="0.2">
      <c r="E903" s="50"/>
      <c r="H903" s="12"/>
      <c r="K903"/>
    </row>
    <row r="904" spans="5:11" ht="13.5" customHeight="1" x14ac:dyDescent="0.2">
      <c r="E904" s="50"/>
      <c r="H904" s="12"/>
      <c r="K904"/>
    </row>
    <row r="905" spans="5:11" ht="13.5" customHeight="1" x14ac:dyDescent="0.2">
      <c r="E905" s="50"/>
      <c r="H905" s="12"/>
      <c r="K905"/>
    </row>
    <row r="906" spans="5:11" ht="13.5" customHeight="1" x14ac:dyDescent="0.2">
      <c r="E906" s="50"/>
      <c r="H906" s="12"/>
      <c r="K906"/>
    </row>
    <row r="907" spans="5:11" ht="13.5" customHeight="1" x14ac:dyDescent="0.2">
      <c r="E907" s="50"/>
      <c r="H907" s="12"/>
      <c r="K907"/>
    </row>
    <row r="908" spans="5:11" ht="13.5" customHeight="1" x14ac:dyDescent="0.2">
      <c r="E908" s="50"/>
      <c r="H908" s="12"/>
      <c r="K908"/>
    </row>
    <row r="909" spans="5:11" ht="13.5" customHeight="1" x14ac:dyDescent="0.2">
      <c r="E909" s="50"/>
      <c r="H909" s="12"/>
      <c r="K909"/>
    </row>
    <row r="910" spans="5:11" ht="13.5" customHeight="1" x14ac:dyDescent="0.2">
      <c r="E910" s="50"/>
      <c r="H910" s="12"/>
      <c r="K910"/>
    </row>
    <row r="911" spans="5:11" ht="13.5" customHeight="1" x14ac:dyDescent="0.2">
      <c r="E911" s="50"/>
      <c r="H911" s="12"/>
      <c r="K911"/>
    </row>
    <row r="912" spans="5:11" ht="13.5" customHeight="1" x14ac:dyDescent="0.2">
      <c r="E912" s="50"/>
      <c r="H912" s="12"/>
      <c r="K912"/>
    </row>
    <row r="913" spans="5:11" ht="13.5" customHeight="1" x14ac:dyDescent="0.2">
      <c r="E913" s="50"/>
      <c r="H913" s="12"/>
      <c r="K913"/>
    </row>
    <row r="914" spans="5:11" ht="13.5" customHeight="1" x14ac:dyDescent="0.2">
      <c r="E914" s="50"/>
      <c r="H914" s="12"/>
      <c r="K914"/>
    </row>
    <row r="915" spans="5:11" ht="13.5" customHeight="1" x14ac:dyDescent="0.2">
      <c r="E915" s="50"/>
      <c r="H915" s="12"/>
      <c r="K915"/>
    </row>
    <row r="916" spans="5:11" ht="13.5" customHeight="1" x14ac:dyDescent="0.2">
      <c r="E916" s="50"/>
      <c r="H916" s="12"/>
      <c r="K916"/>
    </row>
    <row r="917" spans="5:11" ht="13.5" customHeight="1" x14ac:dyDescent="0.2">
      <c r="E917" s="50"/>
      <c r="H917" s="12"/>
      <c r="K917"/>
    </row>
    <row r="918" spans="5:11" ht="13.5" customHeight="1" x14ac:dyDescent="0.2">
      <c r="E918" s="50"/>
      <c r="H918" s="12"/>
      <c r="K918"/>
    </row>
    <row r="919" spans="5:11" ht="13.5" customHeight="1" x14ac:dyDescent="0.2">
      <c r="E919" s="50"/>
      <c r="H919" s="12"/>
      <c r="K919"/>
    </row>
    <row r="920" spans="5:11" ht="13.5" customHeight="1" x14ac:dyDescent="0.2">
      <c r="E920" s="50"/>
      <c r="H920" s="12"/>
      <c r="K920"/>
    </row>
    <row r="921" spans="5:11" ht="13.5" customHeight="1" x14ac:dyDescent="0.2">
      <c r="E921" s="50"/>
      <c r="H921" s="12"/>
      <c r="K921"/>
    </row>
    <row r="922" spans="5:11" ht="13.5" customHeight="1" x14ac:dyDescent="0.2">
      <c r="E922" s="50"/>
      <c r="H922" s="12"/>
      <c r="K922"/>
    </row>
    <row r="923" spans="5:11" ht="13.5" customHeight="1" x14ac:dyDescent="0.2">
      <c r="E923" s="50"/>
      <c r="H923" s="12"/>
      <c r="K923"/>
    </row>
    <row r="924" spans="5:11" ht="13.5" customHeight="1" x14ac:dyDescent="0.2">
      <c r="E924" s="50"/>
      <c r="H924" s="12"/>
      <c r="K924"/>
    </row>
    <row r="925" spans="5:11" ht="13.5" customHeight="1" x14ac:dyDescent="0.2">
      <c r="E925" s="50"/>
      <c r="H925" s="12"/>
      <c r="K925"/>
    </row>
    <row r="926" spans="5:11" ht="13.5" customHeight="1" x14ac:dyDescent="0.2">
      <c r="E926" s="50"/>
      <c r="H926" s="12"/>
      <c r="K926"/>
    </row>
    <row r="927" spans="5:11" ht="13.5" customHeight="1" x14ac:dyDescent="0.2">
      <c r="E927" s="50"/>
      <c r="H927" s="12"/>
      <c r="K927"/>
    </row>
    <row r="928" spans="5:11" ht="13.5" customHeight="1" x14ac:dyDescent="0.2">
      <c r="E928" s="50"/>
      <c r="H928" s="12"/>
      <c r="K928"/>
    </row>
    <row r="929" spans="5:11" ht="13.5" customHeight="1" x14ac:dyDescent="0.2">
      <c r="E929" s="50"/>
      <c r="H929" s="12"/>
      <c r="K929"/>
    </row>
    <row r="930" spans="5:11" ht="13.5" customHeight="1" x14ac:dyDescent="0.2">
      <c r="E930" s="50"/>
      <c r="H930" s="12"/>
      <c r="K930"/>
    </row>
    <row r="931" spans="5:11" ht="13.5" customHeight="1" x14ac:dyDescent="0.2">
      <c r="E931" s="50"/>
      <c r="H931" s="12"/>
      <c r="K931"/>
    </row>
    <row r="932" spans="5:11" ht="13.5" customHeight="1" x14ac:dyDescent="0.2">
      <c r="E932" s="50"/>
      <c r="H932" s="12"/>
      <c r="K932"/>
    </row>
    <row r="933" spans="5:11" ht="13.5" customHeight="1" x14ac:dyDescent="0.2">
      <c r="E933" s="50"/>
      <c r="H933" s="12"/>
      <c r="K933"/>
    </row>
    <row r="934" spans="5:11" ht="12.75" customHeight="1" x14ac:dyDescent="0.2">
      <c r="E934" s="50"/>
      <c r="H934" s="12"/>
      <c r="K934"/>
    </row>
    <row r="935" spans="5:11" ht="12.75" customHeight="1" x14ac:dyDescent="0.2">
      <c r="E935" s="50"/>
      <c r="H935" s="12"/>
      <c r="K935"/>
    </row>
    <row r="936" spans="5:11" ht="12.75" customHeight="1" x14ac:dyDescent="0.2">
      <c r="E936" s="50"/>
      <c r="H936" s="12"/>
      <c r="K936"/>
    </row>
    <row r="937" spans="5:11" ht="12.75" customHeight="1" x14ac:dyDescent="0.2">
      <c r="E937" s="50"/>
      <c r="H937" s="12"/>
      <c r="K937"/>
    </row>
    <row r="938" spans="5:11" ht="12.75" customHeight="1" x14ac:dyDescent="0.2">
      <c r="E938" s="50"/>
      <c r="H938" s="12"/>
      <c r="K938"/>
    </row>
    <row r="939" spans="5:11" ht="12.75" customHeight="1" x14ac:dyDescent="0.2">
      <c r="E939" s="50"/>
      <c r="H939" s="12"/>
      <c r="K939"/>
    </row>
    <row r="940" spans="5:11" ht="12.75" customHeight="1" x14ac:dyDescent="0.2">
      <c r="E940" s="50"/>
      <c r="H940" s="12"/>
      <c r="K940"/>
    </row>
    <row r="941" spans="5:11" ht="12.75" customHeight="1" x14ac:dyDescent="0.2">
      <c r="E941" s="50"/>
      <c r="H941" s="12"/>
      <c r="K941"/>
    </row>
    <row r="942" spans="5:11" ht="12.75" customHeight="1" x14ac:dyDescent="0.2">
      <c r="E942" s="50"/>
      <c r="H942" s="12"/>
      <c r="K942"/>
    </row>
    <row r="943" spans="5:11" ht="12.75" customHeight="1" x14ac:dyDescent="0.2">
      <c r="E943" s="50"/>
      <c r="H943" s="12"/>
      <c r="K943"/>
    </row>
    <row r="944" spans="5:11" ht="12.75" customHeight="1" x14ac:dyDescent="0.2">
      <c r="E944" s="50"/>
      <c r="H944" s="12"/>
      <c r="K944"/>
    </row>
    <row r="945" spans="5:11" ht="12.75" customHeight="1" x14ac:dyDescent="0.2">
      <c r="E945" s="50"/>
      <c r="H945" s="12"/>
      <c r="K945"/>
    </row>
    <row r="946" spans="5:11" ht="12.75" customHeight="1" x14ac:dyDescent="0.2">
      <c r="E946" s="50"/>
      <c r="H946" s="12"/>
      <c r="K946"/>
    </row>
    <row r="947" spans="5:11" ht="12.75" customHeight="1" x14ac:dyDescent="0.2">
      <c r="E947" s="50"/>
      <c r="H947" s="12"/>
      <c r="K947"/>
    </row>
    <row r="948" spans="5:11" ht="12.75" customHeight="1" x14ac:dyDescent="0.2">
      <c r="E948" s="50"/>
      <c r="H948" s="12"/>
      <c r="K948"/>
    </row>
    <row r="949" spans="5:11" ht="12.75" customHeight="1" x14ac:dyDescent="0.2">
      <c r="E949" s="50"/>
      <c r="H949" s="12"/>
      <c r="K949"/>
    </row>
    <row r="950" spans="5:11" ht="12.75" customHeight="1" x14ac:dyDescent="0.2">
      <c r="E950" s="50"/>
      <c r="H950" s="12"/>
      <c r="K950"/>
    </row>
    <row r="951" spans="5:11" ht="12.75" customHeight="1" x14ac:dyDescent="0.2">
      <c r="E951" s="50"/>
      <c r="H951" s="12"/>
      <c r="K951"/>
    </row>
    <row r="952" spans="5:11" ht="12.75" customHeight="1" x14ac:dyDescent="0.2">
      <c r="E952" s="50"/>
      <c r="H952" s="12"/>
      <c r="K952"/>
    </row>
    <row r="953" spans="5:11" ht="12.75" customHeight="1" x14ac:dyDescent="0.2">
      <c r="E953" s="50"/>
      <c r="H953" s="12"/>
      <c r="K953"/>
    </row>
    <row r="954" spans="5:11" ht="12.75" customHeight="1" x14ac:dyDescent="0.2">
      <c r="E954" s="50"/>
      <c r="H954" s="12"/>
      <c r="K954"/>
    </row>
    <row r="955" spans="5:11" ht="12.75" customHeight="1" x14ac:dyDescent="0.2">
      <c r="E955" s="50"/>
      <c r="H955" s="12"/>
      <c r="K955"/>
    </row>
    <row r="956" spans="5:11" ht="12.75" customHeight="1" x14ac:dyDescent="0.2">
      <c r="E956" s="50"/>
      <c r="H956" s="12"/>
      <c r="K956"/>
    </row>
    <row r="957" spans="5:11" ht="12.75" customHeight="1" x14ac:dyDescent="0.2">
      <c r="E957" s="50"/>
      <c r="H957" s="12"/>
      <c r="K957"/>
    </row>
    <row r="958" spans="5:11" ht="12.75" customHeight="1" x14ac:dyDescent="0.2">
      <c r="E958" s="50"/>
      <c r="H958" s="12"/>
      <c r="K958"/>
    </row>
    <row r="959" spans="5:11" ht="12.75" customHeight="1" x14ac:dyDescent="0.2">
      <c r="E959" s="50"/>
      <c r="H959" s="12"/>
      <c r="K959"/>
    </row>
    <row r="960" spans="5:11" ht="12.75" customHeight="1" x14ac:dyDescent="0.2">
      <c r="E960" s="50"/>
      <c r="H960" s="12"/>
      <c r="K960"/>
    </row>
    <row r="961" spans="5:11" ht="12.75" customHeight="1" x14ac:dyDescent="0.2">
      <c r="E961" s="50"/>
      <c r="H961" s="12"/>
      <c r="K961"/>
    </row>
    <row r="962" spans="5:11" ht="12.75" customHeight="1" x14ac:dyDescent="0.2">
      <c r="E962" s="50"/>
      <c r="H962" s="12"/>
      <c r="K962"/>
    </row>
    <row r="963" spans="5:11" ht="12.75" customHeight="1" x14ac:dyDescent="0.2">
      <c r="E963" s="50"/>
      <c r="H963" s="12"/>
      <c r="K963"/>
    </row>
    <row r="964" spans="5:11" ht="12.75" customHeight="1" x14ac:dyDescent="0.2">
      <c r="E964" s="50"/>
      <c r="H964" s="12"/>
      <c r="K964"/>
    </row>
    <row r="965" spans="5:11" ht="12.75" customHeight="1" x14ac:dyDescent="0.2">
      <c r="E965" s="50"/>
      <c r="H965" s="12"/>
      <c r="K965"/>
    </row>
    <row r="966" spans="5:11" ht="12.75" customHeight="1" x14ac:dyDescent="0.2">
      <c r="E966" s="50"/>
      <c r="H966" s="12"/>
      <c r="K966"/>
    </row>
    <row r="967" spans="5:11" ht="12.75" customHeight="1" x14ac:dyDescent="0.2">
      <c r="E967" s="50"/>
      <c r="H967" s="12"/>
      <c r="K967"/>
    </row>
    <row r="968" spans="5:11" ht="12.75" customHeight="1" x14ac:dyDescent="0.2">
      <c r="E968" s="50"/>
      <c r="H968" s="12"/>
      <c r="K968"/>
    </row>
    <row r="969" spans="5:11" ht="12.75" customHeight="1" x14ac:dyDescent="0.2">
      <c r="E969" s="50"/>
      <c r="H969" s="12"/>
      <c r="K969"/>
    </row>
    <row r="970" spans="5:11" ht="12.75" customHeight="1" x14ac:dyDescent="0.2">
      <c r="E970" s="50"/>
      <c r="H970" s="12"/>
      <c r="K970"/>
    </row>
    <row r="971" spans="5:11" ht="12.75" customHeight="1" x14ac:dyDescent="0.2">
      <c r="E971" s="50"/>
      <c r="H971" s="12"/>
      <c r="K971"/>
    </row>
    <row r="972" spans="5:11" ht="12.75" customHeight="1" x14ac:dyDescent="0.2">
      <c r="E972" s="50"/>
      <c r="H972" s="12"/>
      <c r="K972"/>
    </row>
    <row r="973" spans="5:11" ht="12.75" customHeight="1" x14ac:dyDescent="0.2">
      <c r="E973" s="50"/>
      <c r="H973" s="12"/>
      <c r="K973"/>
    </row>
    <row r="974" spans="5:11" ht="12.75" customHeight="1" x14ac:dyDescent="0.2">
      <c r="E974" s="50"/>
      <c r="H974" s="12"/>
      <c r="K974"/>
    </row>
    <row r="975" spans="5:11" ht="12.75" customHeight="1" x14ac:dyDescent="0.2">
      <c r="E975" s="50"/>
      <c r="H975" s="12"/>
      <c r="K975"/>
    </row>
    <row r="976" spans="5:11" ht="12.75" customHeight="1" x14ac:dyDescent="0.2">
      <c r="E976" s="50"/>
      <c r="H976" s="12"/>
      <c r="K976"/>
    </row>
    <row r="977" spans="5:11" ht="12.75" customHeight="1" x14ac:dyDescent="0.2">
      <c r="E977" s="50"/>
      <c r="H977" s="12"/>
      <c r="K977"/>
    </row>
    <row r="978" spans="5:11" ht="12.75" customHeight="1" x14ac:dyDescent="0.2">
      <c r="E978" s="50"/>
      <c r="H978" s="12"/>
      <c r="K978"/>
    </row>
    <row r="979" spans="5:11" ht="12.75" customHeight="1" x14ac:dyDescent="0.2">
      <c r="E979" s="50"/>
      <c r="H979" s="12"/>
      <c r="K979"/>
    </row>
    <row r="980" spans="5:11" ht="12.75" customHeight="1" x14ac:dyDescent="0.2">
      <c r="E980" s="50"/>
      <c r="H980" s="12"/>
      <c r="K980"/>
    </row>
    <row r="981" spans="5:11" ht="12.75" customHeight="1" x14ac:dyDescent="0.2">
      <c r="E981" s="50"/>
      <c r="H981" s="12"/>
      <c r="K981"/>
    </row>
    <row r="982" spans="5:11" ht="12.75" customHeight="1" x14ac:dyDescent="0.2">
      <c r="E982" s="50"/>
      <c r="H982" s="12"/>
      <c r="K982"/>
    </row>
    <row r="983" spans="5:11" ht="12.75" customHeight="1" x14ac:dyDescent="0.2">
      <c r="E983" s="50"/>
      <c r="H983" s="12"/>
      <c r="K983"/>
    </row>
    <row r="984" spans="5:11" ht="12.75" customHeight="1" x14ac:dyDescent="0.2">
      <c r="E984" s="50"/>
      <c r="H984" s="12"/>
      <c r="K984"/>
    </row>
    <row r="985" spans="5:11" ht="12.75" customHeight="1" x14ac:dyDescent="0.2">
      <c r="E985" s="50"/>
      <c r="H985" s="12"/>
      <c r="K985"/>
    </row>
    <row r="986" spans="5:11" ht="12.75" customHeight="1" x14ac:dyDescent="0.2">
      <c r="E986" s="50"/>
      <c r="H986" s="12"/>
      <c r="K986"/>
    </row>
    <row r="987" spans="5:11" ht="12.75" customHeight="1" x14ac:dyDescent="0.2">
      <c r="E987" s="50"/>
      <c r="H987" s="12"/>
      <c r="K987"/>
    </row>
    <row r="988" spans="5:11" ht="12.75" customHeight="1" x14ac:dyDescent="0.2">
      <c r="E988" s="50"/>
      <c r="H988" s="12"/>
      <c r="K988"/>
    </row>
    <row r="989" spans="5:11" ht="12.75" customHeight="1" x14ac:dyDescent="0.2">
      <c r="E989" s="50"/>
      <c r="H989" s="12"/>
      <c r="K989"/>
    </row>
    <row r="990" spans="5:11" ht="12.75" customHeight="1" x14ac:dyDescent="0.2">
      <c r="E990" s="50"/>
      <c r="H990" s="12"/>
      <c r="K990"/>
    </row>
    <row r="991" spans="5:11" ht="12.75" customHeight="1" x14ac:dyDescent="0.2">
      <c r="E991" s="50"/>
      <c r="H991" s="12"/>
      <c r="K991"/>
    </row>
    <row r="992" spans="5:11" ht="12.75" customHeight="1" x14ac:dyDescent="0.2">
      <c r="E992" s="50"/>
      <c r="H992" s="12"/>
      <c r="K992"/>
    </row>
    <row r="993" spans="5:11" ht="12.75" customHeight="1" x14ac:dyDescent="0.2">
      <c r="E993" s="50"/>
      <c r="H993" s="12"/>
      <c r="K993"/>
    </row>
    <row r="994" spans="5:11" ht="12.75" customHeight="1" x14ac:dyDescent="0.2">
      <c r="E994" s="50"/>
      <c r="H994" s="12"/>
      <c r="K994"/>
    </row>
    <row r="995" spans="5:11" ht="12.75" customHeight="1" x14ac:dyDescent="0.2">
      <c r="E995" s="50"/>
      <c r="H995" s="12"/>
      <c r="K995"/>
    </row>
    <row r="996" spans="5:11" ht="12.75" customHeight="1" x14ac:dyDescent="0.2">
      <c r="E996" s="50"/>
      <c r="H996" s="12"/>
      <c r="K996"/>
    </row>
    <row r="997" spans="5:11" ht="12.75" customHeight="1" x14ac:dyDescent="0.2">
      <c r="E997" s="50"/>
      <c r="H997" s="12"/>
      <c r="K997"/>
    </row>
    <row r="998" spans="5:11" ht="12.75" customHeight="1" x14ac:dyDescent="0.2">
      <c r="E998" s="50"/>
      <c r="H998" s="12"/>
      <c r="K998"/>
    </row>
    <row r="999" spans="5:11" ht="12.75" customHeight="1" x14ac:dyDescent="0.2">
      <c r="E999" s="50"/>
      <c r="H999" s="12"/>
      <c r="K999"/>
    </row>
    <row r="1000" spans="5:11" ht="12.75" customHeight="1" x14ac:dyDescent="0.2">
      <c r="E1000" s="50"/>
      <c r="H1000" s="12"/>
      <c r="K1000"/>
    </row>
    <row r="1001" spans="5:11" ht="12.75" customHeight="1" x14ac:dyDescent="0.2">
      <c r="E1001" s="50"/>
      <c r="H1001" s="12"/>
      <c r="K1001"/>
    </row>
    <row r="1002" spans="5:11" ht="12.75" customHeight="1" x14ac:dyDescent="0.2">
      <c r="E1002" s="50"/>
      <c r="H1002" s="12"/>
      <c r="K1002"/>
    </row>
    <row r="1003" spans="5:11" ht="12.75" customHeight="1" x14ac:dyDescent="0.2">
      <c r="E1003" s="50"/>
      <c r="H1003" s="12"/>
      <c r="K1003"/>
    </row>
    <row r="1004" spans="5:11" ht="12.75" customHeight="1" x14ac:dyDescent="0.2">
      <c r="E1004" s="50"/>
      <c r="H1004" s="12"/>
      <c r="K1004"/>
    </row>
    <row r="1005" spans="5:11" ht="12.75" customHeight="1" x14ac:dyDescent="0.2">
      <c r="E1005" s="50"/>
      <c r="H1005" s="12"/>
      <c r="K1005"/>
    </row>
    <row r="1006" spans="5:11" ht="12.75" customHeight="1" x14ac:dyDescent="0.2">
      <c r="E1006" s="50"/>
      <c r="H1006" s="12"/>
      <c r="K1006"/>
    </row>
    <row r="1007" spans="5:11" ht="12.75" customHeight="1" x14ac:dyDescent="0.2">
      <c r="E1007" s="50"/>
      <c r="H1007" s="12"/>
      <c r="K1007"/>
    </row>
    <row r="1008" spans="5:11" ht="12.75" customHeight="1" x14ac:dyDescent="0.2">
      <c r="E1008" s="50"/>
      <c r="H1008" s="12"/>
      <c r="K1008"/>
    </row>
    <row r="1009" spans="5:11" ht="12.75" customHeight="1" x14ac:dyDescent="0.2">
      <c r="E1009" s="50"/>
      <c r="H1009" s="12"/>
      <c r="K1009"/>
    </row>
    <row r="1010" spans="5:11" ht="12.75" customHeight="1" x14ac:dyDescent="0.2">
      <c r="E1010" s="50"/>
      <c r="H1010" s="12"/>
      <c r="K1010"/>
    </row>
    <row r="1011" spans="5:11" ht="12.75" customHeight="1" x14ac:dyDescent="0.2">
      <c r="E1011" s="50"/>
      <c r="H1011" s="12"/>
      <c r="K1011"/>
    </row>
    <row r="1012" spans="5:11" ht="12.75" customHeight="1" x14ac:dyDescent="0.2">
      <c r="E1012" s="50"/>
      <c r="H1012" s="12"/>
      <c r="K1012"/>
    </row>
    <row r="1013" spans="5:11" ht="12.75" customHeight="1" x14ac:dyDescent="0.2">
      <c r="E1013" s="50"/>
      <c r="H1013" s="12"/>
      <c r="K1013"/>
    </row>
    <row r="1014" spans="5:11" ht="12.75" customHeight="1" x14ac:dyDescent="0.2">
      <c r="E1014" s="50"/>
      <c r="H1014" s="12"/>
      <c r="K1014"/>
    </row>
    <row r="1015" spans="5:11" ht="12.75" customHeight="1" x14ac:dyDescent="0.2">
      <c r="E1015" s="50"/>
      <c r="H1015" s="12"/>
      <c r="K1015"/>
    </row>
    <row r="1016" spans="5:11" ht="12.75" customHeight="1" x14ac:dyDescent="0.2">
      <c r="E1016" s="50"/>
      <c r="H1016" s="12"/>
      <c r="K1016"/>
    </row>
    <row r="1017" spans="5:11" ht="12.75" customHeight="1" x14ac:dyDescent="0.2">
      <c r="E1017" s="50"/>
      <c r="H1017" s="12"/>
      <c r="K1017"/>
    </row>
    <row r="1018" spans="5:11" ht="12.75" customHeight="1" x14ac:dyDescent="0.2">
      <c r="E1018" s="50"/>
      <c r="H1018" s="12"/>
      <c r="K1018"/>
    </row>
    <row r="1019" spans="5:11" ht="12.75" customHeight="1" x14ac:dyDescent="0.2">
      <c r="E1019" s="50"/>
      <c r="H1019" s="12"/>
      <c r="K1019"/>
    </row>
    <row r="1020" spans="5:11" ht="12.75" customHeight="1" x14ac:dyDescent="0.2">
      <c r="E1020" s="50"/>
      <c r="H1020" s="12"/>
      <c r="K1020"/>
    </row>
    <row r="1021" spans="5:11" ht="12.75" customHeight="1" x14ac:dyDescent="0.2">
      <c r="E1021" s="50"/>
      <c r="H1021" s="12"/>
      <c r="K1021"/>
    </row>
    <row r="1022" spans="5:11" ht="12.75" customHeight="1" x14ac:dyDescent="0.2">
      <c r="E1022" s="50"/>
      <c r="H1022" s="12"/>
      <c r="K1022"/>
    </row>
    <row r="1023" spans="5:11" ht="12.75" customHeight="1" x14ac:dyDescent="0.2">
      <c r="E1023" s="50"/>
      <c r="H1023" s="12"/>
      <c r="K1023"/>
    </row>
    <row r="1024" spans="5:11" ht="12.75" customHeight="1" x14ac:dyDescent="0.2">
      <c r="E1024" s="50"/>
      <c r="H1024" s="12"/>
      <c r="K1024"/>
    </row>
    <row r="1025" spans="5:11" ht="12.75" customHeight="1" x14ac:dyDescent="0.2">
      <c r="E1025" s="50"/>
      <c r="H1025" s="12"/>
      <c r="K1025"/>
    </row>
    <row r="1026" spans="5:11" ht="12.75" customHeight="1" x14ac:dyDescent="0.2">
      <c r="E1026" s="50"/>
      <c r="H1026" s="12"/>
      <c r="K1026"/>
    </row>
    <row r="1027" spans="5:11" ht="12.75" customHeight="1" x14ac:dyDescent="0.2">
      <c r="E1027" s="50"/>
      <c r="H1027" s="12"/>
      <c r="K1027"/>
    </row>
    <row r="1028" spans="5:11" ht="12.75" customHeight="1" x14ac:dyDescent="0.2">
      <c r="E1028" s="50"/>
      <c r="H1028" s="12"/>
      <c r="K1028"/>
    </row>
    <row r="1029" spans="5:11" ht="12.75" customHeight="1" x14ac:dyDescent="0.2">
      <c r="E1029" s="50"/>
      <c r="H1029" s="12"/>
      <c r="K1029"/>
    </row>
    <row r="1030" spans="5:11" ht="12.75" customHeight="1" x14ac:dyDescent="0.2">
      <c r="E1030" s="50"/>
      <c r="H1030" s="12"/>
      <c r="K1030"/>
    </row>
    <row r="1031" spans="5:11" ht="12.75" customHeight="1" x14ac:dyDescent="0.2">
      <c r="E1031" s="50"/>
      <c r="H1031" s="12"/>
      <c r="K1031"/>
    </row>
    <row r="1032" spans="5:11" ht="12.75" customHeight="1" x14ac:dyDescent="0.2">
      <c r="E1032" s="50"/>
      <c r="H1032" s="12"/>
      <c r="K1032"/>
    </row>
    <row r="1033" spans="5:11" ht="12.75" customHeight="1" x14ac:dyDescent="0.2">
      <c r="E1033" s="50"/>
      <c r="H1033" s="12"/>
      <c r="K1033"/>
    </row>
    <row r="1034" spans="5:11" ht="12.75" customHeight="1" x14ac:dyDescent="0.2">
      <c r="E1034" s="50"/>
      <c r="H1034" s="12"/>
      <c r="K1034"/>
    </row>
    <row r="1035" spans="5:11" ht="12.75" customHeight="1" x14ac:dyDescent="0.2">
      <c r="E1035" s="50"/>
      <c r="H1035" s="12"/>
      <c r="K1035"/>
    </row>
    <row r="1036" spans="5:11" ht="12.75" customHeight="1" x14ac:dyDescent="0.2">
      <c r="E1036" s="50"/>
      <c r="H1036" s="12"/>
      <c r="K1036"/>
    </row>
    <row r="1037" spans="5:11" ht="12.75" customHeight="1" x14ac:dyDescent="0.2">
      <c r="E1037" s="50"/>
      <c r="H1037" s="12"/>
      <c r="K1037"/>
    </row>
    <row r="1038" spans="5:11" ht="12.75" customHeight="1" x14ac:dyDescent="0.2">
      <c r="E1038" s="50"/>
      <c r="H1038" s="12"/>
      <c r="K1038"/>
    </row>
    <row r="1039" spans="5:11" ht="12.75" customHeight="1" x14ac:dyDescent="0.2">
      <c r="E1039" s="50"/>
      <c r="H1039" s="12"/>
      <c r="K1039"/>
    </row>
    <row r="1040" spans="5:11" ht="12.75" customHeight="1" x14ac:dyDescent="0.2">
      <c r="E1040" s="50"/>
      <c r="H1040" s="12"/>
      <c r="K1040"/>
    </row>
    <row r="1041" spans="5:11" ht="12.75" customHeight="1" x14ac:dyDescent="0.2">
      <c r="E1041" s="50"/>
      <c r="H1041" s="12"/>
      <c r="K1041"/>
    </row>
    <row r="1042" spans="5:11" ht="12.75" customHeight="1" x14ac:dyDescent="0.2">
      <c r="E1042" s="50"/>
      <c r="H1042" s="12"/>
      <c r="K1042"/>
    </row>
    <row r="1043" spans="5:11" ht="12.75" customHeight="1" x14ac:dyDescent="0.2">
      <c r="E1043" s="50"/>
      <c r="H1043" s="12"/>
      <c r="K1043"/>
    </row>
    <row r="1044" spans="5:11" ht="12.75" customHeight="1" x14ac:dyDescent="0.2">
      <c r="E1044" s="50"/>
      <c r="H1044" s="12"/>
      <c r="K1044"/>
    </row>
    <row r="1045" spans="5:11" ht="12.75" customHeight="1" x14ac:dyDescent="0.2">
      <c r="E1045" s="50"/>
      <c r="H1045" s="12"/>
      <c r="K1045"/>
    </row>
    <row r="1046" spans="5:11" ht="12.75" customHeight="1" x14ac:dyDescent="0.2">
      <c r="E1046" s="50"/>
      <c r="H1046" s="12"/>
      <c r="K1046"/>
    </row>
    <row r="1047" spans="5:11" ht="12.75" customHeight="1" x14ac:dyDescent="0.2">
      <c r="E1047" s="50"/>
      <c r="H1047" s="12"/>
      <c r="K1047"/>
    </row>
    <row r="1048" spans="5:11" ht="12.75" customHeight="1" x14ac:dyDescent="0.2">
      <c r="E1048" s="50"/>
      <c r="H1048" s="12"/>
      <c r="K1048"/>
    </row>
    <row r="1049" spans="5:11" ht="12.75" customHeight="1" x14ac:dyDescent="0.2">
      <c r="E1049" s="50"/>
      <c r="H1049" s="12"/>
      <c r="K1049"/>
    </row>
    <row r="1050" spans="5:11" ht="12.75" customHeight="1" x14ac:dyDescent="0.2">
      <c r="E1050" s="50"/>
      <c r="H1050" s="12"/>
      <c r="K1050"/>
    </row>
    <row r="1051" spans="5:11" ht="12.75" customHeight="1" x14ac:dyDescent="0.2">
      <c r="E1051" s="50"/>
      <c r="H1051" s="12"/>
      <c r="K1051"/>
    </row>
    <row r="1052" spans="5:11" ht="12.75" customHeight="1" x14ac:dyDescent="0.2">
      <c r="E1052" s="50"/>
      <c r="H1052" s="12"/>
      <c r="K1052"/>
    </row>
    <row r="1053" spans="5:11" ht="12.75" customHeight="1" x14ac:dyDescent="0.2">
      <c r="E1053" s="50"/>
      <c r="H1053" s="12"/>
      <c r="K1053"/>
    </row>
    <row r="1054" spans="5:11" ht="12.75" customHeight="1" x14ac:dyDescent="0.2">
      <c r="E1054" s="50"/>
      <c r="H1054" s="12"/>
      <c r="K1054"/>
    </row>
    <row r="1055" spans="5:11" ht="12.75" customHeight="1" x14ac:dyDescent="0.2">
      <c r="E1055" s="50"/>
      <c r="H1055" s="12"/>
      <c r="K1055"/>
    </row>
    <row r="1056" spans="5:11" ht="12.75" customHeight="1" x14ac:dyDescent="0.2">
      <c r="E1056" s="50"/>
      <c r="H1056" s="12"/>
      <c r="K1056"/>
    </row>
    <row r="1057" spans="5:11" ht="12.75" customHeight="1" x14ac:dyDescent="0.2">
      <c r="E1057" s="50"/>
      <c r="H1057" s="12"/>
      <c r="K1057"/>
    </row>
    <row r="1058" spans="5:11" ht="12.75" customHeight="1" x14ac:dyDescent="0.2">
      <c r="E1058" s="50"/>
      <c r="H1058" s="12"/>
      <c r="K1058"/>
    </row>
    <row r="1059" spans="5:11" ht="12.75" customHeight="1" x14ac:dyDescent="0.2">
      <c r="E1059" s="50"/>
      <c r="H1059" s="12"/>
      <c r="K1059"/>
    </row>
    <row r="1060" spans="5:11" ht="12.75" customHeight="1" x14ac:dyDescent="0.2">
      <c r="E1060" s="50"/>
      <c r="H1060" s="12"/>
      <c r="K1060"/>
    </row>
    <row r="1061" spans="5:11" ht="12.75" customHeight="1" x14ac:dyDescent="0.2">
      <c r="E1061" s="50"/>
      <c r="H1061" s="12"/>
      <c r="K1061"/>
    </row>
    <row r="1062" spans="5:11" ht="12.75" customHeight="1" x14ac:dyDescent="0.2">
      <c r="E1062" s="50"/>
      <c r="H1062" s="12"/>
      <c r="K1062"/>
    </row>
    <row r="1063" spans="5:11" ht="12.75" customHeight="1" x14ac:dyDescent="0.2">
      <c r="E1063" s="50"/>
      <c r="H1063" s="12"/>
      <c r="K1063"/>
    </row>
    <row r="1064" spans="5:11" ht="12.75" customHeight="1" x14ac:dyDescent="0.2">
      <c r="E1064" s="50"/>
      <c r="H1064" s="12"/>
      <c r="K1064"/>
    </row>
    <row r="1065" spans="5:11" ht="12.75" customHeight="1" x14ac:dyDescent="0.2">
      <c r="E1065" s="50"/>
      <c r="H1065" s="12"/>
      <c r="K1065"/>
    </row>
    <row r="1066" spans="5:11" ht="12.75" customHeight="1" x14ac:dyDescent="0.2">
      <c r="E1066" s="50"/>
      <c r="H1066" s="12"/>
      <c r="K1066"/>
    </row>
    <row r="1067" spans="5:11" ht="12.75" customHeight="1" x14ac:dyDescent="0.2">
      <c r="E1067" s="50"/>
      <c r="H1067" s="12"/>
      <c r="K1067"/>
    </row>
    <row r="1068" spans="5:11" ht="12.75" customHeight="1" x14ac:dyDescent="0.2">
      <c r="E1068" s="50"/>
      <c r="H1068" s="12"/>
      <c r="K1068"/>
    </row>
    <row r="1069" spans="5:11" ht="12.75" customHeight="1" x14ac:dyDescent="0.2">
      <c r="E1069" s="50"/>
      <c r="H1069" s="12"/>
      <c r="K1069"/>
    </row>
    <row r="1070" spans="5:11" ht="12.75" customHeight="1" x14ac:dyDescent="0.2">
      <c r="E1070" s="50"/>
      <c r="H1070" s="12"/>
      <c r="K1070"/>
    </row>
    <row r="1071" spans="5:11" ht="12.75" customHeight="1" x14ac:dyDescent="0.2">
      <c r="E1071" s="50"/>
      <c r="H1071" s="12"/>
      <c r="K1071"/>
    </row>
    <row r="1072" spans="5:11" ht="12.75" customHeight="1" x14ac:dyDescent="0.2">
      <c r="E1072" s="50"/>
      <c r="H1072" s="12"/>
      <c r="K1072"/>
    </row>
    <row r="1073" spans="5:11" ht="12.75" customHeight="1" x14ac:dyDescent="0.2">
      <c r="E1073" s="50"/>
      <c r="H1073" s="12"/>
      <c r="K1073"/>
    </row>
    <row r="1074" spans="5:11" ht="12.75" customHeight="1" x14ac:dyDescent="0.2">
      <c r="E1074" s="50"/>
      <c r="H1074" s="12"/>
      <c r="K1074"/>
    </row>
    <row r="1075" spans="5:11" ht="12.75" customHeight="1" x14ac:dyDescent="0.2">
      <c r="E1075" s="50"/>
      <c r="H1075" s="12"/>
      <c r="K1075"/>
    </row>
    <row r="1076" spans="5:11" ht="12.75" customHeight="1" x14ac:dyDescent="0.2">
      <c r="E1076" s="50"/>
      <c r="H1076" s="12"/>
      <c r="K1076"/>
    </row>
    <row r="1077" spans="5:11" ht="12.75" customHeight="1" x14ac:dyDescent="0.2">
      <c r="E1077" s="50"/>
      <c r="H1077" s="12"/>
      <c r="K1077"/>
    </row>
    <row r="1078" spans="5:11" ht="12.75" customHeight="1" x14ac:dyDescent="0.2">
      <c r="E1078" s="50"/>
      <c r="H1078" s="12"/>
      <c r="K1078"/>
    </row>
    <row r="1079" spans="5:11" ht="12.75" customHeight="1" x14ac:dyDescent="0.2">
      <c r="E1079" s="50"/>
      <c r="H1079" s="12"/>
      <c r="K1079"/>
    </row>
    <row r="1080" spans="5:11" ht="12.75" customHeight="1" x14ac:dyDescent="0.2">
      <c r="E1080" s="50"/>
      <c r="H1080" s="12"/>
      <c r="K1080"/>
    </row>
    <row r="1081" spans="5:11" ht="12.75" customHeight="1" x14ac:dyDescent="0.2">
      <c r="E1081" s="50"/>
      <c r="H1081" s="12"/>
      <c r="K1081"/>
    </row>
    <row r="1082" spans="5:11" ht="12.75" customHeight="1" x14ac:dyDescent="0.2">
      <c r="E1082" s="50"/>
      <c r="H1082" s="12"/>
      <c r="K1082"/>
    </row>
    <row r="1083" spans="5:11" ht="12.75" customHeight="1" x14ac:dyDescent="0.2">
      <c r="E1083" s="50"/>
      <c r="H1083" s="12"/>
      <c r="K1083"/>
    </row>
    <row r="1084" spans="5:11" ht="12.75" customHeight="1" x14ac:dyDescent="0.2">
      <c r="E1084" s="50"/>
      <c r="H1084" s="12"/>
      <c r="K1084"/>
    </row>
    <row r="1085" spans="5:11" ht="12.75" customHeight="1" x14ac:dyDescent="0.2">
      <c r="E1085" s="50"/>
      <c r="H1085" s="12"/>
      <c r="K1085"/>
    </row>
    <row r="1086" spans="5:11" ht="12.75" customHeight="1" x14ac:dyDescent="0.2">
      <c r="E1086" s="50"/>
      <c r="H1086" s="12"/>
      <c r="K1086"/>
    </row>
    <row r="1087" spans="5:11" ht="12.75" customHeight="1" x14ac:dyDescent="0.2">
      <c r="E1087" s="50"/>
      <c r="H1087" s="12"/>
      <c r="K1087"/>
    </row>
    <row r="1088" spans="5:11" ht="12.75" customHeight="1" x14ac:dyDescent="0.2">
      <c r="E1088" s="50"/>
      <c r="H1088" s="12"/>
      <c r="K1088"/>
    </row>
    <row r="1089" spans="5:11" ht="12.75" customHeight="1" x14ac:dyDescent="0.2">
      <c r="E1089" s="50"/>
      <c r="H1089" s="12"/>
      <c r="K1089"/>
    </row>
    <row r="1090" spans="5:11" ht="12.75" customHeight="1" x14ac:dyDescent="0.2">
      <c r="E1090" s="50"/>
      <c r="H1090" s="12"/>
      <c r="K1090"/>
    </row>
    <row r="1091" spans="5:11" ht="12.75" customHeight="1" x14ac:dyDescent="0.2">
      <c r="E1091" s="50"/>
      <c r="H1091" s="12"/>
      <c r="K1091"/>
    </row>
    <row r="1092" spans="5:11" ht="12.75" customHeight="1" x14ac:dyDescent="0.2">
      <c r="E1092" s="50"/>
      <c r="H1092" s="12"/>
      <c r="K1092"/>
    </row>
    <row r="1093" spans="5:11" ht="12.75" customHeight="1" x14ac:dyDescent="0.2">
      <c r="E1093" s="50"/>
      <c r="H1093" s="12"/>
      <c r="K1093"/>
    </row>
    <row r="1094" spans="5:11" ht="12.75" customHeight="1" x14ac:dyDescent="0.2">
      <c r="E1094" s="50"/>
      <c r="H1094" s="12"/>
      <c r="K1094"/>
    </row>
    <row r="1095" spans="5:11" ht="12.75" customHeight="1" x14ac:dyDescent="0.2">
      <c r="E1095" s="50"/>
      <c r="H1095" s="12"/>
      <c r="K1095"/>
    </row>
    <row r="1096" spans="5:11" ht="12.75" customHeight="1" x14ac:dyDescent="0.2">
      <c r="E1096" s="50"/>
      <c r="H1096" s="12"/>
      <c r="K1096"/>
    </row>
    <row r="1097" spans="5:11" ht="12.75" customHeight="1" x14ac:dyDescent="0.2">
      <c r="E1097" s="50"/>
      <c r="H1097" s="12"/>
      <c r="K1097"/>
    </row>
    <row r="1098" spans="5:11" ht="12.75" customHeight="1" x14ac:dyDescent="0.2">
      <c r="E1098" s="50"/>
      <c r="H1098" s="12"/>
      <c r="K1098"/>
    </row>
    <row r="1099" spans="5:11" ht="12.75" customHeight="1" x14ac:dyDescent="0.2">
      <c r="E1099" s="50"/>
      <c r="H1099" s="12"/>
      <c r="K1099"/>
    </row>
    <row r="1100" spans="5:11" ht="12.75" customHeight="1" x14ac:dyDescent="0.2">
      <c r="E1100" s="50"/>
      <c r="H1100" s="12"/>
      <c r="K1100"/>
    </row>
    <row r="1101" spans="5:11" ht="12.75" customHeight="1" x14ac:dyDescent="0.2">
      <c r="E1101" s="50"/>
      <c r="H1101" s="12"/>
      <c r="K1101"/>
    </row>
    <row r="1102" spans="5:11" ht="12.75" customHeight="1" x14ac:dyDescent="0.2">
      <c r="E1102" s="50"/>
      <c r="H1102" s="12"/>
      <c r="K1102"/>
    </row>
    <row r="1103" spans="5:11" ht="12.75" customHeight="1" x14ac:dyDescent="0.2">
      <c r="E1103" s="50"/>
      <c r="H1103" s="12"/>
      <c r="K1103"/>
    </row>
    <row r="1104" spans="5:11" ht="12.75" customHeight="1" x14ac:dyDescent="0.2">
      <c r="E1104" s="50"/>
      <c r="H1104" s="12"/>
      <c r="K1104"/>
    </row>
    <row r="1105" spans="5:11" ht="12.75" customHeight="1" x14ac:dyDescent="0.2">
      <c r="E1105" s="50"/>
      <c r="H1105" s="12"/>
      <c r="K1105"/>
    </row>
    <row r="1106" spans="5:11" ht="12.75" customHeight="1" x14ac:dyDescent="0.2">
      <c r="E1106" s="50"/>
      <c r="H1106" s="12"/>
      <c r="K1106"/>
    </row>
    <row r="1107" spans="5:11" ht="12.75" customHeight="1" x14ac:dyDescent="0.2">
      <c r="E1107" s="50"/>
      <c r="H1107" s="12"/>
      <c r="K1107"/>
    </row>
    <row r="1108" spans="5:11" ht="12.75" customHeight="1" x14ac:dyDescent="0.2">
      <c r="E1108" s="50"/>
      <c r="H1108" s="12"/>
      <c r="K1108"/>
    </row>
    <row r="1109" spans="5:11" ht="12.75" customHeight="1" x14ac:dyDescent="0.2">
      <c r="E1109" s="50"/>
      <c r="H1109" s="12"/>
      <c r="K1109"/>
    </row>
    <row r="1110" spans="5:11" ht="12.75" customHeight="1" x14ac:dyDescent="0.2">
      <c r="E1110" s="50"/>
      <c r="H1110" s="12"/>
      <c r="K1110"/>
    </row>
    <row r="1111" spans="5:11" ht="12.75" customHeight="1" x14ac:dyDescent="0.2">
      <c r="E1111" s="50"/>
      <c r="H1111" s="12"/>
      <c r="K1111"/>
    </row>
    <row r="1112" spans="5:11" ht="12.75" customHeight="1" x14ac:dyDescent="0.2">
      <c r="E1112" s="50"/>
      <c r="H1112" s="12"/>
      <c r="K1112"/>
    </row>
    <row r="1113" spans="5:11" ht="12.75" customHeight="1" x14ac:dyDescent="0.2">
      <c r="E1113" s="50"/>
      <c r="H1113" s="12"/>
      <c r="K1113"/>
    </row>
    <row r="1114" spans="5:11" ht="12.75" customHeight="1" x14ac:dyDescent="0.2">
      <c r="E1114" s="50"/>
      <c r="H1114" s="12"/>
      <c r="K1114"/>
    </row>
    <row r="1115" spans="5:11" ht="12.75" customHeight="1" x14ac:dyDescent="0.2">
      <c r="E1115" s="50"/>
      <c r="H1115" s="12"/>
      <c r="K1115"/>
    </row>
    <row r="1116" spans="5:11" ht="12.75" customHeight="1" x14ac:dyDescent="0.2">
      <c r="E1116" s="50"/>
      <c r="H1116" s="12"/>
      <c r="K1116"/>
    </row>
    <row r="1117" spans="5:11" ht="12.75" customHeight="1" x14ac:dyDescent="0.2">
      <c r="E1117" s="50"/>
      <c r="H1117" s="12"/>
      <c r="K1117"/>
    </row>
    <row r="1118" spans="5:11" ht="12.75" customHeight="1" x14ac:dyDescent="0.2">
      <c r="E1118" s="50"/>
      <c r="H1118" s="12"/>
      <c r="K1118"/>
    </row>
    <row r="1119" spans="5:11" ht="12.75" customHeight="1" x14ac:dyDescent="0.2">
      <c r="E1119" s="50"/>
      <c r="H1119" s="12"/>
      <c r="K1119"/>
    </row>
    <row r="1120" spans="5:11" ht="12.75" customHeight="1" x14ac:dyDescent="0.2">
      <c r="E1120" s="50"/>
      <c r="H1120" s="12"/>
      <c r="K1120"/>
    </row>
    <row r="1121" spans="5:11" ht="12.75" customHeight="1" x14ac:dyDescent="0.2">
      <c r="E1121" s="50"/>
      <c r="H1121" s="12"/>
      <c r="K1121"/>
    </row>
    <row r="1122" spans="5:11" ht="12.75" customHeight="1" x14ac:dyDescent="0.2">
      <c r="E1122" s="50"/>
      <c r="H1122" s="12"/>
      <c r="K1122"/>
    </row>
    <row r="1123" spans="5:11" ht="12.75" customHeight="1" x14ac:dyDescent="0.2">
      <c r="E1123" s="50"/>
      <c r="H1123" s="12"/>
      <c r="K1123"/>
    </row>
    <row r="1124" spans="5:11" ht="12.75" customHeight="1" x14ac:dyDescent="0.2">
      <c r="E1124" s="50"/>
      <c r="H1124" s="12"/>
      <c r="K1124"/>
    </row>
    <row r="1125" spans="5:11" ht="12.75" customHeight="1" x14ac:dyDescent="0.2">
      <c r="E1125" s="50"/>
      <c r="H1125" s="12"/>
      <c r="K1125"/>
    </row>
    <row r="1126" spans="5:11" ht="12.75" customHeight="1" x14ac:dyDescent="0.2">
      <c r="E1126" s="50"/>
      <c r="H1126" s="12"/>
      <c r="K1126"/>
    </row>
    <row r="1127" spans="5:11" ht="12.75" customHeight="1" x14ac:dyDescent="0.2">
      <c r="E1127" s="50"/>
      <c r="H1127" s="12"/>
      <c r="K1127"/>
    </row>
    <row r="1128" spans="5:11" ht="12.75" customHeight="1" x14ac:dyDescent="0.2">
      <c r="E1128" s="50"/>
      <c r="H1128" s="12"/>
      <c r="K1128"/>
    </row>
    <row r="1129" spans="5:11" ht="12.75" customHeight="1" x14ac:dyDescent="0.2">
      <c r="E1129" s="50"/>
      <c r="H1129" s="12"/>
      <c r="K1129"/>
    </row>
    <row r="1130" spans="5:11" ht="12.75" customHeight="1" x14ac:dyDescent="0.2">
      <c r="E1130" s="50"/>
      <c r="H1130" s="12"/>
      <c r="K1130"/>
    </row>
    <row r="1131" spans="5:11" ht="12.75" customHeight="1" x14ac:dyDescent="0.2">
      <c r="E1131" s="50"/>
      <c r="H1131" s="12"/>
      <c r="K1131"/>
    </row>
    <row r="1132" spans="5:11" ht="12.75" customHeight="1" x14ac:dyDescent="0.2">
      <c r="E1132" s="50"/>
      <c r="H1132" s="12"/>
      <c r="K1132"/>
    </row>
    <row r="1133" spans="5:11" ht="12.75" customHeight="1" x14ac:dyDescent="0.2">
      <c r="E1133" s="50"/>
      <c r="H1133" s="12"/>
      <c r="K1133"/>
    </row>
    <row r="1134" spans="5:11" ht="12.75" customHeight="1" x14ac:dyDescent="0.2">
      <c r="E1134" s="50"/>
      <c r="H1134" s="12"/>
      <c r="K1134"/>
    </row>
    <row r="1135" spans="5:11" ht="12.75" customHeight="1" x14ac:dyDescent="0.2">
      <c r="E1135" s="50"/>
      <c r="H1135" s="12"/>
      <c r="K1135"/>
    </row>
    <row r="1136" spans="5:11" ht="12.75" customHeight="1" x14ac:dyDescent="0.2">
      <c r="E1136" s="50"/>
      <c r="H1136" s="12"/>
      <c r="K1136"/>
    </row>
    <row r="1137" spans="5:11" ht="12.75" customHeight="1" x14ac:dyDescent="0.2">
      <c r="E1137" s="50"/>
      <c r="H1137" s="12"/>
      <c r="K1137"/>
    </row>
    <row r="1138" spans="5:11" ht="12.75" customHeight="1" x14ac:dyDescent="0.2">
      <c r="E1138" s="50"/>
      <c r="H1138" s="12"/>
      <c r="K1138"/>
    </row>
    <row r="1139" spans="5:11" ht="12.75" customHeight="1" x14ac:dyDescent="0.2">
      <c r="E1139" s="50"/>
      <c r="H1139" s="12"/>
      <c r="K1139"/>
    </row>
    <row r="1140" spans="5:11" ht="12.75" customHeight="1" x14ac:dyDescent="0.2">
      <c r="E1140" s="50"/>
      <c r="H1140" s="12"/>
      <c r="K1140"/>
    </row>
    <row r="1141" spans="5:11" ht="12.75" customHeight="1" x14ac:dyDescent="0.2">
      <c r="E1141" s="50"/>
      <c r="H1141" s="12"/>
      <c r="K1141"/>
    </row>
    <row r="1142" spans="5:11" ht="12.75" customHeight="1" x14ac:dyDescent="0.2">
      <c r="E1142" s="50"/>
      <c r="H1142" s="12"/>
      <c r="K1142"/>
    </row>
    <row r="1143" spans="5:11" ht="12.75" customHeight="1" x14ac:dyDescent="0.2">
      <c r="E1143" s="50"/>
      <c r="H1143" s="12"/>
      <c r="K1143"/>
    </row>
    <row r="1144" spans="5:11" ht="12.75" customHeight="1" x14ac:dyDescent="0.2">
      <c r="E1144" s="50"/>
      <c r="H1144" s="12"/>
      <c r="K1144"/>
    </row>
    <row r="1145" spans="5:11" ht="12.75" customHeight="1" x14ac:dyDescent="0.2">
      <c r="E1145" s="50"/>
      <c r="H1145" s="12"/>
      <c r="K1145"/>
    </row>
    <row r="1146" spans="5:11" ht="12.75" customHeight="1" x14ac:dyDescent="0.2">
      <c r="E1146" s="50"/>
      <c r="H1146" s="12"/>
      <c r="K1146"/>
    </row>
    <row r="1147" spans="5:11" ht="12.75" customHeight="1" x14ac:dyDescent="0.2">
      <c r="E1147" s="50"/>
      <c r="H1147" s="12"/>
      <c r="K1147"/>
    </row>
    <row r="1148" spans="5:11" ht="12.75" customHeight="1" x14ac:dyDescent="0.2">
      <c r="E1148" s="50"/>
      <c r="H1148" s="12"/>
      <c r="K1148"/>
    </row>
    <row r="1149" spans="5:11" ht="12.75" customHeight="1" x14ac:dyDescent="0.2">
      <c r="E1149" s="50"/>
      <c r="H1149" s="12"/>
      <c r="K1149"/>
    </row>
    <row r="1150" spans="5:11" ht="12.75" customHeight="1" x14ac:dyDescent="0.2">
      <c r="E1150" s="50"/>
      <c r="H1150" s="12"/>
      <c r="K1150"/>
    </row>
    <row r="1151" spans="5:11" ht="12.75" customHeight="1" x14ac:dyDescent="0.2">
      <c r="E1151" s="50"/>
      <c r="H1151" s="12"/>
      <c r="K1151"/>
    </row>
    <row r="1152" spans="5:11" ht="12.75" customHeight="1" x14ac:dyDescent="0.2">
      <c r="E1152" s="50"/>
      <c r="H1152" s="12"/>
      <c r="K1152"/>
    </row>
    <row r="1153" spans="5:11" ht="12.75" customHeight="1" x14ac:dyDescent="0.2">
      <c r="E1153" s="50"/>
      <c r="H1153" s="12"/>
      <c r="K1153"/>
    </row>
    <row r="1154" spans="5:11" ht="12.75" customHeight="1" x14ac:dyDescent="0.2">
      <c r="E1154" s="50"/>
      <c r="H1154" s="12"/>
      <c r="K1154"/>
    </row>
    <row r="1155" spans="5:11" ht="12.75" customHeight="1" x14ac:dyDescent="0.2">
      <c r="E1155" s="50"/>
      <c r="H1155" s="12"/>
      <c r="K1155"/>
    </row>
    <row r="1156" spans="5:11" ht="12.75" customHeight="1" x14ac:dyDescent="0.2">
      <c r="E1156" s="50"/>
      <c r="H1156" s="12"/>
      <c r="K1156"/>
    </row>
    <row r="1157" spans="5:11" ht="12.75" customHeight="1" x14ac:dyDescent="0.2">
      <c r="E1157" s="50"/>
      <c r="H1157" s="12"/>
      <c r="K1157"/>
    </row>
    <row r="1158" spans="5:11" ht="12.75" customHeight="1" x14ac:dyDescent="0.2">
      <c r="E1158" s="50"/>
      <c r="H1158" s="12"/>
      <c r="K1158"/>
    </row>
    <row r="1159" spans="5:11" ht="12.75" customHeight="1" x14ac:dyDescent="0.2">
      <c r="E1159" s="50"/>
      <c r="H1159" s="12"/>
      <c r="K1159"/>
    </row>
    <row r="1160" spans="5:11" ht="12.75" customHeight="1" x14ac:dyDescent="0.2">
      <c r="E1160" s="50"/>
      <c r="H1160" s="12"/>
      <c r="K1160"/>
    </row>
    <row r="1161" spans="5:11" ht="12.75" customHeight="1" x14ac:dyDescent="0.2">
      <c r="E1161" s="50"/>
      <c r="H1161" s="12"/>
      <c r="K1161"/>
    </row>
    <row r="1162" spans="5:11" ht="12.75" customHeight="1" x14ac:dyDescent="0.2">
      <c r="E1162" s="50"/>
      <c r="H1162" s="12"/>
      <c r="K1162"/>
    </row>
    <row r="1163" spans="5:11" ht="12.75" customHeight="1" x14ac:dyDescent="0.2">
      <c r="E1163" s="50"/>
      <c r="H1163" s="12"/>
      <c r="K1163"/>
    </row>
    <row r="1164" spans="5:11" ht="12.75" customHeight="1" x14ac:dyDescent="0.2">
      <c r="E1164" s="50"/>
      <c r="H1164" s="12"/>
      <c r="K1164"/>
    </row>
    <row r="1165" spans="5:11" ht="12.75" customHeight="1" x14ac:dyDescent="0.2">
      <c r="E1165" s="50"/>
      <c r="H1165" s="12"/>
      <c r="K1165"/>
    </row>
    <row r="1166" spans="5:11" ht="12.75" customHeight="1" x14ac:dyDescent="0.2">
      <c r="E1166" s="50"/>
      <c r="H1166" s="12"/>
      <c r="K1166"/>
    </row>
    <row r="1167" spans="5:11" ht="12.75" customHeight="1" x14ac:dyDescent="0.2">
      <c r="E1167" s="50"/>
      <c r="H1167" s="12"/>
      <c r="K1167"/>
    </row>
    <row r="1168" spans="5:11" ht="12.75" customHeight="1" x14ac:dyDescent="0.2">
      <c r="E1168" s="50"/>
      <c r="H1168" s="12"/>
      <c r="K1168"/>
    </row>
    <row r="1169" spans="5:11" ht="12.75" customHeight="1" x14ac:dyDescent="0.2">
      <c r="E1169" s="50"/>
      <c r="H1169" s="12"/>
      <c r="K1169"/>
    </row>
    <row r="1170" spans="5:11" ht="12.75" customHeight="1" x14ac:dyDescent="0.2">
      <c r="E1170" s="50"/>
      <c r="H1170" s="12"/>
      <c r="K1170"/>
    </row>
    <row r="1171" spans="5:11" ht="12.75" customHeight="1" x14ac:dyDescent="0.2">
      <c r="E1171" s="50"/>
      <c r="H1171" s="12"/>
      <c r="K1171"/>
    </row>
    <row r="1172" spans="5:11" ht="12.75" customHeight="1" x14ac:dyDescent="0.2">
      <c r="E1172" s="50"/>
      <c r="H1172" s="12"/>
      <c r="K1172"/>
    </row>
    <row r="1173" spans="5:11" ht="12.75" customHeight="1" x14ac:dyDescent="0.2">
      <c r="E1173" s="50"/>
      <c r="H1173" s="12"/>
      <c r="K1173"/>
    </row>
    <row r="1174" spans="5:11" ht="12.75" customHeight="1" x14ac:dyDescent="0.2">
      <c r="E1174" s="50"/>
      <c r="H1174" s="12"/>
      <c r="K1174"/>
    </row>
    <row r="1175" spans="5:11" ht="12.75" customHeight="1" x14ac:dyDescent="0.2">
      <c r="E1175" s="50"/>
      <c r="H1175" s="12"/>
      <c r="K1175"/>
    </row>
    <row r="1176" spans="5:11" ht="12.75" customHeight="1" x14ac:dyDescent="0.2">
      <c r="E1176" s="50"/>
      <c r="H1176" s="12"/>
      <c r="K1176"/>
    </row>
    <row r="1177" spans="5:11" ht="12.75" customHeight="1" x14ac:dyDescent="0.2">
      <c r="E1177" s="50"/>
      <c r="H1177" s="12"/>
      <c r="K1177"/>
    </row>
    <row r="1178" spans="5:11" ht="12.75" customHeight="1" x14ac:dyDescent="0.2">
      <c r="E1178" s="50"/>
      <c r="H1178" s="12"/>
      <c r="K1178"/>
    </row>
    <row r="1179" spans="5:11" ht="12.75" customHeight="1" x14ac:dyDescent="0.2">
      <c r="E1179" s="50"/>
      <c r="H1179" s="12"/>
      <c r="K1179"/>
    </row>
    <row r="1180" spans="5:11" ht="12.75" customHeight="1" x14ac:dyDescent="0.2">
      <c r="E1180" s="50"/>
      <c r="H1180" s="12"/>
      <c r="K1180"/>
    </row>
    <row r="1181" spans="5:11" ht="12.75" customHeight="1" x14ac:dyDescent="0.2">
      <c r="E1181" s="50"/>
      <c r="H1181" s="12"/>
      <c r="K1181"/>
    </row>
    <row r="1182" spans="5:11" ht="12.75" customHeight="1" x14ac:dyDescent="0.2">
      <c r="E1182" s="50"/>
      <c r="H1182" s="12"/>
      <c r="K1182"/>
    </row>
    <row r="1183" spans="5:11" ht="12.75" customHeight="1" x14ac:dyDescent="0.2">
      <c r="E1183" s="50"/>
      <c r="H1183" s="12"/>
      <c r="K1183"/>
    </row>
    <row r="1184" spans="5:11" ht="12.75" customHeight="1" x14ac:dyDescent="0.2">
      <c r="E1184" s="50"/>
      <c r="H1184" s="12"/>
      <c r="K1184"/>
    </row>
    <row r="1185" spans="5:11" ht="12.75" customHeight="1" x14ac:dyDescent="0.2">
      <c r="E1185" s="50"/>
      <c r="H1185" s="12"/>
      <c r="K1185"/>
    </row>
    <row r="1186" spans="5:11" ht="12.75" customHeight="1" x14ac:dyDescent="0.2">
      <c r="E1186" s="50"/>
      <c r="H1186" s="12"/>
      <c r="K1186"/>
    </row>
    <row r="1187" spans="5:11" ht="12.75" customHeight="1" x14ac:dyDescent="0.2">
      <c r="E1187" s="50"/>
      <c r="H1187" s="12"/>
      <c r="K1187"/>
    </row>
    <row r="1188" spans="5:11" ht="12.75" customHeight="1" x14ac:dyDescent="0.2">
      <c r="E1188" s="50"/>
      <c r="H1188" s="12"/>
      <c r="K1188"/>
    </row>
    <row r="1189" spans="5:11" ht="12.75" customHeight="1" x14ac:dyDescent="0.2">
      <c r="E1189" s="50"/>
      <c r="H1189" s="12"/>
      <c r="K1189"/>
    </row>
    <row r="1190" spans="5:11" ht="12.75" customHeight="1" x14ac:dyDescent="0.2">
      <c r="E1190" s="50"/>
      <c r="H1190" s="12"/>
      <c r="K1190"/>
    </row>
    <row r="1191" spans="5:11" ht="12.75" customHeight="1" x14ac:dyDescent="0.2">
      <c r="E1191" s="50"/>
      <c r="H1191" s="12"/>
      <c r="K1191"/>
    </row>
    <row r="1192" spans="5:11" ht="12.75" customHeight="1" x14ac:dyDescent="0.2">
      <c r="E1192" s="50"/>
      <c r="H1192" s="12"/>
      <c r="K1192"/>
    </row>
    <row r="1193" spans="5:11" ht="12.75" customHeight="1" x14ac:dyDescent="0.2">
      <c r="E1193" s="50"/>
      <c r="H1193" s="12"/>
      <c r="K1193"/>
    </row>
    <row r="1194" spans="5:11" ht="12.75" customHeight="1" x14ac:dyDescent="0.2">
      <c r="E1194" s="50"/>
      <c r="H1194" s="12"/>
      <c r="K1194"/>
    </row>
    <row r="1195" spans="5:11" ht="12.75" customHeight="1" x14ac:dyDescent="0.2">
      <c r="E1195" s="50"/>
      <c r="H1195" s="12"/>
      <c r="K1195"/>
    </row>
    <row r="1196" spans="5:11" ht="12.75" customHeight="1" x14ac:dyDescent="0.2">
      <c r="E1196" s="50"/>
      <c r="H1196" s="12"/>
      <c r="K1196"/>
    </row>
    <row r="1197" spans="5:11" ht="12.75" customHeight="1" x14ac:dyDescent="0.2">
      <c r="E1197" s="50"/>
      <c r="H1197" s="12"/>
      <c r="K1197"/>
    </row>
    <row r="1198" spans="5:11" ht="12.75" customHeight="1" x14ac:dyDescent="0.2">
      <c r="E1198" s="50"/>
      <c r="H1198" s="12"/>
      <c r="K1198"/>
    </row>
    <row r="1199" spans="5:11" ht="12.75" customHeight="1" x14ac:dyDescent="0.2">
      <c r="E1199" s="50"/>
      <c r="H1199" s="12"/>
      <c r="K1199"/>
    </row>
    <row r="1200" spans="5:11" ht="12.75" customHeight="1" x14ac:dyDescent="0.2">
      <c r="E1200" s="50"/>
      <c r="H1200" s="12"/>
      <c r="K1200"/>
    </row>
    <row r="1201" spans="5:11" ht="12.75" customHeight="1" x14ac:dyDescent="0.2">
      <c r="E1201" s="50"/>
      <c r="H1201" s="12"/>
      <c r="K1201"/>
    </row>
    <row r="1202" spans="5:11" ht="12.75" customHeight="1" x14ac:dyDescent="0.2">
      <c r="E1202" s="50"/>
      <c r="H1202" s="12"/>
      <c r="K1202"/>
    </row>
    <row r="1203" spans="5:11" ht="12.75" customHeight="1" x14ac:dyDescent="0.2">
      <c r="E1203" s="50"/>
      <c r="H1203" s="12"/>
      <c r="K1203"/>
    </row>
    <row r="1204" spans="5:11" ht="12.75" customHeight="1" x14ac:dyDescent="0.2">
      <c r="E1204" s="50"/>
      <c r="H1204" s="12"/>
      <c r="K1204"/>
    </row>
    <row r="1205" spans="5:11" ht="12.75" customHeight="1" x14ac:dyDescent="0.2">
      <c r="E1205" s="50"/>
      <c r="H1205" s="12"/>
      <c r="K1205"/>
    </row>
    <row r="1206" spans="5:11" ht="12.75" customHeight="1" x14ac:dyDescent="0.2">
      <c r="E1206" s="50"/>
      <c r="H1206" s="12"/>
      <c r="K1206"/>
    </row>
    <row r="1207" spans="5:11" ht="12.75" customHeight="1" x14ac:dyDescent="0.2">
      <c r="E1207" s="50"/>
      <c r="H1207" s="12"/>
      <c r="K1207"/>
    </row>
    <row r="1208" spans="5:11" ht="12.75" customHeight="1" x14ac:dyDescent="0.2">
      <c r="E1208" s="50"/>
      <c r="H1208" s="12"/>
      <c r="K1208"/>
    </row>
    <row r="1209" spans="5:11" ht="12.75" customHeight="1" x14ac:dyDescent="0.2">
      <c r="E1209" s="50"/>
      <c r="H1209" s="12"/>
      <c r="K1209"/>
    </row>
    <row r="1210" spans="5:11" ht="14.25" customHeight="1" x14ac:dyDescent="0.2">
      <c r="E1210" s="50"/>
      <c r="H1210" s="12"/>
      <c r="K1210"/>
    </row>
    <row r="1211" spans="5:11" ht="13.5" customHeight="1" x14ac:dyDescent="0.2">
      <c r="E1211" s="50"/>
      <c r="H1211" s="12"/>
      <c r="K1211"/>
    </row>
    <row r="1212" spans="5:11" ht="13.5" customHeight="1" x14ac:dyDescent="0.2">
      <c r="E1212" s="50"/>
      <c r="H1212" s="12"/>
      <c r="K1212"/>
    </row>
    <row r="1213" spans="5:11" ht="13.5" customHeight="1" x14ac:dyDescent="0.2">
      <c r="E1213" s="50"/>
      <c r="H1213" s="12"/>
      <c r="K1213"/>
    </row>
    <row r="1214" spans="5:11" ht="13.5" customHeight="1" x14ac:dyDescent="0.2">
      <c r="E1214" s="50"/>
      <c r="H1214" s="12"/>
      <c r="K1214"/>
    </row>
    <row r="1215" spans="5:11" ht="13.5" customHeight="1" x14ac:dyDescent="0.2">
      <c r="E1215" s="50"/>
      <c r="H1215" s="12"/>
      <c r="K1215"/>
    </row>
    <row r="1216" spans="5:11" ht="13.5" customHeight="1" x14ac:dyDescent="0.2">
      <c r="E1216" s="50"/>
      <c r="H1216" s="12"/>
      <c r="K1216"/>
    </row>
    <row r="1217" spans="5:11" ht="13.5" customHeight="1" x14ac:dyDescent="0.2">
      <c r="E1217" s="50"/>
      <c r="H1217" s="12"/>
      <c r="K1217"/>
    </row>
    <row r="1218" spans="5:11" ht="13.5" customHeight="1" x14ac:dyDescent="0.2">
      <c r="E1218" s="50"/>
      <c r="H1218" s="12"/>
      <c r="K1218"/>
    </row>
    <row r="1219" spans="5:11" ht="13.5" customHeight="1" x14ac:dyDescent="0.2">
      <c r="E1219" s="50"/>
      <c r="H1219" s="12"/>
      <c r="K1219"/>
    </row>
    <row r="1220" spans="5:11" ht="13.5" customHeight="1" x14ac:dyDescent="0.2">
      <c r="E1220" s="50"/>
      <c r="H1220" s="12"/>
      <c r="K1220"/>
    </row>
    <row r="1221" spans="5:11" ht="13.5" customHeight="1" x14ac:dyDescent="0.2">
      <c r="E1221" s="50"/>
      <c r="H1221" s="12"/>
      <c r="K1221"/>
    </row>
    <row r="1222" spans="5:11" ht="13.5" customHeight="1" x14ac:dyDescent="0.2">
      <c r="E1222" s="50"/>
      <c r="H1222" s="12"/>
      <c r="K1222"/>
    </row>
    <row r="1223" spans="5:11" ht="13.5" customHeight="1" x14ac:dyDescent="0.2">
      <c r="E1223" s="50"/>
      <c r="H1223" s="12"/>
      <c r="K1223"/>
    </row>
    <row r="1224" spans="5:11" ht="13.5" customHeight="1" x14ac:dyDescent="0.2">
      <c r="E1224" s="50"/>
      <c r="H1224" s="12"/>
      <c r="K1224"/>
    </row>
    <row r="1225" spans="5:11" ht="13.5" customHeight="1" x14ac:dyDescent="0.2">
      <c r="E1225" s="50"/>
      <c r="H1225" s="12"/>
      <c r="K1225"/>
    </row>
    <row r="1226" spans="5:11" ht="13.5" customHeight="1" x14ac:dyDescent="0.2">
      <c r="E1226" s="50"/>
      <c r="H1226" s="12"/>
      <c r="K1226"/>
    </row>
    <row r="1227" spans="5:11" ht="13.5" customHeight="1" x14ac:dyDescent="0.2">
      <c r="E1227" s="50"/>
      <c r="H1227" s="12"/>
      <c r="K1227"/>
    </row>
    <row r="1228" spans="5:11" ht="13.5" customHeight="1" x14ac:dyDescent="0.2">
      <c r="E1228" s="50"/>
      <c r="H1228" s="12"/>
      <c r="K1228"/>
    </row>
    <row r="1229" spans="5:11" ht="13.5" customHeight="1" x14ac:dyDescent="0.2">
      <c r="E1229" s="50"/>
      <c r="H1229" s="12"/>
      <c r="K1229"/>
    </row>
    <row r="1230" spans="5:11" ht="13.5" customHeight="1" x14ac:dyDescent="0.2">
      <c r="E1230" s="50"/>
      <c r="H1230" s="12"/>
      <c r="K1230"/>
    </row>
    <row r="1231" spans="5:11" ht="13.5" customHeight="1" x14ac:dyDescent="0.2">
      <c r="E1231" s="50"/>
      <c r="H1231" s="12"/>
      <c r="K1231"/>
    </row>
    <row r="1232" spans="5:11" ht="13.5" customHeight="1" x14ac:dyDescent="0.2">
      <c r="E1232" s="50"/>
      <c r="H1232" s="12"/>
      <c r="K1232"/>
    </row>
    <row r="1233" spans="5:11" ht="13.5" customHeight="1" x14ac:dyDescent="0.2">
      <c r="E1233" s="50"/>
      <c r="H1233" s="12"/>
      <c r="K1233"/>
    </row>
    <row r="1234" spans="5:11" ht="13.5" customHeight="1" x14ac:dyDescent="0.2">
      <c r="E1234" s="50"/>
      <c r="H1234" s="12"/>
      <c r="K1234"/>
    </row>
    <row r="1235" spans="5:11" ht="13.5" customHeight="1" x14ac:dyDescent="0.2">
      <c r="E1235" s="50"/>
      <c r="H1235" s="12"/>
      <c r="K1235"/>
    </row>
    <row r="1236" spans="5:11" ht="13.5" customHeight="1" x14ac:dyDescent="0.2">
      <c r="E1236" s="50"/>
      <c r="H1236" s="12"/>
      <c r="K1236"/>
    </row>
    <row r="1237" spans="5:11" ht="13.5" customHeight="1" x14ac:dyDescent="0.2">
      <c r="E1237" s="50"/>
      <c r="H1237" s="12"/>
      <c r="K1237"/>
    </row>
    <row r="1238" spans="5:11" ht="13.5" customHeight="1" x14ac:dyDescent="0.2">
      <c r="E1238" s="50"/>
      <c r="H1238" s="12"/>
      <c r="K1238"/>
    </row>
    <row r="1239" spans="5:11" ht="13.5" customHeight="1" x14ac:dyDescent="0.2">
      <c r="E1239" s="50"/>
      <c r="H1239" s="12"/>
      <c r="K1239"/>
    </row>
    <row r="1240" spans="5:11" ht="13.5" customHeight="1" x14ac:dyDescent="0.2">
      <c r="E1240" s="50"/>
      <c r="H1240" s="12"/>
      <c r="K1240"/>
    </row>
    <row r="1241" spans="5:11" ht="13.5" customHeight="1" x14ac:dyDescent="0.2">
      <c r="E1241" s="50"/>
      <c r="H1241" s="12"/>
      <c r="K1241"/>
    </row>
    <row r="1242" spans="5:11" ht="13.5" customHeight="1" x14ac:dyDescent="0.2">
      <c r="E1242" s="50"/>
      <c r="H1242" s="12"/>
      <c r="K1242"/>
    </row>
    <row r="1243" spans="5:11" ht="13.5" customHeight="1" x14ac:dyDescent="0.2">
      <c r="E1243" s="50"/>
      <c r="H1243" s="12"/>
      <c r="K1243"/>
    </row>
    <row r="1244" spans="5:11" ht="13.5" customHeight="1" x14ac:dyDescent="0.2">
      <c r="E1244" s="50"/>
      <c r="H1244" s="12"/>
      <c r="K1244"/>
    </row>
    <row r="1245" spans="5:11" ht="13.5" customHeight="1" x14ac:dyDescent="0.2">
      <c r="E1245" s="50"/>
      <c r="H1245" s="12"/>
      <c r="K1245"/>
    </row>
    <row r="1246" spans="5:11" ht="13.5" customHeight="1" x14ac:dyDescent="0.2">
      <c r="E1246" s="50"/>
      <c r="H1246" s="12"/>
      <c r="K1246"/>
    </row>
    <row r="1247" spans="5:11" ht="13.5" customHeight="1" x14ac:dyDescent="0.2">
      <c r="E1247" s="50"/>
      <c r="H1247" s="12"/>
      <c r="K1247"/>
    </row>
    <row r="1248" spans="5:11" ht="13.5" customHeight="1" x14ac:dyDescent="0.2">
      <c r="E1248" s="50"/>
      <c r="H1248" s="12"/>
      <c r="K1248"/>
    </row>
    <row r="1249" spans="5:11" ht="13.5" customHeight="1" x14ac:dyDescent="0.2">
      <c r="E1249" s="50"/>
      <c r="H1249" s="12"/>
      <c r="K1249"/>
    </row>
    <row r="1250" spans="5:11" ht="13.5" customHeight="1" x14ac:dyDescent="0.2">
      <c r="E1250" s="50"/>
      <c r="H1250" s="12"/>
      <c r="K1250"/>
    </row>
    <row r="1251" spans="5:11" ht="13.5" customHeight="1" x14ac:dyDescent="0.2">
      <c r="E1251" s="50"/>
      <c r="H1251" s="12"/>
      <c r="K1251"/>
    </row>
    <row r="1252" spans="5:11" ht="13.5" customHeight="1" x14ac:dyDescent="0.2">
      <c r="E1252" s="50"/>
      <c r="H1252" s="12"/>
      <c r="K1252"/>
    </row>
    <row r="1253" spans="5:11" ht="13.5" customHeight="1" x14ac:dyDescent="0.2">
      <c r="E1253" s="50"/>
      <c r="H1253" s="12"/>
      <c r="K1253"/>
    </row>
    <row r="1254" spans="5:11" ht="13.5" customHeight="1" x14ac:dyDescent="0.2">
      <c r="E1254" s="50"/>
      <c r="H1254" s="12"/>
      <c r="K1254"/>
    </row>
    <row r="1255" spans="5:11" ht="13.5" customHeight="1" x14ac:dyDescent="0.2">
      <c r="E1255" s="50"/>
      <c r="H1255" s="12"/>
      <c r="K1255"/>
    </row>
    <row r="1256" spans="5:11" ht="13.5" customHeight="1" x14ac:dyDescent="0.2">
      <c r="E1256" s="50"/>
      <c r="H1256" s="12"/>
      <c r="K1256"/>
    </row>
    <row r="1257" spans="5:11" ht="13.5" customHeight="1" x14ac:dyDescent="0.2">
      <c r="E1257" s="50"/>
      <c r="H1257" s="12"/>
      <c r="K1257"/>
    </row>
    <row r="1258" spans="5:11" ht="13.5" customHeight="1" x14ac:dyDescent="0.2">
      <c r="E1258" s="50"/>
      <c r="H1258" s="12"/>
      <c r="K1258"/>
    </row>
    <row r="1259" spans="5:11" ht="13.5" customHeight="1" x14ac:dyDescent="0.2">
      <c r="E1259" s="50"/>
      <c r="H1259" s="12"/>
      <c r="K1259"/>
    </row>
    <row r="1260" spans="5:11" ht="13.5" customHeight="1" x14ac:dyDescent="0.2">
      <c r="E1260" s="50"/>
      <c r="H1260" s="12"/>
      <c r="K1260"/>
    </row>
    <row r="1261" spans="5:11" ht="13.5" customHeight="1" x14ac:dyDescent="0.2">
      <c r="E1261" s="50"/>
      <c r="H1261" s="12"/>
      <c r="K1261"/>
    </row>
    <row r="1262" spans="5:11" ht="13.5" customHeight="1" x14ac:dyDescent="0.2">
      <c r="E1262" s="50"/>
      <c r="H1262" s="12"/>
      <c r="K1262"/>
    </row>
    <row r="1263" spans="5:11" ht="13.5" customHeight="1" x14ac:dyDescent="0.2">
      <c r="E1263" s="50"/>
      <c r="H1263" s="12"/>
      <c r="K1263"/>
    </row>
    <row r="1264" spans="5:11" ht="13.5" customHeight="1" x14ac:dyDescent="0.2">
      <c r="E1264" s="50"/>
      <c r="H1264" s="12"/>
      <c r="K1264"/>
    </row>
    <row r="1265" spans="5:11" ht="13.5" customHeight="1" x14ac:dyDescent="0.2">
      <c r="E1265" s="50"/>
      <c r="H1265" s="12"/>
      <c r="K1265"/>
    </row>
    <row r="1266" spans="5:11" ht="13.5" customHeight="1" x14ac:dyDescent="0.2">
      <c r="E1266" s="50"/>
      <c r="H1266" s="12"/>
      <c r="K1266"/>
    </row>
    <row r="1267" spans="5:11" ht="13.5" customHeight="1" x14ac:dyDescent="0.2">
      <c r="E1267" s="50"/>
      <c r="H1267" s="12"/>
      <c r="K1267"/>
    </row>
    <row r="1268" spans="5:11" x14ac:dyDescent="0.2">
      <c r="E1268" s="50"/>
      <c r="H1268" s="12"/>
      <c r="K1268"/>
    </row>
    <row r="1269" spans="5:11" x14ac:dyDescent="0.2">
      <c r="E1269" s="50"/>
      <c r="H1269" s="12"/>
      <c r="K1269"/>
    </row>
    <row r="1270" spans="5:11" x14ac:dyDescent="0.2">
      <c r="E1270" s="50"/>
      <c r="H1270" s="12"/>
      <c r="K1270"/>
    </row>
    <row r="1271" spans="5:11" x14ac:dyDescent="0.2">
      <c r="E1271" s="50"/>
      <c r="H1271" s="12"/>
      <c r="K1271"/>
    </row>
    <row r="1272" spans="5:11" x14ac:dyDescent="0.2">
      <c r="E1272" s="50"/>
      <c r="H1272" s="12"/>
      <c r="K1272"/>
    </row>
    <row r="1273" spans="5:11" x14ac:dyDescent="0.2">
      <c r="E1273" s="50"/>
      <c r="H1273" s="12"/>
      <c r="K1273"/>
    </row>
    <row r="1274" spans="5:11" x14ac:dyDescent="0.2">
      <c r="E1274" s="50"/>
      <c r="H1274" s="12"/>
      <c r="K1274"/>
    </row>
    <row r="1275" spans="5:11" x14ac:dyDescent="0.2">
      <c r="E1275" s="50"/>
      <c r="H1275" s="12"/>
      <c r="K1275"/>
    </row>
    <row r="1276" spans="5:11" x14ac:dyDescent="0.2">
      <c r="E1276" s="50"/>
      <c r="H1276" s="12"/>
      <c r="K1276"/>
    </row>
    <row r="1277" spans="5:11" x14ac:dyDescent="0.2">
      <c r="E1277" s="50"/>
      <c r="H1277" s="12"/>
      <c r="K1277"/>
    </row>
    <row r="1278" spans="5:11" x14ac:dyDescent="0.2">
      <c r="E1278" s="50"/>
      <c r="H1278" s="12"/>
      <c r="K1278"/>
    </row>
    <row r="1279" spans="5:11" x14ac:dyDescent="0.2">
      <c r="E1279" s="50"/>
      <c r="H1279" s="12"/>
      <c r="K1279"/>
    </row>
    <row r="1280" spans="5:11" x14ac:dyDescent="0.2">
      <c r="E1280" s="50"/>
      <c r="H1280" s="12"/>
      <c r="K1280"/>
    </row>
    <row r="1281" spans="5:11" x14ac:dyDescent="0.2">
      <c r="E1281" s="50"/>
      <c r="H1281" s="12"/>
      <c r="K1281"/>
    </row>
    <row r="1282" spans="5:11" x14ac:dyDescent="0.2">
      <c r="E1282" s="50"/>
      <c r="H1282" s="12"/>
      <c r="K1282"/>
    </row>
    <row r="1283" spans="5:11" x14ac:dyDescent="0.2">
      <c r="E1283" s="50"/>
      <c r="H1283" s="12"/>
      <c r="K1283"/>
    </row>
    <row r="1284" spans="5:11" x14ac:dyDescent="0.2">
      <c r="E1284" s="50"/>
      <c r="H1284" s="12"/>
      <c r="K1284"/>
    </row>
    <row r="1285" spans="5:11" x14ac:dyDescent="0.2">
      <c r="E1285" s="50"/>
      <c r="H1285" s="12"/>
      <c r="K1285"/>
    </row>
    <row r="1286" spans="5:11" x14ac:dyDescent="0.2">
      <c r="E1286" s="50"/>
      <c r="H1286" s="12"/>
      <c r="K1286"/>
    </row>
    <row r="1287" spans="5:11" x14ac:dyDescent="0.2">
      <c r="E1287" s="50"/>
      <c r="H1287" s="12"/>
      <c r="K1287"/>
    </row>
    <row r="1288" spans="5:11" x14ac:dyDescent="0.2">
      <c r="E1288" s="50"/>
      <c r="H1288" s="12"/>
      <c r="K1288"/>
    </row>
    <row r="1289" spans="5:11" x14ac:dyDescent="0.2">
      <c r="E1289" s="50"/>
      <c r="H1289" s="12"/>
      <c r="K1289"/>
    </row>
    <row r="1290" spans="5:11" x14ac:dyDescent="0.2">
      <c r="E1290" s="50"/>
      <c r="H1290" s="12"/>
      <c r="K1290"/>
    </row>
    <row r="1291" spans="5:11" x14ac:dyDescent="0.2">
      <c r="E1291" s="50"/>
      <c r="H1291" s="12"/>
      <c r="K1291"/>
    </row>
    <row r="1292" spans="5:11" x14ac:dyDescent="0.2">
      <c r="E1292" s="50"/>
      <c r="H1292" s="12"/>
      <c r="K1292"/>
    </row>
    <row r="1293" spans="5:11" x14ac:dyDescent="0.2">
      <c r="E1293" s="50"/>
      <c r="H1293" s="12"/>
      <c r="K1293"/>
    </row>
    <row r="1294" spans="5:11" x14ac:dyDescent="0.2">
      <c r="E1294" s="50"/>
      <c r="H1294" s="12"/>
      <c r="K1294"/>
    </row>
    <row r="1295" spans="5:11" x14ac:dyDescent="0.2">
      <c r="E1295" s="50"/>
      <c r="H1295" s="12"/>
      <c r="K1295"/>
    </row>
    <row r="1296" spans="5:11" x14ac:dyDescent="0.2">
      <c r="E1296" s="50"/>
      <c r="H1296" s="12"/>
      <c r="K1296"/>
    </row>
    <row r="1297" spans="5:11" x14ac:dyDescent="0.2">
      <c r="E1297" s="50"/>
      <c r="H1297" s="12"/>
      <c r="K1297"/>
    </row>
    <row r="1298" spans="5:11" x14ac:dyDescent="0.2">
      <c r="E1298" s="50"/>
      <c r="H1298" s="12"/>
      <c r="K1298"/>
    </row>
    <row r="1299" spans="5:11" x14ac:dyDescent="0.2">
      <c r="E1299" s="50"/>
      <c r="H1299" s="12"/>
      <c r="K1299"/>
    </row>
    <row r="1300" spans="5:11" x14ac:dyDescent="0.2">
      <c r="E1300" s="50"/>
      <c r="H1300" s="12"/>
      <c r="K1300"/>
    </row>
    <row r="1301" spans="5:11" x14ac:dyDescent="0.2">
      <c r="E1301" s="50"/>
      <c r="H1301" s="12"/>
      <c r="K1301"/>
    </row>
    <row r="1302" spans="5:11" x14ac:dyDescent="0.2">
      <c r="E1302" s="50"/>
      <c r="H1302" s="12"/>
      <c r="K1302"/>
    </row>
    <row r="1303" spans="5:11" x14ac:dyDescent="0.2">
      <c r="E1303" s="50"/>
      <c r="H1303" s="12"/>
      <c r="K1303"/>
    </row>
    <row r="1304" spans="5:11" x14ac:dyDescent="0.2">
      <c r="E1304" s="50"/>
      <c r="H1304" s="12"/>
      <c r="K1304"/>
    </row>
    <row r="1305" spans="5:11" x14ac:dyDescent="0.2">
      <c r="E1305" s="50"/>
      <c r="H1305" s="12"/>
      <c r="K1305"/>
    </row>
    <row r="1306" spans="5:11" x14ac:dyDescent="0.2">
      <c r="E1306" s="50"/>
      <c r="H1306" s="12"/>
      <c r="K1306"/>
    </row>
    <row r="1307" spans="5:11" x14ac:dyDescent="0.2">
      <c r="E1307" s="50"/>
      <c r="H1307" s="12"/>
      <c r="K1307"/>
    </row>
    <row r="1308" spans="5:11" x14ac:dyDescent="0.2">
      <c r="E1308" s="50"/>
      <c r="H1308" s="12"/>
      <c r="K1308"/>
    </row>
    <row r="1309" spans="5:11" x14ac:dyDescent="0.2">
      <c r="E1309" s="50"/>
      <c r="H1309" s="12"/>
      <c r="K1309"/>
    </row>
    <row r="1310" spans="5:11" x14ac:dyDescent="0.2">
      <c r="E1310" s="50"/>
      <c r="H1310" s="12"/>
      <c r="K1310"/>
    </row>
    <row r="1311" spans="5:11" x14ac:dyDescent="0.2">
      <c r="E1311" s="50"/>
      <c r="H1311" s="12"/>
      <c r="K1311"/>
    </row>
    <row r="1312" spans="5:11" x14ac:dyDescent="0.2">
      <c r="E1312" s="50"/>
      <c r="H1312" s="12"/>
      <c r="K1312"/>
    </row>
    <row r="1313" spans="5:11" x14ac:dyDescent="0.2">
      <c r="E1313" s="50"/>
      <c r="H1313" s="12"/>
      <c r="K1313"/>
    </row>
    <row r="1314" spans="5:11" x14ac:dyDescent="0.2">
      <c r="E1314" s="50"/>
      <c r="H1314" s="12"/>
      <c r="K1314"/>
    </row>
    <row r="1315" spans="5:11" x14ac:dyDescent="0.2">
      <c r="E1315" s="50"/>
      <c r="H1315" s="12"/>
      <c r="K1315"/>
    </row>
    <row r="1316" spans="5:11" x14ac:dyDescent="0.2">
      <c r="E1316" s="50"/>
      <c r="H1316" s="12"/>
      <c r="K1316"/>
    </row>
    <row r="1317" spans="5:11" x14ac:dyDescent="0.2">
      <c r="E1317" s="50"/>
      <c r="H1317" s="12"/>
      <c r="K1317"/>
    </row>
    <row r="1318" spans="5:11" x14ac:dyDescent="0.2">
      <c r="E1318" s="50"/>
      <c r="H1318" s="12"/>
      <c r="K1318"/>
    </row>
    <row r="1319" spans="5:11" x14ac:dyDescent="0.2">
      <c r="E1319" s="50"/>
      <c r="H1319" s="12"/>
      <c r="K1319"/>
    </row>
    <row r="1320" spans="5:11" x14ac:dyDescent="0.2">
      <c r="E1320" s="50"/>
      <c r="H1320" s="12"/>
      <c r="K1320"/>
    </row>
    <row r="1321" spans="5:11" x14ac:dyDescent="0.2">
      <c r="E1321" s="50"/>
      <c r="H1321" s="12"/>
      <c r="K1321"/>
    </row>
    <row r="1322" spans="5:11" x14ac:dyDescent="0.2">
      <c r="E1322" s="50"/>
      <c r="H1322" s="12"/>
      <c r="K1322"/>
    </row>
    <row r="1323" spans="5:11" x14ac:dyDescent="0.2">
      <c r="E1323" s="50"/>
      <c r="H1323" s="12"/>
      <c r="K1323"/>
    </row>
    <row r="1324" spans="5:11" x14ac:dyDescent="0.2">
      <c r="E1324" s="50"/>
      <c r="H1324" s="12"/>
      <c r="K1324"/>
    </row>
    <row r="1325" spans="5:11" x14ac:dyDescent="0.2">
      <c r="E1325" s="50"/>
      <c r="H1325" s="12"/>
      <c r="K1325"/>
    </row>
    <row r="1326" spans="5:11" x14ac:dyDescent="0.2">
      <c r="E1326" s="50"/>
      <c r="H1326" s="12"/>
      <c r="K1326"/>
    </row>
    <row r="1327" spans="5:11" x14ac:dyDescent="0.2">
      <c r="E1327" s="50"/>
      <c r="H1327" s="12"/>
      <c r="K1327"/>
    </row>
    <row r="1328" spans="5:11" x14ac:dyDescent="0.2">
      <c r="E1328" s="50"/>
      <c r="H1328" s="12"/>
      <c r="K1328"/>
    </row>
    <row r="1329" spans="5:11" x14ac:dyDescent="0.2">
      <c r="E1329" s="50"/>
      <c r="H1329" s="12"/>
      <c r="K1329"/>
    </row>
    <row r="1330" spans="5:11" x14ac:dyDescent="0.2">
      <c r="E1330" s="50"/>
      <c r="H1330" s="12"/>
      <c r="K1330"/>
    </row>
    <row r="1331" spans="5:11" x14ac:dyDescent="0.2">
      <c r="E1331" s="50"/>
      <c r="H1331" s="12"/>
      <c r="K1331"/>
    </row>
    <row r="1332" spans="5:11" x14ac:dyDescent="0.2">
      <c r="E1332" s="50"/>
      <c r="H1332" s="12"/>
      <c r="K1332"/>
    </row>
    <row r="1333" spans="5:11" x14ac:dyDescent="0.2">
      <c r="E1333" s="50"/>
      <c r="H1333" s="12"/>
      <c r="K1333"/>
    </row>
    <row r="1334" spans="5:11" x14ac:dyDescent="0.2">
      <c r="E1334" s="50"/>
      <c r="H1334" s="12"/>
      <c r="K1334"/>
    </row>
    <row r="1335" spans="5:11" x14ac:dyDescent="0.2">
      <c r="E1335" s="50"/>
      <c r="H1335" s="12"/>
      <c r="K1335"/>
    </row>
    <row r="1336" spans="5:11" x14ac:dyDescent="0.2">
      <c r="E1336" s="50"/>
      <c r="H1336" s="12"/>
      <c r="K1336"/>
    </row>
    <row r="1337" spans="5:11" x14ac:dyDescent="0.2">
      <c r="E1337" s="50"/>
      <c r="H1337" s="12"/>
      <c r="K1337"/>
    </row>
    <row r="1338" spans="5:11" x14ac:dyDescent="0.2">
      <c r="E1338" s="50"/>
      <c r="H1338" s="12"/>
      <c r="K1338"/>
    </row>
    <row r="1339" spans="5:11" x14ac:dyDescent="0.2">
      <c r="E1339" s="50"/>
      <c r="H1339" s="12"/>
      <c r="K1339"/>
    </row>
    <row r="1340" spans="5:11" x14ac:dyDescent="0.2">
      <c r="E1340" s="50"/>
      <c r="H1340" s="12"/>
      <c r="K1340"/>
    </row>
    <row r="1341" spans="5:11" x14ac:dyDescent="0.2">
      <c r="E1341" s="50"/>
      <c r="H1341" s="12"/>
      <c r="K1341"/>
    </row>
    <row r="1342" spans="5:11" x14ac:dyDescent="0.2">
      <c r="E1342" s="50"/>
      <c r="H1342" s="12"/>
      <c r="K1342"/>
    </row>
    <row r="1343" spans="5:11" x14ac:dyDescent="0.2">
      <c r="E1343" s="50"/>
      <c r="H1343" s="12"/>
      <c r="K1343"/>
    </row>
    <row r="1344" spans="5:11" x14ac:dyDescent="0.2">
      <c r="E1344" s="50"/>
      <c r="H1344" s="12"/>
      <c r="K1344"/>
    </row>
    <row r="1345" spans="5:11" x14ac:dyDescent="0.2">
      <c r="E1345" s="50"/>
      <c r="H1345" s="12"/>
      <c r="K1345"/>
    </row>
    <row r="1346" spans="5:11" x14ac:dyDescent="0.2">
      <c r="E1346" s="50"/>
      <c r="H1346" s="12"/>
      <c r="K1346"/>
    </row>
    <row r="1347" spans="5:11" x14ac:dyDescent="0.2">
      <c r="E1347" s="50"/>
      <c r="H1347" s="12"/>
      <c r="K1347"/>
    </row>
    <row r="1348" spans="5:11" x14ac:dyDescent="0.2">
      <c r="E1348" s="50"/>
      <c r="H1348" s="12"/>
      <c r="K1348"/>
    </row>
    <row r="1349" spans="5:11" x14ac:dyDescent="0.2">
      <c r="E1349" s="50"/>
      <c r="H1349" s="12"/>
      <c r="K1349"/>
    </row>
    <row r="1350" spans="5:11" x14ac:dyDescent="0.2">
      <c r="E1350" s="50"/>
      <c r="H1350" s="12"/>
      <c r="K1350"/>
    </row>
    <row r="1351" spans="5:11" x14ac:dyDescent="0.2">
      <c r="E1351" s="50"/>
      <c r="H1351" s="12"/>
      <c r="K1351"/>
    </row>
    <row r="1352" spans="5:11" x14ac:dyDescent="0.2">
      <c r="E1352" s="50"/>
      <c r="H1352" s="12"/>
      <c r="K1352"/>
    </row>
    <row r="1353" spans="5:11" x14ac:dyDescent="0.2">
      <c r="E1353" s="50"/>
      <c r="H1353" s="12"/>
      <c r="K1353"/>
    </row>
    <row r="1354" spans="5:11" x14ac:dyDescent="0.2">
      <c r="E1354" s="50"/>
      <c r="H1354" s="12"/>
      <c r="K1354"/>
    </row>
    <row r="1355" spans="5:11" x14ac:dyDescent="0.2">
      <c r="E1355" s="50"/>
      <c r="H1355" s="12"/>
      <c r="K1355"/>
    </row>
    <row r="1356" spans="5:11" x14ac:dyDescent="0.2">
      <c r="E1356" s="50"/>
      <c r="H1356" s="12"/>
      <c r="K1356"/>
    </row>
    <row r="1357" spans="5:11" x14ac:dyDescent="0.2">
      <c r="E1357" s="50"/>
      <c r="H1357" s="12"/>
      <c r="K1357"/>
    </row>
    <row r="1358" spans="5:11" x14ac:dyDescent="0.2">
      <c r="E1358" s="50"/>
      <c r="H1358" s="12"/>
      <c r="K1358"/>
    </row>
    <row r="1359" spans="5:11" x14ac:dyDescent="0.2">
      <c r="E1359" s="50"/>
      <c r="H1359" s="12"/>
      <c r="K1359"/>
    </row>
    <row r="1360" spans="5:11" x14ac:dyDescent="0.2">
      <c r="E1360" s="50"/>
      <c r="H1360" s="12"/>
      <c r="K1360"/>
    </row>
    <row r="1361" spans="5:11" x14ac:dyDescent="0.2">
      <c r="E1361" s="50"/>
      <c r="H1361" s="12"/>
      <c r="K1361"/>
    </row>
    <row r="1362" spans="5:11" x14ac:dyDescent="0.2">
      <c r="E1362" s="50"/>
      <c r="H1362" s="12"/>
      <c r="K1362"/>
    </row>
    <row r="1363" spans="5:11" x14ac:dyDescent="0.2">
      <c r="E1363" s="50"/>
      <c r="H1363" s="12"/>
      <c r="K1363"/>
    </row>
    <row r="1364" spans="5:11" x14ac:dyDescent="0.2">
      <c r="E1364" s="50"/>
      <c r="H1364" s="12"/>
      <c r="K1364"/>
    </row>
    <row r="1365" spans="5:11" x14ac:dyDescent="0.2">
      <c r="E1365" s="50"/>
      <c r="H1365" s="12"/>
      <c r="K1365"/>
    </row>
    <row r="1366" spans="5:11" x14ac:dyDescent="0.2">
      <c r="E1366" s="50"/>
      <c r="H1366" s="12"/>
      <c r="K1366"/>
    </row>
    <row r="1367" spans="5:11" x14ac:dyDescent="0.2">
      <c r="E1367" s="50"/>
      <c r="H1367" s="12"/>
      <c r="K1367"/>
    </row>
    <row r="1368" spans="5:11" x14ac:dyDescent="0.2">
      <c r="E1368" s="50"/>
      <c r="H1368" s="12"/>
      <c r="K1368"/>
    </row>
    <row r="1369" spans="5:11" x14ac:dyDescent="0.2">
      <c r="E1369" s="50"/>
      <c r="H1369" s="12"/>
      <c r="K1369"/>
    </row>
    <row r="1370" spans="5:11" x14ac:dyDescent="0.2">
      <c r="E1370" s="50"/>
      <c r="H1370" s="12"/>
      <c r="K1370"/>
    </row>
    <row r="1371" spans="5:11" x14ac:dyDescent="0.2">
      <c r="E1371" s="50"/>
      <c r="H1371" s="12"/>
      <c r="K1371"/>
    </row>
    <row r="1372" spans="5:11" x14ac:dyDescent="0.2">
      <c r="E1372" s="50"/>
      <c r="H1372" s="12"/>
      <c r="K1372"/>
    </row>
    <row r="1373" spans="5:11" x14ac:dyDescent="0.2">
      <c r="E1373" s="50"/>
      <c r="H1373" s="12"/>
      <c r="K1373"/>
    </row>
    <row r="1374" spans="5:11" x14ac:dyDescent="0.2">
      <c r="E1374" s="50"/>
      <c r="H1374" s="12"/>
      <c r="K1374"/>
    </row>
    <row r="1375" spans="5:11" x14ac:dyDescent="0.2">
      <c r="E1375" s="50"/>
      <c r="H1375" s="12"/>
      <c r="K1375"/>
    </row>
    <row r="1376" spans="5:11" x14ac:dyDescent="0.2">
      <c r="E1376" s="50"/>
      <c r="H1376" s="12"/>
      <c r="K1376"/>
    </row>
    <row r="1377" spans="5:11" x14ac:dyDescent="0.2">
      <c r="E1377" s="50"/>
      <c r="H1377" s="12"/>
      <c r="K1377"/>
    </row>
    <row r="1378" spans="5:11" x14ac:dyDescent="0.2">
      <c r="E1378" s="50"/>
      <c r="H1378" s="12"/>
      <c r="K1378"/>
    </row>
    <row r="1379" spans="5:11" x14ac:dyDescent="0.2">
      <c r="E1379" s="50"/>
      <c r="H1379" s="12"/>
      <c r="K1379"/>
    </row>
    <row r="1380" spans="5:11" x14ac:dyDescent="0.2">
      <c r="E1380" s="50"/>
      <c r="H1380" s="12"/>
      <c r="K1380"/>
    </row>
    <row r="1381" spans="5:11" x14ac:dyDescent="0.2">
      <c r="E1381" s="50"/>
      <c r="H1381" s="12"/>
      <c r="K1381"/>
    </row>
    <row r="1382" spans="5:11" x14ac:dyDescent="0.2">
      <c r="E1382" s="50"/>
      <c r="H1382" s="12"/>
      <c r="K1382"/>
    </row>
    <row r="1383" spans="5:11" x14ac:dyDescent="0.2">
      <c r="E1383" s="50"/>
      <c r="H1383" s="12"/>
      <c r="K1383"/>
    </row>
    <row r="1384" spans="5:11" x14ac:dyDescent="0.2">
      <c r="E1384" s="50"/>
      <c r="H1384" s="12"/>
      <c r="K1384"/>
    </row>
    <row r="1385" spans="5:11" x14ac:dyDescent="0.2">
      <c r="E1385" s="50"/>
      <c r="H1385" s="12"/>
      <c r="K1385"/>
    </row>
    <row r="1386" spans="5:11" x14ac:dyDescent="0.2">
      <c r="E1386" s="50"/>
      <c r="H1386" s="12"/>
      <c r="K1386"/>
    </row>
    <row r="1387" spans="5:11" x14ac:dyDescent="0.2">
      <c r="E1387" s="50"/>
      <c r="H1387" s="12"/>
      <c r="K1387"/>
    </row>
    <row r="1388" spans="5:11" x14ac:dyDescent="0.2">
      <c r="E1388" s="50"/>
      <c r="H1388" s="12"/>
      <c r="K1388"/>
    </row>
    <row r="1389" spans="5:11" x14ac:dyDescent="0.2">
      <c r="E1389" s="50"/>
      <c r="H1389" s="12"/>
      <c r="K1389"/>
    </row>
    <row r="1390" spans="5:11" x14ac:dyDescent="0.2">
      <c r="E1390" s="50"/>
      <c r="H1390" s="12"/>
      <c r="K1390"/>
    </row>
    <row r="1391" spans="5:11" x14ac:dyDescent="0.2">
      <c r="E1391" s="50"/>
      <c r="H1391" s="12"/>
      <c r="K1391"/>
    </row>
    <row r="1392" spans="5:11" x14ac:dyDescent="0.2">
      <c r="E1392" s="50"/>
      <c r="H1392" s="12"/>
      <c r="K1392"/>
    </row>
    <row r="1393" spans="5:11" x14ac:dyDescent="0.2">
      <c r="E1393" s="50"/>
      <c r="H1393" s="12"/>
      <c r="K1393"/>
    </row>
    <row r="1394" spans="5:11" x14ac:dyDescent="0.2">
      <c r="E1394" s="50"/>
      <c r="H1394" s="12"/>
      <c r="K1394"/>
    </row>
    <row r="1395" spans="5:11" x14ac:dyDescent="0.2">
      <c r="E1395" s="50"/>
      <c r="H1395" s="12"/>
      <c r="K1395"/>
    </row>
    <row r="1396" spans="5:11" x14ac:dyDescent="0.2">
      <c r="E1396" s="50"/>
      <c r="H1396" s="12"/>
      <c r="K1396"/>
    </row>
    <row r="1397" spans="5:11" x14ac:dyDescent="0.2">
      <c r="E1397" s="50"/>
      <c r="H1397" s="12"/>
      <c r="K1397"/>
    </row>
    <row r="1398" spans="5:11" x14ac:dyDescent="0.2">
      <c r="E1398" s="50"/>
      <c r="H1398" s="12"/>
      <c r="K1398"/>
    </row>
    <row r="1399" spans="5:11" x14ac:dyDescent="0.2">
      <c r="E1399" s="50"/>
      <c r="H1399" s="12"/>
      <c r="K1399"/>
    </row>
    <row r="1400" spans="5:11" x14ac:dyDescent="0.2">
      <c r="E1400" s="50"/>
      <c r="H1400" s="12"/>
      <c r="K1400"/>
    </row>
    <row r="1401" spans="5:11" x14ac:dyDescent="0.2">
      <c r="E1401" s="50"/>
      <c r="H1401" s="12"/>
      <c r="K1401"/>
    </row>
    <row r="1402" spans="5:11" x14ac:dyDescent="0.2">
      <c r="E1402" s="50"/>
      <c r="H1402" s="12"/>
      <c r="K1402"/>
    </row>
    <row r="1403" spans="5:11" x14ac:dyDescent="0.2">
      <c r="E1403" s="50"/>
      <c r="H1403" s="12"/>
      <c r="K1403"/>
    </row>
    <row r="1404" spans="5:11" x14ac:dyDescent="0.2">
      <c r="E1404" s="50"/>
      <c r="H1404" s="12"/>
      <c r="K1404"/>
    </row>
    <row r="1405" spans="5:11" x14ac:dyDescent="0.2">
      <c r="E1405" s="50"/>
      <c r="H1405" s="12"/>
      <c r="K1405"/>
    </row>
    <row r="1406" spans="5:11" x14ac:dyDescent="0.2">
      <c r="E1406" s="50"/>
      <c r="H1406" s="12"/>
      <c r="K1406"/>
    </row>
    <row r="1407" spans="5:11" x14ac:dyDescent="0.2">
      <c r="E1407" s="50"/>
      <c r="H1407" s="12"/>
      <c r="K1407"/>
    </row>
    <row r="1408" spans="5:11" x14ac:dyDescent="0.2">
      <c r="E1408" s="50"/>
      <c r="H1408" s="12"/>
      <c r="K1408"/>
    </row>
    <row r="1409" spans="5:11" x14ac:dyDescent="0.2">
      <c r="E1409" s="50"/>
      <c r="H1409" s="12"/>
      <c r="K1409"/>
    </row>
    <row r="1410" spans="5:11" x14ac:dyDescent="0.2">
      <c r="E1410" s="50"/>
      <c r="H1410" s="12"/>
      <c r="K1410"/>
    </row>
    <row r="1411" spans="5:11" x14ac:dyDescent="0.2">
      <c r="E1411" s="50"/>
      <c r="H1411" s="12"/>
      <c r="K1411"/>
    </row>
    <row r="1412" spans="5:11" x14ac:dyDescent="0.2">
      <c r="E1412" s="50"/>
      <c r="H1412" s="12"/>
      <c r="K1412"/>
    </row>
    <row r="1413" spans="5:11" x14ac:dyDescent="0.2">
      <c r="E1413" s="50"/>
      <c r="H1413" s="12"/>
      <c r="K1413"/>
    </row>
    <row r="1414" spans="5:11" x14ac:dyDescent="0.2">
      <c r="E1414" s="50"/>
      <c r="H1414" s="12"/>
      <c r="K1414"/>
    </row>
    <row r="1415" spans="5:11" x14ac:dyDescent="0.2">
      <c r="E1415" s="50"/>
      <c r="H1415" s="12"/>
      <c r="K1415"/>
    </row>
    <row r="1416" spans="5:11" x14ac:dyDescent="0.2">
      <c r="E1416" s="50"/>
      <c r="H1416" s="12"/>
      <c r="K1416"/>
    </row>
    <row r="1417" spans="5:11" x14ac:dyDescent="0.2">
      <c r="E1417" s="50"/>
      <c r="H1417" s="12"/>
      <c r="K1417"/>
    </row>
    <row r="1418" spans="5:11" x14ac:dyDescent="0.2">
      <c r="E1418" s="50"/>
      <c r="H1418" s="12"/>
      <c r="K1418"/>
    </row>
    <row r="1419" spans="5:11" x14ac:dyDescent="0.2">
      <c r="E1419" s="50"/>
      <c r="H1419" s="12"/>
      <c r="K1419"/>
    </row>
    <row r="1420" spans="5:11" x14ac:dyDescent="0.2">
      <c r="E1420" s="50"/>
      <c r="H1420" s="12"/>
      <c r="K1420"/>
    </row>
    <row r="1421" spans="5:11" x14ac:dyDescent="0.2">
      <c r="E1421" s="50"/>
      <c r="H1421" s="12"/>
      <c r="K1421"/>
    </row>
    <row r="1422" spans="5:11" x14ac:dyDescent="0.2">
      <c r="E1422" s="50"/>
      <c r="H1422" s="12"/>
      <c r="K1422"/>
    </row>
    <row r="1423" spans="5:11" x14ac:dyDescent="0.2">
      <c r="E1423" s="50"/>
      <c r="H1423" s="12"/>
      <c r="K1423"/>
    </row>
    <row r="1424" spans="5:11" x14ac:dyDescent="0.2">
      <c r="E1424" s="50"/>
      <c r="H1424" s="12"/>
      <c r="K1424"/>
    </row>
    <row r="1425" spans="5:11" x14ac:dyDescent="0.2">
      <c r="E1425" s="50"/>
      <c r="H1425" s="12"/>
      <c r="K1425"/>
    </row>
    <row r="1426" spans="5:11" x14ac:dyDescent="0.2">
      <c r="E1426" s="50"/>
      <c r="H1426" s="12"/>
      <c r="K1426"/>
    </row>
    <row r="1427" spans="5:11" x14ac:dyDescent="0.2">
      <c r="E1427" s="50"/>
      <c r="H1427" s="12"/>
      <c r="K1427"/>
    </row>
    <row r="1428" spans="5:11" x14ac:dyDescent="0.2">
      <c r="E1428" s="50"/>
      <c r="H1428" s="12"/>
      <c r="K1428"/>
    </row>
    <row r="1429" spans="5:11" x14ac:dyDescent="0.2">
      <c r="E1429" s="50"/>
      <c r="H1429" s="12"/>
      <c r="K1429"/>
    </row>
    <row r="1430" spans="5:11" x14ac:dyDescent="0.2">
      <c r="E1430" s="50"/>
      <c r="H1430" s="12"/>
      <c r="K1430"/>
    </row>
    <row r="1431" spans="5:11" x14ac:dyDescent="0.2">
      <c r="E1431" s="50"/>
      <c r="H1431" s="12"/>
      <c r="K1431"/>
    </row>
    <row r="1432" spans="5:11" x14ac:dyDescent="0.2">
      <c r="E1432" s="50"/>
      <c r="H1432" s="12"/>
      <c r="K1432"/>
    </row>
    <row r="1433" spans="5:11" x14ac:dyDescent="0.2">
      <c r="E1433" s="50"/>
      <c r="H1433" s="12"/>
      <c r="K1433"/>
    </row>
    <row r="1434" spans="5:11" x14ac:dyDescent="0.2">
      <c r="E1434" s="50"/>
      <c r="H1434" s="12"/>
      <c r="K1434"/>
    </row>
    <row r="1435" spans="5:11" x14ac:dyDescent="0.2">
      <c r="E1435" s="50"/>
      <c r="H1435" s="12"/>
      <c r="K1435"/>
    </row>
    <row r="1436" spans="5:11" x14ac:dyDescent="0.2">
      <c r="E1436" s="50"/>
      <c r="H1436" s="12"/>
      <c r="K1436"/>
    </row>
    <row r="1437" spans="5:11" x14ac:dyDescent="0.2">
      <c r="E1437" s="50"/>
      <c r="H1437" s="12"/>
      <c r="K1437"/>
    </row>
    <row r="1438" spans="5:11" x14ac:dyDescent="0.2">
      <c r="E1438" s="50"/>
      <c r="H1438" s="12"/>
      <c r="K1438"/>
    </row>
    <row r="1439" spans="5:11" x14ac:dyDescent="0.2">
      <c r="E1439" s="50"/>
      <c r="H1439" s="12"/>
      <c r="K1439"/>
    </row>
    <row r="1440" spans="5:11" x14ac:dyDescent="0.2">
      <c r="E1440" s="50"/>
      <c r="H1440" s="12"/>
      <c r="K1440"/>
    </row>
    <row r="1441" spans="5:11" x14ac:dyDescent="0.2">
      <c r="E1441" s="50"/>
      <c r="H1441" s="12"/>
      <c r="K1441"/>
    </row>
    <row r="1442" spans="5:11" x14ac:dyDescent="0.2">
      <c r="E1442" s="50"/>
      <c r="H1442" s="12"/>
      <c r="K1442"/>
    </row>
    <row r="1443" spans="5:11" x14ac:dyDescent="0.2">
      <c r="E1443" s="50"/>
      <c r="H1443" s="12"/>
      <c r="K1443"/>
    </row>
    <row r="1444" spans="5:11" x14ac:dyDescent="0.2">
      <c r="E1444" s="50"/>
      <c r="H1444" s="12"/>
      <c r="K1444"/>
    </row>
    <row r="1445" spans="5:11" x14ac:dyDescent="0.2">
      <c r="E1445" s="50"/>
      <c r="H1445" s="12"/>
      <c r="K1445"/>
    </row>
    <row r="1446" spans="5:11" x14ac:dyDescent="0.2">
      <c r="E1446" s="50"/>
      <c r="H1446" s="12"/>
      <c r="K1446"/>
    </row>
    <row r="1447" spans="5:11" x14ac:dyDescent="0.2">
      <c r="E1447" s="50"/>
      <c r="H1447" s="12"/>
      <c r="K1447"/>
    </row>
    <row r="1448" spans="5:11" x14ac:dyDescent="0.2">
      <c r="E1448" s="50"/>
      <c r="H1448" s="12"/>
      <c r="K1448"/>
    </row>
    <row r="1449" spans="5:11" x14ac:dyDescent="0.2">
      <c r="E1449" s="50"/>
      <c r="H1449" s="12"/>
      <c r="K1449"/>
    </row>
    <row r="1450" spans="5:11" x14ac:dyDescent="0.2">
      <c r="E1450" s="50"/>
      <c r="H1450" s="12"/>
      <c r="K1450"/>
    </row>
    <row r="1451" spans="5:11" x14ac:dyDescent="0.2">
      <c r="E1451" s="50"/>
      <c r="H1451" s="12"/>
      <c r="K1451"/>
    </row>
    <row r="1452" spans="5:11" x14ac:dyDescent="0.2">
      <c r="E1452" s="50"/>
      <c r="H1452" s="12"/>
      <c r="K1452"/>
    </row>
    <row r="1453" spans="5:11" x14ac:dyDescent="0.2">
      <c r="E1453" s="50"/>
      <c r="H1453" s="12"/>
      <c r="K1453"/>
    </row>
    <row r="1454" spans="5:11" x14ac:dyDescent="0.2">
      <c r="E1454" s="50"/>
      <c r="H1454" s="12"/>
      <c r="K1454"/>
    </row>
    <row r="1455" spans="5:11" x14ac:dyDescent="0.2">
      <c r="E1455" s="50"/>
      <c r="H1455" s="12"/>
      <c r="K1455"/>
    </row>
    <row r="1456" spans="5:11" x14ac:dyDescent="0.2">
      <c r="E1456" s="50"/>
      <c r="H1456" s="12"/>
      <c r="K1456"/>
    </row>
    <row r="1457" spans="5:11" x14ac:dyDescent="0.2">
      <c r="E1457" s="50"/>
      <c r="H1457" s="12"/>
      <c r="K1457"/>
    </row>
    <row r="1458" spans="5:11" x14ac:dyDescent="0.2">
      <c r="E1458" s="50"/>
      <c r="H1458" s="12"/>
      <c r="K1458"/>
    </row>
    <row r="1459" spans="5:11" x14ac:dyDescent="0.2">
      <c r="E1459" s="50"/>
      <c r="H1459" s="12"/>
      <c r="K1459"/>
    </row>
    <row r="1460" spans="5:11" x14ac:dyDescent="0.2">
      <c r="E1460" s="50"/>
      <c r="H1460" s="12"/>
      <c r="K1460"/>
    </row>
    <row r="1461" spans="5:11" x14ac:dyDescent="0.2">
      <c r="E1461" s="50"/>
      <c r="H1461" s="12"/>
      <c r="K1461"/>
    </row>
    <row r="1462" spans="5:11" x14ac:dyDescent="0.2">
      <c r="E1462" s="50"/>
      <c r="H1462" s="12"/>
      <c r="K1462"/>
    </row>
    <row r="1463" spans="5:11" x14ac:dyDescent="0.2">
      <c r="E1463" s="50"/>
      <c r="H1463" s="12"/>
      <c r="K1463"/>
    </row>
    <row r="1464" spans="5:11" x14ac:dyDescent="0.2">
      <c r="E1464" s="50"/>
      <c r="H1464" s="12"/>
      <c r="K1464"/>
    </row>
    <row r="1465" spans="5:11" x14ac:dyDescent="0.2">
      <c r="E1465" s="50"/>
      <c r="H1465" s="12"/>
      <c r="K1465"/>
    </row>
    <row r="1466" spans="5:11" x14ac:dyDescent="0.2">
      <c r="E1466" s="50"/>
      <c r="H1466" s="12"/>
      <c r="K1466"/>
    </row>
    <row r="1467" spans="5:11" x14ac:dyDescent="0.2">
      <c r="E1467" s="50"/>
      <c r="H1467" s="12"/>
      <c r="K1467"/>
    </row>
    <row r="1468" spans="5:11" x14ac:dyDescent="0.2">
      <c r="E1468" s="50"/>
      <c r="H1468" s="12"/>
      <c r="K1468"/>
    </row>
    <row r="1469" spans="5:11" x14ac:dyDescent="0.2">
      <c r="E1469" s="50"/>
      <c r="H1469" s="12"/>
      <c r="K1469"/>
    </row>
    <row r="1470" spans="5:11" x14ac:dyDescent="0.2">
      <c r="E1470" s="50"/>
      <c r="H1470" s="12"/>
      <c r="K1470"/>
    </row>
    <row r="1471" spans="5:11" x14ac:dyDescent="0.2">
      <c r="E1471" s="50"/>
      <c r="H1471" s="12"/>
      <c r="K1471"/>
    </row>
    <row r="1472" spans="5:11" x14ac:dyDescent="0.2">
      <c r="E1472" s="50"/>
      <c r="H1472" s="12"/>
      <c r="K1472"/>
    </row>
    <row r="1473" spans="5:11" x14ac:dyDescent="0.2">
      <c r="E1473" s="50"/>
      <c r="H1473" s="12"/>
      <c r="K1473"/>
    </row>
    <row r="1474" spans="5:11" x14ac:dyDescent="0.2">
      <c r="E1474" s="50"/>
      <c r="H1474" s="12"/>
      <c r="K1474"/>
    </row>
    <row r="1475" spans="5:11" x14ac:dyDescent="0.2">
      <c r="E1475" s="50"/>
      <c r="H1475" s="12"/>
      <c r="K1475"/>
    </row>
    <row r="1476" spans="5:11" x14ac:dyDescent="0.2">
      <c r="E1476" s="50"/>
      <c r="H1476" s="12"/>
      <c r="K1476"/>
    </row>
    <row r="1477" spans="5:11" x14ac:dyDescent="0.2">
      <c r="E1477" s="50"/>
      <c r="H1477" s="12"/>
      <c r="K1477"/>
    </row>
    <row r="1478" spans="5:11" x14ac:dyDescent="0.2">
      <c r="E1478" s="50"/>
      <c r="H1478" s="12"/>
      <c r="K1478"/>
    </row>
    <row r="1479" spans="5:11" x14ac:dyDescent="0.2">
      <c r="E1479" s="50"/>
      <c r="H1479" s="12"/>
      <c r="K1479"/>
    </row>
    <row r="1480" spans="5:11" x14ac:dyDescent="0.2">
      <c r="E1480" s="50"/>
      <c r="H1480" s="12"/>
      <c r="K1480"/>
    </row>
    <row r="1481" spans="5:11" x14ac:dyDescent="0.2">
      <c r="E1481" s="50"/>
      <c r="H1481" s="12"/>
      <c r="K1481"/>
    </row>
    <row r="1482" spans="5:11" x14ac:dyDescent="0.2">
      <c r="E1482" s="50"/>
      <c r="H1482" s="12"/>
      <c r="K1482"/>
    </row>
    <row r="1483" spans="5:11" x14ac:dyDescent="0.2">
      <c r="E1483" s="50"/>
      <c r="H1483" s="12"/>
      <c r="K1483"/>
    </row>
    <row r="1484" spans="5:11" x14ac:dyDescent="0.2">
      <c r="E1484" s="50"/>
      <c r="H1484" s="12"/>
      <c r="K1484"/>
    </row>
    <row r="1485" spans="5:11" x14ac:dyDescent="0.2">
      <c r="E1485" s="50"/>
      <c r="H1485" s="12"/>
      <c r="K1485"/>
    </row>
    <row r="1486" spans="5:11" x14ac:dyDescent="0.2">
      <c r="E1486" s="50"/>
      <c r="H1486" s="12"/>
      <c r="K1486"/>
    </row>
    <row r="1487" spans="5:11" x14ac:dyDescent="0.2">
      <c r="E1487" s="50"/>
      <c r="H1487" s="12"/>
      <c r="K1487"/>
    </row>
    <row r="1488" spans="5:11" x14ac:dyDescent="0.2">
      <c r="E1488" s="50"/>
      <c r="H1488" s="12"/>
      <c r="K1488"/>
    </row>
    <row r="1489" spans="5:11" x14ac:dyDescent="0.2">
      <c r="E1489" s="50"/>
      <c r="H1489" s="12"/>
      <c r="K1489"/>
    </row>
    <row r="1490" spans="5:11" x14ac:dyDescent="0.2">
      <c r="E1490" s="50"/>
      <c r="H1490" s="12"/>
      <c r="K1490"/>
    </row>
    <row r="1491" spans="5:11" x14ac:dyDescent="0.2">
      <c r="E1491" s="50"/>
      <c r="H1491" s="12"/>
      <c r="K1491"/>
    </row>
    <row r="1492" spans="5:11" x14ac:dyDescent="0.2">
      <c r="E1492" s="50"/>
      <c r="H1492" s="12"/>
      <c r="K1492"/>
    </row>
    <row r="1493" spans="5:11" x14ac:dyDescent="0.2">
      <c r="E1493" s="50"/>
      <c r="H1493" s="12"/>
      <c r="K1493"/>
    </row>
    <row r="1494" spans="5:11" x14ac:dyDescent="0.2">
      <c r="E1494" s="50"/>
      <c r="H1494" s="12"/>
      <c r="K1494"/>
    </row>
    <row r="1495" spans="5:11" x14ac:dyDescent="0.2">
      <c r="E1495" s="50"/>
      <c r="H1495" s="12"/>
      <c r="K1495"/>
    </row>
    <row r="1496" spans="5:11" x14ac:dyDescent="0.2">
      <c r="E1496" s="50"/>
      <c r="H1496" s="12"/>
      <c r="K1496"/>
    </row>
    <row r="1497" spans="5:11" x14ac:dyDescent="0.2">
      <c r="E1497" s="50"/>
      <c r="H1497" s="12"/>
      <c r="K1497"/>
    </row>
    <row r="1498" spans="5:11" x14ac:dyDescent="0.2">
      <c r="E1498" s="50"/>
      <c r="H1498" s="12"/>
      <c r="K1498"/>
    </row>
    <row r="1499" spans="5:11" x14ac:dyDescent="0.2">
      <c r="E1499" s="50"/>
      <c r="H1499" s="12"/>
      <c r="K1499"/>
    </row>
    <row r="1500" spans="5:11" x14ac:dyDescent="0.2">
      <c r="E1500" s="50"/>
      <c r="H1500" s="12"/>
      <c r="K1500"/>
    </row>
    <row r="1501" spans="5:11" x14ac:dyDescent="0.2">
      <c r="E1501" s="50"/>
      <c r="H1501" s="12"/>
      <c r="K1501"/>
    </row>
    <row r="1502" spans="5:11" x14ac:dyDescent="0.2">
      <c r="E1502" s="50"/>
      <c r="H1502" s="12"/>
      <c r="K1502"/>
    </row>
    <row r="1503" spans="5:11" x14ac:dyDescent="0.2">
      <c r="E1503" s="50"/>
      <c r="H1503" s="12"/>
      <c r="K1503"/>
    </row>
    <row r="1504" spans="5:11" x14ac:dyDescent="0.2">
      <c r="E1504" s="50"/>
      <c r="H1504" s="12"/>
      <c r="K1504"/>
    </row>
    <row r="1505" spans="5:11" x14ac:dyDescent="0.2">
      <c r="E1505" s="50"/>
      <c r="H1505" s="12"/>
      <c r="K1505"/>
    </row>
    <row r="1506" spans="5:11" x14ac:dyDescent="0.2">
      <c r="E1506" s="50"/>
      <c r="H1506" s="12"/>
      <c r="K1506"/>
    </row>
    <row r="1507" spans="5:11" x14ac:dyDescent="0.2">
      <c r="E1507" s="50"/>
      <c r="H1507" s="12"/>
      <c r="K1507"/>
    </row>
    <row r="1508" spans="5:11" x14ac:dyDescent="0.2">
      <c r="E1508" s="50"/>
      <c r="H1508" s="12"/>
      <c r="K1508"/>
    </row>
    <row r="1509" spans="5:11" x14ac:dyDescent="0.2">
      <c r="E1509" s="50"/>
      <c r="H1509" s="12"/>
      <c r="K1509"/>
    </row>
    <row r="1510" spans="5:11" x14ac:dyDescent="0.2">
      <c r="E1510" s="50"/>
      <c r="H1510" s="12"/>
      <c r="K1510"/>
    </row>
    <row r="1511" spans="5:11" x14ac:dyDescent="0.2">
      <c r="E1511" s="50"/>
      <c r="H1511" s="12"/>
      <c r="K1511"/>
    </row>
    <row r="1512" spans="5:11" x14ac:dyDescent="0.2">
      <c r="E1512" s="50"/>
      <c r="H1512" s="12"/>
      <c r="K1512"/>
    </row>
    <row r="1513" spans="5:11" x14ac:dyDescent="0.2">
      <c r="E1513" s="50"/>
      <c r="H1513" s="12"/>
      <c r="K1513"/>
    </row>
    <row r="1514" spans="5:11" x14ac:dyDescent="0.2">
      <c r="E1514" s="50"/>
      <c r="H1514" s="12"/>
      <c r="K1514"/>
    </row>
    <row r="1515" spans="5:11" x14ac:dyDescent="0.2">
      <c r="E1515" s="50"/>
      <c r="H1515" s="12"/>
      <c r="K1515"/>
    </row>
    <row r="1516" spans="5:11" x14ac:dyDescent="0.2">
      <c r="E1516" s="50"/>
      <c r="H1516" s="12"/>
      <c r="K1516"/>
    </row>
    <row r="1517" spans="5:11" x14ac:dyDescent="0.2">
      <c r="E1517" s="50"/>
      <c r="H1517" s="12"/>
      <c r="K1517"/>
    </row>
    <row r="1518" spans="5:11" x14ac:dyDescent="0.2">
      <c r="E1518" s="50"/>
      <c r="H1518" s="12"/>
      <c r="K1518"/>
    </row>
    <row r="1519" spans="5:11" x14ac:dyDescent="0.2">
      <c r="E1519" s="50"/>
      <c r="H1519" s="12"/>
      <c r="K1519"/>
    </row>
    <row r="1520" spans="5:11" x14ac:dyDescent="0.2">
      <c r="E1520" s="50"/>
      <c r="H1520" s="12"/>
      <c r="K1520"/>
    </row>
    <row r="1521" spans="5:11" x14ac:dyDescent="0.2">
      <c r="E1521" s="50"/>
      <c r="H1521" s="12"/>
      <c r="K1521"/>
    </row>
    <row r="1522" spans="5:11" x14ac:dyDescent="0.2">
      <c r="E1522" s="50"/>
      <c r="H1522" s="12"/>
      <c r="K1522"/>
    </row>
    <row r="1523" spans="5:11" x14ac:dyDescent="0.2">
      <c r="E1523" s="50"/>
      <c r="H1523" s="12"/>
      <c r="K1523"/>
    </row>
    <row r="1524" spans="5:11" x14ac:dyDescent="0.2">
      <c r="E1524" s="50"/>
      <c r="H1524" s="12"/>
      <c r="K1524"/>
    </row>
    <row r="1525" spans="5:11" x14ac:dyDescent="0.2">
      <c r="E1525" s="50"/>
      <c r="H1525" s="12"/>
      <c r="K1525"/>
    </row>
    <row r="1526" spans="5:11" x14ac:dyDescent="0.2">
      <c r="E1526" s="50"/>
      <c r="H1526" s="12"/>
      <c r="K1526"/>
    </row>
    <row r="1527" spans="5:11" x14ac:dyDescent="0.2">
      <c r="E1527" s="50"/>
      <c r="H1527" s="12"/>
      <c r="K1527"/>
    </row>
    <row r="1528" spans="5:11" x14ac:dyDescent="0.2">
      <c r="E1528" s="50"/>
      <c r="H1528" s="12"/>
      <c r="K1528"/>
    </row>
    <row r="1529" spans="5:11" x14ac:dyDescent="0.2">
      <c r="E1529" s="50"/>
      <c r="H1529" s="12"/>
      <c r="K1529"/>
    </row>
    <row r="1530" spans="5:11" x14ac:dyDescent="0.2">
      <c r="E1530" s="50"/>
      <c r="H1530" s="12"/>
      <c r="K1530"/>
    </row>
    <row r="1531" spans="5:11" x14ac:dyDescent="0.2">
      <c r="E1531" s="50"/>
      <c r="H1531" s="12"/>
      <c r="K1531"/>
    </row>
    <row r="1532" spans="5:11" x14ac:dyDescent="0.2">
      <c r="E1532" s="50"/>
      <c r="H1532" s="12"/>
      <c r="K1532"/>
    </row>
    <row r="1533" spans="5:11" x14ac:dyDescent="0.2">
      <c r="E1533" s="50"/>
      <c r="H1533" s="12"/>
      <c r="K1533"/>
    </row>
    <row r="1534" spans="5:11" x14ac:dyDescent="0.2">
      <c r="E1534" s="50"/>
      <c r="H1534" s="12"/>
      <c r="K1534"/>
    </row>
    <row r="1535" spans="5:11" x14ac:dyDescent="0.2">
      <c r="E1535" s="50"/>
      <c r="H1535" s="12"/>
      <c r="K1535"/>
    </row>
    <row r="1536" spans="5:11" x14ac:dyDescent="0.2">
      <c r="E1536" s="50"/>
      <c r="H1536" s="12"/>
      <c r="K1536"/>
    </row>
    <row r="1537" spans="5:11" x14ac:dyDescent="0.2">
      <c r="E1537" s="50"/>
      <c r="H1537" s="12"/>
      <c r="K1537"/>
    </row>
    <row r="1538" spans="5:11" x14ac:dyDescent="0.2">
      <c r="E1538" s="50"/>
      <c r="H1538" s="12"/>
      <c r="K1538"/>
    </row>
    <row r="1539" spans="5:11" x14ac:dyDescent="0.2">
      <c r="E1539" s="50"/>
      <c r="H1539" s="12"/>
      <c r="K1539"/>
    </row>
    <row r="1540" spans="5:11" x14ac:dyDescent="0.2">
      <c r="E1540" s="50"/>
      <c r="H1540" s="12"/>
      <c r="K1540"/>
    </row>
    <row r="1541" spans="5:11" x14ac:dyDescent="0.2">
      <c r="E1541" s="50"/>
      <c r="H1541" s="12"/>
      <c r="K1541"/>
    </row>
    <row r="1542" spans="5:11" x14ac:dyDescent="0.2">
      <c r="E1542" s="50"/>
      <c r="H1542" s="12"/>
      <c r="K1542"/>
    </row>
    <row r="1543" spans="5:11" x14ac:dyDescent="0.2">
      <c r="E1543" s="50"/>
      <c r="H1543" s="12"/>
      <c r="K1543"/>
    </row>
    <row r="1544" spans="5:11" x14ac:dyDescent="0.2">
      <c r="E1544" s="50"/>
      <c r="H1544" s="12"/>
      <c r="K1544"/>
    </row>
    <row r="1545" spans="5:11" x14ac:dyDescent="0.2">
      <c r="E1545" s="50"/>
      <c r="H1545" s="12"/>
      <c r="K1545"/>
    </row>
    <row r="1546" spans="5:11" x14ac:dyDescent="0.2">
      <c r="E1546" s="50"/>
      <c r="H1546" s="12"/>
      <c r="K1546"/>
    </row>
    <row r="1547" spans="5:11" x14ac:dyDescent="0.2">
      <c r="E1547" s="50"/>
      <c r="H1547" s="12"/>
      <c r="K1547"/>
    </row>
    <row r="1548" spans="5:11" x14ac:dyDescent="0.2">
      <c r="E1548" s="50"/>
      <c r="H1548" s="12"/>
      <c r="K1548"/>
    </row>
    <row r="1549" spans="5:11" x14ac:dyDescent="0.2">
      <c r="E1549" s="50"/>
      <c r="H1549" s="12"/>
      <c r="K1549"/>
    </row>
    <row r="1550" spans="5:11" x14ac:dyDescent="0.2">
      <c r="E1550" s="50"/>
      <c r="H1550" s="12"/>
      <c r="K1550"/>
    </row>
    <row r="1551" spans="5:11" x14ac:dyDescent="0.2">
      <c r="E1551" s="50"/>
      <c r="H1551" s="12"/>
      <c r="K1551"/>
    </row>
    <row r="1552" spans="5:11" x14ac:dyDescent="0.2">
      <c r="E1552" s="50"/>
      <c r="H1552" s="12"/>
      <c r="K1552"/>
    </row>
    <row r="1553" spans="5:11" x14ac:dyDescent="0.2">
      <c r="E1553" s="50"/>
      <c r="H1553" s="12"/>
      <c r="K1553"/>
    </row>
    <row r="1554" spans="5:11" x14ac:dyDescent="0.2">
      <c r="E1554" s="50"/>
      <c r="H1554" s="12"/>
      <c r="K1554"/>
    </row>
    <row r="1555" spans="5:11" x14ac:dyDescent="0.2">
      <c r="E1555" s="50"/>
      <c r="H1555" s="12"/>
      <c r="K1555"/>
    </row>
    <row r="1556" spans="5:11" x14ac:dyDescent="0.2">
      <c r="E1556" s="50"/>
      <c r="H1556" s="12"/>
      <c r="K1556"/>
    </row>
    <row r="1557" spans="5:11" x14ac:dyDescent="0.2">
      <c r="E1557" s="50"/>
      <c r="H1557" s="12"/>
      <c r="K1557"/>
    </row>
    <row r="1558" spans="5:11" x14ac:dyDescent="0.2">
      <c r="E1558" s="50"/>
      <c r="H1558" s="12"/>
      <c r="K1558"/>
    </row>
    <row r="1559" spans="5:11" x14ac:dyDescent="0.2">
      <c r="E1559" s="50"/>
      <c r="H1559" s="12"/>
      <c r="K1559"/>
    </row>
    <row r="1560" spans="5:11" x14ac:dyDescent="0.2">
      <c r="E1560" s="50"/>
      <c r="H1560" s="12"/>
      <c r="K1560"/>
    </row>
    <row r="1561" spans="5:11" x14ac:dyDescent="0.2">
      <c r="E1561" s="50"/>
      <c r="H1561" s="12"/>
      <c r="K1561"/>
    </row>
    <row r="1562" spans="5:11" x14ac:dyDescent="0.2">
      <c r="E1562" s="50"/>
      <c r="H1562" s="12"/>
      <c r="K1562"/>
    </row>
    <row r="1563" spans="5:11" x14ac:dyDescent="0.2">
      <c r="E1563" s="50"/>
      <c r="H1563" s="12"/>
      <c r="K1563"/>
    </row>
    <row r="1564" spans="5:11" x14ac:dyDescent="0.2">
      <c r="E1564" s="50"/>
      <c r="H1564" s="12"/>
      <c r="K1564"/>
    </row>
    <row r="1565" spans="5:11" x14ac:dyDescent="0.2">
      <c r="E1565" s="50"/>
      <c r="H1565" s="12"/>
      <c r="K1565"/>
    </row>
    <row r="1566" spans="5:11" x14ac:dyDescent="0.2">
      <c r="E1566" s="50"/>
      <c r="H1566" s="12"/>
      <c r="K1566"/>
    </row>
    <row r="1567" spans="5:11" x14ac:dyDescent="0.2">
      <c r="E1567" s="50"/>
      <c r="H1567" s="12"/>
      <c r="K1567"/>
    </row>
    <row r="1568" spans="5:11" x14ac:dyDescent="0.2">
      <c r="E1568" s="50"/>
      <c r="H1568" s="12"/>
      <c r="K1568"/>
    </row>
    <row r="1569" spans="5:11" x14ac:dyDescent="0.2">
      <c r="E1569" s="50"/>
      <c r="H1569" s="12"/>
      <c r="K1569"/>
    </row>
    <row r="1570" spans="5:11" x14ac:dyDescent="0.2">
      <c r="E1570" s="50"/>
      <c r="H1570" s="12"/>
      <c r="K1570"/>
    </row>
    <row r="1571" spans="5:11" x14ac:dyDescent="0.2">
      <c r="E1571" s="50"/>
      <c r="H1571" s="12"/>
      <c r="K1571"/>
    </row>
    <row r="1572" spans="5:11" x14ac:dyDescent="0.2">
      <c r="E1572" s="50"/>
      <c r="H1572" s="12"/>
      <c r="K1572"/>
    </row>
    <row r="1573" spans="5:11" x14ac:dyDescent="0.2">
      <c r="E1573" s="50"/>
      <c r="H1573" s="12"/>
      <c r="K1573"/>
    </row>
    <row r="1574" spans="5:11" x14ac:dyDescent="0.2">
      <c r="E1574" s="50"/>
      <c r="H1574" s="12"/>
      <c r="K1574"/>
    </row>
    <row r="1575" spans="5:11" x14ac:dyDescent="0.2">
      <c r="E1575" s="50"/>
      <c r="H1575" s="12"/>
      <c r="K1575"/>
    </row>
    <row r="1576" spans="5:11" x14ac:dyDescent="0.2">
      <c r="E1576" s="50"/>
      <c r="H1576" s="12"/>
      <c r="K1576"/>
    </row>
    <row r="1577" spans="5:11" x14ac:dyDescent="0.2">
      <c r="E1577" s="50"/>
      <c r="H1577" s="12"/>
      <c r="K1577"/>
    </row>
    <row r="1578" spans="5:11" x14ac:dyDescent="0.2">
      <c r="E1578" s="50"/>
      <c r="H1578" s="12"/>
      <c r="K1578"/>
    </row>
    <row r="1579" spans="5:11" x14ac:dyDescent="0.2">
      <c r="E1579" s="50"/>
      <c r="H1579" s="12"/>
      <c r="K1579"/>
    </row>
    <row r="1580" spans="5:11" x14ac:dyDescent="0.2">
      <c r="E1580" s="50"/>
      <c r="H1580" s="12"/>
      <c r="K1580"/>
    </row>
    <row r="1581" spans="5:11" x14ac:dyDescent="0.2">
      <c r="E1581" s="50"/>
      <c r="H1581" s="12"/>
      <c r="K1581"/>
    </row>
    <row r="1582" spans="5:11" x14ac:dyDescent="0.2">
      <c r="E1582" s="50"/>
      <c r="H1582" s="12"/>
      <c r="K1582"/>
    </row>
    <row r="1583" spans="5:11" x14ac:dyDescent="0.2">
      <c r="E1583" s="50"/>
      <c r="H1583" s="12"/>
      <c r="K1583"/>
    </row>
    <row r="1584" spans="5:11" x14ac:dyDescent="0.2">
      <c r="E1584" s="50"/>
      <c r="H1584" s="12"/>
      <c r="K1584"/>
    </row>
    <row r="1585" spans="5:11" x14ac:dyDescent="0.2">
      <c r="E1585" s="50"/>
      <c r="H1585" s="12"/>
      <c r="K1585"/>
    </row>
    <row r="1586" spans="5:11" x14ac:dyDescent="0.2">
      <c r="E1586" s="50"/>
      <c r="H1586" s="12"/>
      <c r="K1586"/>
    </row>
    <row r="1587" spans="5:11" x14ac:dyDescent="0.2">
      <c r="E1587" s="50"/>
      <c r="H1587" s="12"/>
      <c r="K1587"/>
    </row>
    <row r="1588" spans="5:11" x14ac:dyDescent="0.2">
      <c r="E1588" s="50"/>
      <c r="H1588" s="12"/>
      <c r="K1588"/>
    </row>
    <row r="1589" spans="5:11" x14ac:dyDescent="0.2">
      <c r="E1589" s="50"/>
      <c r="H1589" s="12"/>
      <c r="K1589"/>
    </row>
    <row r="1590" spans="5:11" x14ac:dyDescent="0.2">
      <c r="E1590" s="50"/>
      <c r="H1590" s="12"/>
      <c r="K1590"/>
    </row>
    <row r="1591" spans="5:11" x14ac:dyDescent="0.2">
      <c r="E1591" s="50"/>
      <c r="H1591" s="12"/>
      <c r="K1591"/>
    </row>
    <row r="1592" spans="5:11" x14ac:dyDescent="0.2">
      <c r="E1592" s="50"/>
      <c r="H1592" s="12"/>
      <c r="K1592"/>
    </row>
    <row r="1593" spans="5:11" x14ac:dyDescent="0.2">
      <c r="E1593" s="50"/>
      <c r="H1593" s="12"/>
      <c r="K1593"/>
    </row>
    <row r="1594" spans="5:11" x14ac:dyDescent="0.2">
      <c r="E1594" s="50"/>
      <c r="H1594" s="12"/>
      <c r="K1594"/>
    </row>
    <row r="1595" spans="5:11" x14ac:dyDescent="0.2">
      <c r="E1595" s="50"/>
      <c r="H1595" s="12"/>
      <c r="K1595"/>
    </row>
    <row r="1596" spans="5:11" x14ac:dyDescent="0.2">
      <c r="E1596" s="50"/>
      <c r="H1596" s="12"/>
      <c r="K1596"/>
    </row>
    <row r="1597" spans="5:11" x14ac:dyDescent="0.2">
      <c r="E1597" s="50"/>
      <c r="H1597" s="12"/>
      <c r="K1597"/>
    </row>
    <row r="1598" spans="5:11" x14ac:dyDescent="0.2">
      <c r="E1598" s="50"/>
      <c r="H1598" s="12"/>
      <c r="K1598"/>
    </row>
    <row r="1599" spans="5:11" x14ac:dyDescent="0.2">
      <c r="E1599" s="50"/>
      <c r="H1599" s="12"/>
      <c r="K1599"/>
    </row>
    <row r="1600" spans="5:11" x14ac:dyDescent="0.2">
      <c r="E1600" s="50"/>
      <c r="H1600" s="12"/>
      <c r="K1600"/>
    </row>
    <row r="1601" spans="5:11" x14ac:dyDescent="0.2">
      <c r="E1601" s="50"/>
      <c r="H1601" s="12"/>
      <c r="K1601"/>
    </row>
    <row r="1602" spans="5:11" x14ac:dyDescent="0.2">
      <c r="E1602" s="50"/>
      <c r="H1602" s="12"/>
      <c r="K1602"/>
    </row>
    <row r="1603" spans="5:11" x14ac:dyDescent="0.2">
      <c r="E1603" s="50"/>
      <c r="H1603" s="12"/>
      <c r="K1603"/>
    </row>
    <row r="1604" spans="5:11" x14ac:dyDescent="0.2">
      <c r="E1604" s="50"/>
      <c r="H1604" s="12"/>
      <c r="K1604"/>
    </row>
    <row r="1605" spans="5:11" x14ac:dyDescent="0.2">
      <c r="E1605" s="50"/>
      <c r="H1605" s="12"/>
      <c r="K1605"/>
    </row>
    <row r="1606" spans="5:11" x14ac:dyDescent="0.2">
      <c r="E1606" s="50"/>
      <c r="H1606" s="12"/>
      <c r="K1606"/>
    </row>
    <row r="1607" spans="5:11" x14ac:dyDescent="0.2">
      <c r="E1607" s="50"/>
      <c r="H1607" s="12"/>
      <c r="K1607"/>
    </row>
    <row r="1608" spans="5:11" x14ac:dyDescent="0.2">
      <c r="E1608" s="50"/>
      <c r="H1608" s="12"/>
      <c r="K1608"/>
    </row>
    <row r="1609" spans="5:11" x14ac:dyDescent="0.2">
      <c r="E1609" s="50"/>
      <c r="H1609" s="12"/>
      <c r="K1609"/>
    </row>
    <row r="1610" spans="5:11" x14ac:dyDescent="0.2">
      <c r="E1610" s="50"/>
      <c r="H1610" s="12"/>
      <c r="K1610"/>
    </row>
    <row r="1611" spans="5:11" x14ac:dyDescent="0.2">
      <c r="E1611" s="50"/>
      <c r="H1611" s="12"/>
      <c r="K1611"/>
    </row>
    <row r="1612" spans="5:11" x14ac:dyDescent="0.2">
      <c r="E1612" s="50"/>
      <c r="H1612" s="12"/>
      <c r="K1612"/>
    </row>
    <row r="1613" spans="5:11" x14ac:dyDescent="0.2">
      <c r="E1613" s="50"/>
      <c r="H1613" s="12"/>
      <c r="K1613"/>
    </row>
    <row r="1614" spans="5:11" x14ac:dyDescent="0.2">
      <c r="E1614" s="50"/>
      <c r="H1614" s="12"/>
      <c r="K1614"/>
    </row>
    <row r="1615" spans="5:11" x14ac:dyDescent="0.2">
      <c r="E1615" s="50"/>
      <c r="H1615" s="12"/>
      <c r="K1615"/>
    </row>
    <row r="1616" spans="5:11" x14ac:dyDescent="0.2">
      <c r="E1616" s="50"/>
      <c r="H1616" s="12"/>
      <c r="K1616"/>
    </row>
    <row r="1617" spans="5:11" x14ac:dyDescent="0.2">
      <c r="E1617" s="50"/>
      <c r="H1617" s="12"/>
      <c r="K1617"/>
    </row>
    <row r="1618" spans="5:11" x14ac:dyDescent="0.2">
      <c r="E1618" s="50"/>
      <c r="H1618" s="12"/>
      <c r="K1618"/>
    </row>
    <row r="1619" spans="5:11" x14ac:dyDescent="0.2">
      <c r="E1619" s="50"/>
      <c r="H1619" s="12"/>
      <c r="K1619"/>
    </row>
    <row r="1620" spans="5:11" x14ac:dyDescent="0.2">
      <c r="E1620" s="50"/>
      <c r="H1620" s="12"/>
      <c r="K1620"/>
    </row>
    <row r="1621" spans="5:11" x14ac:dyDescent="0.2">
      <c r="E1621" s="50"/>
      <c r="H1621" s="12"/>
      <c r="K1621"/>
    </row>
    <row r="1622" spans="5:11" x14ac:dyDescent="0.2">
      <c r="E1622" s="50"/>
      <c r="H1622" s="12"/>
      <c r="K1622"/>
    </row>
    <row r="1623" spans="5:11" x14ac:dyDescent="0.2">
      <c r="E1623" s="50"/>
      <c r="H1623" s="12"/>
      <c r="K1623"/>
    </row>
    <row r="1624" spans="5:11" x14ac:dyDescent="0.2">
      <c r="E1624" s="50"/>
      <c r="H1624" s="12"/>
      <c r="K1624"/>
    </row>
    <row r="1625" spans="5:11" x14ac:dyDescent="0.2">
      <c r="E1625" s="50"/>
      <c r="H1625" s="12"/>
      <c r="K1625"/>
    </row>
    <row r="1626" spans="5:11" x14ac:dyDescent="0.2">
      <c r="E1626" s="50"/>
      <c r="H1626" s="12"/>
      <c r="K1626"/>
    </row>
    <row r="1627" spans="5:11" x14ac:dyDescent="0.2">
      <c r="E1627" s="50"/>
      <c r="H1627" s="12"/>
      <c r="K1627"/>
    </row>
    <row r="1628" spans="5:11" x14ac:dyDescent="0.2">
      <c r="E1628" s="50"/>
      <c r="H1628" s="12"/>
      <c r="K1628"/>
    </row>
    <row r="1629" spans="5:11" x14ac:dyDescent="0.2">
      <c r="E1629" s="50"/>
      <c r="H1629" s="12"/>
      <c r="K1629"/>
    </row>
    <row r="1630" spans="5:11" x14ac:dyDescent="0.2">
      <c r="E1630" s="50"/>
      <c r="H1630" s="12"/>
      <c r="K1630"/>
    </row>
    <row r="1631" spans="5:11" x14ac:dyDescent="0.2">
      <c r="E1631" s="50"/>
      <c r="H1631" s="12"/>
      <c r="K1631"/>
    </row>
    <row r="1632" spans="5:11" x14ac:dyDescent="0.2">
      <c r="E1632" s="50"/>
      <c r="H1632" s="12"/>
      <c r="K1632"/>
    </row>
    <row r="1633" spans="5:11" x14ac:dyDescent="0.2">
      <c r="E1633" s="50"/>
      <c r="H1633" s="12"/>
      <c r="K1633"/>
    </row>
    <row r="1634" spans="5:11" x14ac:dyDescent="0.2">
      <c r="E1634" s="50"/>
      <c r="H1634" s="12"/>
      <c r="K1634"/>
    </row>
    <row r="1635" spans="5:11" x14ac:dyDescent="0.2">
      <c r="E1635" s="50"/>
      <c r="H1635" s="12"/>
      <c r="K1635"/>
    </row>
    <row r="1636" spans="5:11" x14ac:dyDescent="0.2">
      <c r="E1636" s="50"/>
      <c r="H1636" s="12"/>
      <c r="K1636"/>
    </row>
    <row r="1637" spans="5:11" x14ac:dyDescent="0.2">
      <c r="E1637" s="50"/>
      <c r="H1637" s="12"/>
      <c r="K1637"/>
    </row>
    <row r="1638" spans="5:11" x14ac:dyDescent="0.2">
      <c r="E1638" s="50"/>
      <c r="H1638" s="12"/>
      <c r="K1638"/>
    </row>
    <row r="1639" spans="5:11" x14ac:dyDescent="0.2">
      <c r="E1639" s="50"/>
      <c r="H1639" s="12"/>
      <c r="K1639"/>
    </row>
    <row r="1640" spans="5:11" x14ac:dyDescent="0.2">
      <c r="E1640" s="50"/>
      <c r="H1640" s="12"/>
      <c r="K1640"/>
    </row>
    <row r="1641" spans="5:11" x14ac:dyDescent="0.2">
      <c r="E1641" s="50"/>
      <c r="H1641" s="12"/>
      <c r="K1641"/>
    </row>
    <row r="1642" spans="5:11" x14ac:dyDescent="0.2">
      <c r="E1642" s="50"/>
      <c r="H1642" s="12"/>
      <c r="K1642"/>
    </row>
    <row r="1643" spans="5:11" x14ac:dyDescent="0.2">
      <c r="E1643" s="50"/>
      <c r="H1643" s="12"/>
      <c r="K1643"/>
    </row>
    <row r="1644" spans="5:11" x14ac:dyDescent="0.2">
      <c r="E1644" s="50"/>
      <c r="H1644" s="12"/>
      <c r="K1644"/>
    </row>
    <row r="1645" spans="5:11" x14ac:dyDescent="0.2">
      <c r="E1645" s="50"/>
      <c r="H1645" s="12"/>
      <c r="K1645"/>
    </row>
    <row r="1646" spans="5:11" x14ac:dyDescent="0.2">
      <c r="E1646" s="50"/>
      <c r="H1646" s="12"/>
      <c r="K1646"/>
    </row>
    <row r="1647" spans="5:11" x14ac:dyDescent="0.2">
      <c r="E1647" s="50"/>
      <c r="H1647" s="12"/>
      <c r="K1647"/>
    </row>
    <row r="1648" spans="5:11" x14ac:dyDescent="0.2">
      <c r="E1648" s="50"/>
      <c r="H1648" s="12"/>
      <c r="K1648"/>
    </row>
    <row r="1649" spans="5:11" x14ac:dyDescent="0.2">
      <c r="E1649" s="50"/>
      <c r="H1649" s="12"/>
      <c r="K1649"/>
    </row>
    <row r="1650" spans="5:11" x14ac:dyDescent="0.2">
      <c r="E1650" s="50"/>
      <c r="H1650" s="12"/>
      <c r="K1650"/>
    </row>
    <row r="1651" spans="5:11" x14ac:dyDescent="0.2">
      <c r="E1651" s="50"/>
      <c r="H1651" s="12"/>
      <c r="K1651"/>
    </row>
    <row r="1652" spans="5:11" x14ac:dyDescent="0.2">
      <c r="E1652" s="50"/>
      <c r="H1652" s="12"/>
      <c r="K1652"/>
    </row>
    <row r="1653" spans="5:11" x14ac:dyDescent="0.2">
      <c r="E1653" s="50"/>
      <c r="H1653" s="12"/>
      <c r="K1653"/>
    </row>
    <row r="1654" spans="5:11" x14ac:dyDescent="0.2">
      <c r="E1654" s="50"/>
      <c r="H1654" s="12"/>
      <c r="K1654"/>
    </row>
    <row r="1655" spans="5:11" x14ac:dyDescent="0.2">
      <c r="E1655" s="50"/>
      <c r="H1655" s="12"/>
      <c r="K1655"/>
    </row>
    <row r="1656" spans="5:11" x14ac:dyDescent="0.2">
      <c r="E1656" s="50"/>
      <c r="H1656" s="12"/>
      <c r="K1656"/>
    </row>
    <row r="1657" spans="5:11" x14ac:dyDescent="0.2">
      <c r="E1657" s="50"/>
      <c r="H1657" s="12"/>
      <c r="K1657"/>
    </row>
    <row r="1658" spans="5:11" x14ac:dyDescent="0.2">
      <c r="E1658" s="50"/>
      <c r="H1658" s="12"/>
      <c r="K1658"/>
    </row>
    <row r="1659" spans="5:11" x14ac:dyDescent="0.2">
      <c r="E1659" s="50"/>
      <c r="H1659" s="12"/>
      <c r="K1659"/>
    </row>
    <row r="1660" spans="5:11" x14ac:dyDescent="0.2">
      <c r="E1660" s="50"/>
      <c r="H1660" s="12"/>
      <c r="K1660"/>
    </row>
    <row r="1661" spans="5:11" x14ac:dyDescent="0.2">
      <c r="E1661" s="50"/>
      <c r="H1661" s="12"/>
      <c r="K1661"/>
    </row>
    <row r="1662" spans="5:11" x14ac:dyDescent="0.2">
      <c r="E1662" s="50"/>
      <c r="H1662" s="12"/>
      <c r="K1662"/>
    </row>
    <row r="1663" spans="5:11" x14ac:dyDescent="0.2">
      <c r="E1663" s="50"/>
      <c r="H1663" s="12"/>
      <c r="K1663"/>
    </row>
    <row r="1664" spans="5:11" x14ac:dyDescent="0.2">
      <c r="E1664" s="50"/>
      <c r="H1664" s="12"/>
      <c r="K1664"/>
    </row>
    <row r="1665" spans="5:11" x14ac:dyDescent="0.2">
      <c r="E1665" s="50"/>
      <c r="H1665" s="12"/>
      <c r="K1665"/>
    </row>
    <row r="1666" spans="5:11" x14ac:dyDescent="0.2">
      <c r="E1666" s="50"/>
      <c r="H1666" s="12"/>
      <c r="K1666"/>
    </row>
    <row r="1667" spans="5:11" x14ac:dyDescent="0.2">
      <c r="E1667" s="50"/>
      <c r="H1667" s="12"/>
      <c r="K1667"/>
    </row>
    <row r="1668" spans="5:11" x14ac:dyDescent="0.2">
      <c r="E1668" s="50"/>
      <c r="H1668" s="12"/>
      <c r="K1668"/>
    </row>
    <row r="1669" spans="5:11" x14ac:dyDescent="0.2">
      <c r="E1669" s="50"/>
      <c r="H1669" s="12"/>
      <c r="K1669"/>
    </row>
    <row r="1670" spans="5:11" x14ac:dyDescent="0.2">
      <c r="E1670" s="50"/>
      <c r="H1670" s="12"/>
      <c r="K1670"/>
    </row>
    <row r="1671" spans="5:11" x14ac:dyDescent="0.2">
      <c r="E1671" s="50"/>
      <c r="H1671" s="12"/>
      <c r="K1671"/>
    </row>
    <row r="1672" spans="5:11" x14ac:dyDescent="0.2">
      <c r="E1672" s="50"/>
      <c r="H1672" s="12"/>
      <c r="K1672"/>
    </row>
    <row r="1673" spans="5:11" x14ac:dyDescent="0.2">
      <c r="E1673" s="50"/>
      <c r="H1673" s="12"/>
      <c r="K1673"/>
    </row>
    <row r="1674" spans="5:11" x14ac:dyDescent="0.2">
      <c r="E1674" s="50"/>
      <c r="H1674" s="12"/>
      <c r="K1674"/>
    </row>
    <row r="1675" spans="5:11" x14ac:dyDescent="0.2">
      <c r="E1675" s="50"/>
      <c r="H1675" s="12"/>
      <c r="K1675"/>
    </row>
    <row r="1676" spans="5:11" x14ac:dyDescent="0.2">
      <c r="E1676" s="50"/>
      <c r="H1676" s="12"/>
      <c r="K1676"/>
    </row>
    <row r="1677" spans="5:11" x14ac:dyDescent="0.2">
      <c r="E1677" s="50"/>
      <c r="H1677" s="12"/>
      <c r="K1677"/>
    </row>
    <row r="1678" spans="5:11" x14ac:dyDescent="0.2">
      <c r="E1678" s="50"/>
      <c r="H1678" s="12"/>
      <c r="K1678"/>
    </row>
    <row r="1679" spans="5:11" x14ac:dyDescent="0.2">
      <c r="E1679" s="50"/>
      <c r="H1679" s="12"/>
      <c r="K1679"/>
    </row>
    <row r="1680" spans="5:11" x14ac:dyDescent="0.2">
      <c r="E1680" s="50"/>
      <c r="H1680" s="12"/>
      <c r="K1680"/>
    </row>
    <row r="1681" spans="5:11" x14ac:dyDescent="0.2">
      <c r="E1681" s="50"/>
      <c r="H1681" s="12"/>
      <c r="K1681"/>
    </row>
    <row r="1682" spans="5:11" x14ac:dyDescent="0.2">
      <c r="E1682" s="50"/>
      <c r="H1682" s="12"/>
      <c r="K1682"/>
    </row>
    <row r="1683" spans="5:11" x14ac:dyDescent="0.2">
      <c r="E1683" s="50"/>
      <c r="H1683" s="12"/>
      <c r="K1683"/>
    </row>
    <row r="1684" spans="5:11" x14ac:dyDescent="0.2">
      <c r="E1684" s="50"/>
      <c r="H1684" s="12"/>
      <c r="K1684"/>
    </row>
    <row r="1685" spans="5:11" x14ac:dyDescent="0.2">
      <c r="E1685" s="50"/>
      <c r="H1685" s="12"/>
      <c r="K1685"/>
    </row>
    <row r="1686" spans="5:11" x14ac:dyDescent="0.2">
      <c r="E1686" s="50"/>
      <c r="H1686" s="12"/>
      <c r="K1686"/>
    </row>
    <row r="1687" spans="5:11" x14ac:dyDescent="0.2">
      <c r="E1687" s="50"/>
      <c r="H1687" s="12"/>
      <c r="K1687"/>
    </row>
    <row r="1688" spans="5:11" x14ac:dyDescent="0.2">
      <c r="E1688" s="50"/>
      <c r="H1688" s="12"/>
      <c r="K1688"/>
    </row>
    <row r="1689" spans="5:11" x14ac:dyDescent="0.2">
      <c r="E1689" s="50"/>
      <c r="H1689" s="12"/>
      <c r="K1689"/>
    </row>
    <row r="1690" spans="5:11" x14ac:dyDescent="0.2">
      <c r="E1690" s="50"/>
      <c r="H1690" s="12"/>
      <c r="K1690"/>
    </row>
    <row r="1691" spans="5:11" x14ac:dyDescent="0.2">
      <c r="E1691" s="50"/>
      <c r="H1691" s="12"/>
      <c r="K1691"/>
    </row>
    <row r="1692" spans="5:11" x14ac:dyDescent="0.2">
      <c r="E1692" s="50"/>
      <c r="H1692" s="12"/>
      <c r="K1692"/>
    </row>
    <row r="1693" spans="5:11" x14ac:dyDescent="0.2">
      <c r="E1693" s="50"/>
      <c r="H1693" s="12"/>
      <c r="K1693"/>
    </row>
    <row r="1694" spans="5:11" x14ac:dyDescent="0.2">
      <c r="E1694" s="50"/>
      <c r="H1694" s="12"/>
      <c r="K1694"/>
    </row>
    <row r="1695" spans="5:11" x14ac:dyDescent="0.2">
      <c r="E1695" s="50"/>
      <c r="H1695" s="12"/>
      <c r="K1695"/>
    </row>
    <row r="1696" spans="5:11" x14ac:dyDescent="0.2">
      <c r="E1696" s="50"/>
      <c r="H1696" s="12"/>
      <c r="K1696"/>
    </row>
    <row r="1697" spans="5:11" x14ac:dyDescent="0.2">
      <c r="E1697" s="50"/>
      <c r="H1697" s="12"/>
      <c r="K1697"/>
    </row>
    <row r="1698" spans="5:11" x14ac:dyDescent="0.2">
      <c r="E1698" s="50"/>
      <c r="H1698" s="12"/>
      <c r="K1698"/>
    </row>
    <row r="1699" spans="5:11" x14ac:dyDescent="0.2">
      <c r="E1699" s="50"/>
      <c r="H1699" s="12"/>
      <c r="K1699"/>
    </row>
    <row r="1700" spans="5:11" x14ac:dyDescent="0.2">
      <c r="E1700" s="50"/>
      <c r="H1700" s="12"/>
      <c r="K1700"/>
    </row>
    <row r="1701" spans="5:11" x14ac:dyDescent="0.2">
      <c r="E1701" s="50"/>
      <c r="H1701" s="12"/>
      <c r="K1701"/>
    </row>
    <row r="1702" spans="5:11" x14ac:dyDescent="0.2">
      <c r="E1702" s="50"/>
      <c r="H1702" s="12"/>
      <c r="K1702"/>
    </row>
    <row r="1703" spans="5:11" x14ac:dyDescent="0.2">
      <c r="E1703" s="50"/>
      <c r="H1703" s="12"/>
      <c r="K1703"/>
    </row>
    <row r="1704" spans="5:11" x14ac:dyDescent="0.2">
      <c r="E1704" s="50"/>
      <c r="H1704" s="12"/>
      <c r="K1704"/>
    </row>
    <row r="1705" spans="5:11" x14ac:dyDescent="0.2">
      <c r="E1705" s="50"/>
      <c r="H1705" s="12"/>
      <c r="K1705"/>
    </row>
    <row r="1706" spans="5:11" x14ac:dyDescent="0.2">
      <c r="E1706" s="50"/>
      <c r="H1706" s="12"/>
      <c r="K1706"/>
    </row>
    <row r="1707" spans="5:11" x14ac:dyDescent="0.2">
      <c r="E1707" s="50"/>
      <c r="H1707" s="12"/>
      <c r="K1707"/>
    </row>
    <row r="1708" spans="5:11" x14ac:dyDescent="0.2">
      <c r="E1708" s="50"/>
      <c r="H1708" s="12"/>
      <c r="K1708"/>
    </row>
    <row r="1709" spans="5:11" x14ac:dyDescent="0.2">
      <c r="E1709" s="50"/>
      <c r="H1709" s="12"/>
      <c r="K1709"/>
    </row>
    <row r="1710" spans="5:11" x14ac:dyDescent="0.2">
      <c r="E1710" s="50"/>
      <c r="H1710" s="12"/>
      <c r="K1710"/>
    </row>
    <row r="1711" spans="5:11" x14ac:dyDescent="0.2">
      <c r="E1711" s="50"/>
      <c r="H1711" s="12"/>
      <c r="K1711"/>
    </row>
    <row r="1712" spans="5:11" x14ac:dyDescent="0.2">
      <c r="E1712" s="50"/>
      <c r="H1712" s="12"/>
      <c r="K1712"/>
    </row>
    <row r="1713" spans="5:11" x14ac:dyDescent="0.2">
      <c r="E1713" s="50"/>
      <c r="H1713" s="12"/>
      <c r="K1713"/>
    </row>
    <row r="1714" spans="5:11" x14ac:dyDescent="0.2">
      <c r="E1714" s="50"/>
      <c r="H1714" s="12"/>
      <c r="K1714"/>
    </row>
    <row r="1715" spans="5:11" x14ac:dyDescent="0.2">
      <c r="E1715" s="50"/>
      <c r="H1715" s="12"/>
      <c r="K1715"/>
    </row>
    <row r="1716" spans="5:11" x14ac:dyDescent="0.2">
      <c r="E1716" s="50"/>
      <c r="H1716" s="12"/>
      <c r="K1716"/>
    </row>
    <row r="1717" spans="5:11" x14ac:dyDescent="0.2">
      <c r="E1717" s="50"/>
      <c r="H1717" s="12"/>
      <c r="K1717"/>
    </row>
    <row r="1718" spans="5:11" x14ac:dyDescent="0.2">
      <c r="E1718" s="50"/>
      <c r="H1718" s="12"/>
      <c r="K1718"/>
    </row>
    <row r="1719" spans="5:11" x14ac:dyDescent="0.2">
      <c r="E1719" s="50"/>
      <c r="H1719" s="12"/>
      <c r="K1719"/>
    </row>
    <row r="1720" spans="5:11" x14ac:dyDescent="0.2">
      <c r="E1720" s="50"/>
      <c r="H1720" s="12"/>
      <c r="K1720"/>
    </row>
    <row r="1721" spans="5:11" x14ac:dyDescent="0.2">
      <c r="E1721" s="50"/>
      <c r="H1721" s="12"/>
      <c r="K1721"/>
    </row>
    <row r="1722" spans="5:11" x14ac:dyDescent="0.2">
      <c r="E1722" s="50"/>
      <c r="H1722" s="12"/>
      <c r="K1722"/>
    </row>
    <row r="1723" spans="5:11" x14ac:dyDescent="0.2">
      <c r="E1723" s="50"/>
      <c r="H1723" s="12"/>
      <c r="K1723"/>
    </row>
    <row r="1724" spans="5:11" x14ac:dyDescent="0.2">
      <c r="E1724" s="50"/>
      <c r="H1724" s="12"/>
      <c r="K1724"/>
    </row>
    <row r="1725" spans="5:11" x14ac:dyDescent="0.2">
      <c r="E1725" s="50"/>
      <c r="H1725" s="12"/>
      <c r="K1725"/>
    </row>
    <row r="1726" spans="5:11" x14ac:dyDescent="0.2">
      <c r="E1726" s="50"/>
      <c r="H1726" s="12"/>
      <c r="K1726"/>
    </row>
    <row r="1727" spans="5:11" x14ac:dyDescent="0.2">
      <c r="E1727" s="50"/>
      <c r="H1727" s="12"/>
      <c r="K1727"/>
    </row>
    <row r="1728" spans="5:11" x14ac:dyDescent="0.2">
      <c r="E1728" s="50"/>
      <c r="H1728" s="12"/>
      <c r="K1728"/>
    </row>
    <row r="1729" spans="5:11" x14ac:dyDescent="0.2">
      <c r="E1729" s="50"/>
      <c r="H1729" s="12"/>
      <c r="K1729"/>
    </row>
    <row r="1730" spans="5:11" x14ac:dyDescent="0.2">
      <c r="E1730" s="50"/>
      <c r="H1730" s="12"/>
      <c r="K1730"/>
    </row>
    <row r="1731" spans="5:11" x14ac:dyDescent="0.2">
      <c r="E1731" s="50"/>
      <c r="H1731" s="12"/>
      <c r="K1731"/>
    </row>
    <row r="1732" spans="5:11" x14ac:dyDescent="0.2">
      <c r="E1732" s="50"/>
      <c r="H1732" s="12"/>
      <c r="K1732"/>
    </row>
    <row r="1733" spans="5:11" x14ac:dyDescent="0.2">
      <c r="E1733" s="50"/>
      <c r="H1733" s="12"/>
      <c r="K1733"/>
    </row>
    <row r="1734" spans="5:11" x14ac:dyDescent="0.2">
      <c r="E1734" s="50"/>
      <c r="H1734" s="12"/>
      <c r="K1734"/>
    </row>
    <row r="1735" spans="5:11" x14ac:dyDescent="0.2">
      <c r="E1735" s="50"/>
      <c r="H1735" s="12"/>
      <c r="K1735"/>
    </row>
    <row r="1736" spans="5:11" x14ac:dyDescent="0.2">
      <c r="E1736" s="50"/>
      <c r="H1736" s="12"/>
      <c r="K1736"/>
    </row>
    <row r="1737" spans="5:11" x14ac:dyDescent="0.2">
      <c r="E1737" s="50"/>
      <c r="H1737" s="12"/>
      <c r="K1737"/>
    </row>
    <row r="1738" spans="5:11" x14ac:dyDescent="0.2">
      <c r="E1738" s="50"/>
      <c r="H1738" s="12"/>
      <c r="K1738"/>
    </row>
    <row r="1739" spans="5:11" x14ac:dyDescent="0.2">
      <c r="E1739" s="50"/>
      <c r="H1739" s="12"/>
      <c r="K1739"/>
    </row>
    <row r="1740" spans="5:11" x14ac:dyDescent="0.2">
      <c r="E1740" s="50"/>
      <c r="H1740" s="12"/>
      <c r="K1740"/>
    </row>
    <row r="1741" spans="5:11" x14ac:dyDescent="0.2">
      <c r="E1741" s="50"/>
      <c r="H1741" s="12"/>
      <c r="K1741"/>
    </row>
    <row r="1742" spans="5:11" x14ac:dyDescent="0.2">
      <c r="E1742" s="50"/>
      <c r="H1742" s="12"/>
      <c r="K1742"/>
    </row>
    <row r="1743" spans="5:11" x14ac:dyDescent="0.2">
      <c r="E1743" s="50"/>
      <c r="H1743" s="12"/>
      <c r="K1743"/>
    </row>
    <row r="1744" spans="5:11" x14ac:dyDescent="0.2">
      <c r="E1744" s="50"/>
      <c r="H1744" s="12"/>
      <c r="K1744"/>
    </row>
    <row r="1745" spans="5:11" x14ac:dyDescent="0.2">
      <c r="E1745" s="50"/>
      <c r="H1745" s="12"/>
      <c r="K1745"/>
    </row>
    <row r="1746" spans="5:11" x14ac:dyDescent="0.2">
      <c r="E1746" s="50"/>
      <c r="H1746" s="12"/>
      <c r="K1746"/>
    </row>
    <row r="1747" spans="5:11" x14ac:dyDescent="0.2">
      <c r="E1747" s="50"/>
      <c r="H1747" s="12"/>
      <c r="K1747"/>
    </row>
    <row r="1748" spans="5:11" x14ac:dyDescent="0.2">
      <c r="E1748" s="50"/>
      <c r="H1748" s="12"/>
      <c r="K1748"/>
    </row>
    <row r="1749" spans="5:11" x14ac:dyDescent="0.2">
      <c r="E1749" s="50"/>
      <c r="H1749" s="12"/>
      <c r="K1749"/>
    </row>
    <row r="1750" spans="5:11" x14ac:dyDescent="0.2">
      <c r="E1750" s="50"/>
      <c r="H1750" s="12"/>
      <c r="K1750"/>
    </row>
    <row r="1751" spans="5:11" x14ac:dyDescent="0.2">
      <c r="E1751" s="50"/>
      <c r="H1751" s="12"/>
      <c r="K1751"/>
    </row>
    <row r="1752" spans="5:11" x14ac:dyDescent="0.2">
      <c r="E1752" s="50"/>
      <c r="H1752" s="12"/>
      <c r="K1752"/>
    </row>
    <row r="1753" spans="5:11" x14ac:dyDescent="0.2">
      <c r="E1753" s="50"/>
      <c r="H1753" s="12"/>
      <c r="K1753"/>
    </row>
    <row r="1754" spans="5:11" x14ac:dyDescent="0.2">
      <c r="E1754" s="50"/>
      <c r="H1754" s="12"/>
      <c r="K1754"/>
    </row>
    <row r="1755" spans="5:11" x14ac:dyDescent="0.2">
      <c r="E1755" s="50"/>
      <c r="H1755" s="12"/>
      <c r="K1755"/>
    </row>
    <row r="1756" spans="5:11" x14ac:dyDescent="0.2">
      <c r="E1756" s="50"/>
      <c r="H1756" s="12"/>
      <c r="K1756"/>
    </row>
    <row r="1757" spans="5:11" x14ac:dyDescent="0.2">
      <c r="E1757" s="50"/>
      <c r="H1757" s="12"/>
      <c r="K1757"/>
    </row>
    <row r="1758" spans="5:11" x14ac:dyDescent="0.2">
      <c r="E1758" s="50"/>
      <c r="H1758" s="12"/>
      <c r="K1758"/>
    </row>
    <row r="1759" spans="5:11" x14ac:dyDescent="0.2">
      <c r="E1759" s="50"/>
      <c r="H1759" s="12"/>
      <c r="K1759"/>
    </row>
    <row r="1760" spans="5:11" x14ac:dyDescent="0.2">
      <c r="E1760" s="50"/>
      <c r="H1760" s="12"/>
      <c r="K1760"/>
    </row>
    <row r="1761" spans="5:11" x14ac:dyDescent="0.2">
      <c r="E1761" s="50"/>
      <c r="H1761" s="12"/>
      <c r="K1761"/>
    </row>
    <row r="1762" spans="5:11" x14ac:dyDescent="0.2">
      <c r="E1762" s="50"/>
      <c r="H1762" s="12"/>
      <c r="K1762"/>
    </row>
    <row r="1763" spans="5:11" x14ac:dyDescent="0.2">
      <c r="E1763" s="50"/>
      <c r="H1763" s="12"/>
      <c r="K1763"/>
    </row>
    <row r="1764" spans="5:11" x14ac:dyDescent="0.2">
      <c r="E1764" s="50"/>
      <c r="H1764" s="12"/>
      <c r="K1764"/>
    </row>
    <row r="1765" spans="5:11" x14ac:dyDescent="0.2">
      <c r="E1765" s="50"/>
      <c r="H1765" s="12"/>
      <c r="K1765"/>
    </row>
    <row r="1766" spans="5:11" x14ac:dyDescent="0.2">
      <c r="E1766" s="50"/>
      <c r="H1766" s="12"/>
      <c r="K1766"/>
    </row>
    <row r="1767" spans="5:11" x14ac:dyDescent="0.2">
      <c r="E1767" s="50"/>
      <c r="H1767" s="12"/>
      <c r="K1767"/>
    </row>
    <row r="1768" spans="5:11" x14ac:dyDescent="0.2">
      <c r="E1768" s="50"/>
      <c r="H1768" s="12"/>
      <c r="K1768"/>
    </row>
    <row r="1769" spans="5:11" x14ac:dyDescent="0.2">
      <c r="E1769" s="50"/>
      <c r="H1769" s="12"/>
      <c r="K1769"/>
    </row>
    <row r="1770" spans="5:11" x14ac:dyDescent="0.2">
      <c r="E1770" s="50"/>
      <c r="H1770" s="12"/>
      <c r="K1770"/>
    </row>
    <row r="1771" spans="5:11" x14ac:dyDescent="0.2">
      <c r="E1771" s="50"/>
      <c r="H1771" s="12"/>
      <c r="K1771"/>
    </row>
    <row r="1772" spans="5:11" x14ac:dyDescent="0.2">
      <c r="E1772" s="50"/>
      <c r="H1772" s="12"/>
      <c r="K1772"/>
    </row>
    <row r="1773" spans="5:11" x14ac:dyDescent="0.2">
      <c r="E1773" s="50"/>
      <c r="H1773" s="12"/>
      <c r="K1773"/>
    </row>
    <row r="1774" spans="5:11" x14ac:dyDescent="0.2">
      <c r="E1774" s="50"/>
      <c r="H1774" s="12"/>
      <c r="K1774"/>
    </row>
    <row r="1775" spans="5:11" x14ac:dyDescent="0.2">
      <c r="E1775" s="50"/>
      <c r="H1775" s="12"/>
      <c r="K1775"/>
    </row>
    <row r="1776" spans="5:11" x14ac:dyDescent="0.2">
      <c r="E1776" s="50"/>
      <c r="H1776" s="12"/>
      <c r="K1776"/>
    </row>
    <row r="1777" spans="5:11" x14ac:dyDescent="0.2">
      <c r="E1777" s="50"/>
      <c r="H1777" s="12"/>
      <c r="K1777"/>
    </row>
    <row r="1778" spans="5:11" x14ac:dyDescent="0.2">
      <c r="E1778" s="50"/>
      <c r="H1778" s="12"/>
      <c r="K1778"/>
    </row>
    <row r="1779" spans="5:11" x14ac:dyDescent="0.2">
      <c r="E1779" s="50"/>
      <c r="H1779" s="12"/>
      <c r="K1779"/>
    </row>
    <row r="1780" spans="5:11" x14ac:dyDescent="0.2">
      <c r="E1780" s="50"/>
      <c r="H1780" s="12"/>
      <c r="K1780"/>
    </row>
    <row r="1781" spans="5:11" x14ac:dyDescent="0.2">
      <c r="E1781" s="50"/>
      <c r="H1781" s="12"/>
      <c r="K1781"/>
    </row>
    <row r="1782" spans="5:11" x14ac:dyDescent="0.2">
      <c r="E1782" s="50"/>
      <c r="H1782" s="12"/>
      <c r="K1782"/>
    </row>
    <row r="1783" spans="5:11" x14ac:dyDescent="0.2">
      <c r="E1783" s="50"/>
      <c r="H1783" s="12"/>
      <c r="K1783"/>
    </row>
    <row r="1784" spans="5:11" x14ac:dyDescent="0.2">
      <c r="E1784" s="50"/>
      <c r="H1784" s="12"/>
      <c r="K1784"/>
    </row>
    <row r="1785" spans="5:11" x14ac:dyDescent="0.2">
      <c r="E1785" s="50"/>
      <c r="H1785" s="12"/>
      <c r="K1785"/>
    </row>
    <row r="1786" spans="5:11" x14ac:dyDescent="0.2">
      <c r="E1786" s="50"/>
      <c r="H1786" s="12"/>
      <c r="K1786"/>
    </row>
    <row r="1787" spans="5:11" x14ac:dyDescent="0.2">
      <c r="E1787" s="50"/>
      <c r="H1787" s="12"/>
      <c r="K1787"/>
    </row>
    <row r="1788" spans="5:11" x14ac:dyDescent="0.2">
      <c r="E1788" s="50"/>
      <c r="H1788" s="12"/>
      <c r="K1788"/>
    </row>
    <row r="1789" spans="5:11" x14ac:dyDescent="0.2">
      <c r="E1789" s="50"/>
      <c r="H1789" s="12"/>
      <c r="K1789"/>
    </row>
    <row r="1790" spans="5:11" x14ac:dyDescent="0.2">
      <c r="E1790" s="50"/>
      <c r="H1790" s="12"/>
      <c r="K1790"/>
    </row>
    <row r="1791" spans="5:11" x14ac:dyDescent="0.2">
      <c r="E1791" s="50"/>
      <c r="H1791" s="12"/>
      <c r="K1791"/>
    </row>
    <row r="1792" spans="5:11" x14ac:dyDescent="0.2">
      <c r="E1792" s="50"/>
      <c r="H1792" s="12"/>
      <c r="K1792"/>
    </row>
    <row r="1793" spans="5:11" x14ac:dyDescent="0.2">
      <c r="E1793" s="50"/>
      <c r="H1793" s="12"/>
      <c r="K1793"/>
    </row>
    <row r="1794" spans="5:11" x14ac:dyDescent="0.2">
      <c r="E1794" s="50"/>
      <c r="H1794" s="12"/>
      <c r="K1794"/>
    </row>
    <row r="1795" spans="5:11" x14ac:dyDescent="0.2">
      <c r="E1795" s="50"/>
      <c r="H1795" s="12"/>
      <c r="K1795"/>
    </row>
    <row r="1796" spans="5:11" x14ac:dyDescent="0.2">
      <c r="E1796" s="50"/>
      <c r="H1796" s="12"/>
      <c r="K1796"/>
    </row>
    <row r="1797" spans="5:11" x14ac:dyDescent="0.2">
      <c r="E1797" s="50"/>
      <c r="H1797" s="12"/>
      <c r="K1797"/>
    </row>
    <row r="1798" spans="5:11" x14ac:dyDescent="0.2">
      <c r="E1798" s="50"/>
      <c r="H1798" s="12"/>
      <c r="K1798"/>
    </row>
    <row r="1799" spans="5:11" x14ac:dyDescent="0.2">
      <c r="E1799" s="50"/>
      <c r="H1799" s="12"/>
      <c r="K1799"/>
    </row>
    <row r="1800" spans="5:11" x14ac:dyDescent="0.2">
      <c r="E1800" s="50"/>
      <c r="H1800" s="12"/>
      <c r="K1800"/>
    </row>
    <row r="1801" spans="5:11" x14ac:dyDescent="0.2">
      <c r="E1801" s="50"/>
      <c r="H1801" s="12"/>
      <c r="K1801"/>
    </row>
    <row r="1802" spans="5:11" x14ac:dyDescent="0.2">
      <c r="E1802" s="50"/>
      <c r="H1802" s="12"/>
      <c r="K1802"/>
    </row>
    <row r="1803" spans="5:11" x14ac:dyDescent="0.2">
      <c r="E1803" s="50"/>
      <c r="H1803" s="12"/>
      <c r="K1803"/>
    </row>
    <row r="1804" spans="5:11" x14ac:dyDescent="0.2">
      <c r="E1804" s="50"/>
      <c r="H1804" s="12"/>
      <c r="K1804"/>
    </row>
    <row r="1805" spans="5:11" x14ac:dyDescent="0.2">
      <c r="E1805" s="50"/>
      <c r="H1805" s="12"/>
      <c r="K1805"/>
    </row>
    <row r="1806" spans="5:11" x14ac:dyDescent="0.2">
      <c r="E1806" s="50"/>
      <c r="H1806" s="12"/>
      <c r="K1806"/>
    </row>
    <row r="1807" spans="5:11" x14ac:dyDescent="0.2">
      <c r="E1807" s="50"/>
      <c r="H1807" s="12"/>
      <c r="K1807"/>
    </row>
    <row r="1808" spans="5:11" x14ac:dyDescent="0.2">
      <c r="E1808" s="50"/>
      <c r="H1808" s="12"/>
      <c r="K1808"/>
    </row>
    <row r="1809" spans="5:11" x14ac:dyDescent="0.2">
      <c r="E1809" s="50"/>
      <c r="H1809" s="12"/>
      <c r="K1809"/>
    </row>
    <row r="1810" spans="5:11" x14ac:dyDescent="0.2">
      <c r="E1810" s="50"/>
      <c r="H1810" s="12"/>
      <c r="K1810"/>
    </row>
    <row r="1811" spans="5:11" x14ac:dyDescent="0.2">
      <c r="E1811" s="50"/>
      <c r="H1811" s="12"/>
      <c r="K1811"/>
    </row>
    <row r="1812" spans="5:11" x14ac:dyDescent="0.2">
      <c r="E1812" s="50"/>
      <c r="H1812" s="12"/>
      <c r="K1812"/>
    </row>
    <row r="1813" spans="5:11" x14ac:dyDescent="0.2">
      <c r="E1813" s="50"/>
      <c r="H1813" s="12"/>
      <c r="K1813"/>
    </row>
    <row r="1814" spans="5:11" x14ac:dyDescent="0.2">
      <c r="E1814" s="50"/>
      <c r="H1814" s="12"/>
      <c r="K1814"/>
    </row>
    <row r="1815" spans="5:11" x14ac:dyDescent="0.2">
      <c r="E1815" s="50"/>
      <c r="H1815" s="12"/>
      <c r="K1815"/>
    </row>
    <row r="1816" spans="5:11" x14ac:dyDescent="0.2">
      <c r="E1816" s="50"/>
      <c r="H1816" s="12"/>
      <c r="K1816"/>
    </row>
    <row r="1817" spans="5:11" x14ac:dyDescent="0.2">
      <c r="E1817" s="50"/>
      <c r="H1817" s="12"/>
      <c r="K1817"/>
    </row>
    <row r="1818" spans="5:11" x14ac:dyDescent="0.2">
      <c r="E1818" s="50"/>
      <c r="H1818" s="12"/>
      <c r="K1818"/>
    </row>
    <row r="1819" spans="5:11" x14ac:dyDescent="0.2">
      <c r="E1819" s="50"/>
      <c r="H1819" s="12"/>
      <c r="K1819"/>
    </row>
    <row r="1820" spans="5:11" x14ac:dyDescent="0.2">
      <c r="E1820" s="50"/>
      <c r="H1820" s="12"/>
      <c r="K1820"/>
    </row>
    <row r="1821" spans="5:11" x14ac:dyDescent="0.2">
      <c r="E1821" s="50"/>
      <c r="H1821" s="12"/>
      <c r="K1821"/>
    </row>
    <row r="1822" spans="5:11" x14ac:dyDescent="0.2">
      <c r="E1822" s="50"/>
      <c r="H1822" s="12"/>
      <c r="K1822"/>
    </row>
    <row r="1823" spans="5:11" x14ac:dyDescent="0.2">
      <c r="E1823" s="50"/>
      <c r="H1823" s="12"/>
      <c r="K1823"/>
    </row>
    <row r="1824" spans="5:11" x14ac:dyDescent="0.2">
      <c r="E1824" s="50"/>
      <c r="H1824" s="12"/>
      <c r="K1824"/>
    </row>
    <row r="1825" spans="5:11" x14ac:dyDescent="0.2">
      <c r="E1825" s="50"/>
      <c r="H1825" s="12"/>
      <c r="K1825"/>
    </row>
    <row r="1826" spans="5:11" x14ac:dyDescent="0.2">
      <c r="E1826" s="50"/>
      <c r="H1826" s="12"/>
      <c r="K1826"/>
    </row>
    <row r="1827" spans="5:11" x14ac:dyDescent="0.2">
      <c r="E1827" s="50"/>
      <c r="H1827" s="12"/>
      <c r="K1827"/>
    </row>
    <row r="1828" spans="5:11" x14ac:dyDescent="0.2">
      <c r="E1828" s="50"/>
      <c r="H1828" s="12"/>
      <c r="K1828"/>
    </row>
    <row r="1829" spans="5:11" x14ac:dyDescent="0.2">
      <c r="E1829" s="50"/>
      <c r="H1829" s="12"/>
      <c r="K1829"/>
    </row>
    <row r="1830" spans="5:11" x14ac:dyDescent="0.2">
      <c r="E1830" s="50"/>
      <c r="H1830" s="12"/>
      <c r="K1830"/>
    </row>
    <row r="1831" spans="5:11" x14ac:dyDescent="0.2">
      <c r="E1831" s="50"/>
      <c r="H1831" s="12"/>
      <c r="K1831"/>
    </row>
    <row r="1832" spans="5:11" x14ac:dyDescent="0.2">
      <c r="E1832" s="50"/>
      <c r="H1832" s="12"/>
      <c r="K1832"/>
    </row>
    <row r="1833" spans="5:11" x14ac:dyDescent="0.2">
      <c r="E1833" s="50"/>
      <c r="H1833" s="12"/>
      <c r="K1833"/>
    </row>
    <row r="1834" spans="5:11" x14ac:dyDescent="0.2">
      <c r="E1834" s="50"/>
      <c r="H1834" s="12"/>
      <c r="K1834"/>
    </row>
    <row r="1835" spans="5:11" x14ac:dyDescent="0.2">
      <c r="E1835" s="50"/>
      <c r="H1835" s="12"/>
      <c r="K1835"/>
    </row>
    <row r="1836" spans="5:11" x14ac:dyDescent="0.2">
      <c r="E1836" s="50"/>
      <c r="H1836" s="12"/>
      <c r="K1836"/>
    </row>
    <row r="1837" spans="5:11" x14ac:dyDescent="0.2">
      <c r="E1837" s="50"/>
      <c r="H1837" s="12"/>
      <c r="K1837"/>
    </row>
    <row r="1838" spans="5:11" x14ac:dyDescent="0.2">
      <c r="E1838" s="50"/>
      <c r="H1838" s="12"/>
      <c r="K1838"/>
    </row>
    <row r="1839" spans="5:11" x14ac:dyDescent="0.2">
      <c r="E1839" s="50"/>
      <c r="H1839" s="12"/>
      <c r="K1839"/>
    </row>
    <row r="1840" spans="5:11" x14ac:dyDescent="0.2">
      <c r="E1840" s="50"/>
      <c r="H1840" s="12"/>
      <c r="K1840"/>
    </row>
    <row r="1841" spans="5:11" x14ac:dyDescent="0.2">
      <c r="E1841" s="50"/>
      <c r="H1841" s="12"/>
      <c r="K1841"/>
    </row>
    <row r="1842" spans="5:11" x14ac:dyDescent="0.2">
      <c r="E1842" s="50"/>
      <c r="H1842" s="12"/>
      <c r="K1842"/>
    </row>
    <row r="1843" spans="5:11" x14ac:dyDescent="0.2">
      <c r="E1843" s="50"/>
      <c r="H1843" s="12"/>
      <c r="K1843"/>
    </row>
    <row r="1844" spans="5:11" x14ac:dyDescent="0.2">
      <c r="E1844" s="50"/>
      <c r="H1844" s="12"/>
      <c r="K1844"/>
    </row>
    <row r="1845" spans="5:11" x14ac:dyDescent="0.2">
      <c r="E1845" s="50"/>
      <c r="H1845" s="12"/>
      <c r="K1845"/>
    </row>
    <row r="1846" spans="5:11" x14ac:dyDescent="0.2">
      <c r="E1846" s="50"/>
      <c r="H1846" s="12"/>
      <c r="K1846"/>
    </row>
    <row r="1847" spans="5:11" x14ac:dyDescent="0.2">
      <c r="E1847" s="50"/>
      <c r="H1847" s="12"/>
      <c r="K1847"/>
    </row>
    <row r="1848" spans="5:11" x14ac:dyDescent="0.2">
      <c r="E1848" s="50"/>
      <c r="H1848" s="12"/>
      <c r="K1848"/>
    </row>
    <row r="1849" spans="5:11" x14ac:dyDescent="0.2">
      <c r="E1849" s="50"/>
      <c r="H1849" s="12"/>
      <c r="K1849"/>
    </row>
    <row r="1850" spans="5:11" x14ac:dyDescent="0.2">
      <c r="E1850" s="50"/>
      <c r="H1850" s="12"/>
      <c r="K1850"/>
    </row>
    <row r="1851" spans="5:11" x14ac:dyDescent="0.2">
      <c r="E1851" s="50"/>
      <c r="H1851" s="12"/>
      <c r="K1851"/>
    </row>
    <row r="1852" spans="5:11" x14ac:dyDescent="0.2">
      <c r="E1852" s="50"/>
      <c r="H1852" s="12"/>
      <c r="K1852"/>
    </row>
    <row r="1853" spans="5:11" x14ac:dyDescent="0.2">
      <c r="E1853" s="50"/>
      <c r="H1853" s="12"/>
      <c r="K1853"/>
    </row>
    <row r="1854" spans="5:11" x14ac:dyDescent="0.2">
      <c r="E1854" s="50"/>
      <c r="H1854" s="12"/>
      <c r="K1854"/>
    </row>
    <row r="1855" spans="5:11" x14ac:dyDescent="0.2">
      <c r="E1855" s="50"/>
      <c r="H1855" s="12"/>
      <c r="K1855"/>
    </row>
    <row r="1856" spans="5:11" x14ac:dyDescent="0.2">
      <c r="E1856" s="50"/>
      <c r="H1856" s="12"/>
      <c r="K1856"/>
    </row>
    <row r="1857" spans="5:11" x14ac:dyDescent="0.2">
      <c r="E1857" s="50"/>
      <c r="H1857" s="12"/>
      <c r="K1857"/>
    </row>
    <row r="1858" spans="5:11" x14ac:dyDescent="0.2">
      <c r="E1858" s="50"/>
      <c r="H1858" s="12"/>
      <c r="K1858"/>
    </row>
    <row r="1859" spans="5:11" x14ac:dyDescent="0.2">
      <c r="E1859" s="50"/>
      <c r="H1859" s="12"/>
      <c r="K1859"/>
    </row>
    <row r="1860" spans="5:11" x14ac:dyDescent="0.2">
      <c r="E1860" s="50"/>
      <c r="H1860" s="12"/>
      <c r="K1860"/>
    </row>
    <row r="1861" spans="5:11" x14ac:dyDescent="0.2">
      <c r="E1861" s="50"/>
      <c r="H1861" s="12"/>
      <c r="K1861"/>
    </row>
    <row r="1862" spans="5:11" x14ac:dyDescent="0.2">
      <c r="E1862" s="50"/>
      <c r="H1862" s="12"/>
      <c r="K1862"/>
    </row>
    <row r="1863" spans="5:11" x14ac:dyDescent="0.2">
      <c r="E1863" s="50"/>
      <c r="H1863" s="12"/>
      <c r="K1863"/>
    </row>
    <row r="1864" spans="5:11" x14ac:dyDescent="0.2">
      <c r="E1864" s="50"/>
      <c r="H1864" s="12"/>
      <c r="K1864"/>
    </row>
    <row r="1865" spans="5:11" x14ac:dyDescent="0.2">
      <c r="E1865" s="50"/>
      <c r="H1865" s="12"/>
      <c r="K1865"/>
    </row>
    <row r="1866" spans="5:11" x14ac:dyDescent="0.2">
      <c r="E1866" s="50"/>
      <c r="H1866" s="12"/>
      <c r="K1866"/>
    </row>
    <row r="1867" spans="5:11" x14ac:dyDescent="0.2">
      <c r="E1867" s="50"/>
      <c r="H1867" s="12"/>
      <c r="K1867"/>
    </row>
    <row r="1868" spans="5:11" x14ac:dyDescent="0.2">
      <c r="E1868" s="50"/>
      <c r="H1868" s="12"/>
      <c r="K1868"/>
    </row>
    <row r="1869" spans="5:11" x14ac:dyDescent="0.2">
      <c r="E1869" s="50"/>
      <c r="H1869" s="12"/>
      <c r="K1869"/>
    </row>
    <row r="1870" spans="5:11" x14ac:dyDescent="0.2">
      <c r="E1870" s="50"/>
      <c r="H1870" s="12"/>
      <c r="K1870"/>
    </row>
    <row r="1871" spans="5:11" x14ac:dyDescent="0.2">
      <c r="E1871" s="50"/>
      <c r="H1871" s="12"/>
      <c r="K1871"/>
    </row>
    <row r="1872" spans="5:11" x14ac:dyDescent="0.2">
      <c r="E1872" s="50"/>
      <c r="H1872" s="12"/>
      <c r="K1872"/>
    </row>
    <row r="1873" spans="5:11" x14ac:dyDescent="0.2">
      <c r="E1873" s="50"/>
      <c r="H1873" s="12"/>
      <c r="K1873"/>
    </row>
    <row r="1874" spans="5:11" x14ac:dyDescent="0.2">
      <c r="E1874" s="50"/>
      <c r="H1874" s="12"/>
      <c r="K1874"/>
    </row>
    <row r="1875" spans="5:11" x14ac:dyDescent="0.2">
      <c r="E1875" s="50"/>
      <c r="H1875" s="12"/>
      <c r="K1875"/>
    </row>
    <row r="1876" spans="5:11" x14ac:dyDescent="0.2">
      <c r="E1876" s="50"/>
      <c r="H1876" s="12"/>
      <c r="K1876"/>
    </row>
    <row r="1877" spans="5:11" x14ac:dyDescent="0.2">
      <c r="E1877" s="50"/>
      <c r="H1877" s="12"/>
      <c r="K1877"/>
    </row>
    <row r="1878" spans="5:11" x14ac:dyDescent="0.2">
      <c r="E1878" s="50"/>
      <c r="H1878" s="12"/>
      <c r="K1878"/>
    </row>
    <row r="1879" spans="5:11" x14ac:dyDescent="0.2">
      <c r="E1879" s="50"/>
      <c r="H1879" s="12"/>
      <c r="K1879"/>
    </row>
    <row r="1880" spans="5:11" x14ac:dyDescent="0.2">
      <c r="E1880" s="50"/>
      <c r="H1880" s="12"/>
      <c r="K1880"/>
    </row>
    <row r="1881" spans="5:11" x14ac:dyDescent="0.2">
      <c r="E1881" s="50"/>
      <c r="H1881" s="12"/>
      <c r="K1881"/>
    </row>
    <row r="1882" spans="5:11" x14ac:dyDescent="0.2">
      <c r="E1882" s="50"/>
      <c r="H1882" s="12"/>
      <c r="K1882"/>
    </row>
    <row r="1883" spans="5:11" x14ac:dyDescent="0.2">
      <c r="E1883" s="50"/>
      <c r="H1883" s="12"/>
      <c r="K1883"/>
    </row>
    <row r="1884" spans="5:11" x14ac:dyDescent="0.2">
      <c r="E1884" s="50"/>
      <c r="H1884" s="12"/>
      <c r="K1884"/>
    </row>
    <row r="1885" spans="5:11" x14ac:dyDescent="0.2">
      <c r="E1885" s="50"/>
      <c r="H1885" s="12"/>
      <c r="K1885"/>
    </row>
    <row r="1886" spans="5:11" x14ac:dyDescent="0.2">
      <c r="E1886" s="50"/>
      <c r="H1886" s="12"/>
      <c r="K1886"/>
    </row>
    <row r="1887" spans="5:11" x14ac:dyDescent="0.2">
      <c r="E1887" s="50"/>
      <c r="H1887" s="12"/>
      <c r="K1887"/>
    </row>
    <row r="1888" spans="5:11" x14ac:dyDescent="0.2">
      <c r="E1888" s="50"/>
      <c r="H1888" s="12"/>
      <c r="K1888"/>
    </row>
    <row r="1889" spans="5:11" x14ac:dyDescent="0.2">
      <c r="E1889" s="50"/>
      <c r="H1889" s="12"/>
      <c r="K1889"/>
    </row>
    <row r="1890" spans="5:11" x14ac:dyDescent="0.2">
      <c r="E1890" s="50"/>
      <c r="H1890" s="12"/>
      <c r="K1890"/>
    </row>
    <row r="1891" spans="5:11" x14ac:dyDescent="0.2">
      <c r="E1891" s="50"/>
      <c r="H1891" s="12"/>
      <c r="K1891"/>
    </row>
    <row r="1892" spans="5:11" x14ac:dyDescent="0.2">
      <c r="E1892" s="50"/>
      <c r="H1892" s="12"/>
      <c r="K1892"/>
    </row>
    <row r="1893" spans="5:11" x14ac:dyDescent="0.2">
      <c r="E1893" s="50"/>
      <c r="H1893" s="12"/>
      <c r="K1893"/>
    </row>
    <row r="1894" spans="5:11" x14ac:dyDescent="0.2">
      <c r="E1894" s="50"/>
      <c r="H1894" s="12"/>
      <c r="K1894"/>
    </row>
    <row r="1895" spans="5:11" x14ac:dyDescent="0.2">
      <c r="E1895" s="50"/>
      <c r="H1895" s="12"/>
      <c r="K1895"/>
    </row>
    <row r="1896" spans="5:11" x14ac:dyDescent="0.2">
      <c r="E1896" s="50"/>
      <c r="H1896" s="12"/>
      <c r="K1896"/>
    </row>
    <row r="1897" spans="5:11" x14ac:dyDescent="0.2">
      <c r="E1897" s="50"/>
      <c r="H1897" s="12"/>
      <c r="K1897"/>
    </row>
    <row r="1898" spans="5:11" x14ac:dyDescent="0.2">
      <c r="E1898" s="50"/>
      <c r="H1898" s="12"/>
      <c r="K1898"/>
    </row>
    <row r="1899" spans="5:11" x14ac:dyDescent="0.2">
      <c r="E1899" s="50"/>
      <c r="H1899" s="12"/>
      <c r="K1899"/>
    </row>
    <row r="1900" spans="5:11" x14ac:dyDescent="0.2">
      <c r="E1900" s="50"/>
      <c r="H1900" s="12"/>
      <c r="K1900"/>
    </row>
    <row r="1901" spans="5:11" x14ac:dyDescent="0.2">
      <c r="E1901" s="50"/>
      <c r="H1901" s="12"/>
      <c r="K1901"/>
    </row>
    <row r="1902" spans="5:11" x14ac:dyDescent="0.2">
      <c r="E1902" s="50"/>
      <c r="H1902" s="12"/>
      <c r="K1902"/>
    </row>
    <row r="1903" spans="5:11" x14ac:dyDescent="0.2">
      <c r="E1903" s="50"/>
      <c r="H1903" s="12"/>
      <c r="K1903"/>
    </row>
    <row r="1904" spans="5:11" x14ac:dyDescent="0.2">
      <c r="E1904" s="50"/>
      <c r="H1904" s="12"/>
      <c r="K1904"/>
    </row>
    <row r="1905" spans="5:11" x14ac:dyDescent="0.2">
      <c r="E1905" s="50"/>
      <c r="H1905" s="12"/>
      <c r="K1905"/>
    </row>
    <row r="1906" spans="5:11" x14ac:dyDescent="0.2">
      <c r="E1906" s="50"/>
      <c r="H1906" s="12"/>
      <c r="K1906"/>
    </row>
    <row r="1907" spans="5:11" x14ac:dyDescent="0.2">
      <c r="E1907" s="50"/>
      <c r="H1907" s="12"/>
      <c r="K1907"/>
    </row>
    <row r="1908" spans="5:11" x14ac:dyDescent="0.2">
      <c r="E1908" s="50"/>
      <c r="H1908" s="12"/>
      <c r="K1908"/>
    </row>
    <row r="1909" spans="5:11" x14ac:dyDescent="0.2">
      <c r="E1909" s="50"/>
      <c r="H1909" s="12"/>
      <c r="K1909"/>
    </row>
    <row r="1910" spans="5:11" x14ac:dyDescent="0.2">
      <c r="E1910" s="50"/>
      <c r="H1910" s="12"/>
      <c r="K1910"/>
    </row>
    <row r="1911" spans="5:11" x14ac:dyDescent="0.2">
      <c r="E1911" s="50"/>
      <c r="H1911" s="12"/>
      <c r="K1911"/>
    </row>
    <row r="1912" spans="5:11" x14ac:dyDescent="0.2">
      <c r="E1912" s="50"/>
      <c r="H1912" s="12"/>
      <c r="K1912"/>
    </row>
    <row r="1913" spans="5:11" x14ac:dyDescent="0.2">
      <c r="E1913" s="50"/>
      <c r="H1913" s="12"/>
      <c r="K1913"/>
    </row>
    <row r="1914" spans="5:11" x14ac:dyDescent="0.2">
      <c r="E1914" s="50"/>
      <c r="H1914" s="12"/>
      <c r="K1914"/>
    </row>
    <row r="1915" spans="5:11" x14ac:dyDescent="0.2">
      <c r="E1915" s="50"/>
      <c r="H1915" s="12"/>
      <c r="K1915"/>
    </row>
    <row r="1916" spans="5:11" x14ac:dyDescent="0.2">
      <c r="E1916" s="50"/>
      <c r="H1916" s="12"/>
      <c r="K1916"/>
    </row>
    <row r="1917" spans="5:11" x14ac:dyDescent="0.2">
      <c r="E1917" s="50"/>
      <c r="H1917" s="12"/>
      <c r="K1917"/>
    </row>
    <row r="1918" spans="5:11" x14ac:dyDescent="0.2">
      <c r="E1918" s="50"/>
      <c r="H1918" s="12"/>
      <c r="K1918"/>
    </row>
    <row r="1919" spans="5:11" x14ac:dyDescent="0.2">
      <c r="E1919" s="50"/>
      <c r="H1919" s="12"/>
      <c r="K1919"/>
    </row>
    <row r="1920" spans="5:11" x14ac:dyDescent="0.2">
      <c r="E1920" s="50"/>
      <c r="H1920" s="12"/>
      <c r="K1920"/>
    </row>
    <row r="1921" spans="5:11" x14ac:dyDescent="0.2">
      <c r="E1921" s="50"/>
      <c r="H1921" s="12"/>
      <c r="K1921"/>
    </row>
    <row r="1922" spans="5:11" x14ac:dyDescent="0.2">
      <c r="E1922" s="50"/>
      <c r="H1922" s="12"/>
      <c r="K1922"/>
    </row>
    <row r="1923" spans="5:11" x14ac:dyDescent="0.2">
      <c r="E1923" s="50"/>
      <c r="H1923" s="12"/>
      <c r="K1923"/>
    </row>
    <row r="1924" spans="5:11" x14ac:dyDescent="0.2">
      <c r="E1924" s="50"/>
      <c r="H1924" s="12"/>
      <c r="K1924"/>
    </row>
    <row r="1925" spans="5:11" x14ac:dyDescent="0.2">
      <c r="E1925" s="50"/>
      <c r="H1925" s="12"/>
      <c r="K1925"/>
    </row>
    <row r="1926" spans="5:11" x14ac:dyDescent="0.2">
      <c r="E1926" s="50"/>
      <c r="H1926" s="12"/>
      <c r="K1926"/>
    </row>
    <row r="1927" spans="5:11" x14ac:dyDescent="0.2">
      <c r="E1927" s="50"/>
      <c r="H1927" s="12"/>
      <c r="K1927"/>
    </row>
    <row r="1928" spans="5:11" x14ac:dyDescent="0.2">
      <c r="E1928" s="50"/>
      <c r="H1928" s="12"/>
      <c r="K1928"/>
    </row>
    <row r="1929" spans="5:11" x14ac:dyDescent="0.2">
      <c r="E1929" s="50"/>
      <c r="H1929" s="12"/>
      <c r="K1929"/>
    </row>
    <row r="1930" spans="5:11" x14ac:dyDescent="0.2">
      <c r="E1930" s="50"/>
      <c r="H1930" s="12"/>
      <c r="K1930"/>
    </row>
    <row r="1931" spans="5:11" x14ac:dyDescent="0.2">
      <c r="E1931" s="50"/>
      <c r="H1931" s="12"/>
      <c r="K1931"/>
    </row>
    <row r="1932" spans="5:11" x14ac:dyDescent="0.2">
      <c r="E1932" s="50"/>
      <c r="H1932" s="12"/>
      <c r="K1932"/>
    </row>
    <row r="1933" spans="5:11" x14ac:dyDescent="0.2">
      <c r="E1933" s="50"/>
      <c r="H1933" s="12"/>
      <c r="K1933"/>
    </row>
    <row r="1934" spans="5:11" x14ac:dyDescent="0.2">
      <c r="E1934" s="50"/>
      <c r="H1934" s="12"/>
      <c r="K1934"/>
    </row>
    <row r="1935" spans="5:11" x14ac:dyDescent="0.2">
      <c r="E1935" s="50"/>
      <c r="H1935" s="12"/>
      <c r="K1935"/>
    </row>
    <row r="1936" spans="5:11" x14ac:dyDescent="0.2">
      <c r="E1936" s="50"/>
      <c r="H1936" s="12"/>
      <c r="K1936"/>
    </row>
    <row r="1937" spans="5:11" x14ac:dyDescent="0.2">
      <c r="E1937" s="50"/>
      <c r="H1937" s="12"/>
      <c r="K1937"/>
    </row>
    <row r="1938" spans="5:11" x14ac:dyDescent="0.2">
      <c r="E1938" s="50"/>
      <c r="H1938" s="12"/>
      <c r="K1938"/>
    </row>
    <row r="1939" spans="5:11" x14ac:dyDescent="0.2">
      <c r="E1939" s="50"/>
      <c r="H1939" s="12"/>
      <c r="K1939"/>
    </row>
    <row r="1940" spans="5:11" x14ac:dyDescent="0.2">
      <c r="E1940" s="50"/>
      <c r="H1940" s="12"/>
      <c r="K1940"/>
    </row>
    <row r="1941" spans="5:11" x14ac:dyDescent="0.2">
      <c r="E1941" s="50"/>
      <c r="H1941" s="12"/>
      <c r="K1941"/>
    </row>
    <row r="1942" spans="5:11" x14ac:dyDescent="0.2">
      <c r="E1942" s="50"/>
      <c r="H1942" s="12"/>
      <c r="K1942"/>
    </row>
    <row r="1943" spans="5:11" x14ac:dyDescent="0.2">
      <c r="E1943" s="50"/>
      <c r="H1943" s="12"/>
      <c r="K1943"/>
    </row>
    <row r="1944" spans="5:11" x14ac:dyDescent="0.2">
      <c r="E1944" s="50"/>
      <c r="H1944" s="12"/>
      <c r="K1944"/>
    </row>
    <row r="1945" spans="5:11" x14ac:dyDescent="0.2">
      <c r="E1945" s="50"/>
      <c r="H1945" s="12"/>
      <c r="K1945"/>
    </row>
    <row r="1946" spans="5:11" x14ac:dyDescent="0.2">
      <c r="E1946" s="50"/>
      <c r="H1946" s="12"/>
      <c r="K1946"/>
    </row>
    <row r="1947" spans="5:11" x14ac:dyDescent="0.2">
      <c r="E1947" s="50"/>
      <c r="H1947" s="12"/>
      <c r="K1947"/>
    </row>
    <row r="1948" spans="5:11" x14ac:dyDescent="0.2">
      <c r="E1948" s="50"/>
      <c r="H1948" s="12"/>
      <c r="K1948"/>
    </row>
    <row r="1949" spans="5:11" x14ac:dyDescent="0.2">
      <c r="E1949" s="50"/>
      <c r="H1949" s="12"/>
      <c r="K1949"/>
    </row>
    <row r="1950" spans="5:11" x14ac:dyDescent="0.2">
      <c r="E1950" s="50"/>
      <c r="H1950" s="12"/>
      <c r="K1950"/>
    </row>
    <row r="1951" spans="5:11" x14ac:dyDescent="0.2">
      <c r="E1951" s="50"/>
      <c r="H1951" s="12"/>
      <c r="K1951"/>
    </row>
    <row r="1952" spans="5:11" x14ac:dyDescent="0.2">
      <c r="E1952" s="50"/>
      <c r="H1952" s="12"/>
      <c r="K1952"/>
    </row>
    <row r="1953" spans="5:11" x14ac:dyDescent="0.2">
      <c r="E1953" s="50"/>
      <c r="H1953" s="12"/>
      <c r="K1953"/>
    </row>
    <row r="1954" spans="5:11" x14ac:dyDescent="0.2">
      <c r="E1954" s="50"/>
      <c r="H1954" s="12"/>
      <c r="K1954"/>
    </row>
    <row r="1955" spans="5:11" x14ac:dyDescent="0.2">
      <c r="E1955" s="50"/>
      <c r="H1955" s="12"/>
      <c r="K1955"/>
    </row>
    <row r="1956" spans="5:11" x14ac:dyDescent="0.2">
      <c r="E1956" s="50"/>
      <c r="H1956" s="12"/>
      <c r="K1956"/>
    </row>
    <row r="1957" spans="5:11" x14ac:dyDescent="0.2">
      <c r="E1957" s="50"/>
      <c r="H1957" s="12"/>
      <c r="K1957"/>
    </row>
    <row r="1958" spans="5:11" x14ac:dyDescent="0.2">
      <c r="E1958" s="50"/>
      <c r="H1958" s="12"/>
      <c r="K1958"/>
    </row>
    <row r="1959" spans="5:11" x14ac:dyDescent="0.2">
      <c r="E1959" s="50"/>
      <c r="H1959" s="12"/>
      <c r="K1959"/>
    </row>
    <row r="1960" spans="5:11" x14ac:dyDescent="0.2">
      <c r="E1960" s="50"/>
      <c r="H1960" s="12"/>
      <c r="K1960"/>
    </row>
    <row r="1961" spans="5:11" x14ac:dyDescent="0.2">
      <c r="E1961" s="50"/>
      <c r="H1961" s="12"/>
      <c r="K1961"/>
    </row>
    <row r="1962" spans="5:11" x14ac:dyDescent="0.2">
      <c r="E1962" s="50"/>
      <c r="H1962" s="12"/>
      <c r="K1962"/>
    </row>
    <row r="1963" spans="5:11" x14ac:dyDescent="0.2">
      <c r="E1963" s="50"/>
      <c r="H1963" s="12"/>
      <c r="K1963"/>
    </row>
    <row r="1964" spans="5:11" x14ac:dyDescent="0.2">
      <c r="E1964" s="50"/>
      <c r="H1964" s="12"/>
      <c r="K1964"/>
    </row>
    <row r="1965" spans="5:11" x14ac:dyDescent="0.2">
      <c r="E1965" s="50"/>
      <c r="H1965" s="12"/>
      <c r="K1965"/>
    </row>
    <row r="1966" spans="5:11" x14ac:dyDescent="0.2">
      <c r="E1966" s="50"/>
      <c r="H1966" s="12"/>
      <c r="K1966"/>
    </row>
    <row r="1967" spans="5:11" x14ac:dyDescent="0.2">
      <c r="E1967" s="50"/>
      <c r="H1967" s="12"/>
      <c r="K1967"/>
    </row>
    <row r="1968" spans="5:11" x14ac:dyDescent="0.2">
      <c r="E1968" s="50"/>
      <c r="H1968" s="12"/>
      <c r="K1968"/>
    </row>
    <row r="1969" spans="5:11" x14ac:dyDescent="0.2">
      <c r="E1969" s="50"/>
      <c r="H1969" s="12"/>
      <c r="K1969"/>
    </row>
    <row r="1970" spans="5:11" x14ac:dyDescent="0.2">
      <c r="E1970" s="50"/>
      <c r="H1970" s="12"/>
      <c r="K1970"/>
    </row>
    <row r="1971" spans="5:11" x14ac:dyDescent="0.2">
      <c r="E1971" s="50"/>
      <c r="H1971" s="12"/>
      <c r="K1971"/>
    </row>
    <row r="1972" spans="5:11" x14ac:dyDescent="0.2">
      <c r="E1972" s="50"/>
      <c r="H1972" s="12"/>
      <c r="K1972"/>
    </row>
    <row r="1973" spans="5:11" x14ac:dyDescent="0.2">
      <c r="E1973" s="50"/>
      <c r="H1973" s="12"/>
      <c r="K1973"/>
    </row>
    <row r="1974" spans="5:11" x14ac:dyDescent="0.2">
      <c r="E1974" s="50"/>
      <c r="H1974" s="12"/>
      <c r="K1974"/>
    </row>
    <row r="1975" spans="5:11" x14ac:dyDescent="0.2">
      <c r="E1975" s="50"/>
      <c r="H1975" s="12"/>
      <c r="K1975"/>
    </row>
    <row r="1976" spans="5:11" x14ac:dyDescent="0.2">
      <c r="E1976" s="50"/>
      <c r="H1976" s="12"/>
      <c r="K1976"/>
    </row>
    <row r="1977" spans="5:11" x14ac:dyDescent="0.2">
      <c r="E1977" s="50"/>
      <c r="H1977" s="12"/>
      <c r="K1977"/>
    </row>
    <row r="1978" spans="5:11" x14ac:dyDescent="0.2">
      <c r="E1978" s="50"/>
      <c r="H1978" s="12"/>
      <c r="K1978"/>
    </row>
    <row r="1979" spans="5:11" x14ac:dyDescent="0.2">
      <c r="E1979" s="50"/>
      <c r="H1979" s="12"/>
      <c r="K1979"/>
    </row>
    <row r="1980" spans="5:11" x14ac:dyDescent="0.2">
      <c r="E1980" s="50"/>
      <c r="H1980" s="12"/>
      <c r="K1980"/>
    </row>
    <row r="1981" spans="5:11" x14ac:dyDescent="0.2">
      <c r="E1981" s="50"/>
      <c r="H1981" s="12"/>
      <c r="K1981"/>
    </row>
    <row r="1982" spans="5:11" x14ac:dyDescent="0.2">
      <c r="E1982" s="50"/>
      <c r="H1982" s="12"/>
      <c r="K1982"/>
    </row>
    <row r="1983" spans="5:11" x14ac:dyDescent="0.2">
      <c r="E1983" s="50"/>
      <c r="H1983" s="12"/>
      <c r="K1983"/>
    </row>
    <row r="1984" spans="5:11" x14ac:dyDescent="0.2">
      <c r="E1984" s="50"/>
      <c r="H1984" s="12"/>
      <c r="K1984"/>
    </row>
    <row r="1985" spans="5:11" x14ac:dyDescent="0.2">
      <c r="E1985" s="50"/>
      <c r="H1985" s="12"/>
      <c r="K1985"/>
    </row>
    <row r="1986" spans="5:11" x14ac:dyDescent="0.2">
      <c r="E1986" s="50"/>
      <c r="H1986" s="12"/>
      <c r="K1986"/>
    </row>
    <row r="1987" spans="5:11" x14ac:dyDescent="0.2">
      <c r="E1987" s="50"/>
      <c r="H1987" s="12"/>
      <c r="K1987"/>
    </row>
    <row r="1988" spans="5:11" x14ac:dyDescent="0.2">
      <c r="E1988" s="50"/>
      <c r="H1988" s="12"/>
      <c r="K1988"/>
    </row>
    <row r="1989" spans="5:11" x14ac:dyDescent="0.2">
      <c r="E1989" s="50"/>
      <c r="H1989" s="12"/>
      <c r="K1989"/>
    </row>
    <row r="1990" spans="5:11" x14ac:dyDescent="0.2">
      <c r="E1990" s="50"/>
      <c r="H1990" s="12"/>
      <c r="K1990"/>
    </row>
    <row r="1991" spans="5:11" x14ac:dyDescent="0.2">
      <c r="E1991" s="50"/>
      <c r="H1991" s="12"/>
      <c r="K1991"/>
    </row>
    <row r="1992" spans="5:11" x14ac:dyDescent="0.2">
      <c r="E1992" s="50"/>
      <c r="H1992" s="12"/>
      <c r="K1992"/>
    </row>
    <row r="1993" spans="5:11" x14ac:dyDescent="0.2">
      <c r="E1993" s="50"/>
      <c r="H1993" s="12"/>
      <c r="K1993"/>
    </row>
    <row r="1994" spans="5:11" x14ac:dyDescent="0.2">
      <c r="E1994" s="50"/>
      <c r="H1994" s="12"/>
      <c r="K1994"/>
    </row>
    <row r="1995" spans="5:11" x14ac:dyDescent="0.2">
      <c r="E1995" s="50"/>
      <c r="H1995" s="12"/>
      <c r="K1995"/>
    </row>
    <row r="1996" spans="5:11" x14ac:dyDescent="0.2">
      <c r="E1996" s="50"/>
      <c r="H1996" s="12"/>
      <c r="K1996"/>
    </row>
    <row r="1997" spans="5:11" x14ac:dyDescent="0.2">
      <c r="E1997" s="50"/>
      <c r="H1997" s="12"/>
      <c r="K1997"/>
    </row>
    <row r="1998" spans="5:11" x14ac:dyDescent="0.2">
      <c r="E1998" s="50"/>
      <c r="H1998" s="12"/>
      <c r="K1998"/>
    </row>
    <row r="1999" spans="5:11" x14ac:dyDescent="0.2">
      <c r="E1999" s="50"/>
      <c r="H1999" s="12"/>
      <c r="K1999"/>
    </row>
    <row r="2000" spans="5:11" x14ac:dyDescent="0.2">
      <c r="E2000" s="50"/>
      <c r="H2000" s="12"/>
      <c r="K2000"/>
    </row>
    <row r="2001" spans="5:11" x14ac:dyDescent="0.2">
      <c r="E2001" s="50"/>
      <c r="H2001" s="12"/>
      <c r="K2001"/>
    </row>
    <row r="2002" spans="5:11" x14ac:dyDescent="0.2">
      <c r="E2002" s="50"/>
      <c r="H2002" s="12"/>
      <c r="K2002"/>
    </row>
    <row r="2003" spans="5:11" x14ac:dyDescent="0.2">
      <c r="E2003" s="50"/>
      <c r="H2003" s="12"/>
      <c r="K2003"/>
    </row>
    <row r="2004" spans="5:11" x14ac:dyDescent="0.2">
      <c r="E2004" s="50"/>
      <c r="H2004" s="12"/>
      <c r="K2004"/>
    </row>
    <row r="2005" spans="5:11" x14ac:dyDescent="0.2">
      <c r="E2005" s="50"/>
      <c r="H2005" s="12"/>
      <c r="K2005"/>
    </row>
    <row r="2006" spans="5:11" x14ac:dyDescent="0.2">
      <c r="E2006" s="50"/>
      <c r="H2006" s="12"/>
      <c r="K2006"/>
    </row>
    <row r="2007" spans="5:11" x14ac:dyDescent="0.2">
      <c r="E2007" s="50"/>
      <c r="H2007" s="12"/>
      <c r="K2007"/>
    </row>
    <row r="2008" spans="5:11" x14ac:dyDescent="0.2">
      <c r="E2008" s="50"/>
      <c r="H2008" s="12"/>
      <c r="K2008"/>
    </row>
    <row r="2009" spans="5:11" x14ac:dyDescent="0.2">
      <c r="E2009" s="50"/>
      <c r="H2009" s="12"/>
      <c r="K2009"/>
    </row>
    <row r="2010" spans="5:11" x14ac:dyDescent="0.2">
      <c r="E2010" s="50"/>
      <c r="H2010" s="12"/>
      <c r="K2010"/>
    </row>
    <row r="2011" spans="5:11" x14ac:dyDescent="0.2">
      <c r="E2011" s="50"/>
      <c r="H2011" s="12"/>
      <c r="K2011"/>
    </row>
    <row r="2012" spans="5:11" x14ac:dyDescent="0.2">
      <c r="E2012" s="50"/>
      <c r="H2012" s="12"/>
      <c r="K2012"/>
    </row>
    <row r="2013" spans="5:11" x14ac:dyDescent="0.2">
      <c r="E2013" s="50"/>
      <c r="H2013" s="12"/>
      <c r="K2013"/>
    </row>
    <row r="2014" spans="5:11" x14ac:dyDescent="0.2">
      <c r="E2014" s="50"/>
      <c r="H2014" s="12"/>
      <c r="K2014"/>
    </row>
    <row r="2015" spans="5:11" x14ac:dyDescent="0.2">
      <c r="E2015" s="50"/>
      <c r="H2015" s="12"/>
      <c r="K2015"/>
    </row>
    <row r="2016" spans="5:11" x14ac:dyDescent="0.2">
      <c r="E2016" s="50"/>
      <c r="H2016" s="12"/>
      <c r="K2016"/>
    </row>
    <row r="2017" spans="5:11" x14ac:dyDescent="0.2">
      <c r="E2017" s="50"/>
      <c r="H2017" s="12"/>
      <c r="K2017"/>
    </row>
    <row r="2018" spans="5:11" x14ac:dyDescent="0.2">
      <c r="E2018" s="50"/>
      <c r="H2018" s="12"/>
      <c r="K2018"/>
    </row>
    <row r="2019" spans="5:11" x14ac:dyDescent="0.2">
      <c r="E2019" s="50"/>
      <c r="H2019" s="12"/>
      <c r="K2019"/>
    </row>
    <row r="2020" spans="5:11" x14ac:dyDescent="0.2">
      <c r="E2020" s="50"/>
      <c r="H2020" s="12"/>
      <c r="K2020"/>
    </row>
    <row r="2021" spans="5:11" x14ac:dyDescent="0.2">
      <c r="E2021" s="50"/>
      <c r="H2021" s="12"/>
      <c r="K2021"/>
    </row>
    <row r="2022" spans="5:11" x14ac:dyDescent="0.2">
      <c r="E2022" s="50"/>
      <c r="H2022" s="12"/>
      <c r="K2022"/>
    </row>
    <row r="2023" spans="5:11" x14ac:dyDescent="0.2">
      <c r="E2023" s="50"/>
      <c r="H2023" s="12"/>
      <c r="K2023"/>
    </row>
    <row r="2024" spans="5:11" x14ac:dyDescent="0.2">
      <c r="E2024" s="50"/>
      <c r="H2024" s="12"/>
      <c r="K2024"/>
    </row>
    <row r="2025" spans="5:11" x14ac:dyDescent="0.2">
      <c r="E2025" s="50"/>
      <c r="H2025" s="12"/>
      <c r="K2025"/>
    </row>
    <row r="2026" spans="5:11" x14ac:dyDescent="0.2">
      <c r="E2026" s="50"/>
      <c r="H2026" s="12"/>
      <c r="K2026"/>
    </row>
    <row r="2027" spans="5:11" x14ac:dyDescent="0.2">
      <c r="E2027" s="50"/>
      <c r="H2027" s="12"/>
      <c r="K2027"/>
    </row>
    <row r="2028" spans="5:11" x14ac:dyDescent="0.2">
      <c r="E2028" s="50"/>
      <c r="H2028" s="12"/>
      <c r="K2028"/>
    </row>
    <row r="2029" spans="5:11" x14ac:dyDescent="0.2">
      <c r="E2029" s="50"/>
      <c r="H2029" s="12"/>
      <c r="K2029"/>
    </row>
    <row r="2030" spans="5:11" x14ac:dyDescent="0.2">
      <c r="E2030" s="50"/>
      <c r="H2030" s="12"/>
      <c r="K2030"/>
    </row>
    <row r="2031" spans="5:11" x14ac:dyDescent="0.2">
      <c r="E2031" s="50"/>
      <c r="H2031" s="12"/>
      <c r="K2031"/>
    </row>
    <row r="2032" spans="5:11" x14ac:dyDescent="0.2">
      <c r="E2032" s="50"/>
      <c r="H2032" s="12"/>
      <c r="K2032"/>
    </row>
    <row r="2033" spans="5:11" x14ac:dyDescent="0.2">
      <c r="E2033" s="50"/>
      <c r="H2033" s="12"/>
      <c r="K2033"/>
    </row>
    <row r="2034" spans="5:11" x14ac:dyDescent="0.2">
      <c r="E2034" s="50"/>
      <c r="H2034" s="12"/>
      <c r="K2034"/>
    </row>
    <row r="2035" spans="5:11" x14ac:dyDescent="0.2">
      <c r="E2035" s="50"/>
      <c r="H2035" s="12"/>
      <c r="K2035"/>
    </row>
    <row r="2036" spans="5:11" x14ac:dyDescent="0.2">
      <c r="E2036" s="50"/>
      <c r="H2036" s="12"/>
      <c r="K2036"/>
    </row>
    <row r="2037" spans="5:11" x14ac:dyDescent="0.2">
      <c r="E2037" s="50"/>
      <c r="H2037" s="12"/>
      <c r="K2037"/>
    </row>
    <row r="2038" spans="5:11" x14ac:dyDescent="0.2">
      <c r="E2038" s="50"/>
      <c r="H2038" s="12"/>
      <c r="K2038"/>
    </row>
    <row r="2039" spans="5:11" x14ac:dyDescent="0.2">
      <c r="E2039" s="50"/>
      <c r="H2039" s="12"/>
      <c r="K2039"/>
    </row>
    <row r="2040" spans="5:11" x14ac:dyDescent="0.2">
      <c r="E2040" s="50"/>
      <c r="H2040" s="12"/>
      <c r="K2040"/>
    </row>
    <row r="2041" spans="5:11" x14ac:dyDescent="0.2">
      <c r="E2041" s="50"/>
      <c r="H2041" s="12"/>
      <c r="K2041"/>
    </row>
    <row r="2042" spans="5:11" x14ac:dyDescent="0.2">
      <c r="E2042" s="50"/>
      <c r="H2042" s="12"/>
      <c r="K2042"/>
    </row>
    <row r="2043" spans="5:11" x14ac:dyDescent="0.2">
      <c r="E2043" s="50"/>
      <c r="H2043" s="12"/>
      <c r="K2043"/>
    </row>
    <row r="2044" spans="5:11" x14ac:dyDescent="0.2">
      <c r="E2044" s="50"/>
      <c r="H2044" s="12"/>
      <c r="K2044"/>
    </row>
    <row r="2045" spans="5:11" x14ac:dyDescent="0.2">
      <c r="E2045" s="50"/>
      <c r="H2045" s="12"/>
      <c r="K2045"/>
    </row>
    <row r="2046" spans="5:11" x14ac:dyDescent="0.2">
      <c r="E2046" s="50"/>
      <c r="H2046" s="12"/>
      <c r="K2046"/>
    </row>
    <row r="2047" spans="5:11" x14ac:dyDescent="0.2">
      <c r="E2047" s="50"/>
      <c r="H2047" s="12"/>
      <c r="K2047"/>
    </row>
    <row r="2048" spans="5:11" x14ac:dyDescent="0.2">
      <c r="E2048" s="50"/>
      <c r="H2048" s="12"/>
      <c r="K2048"/>
    </row>
    <row r="2049" spans="5:11" x14ac:dyDescent="0.2">
      <c r="E2049" s="50"/>
      <c r="H2049" s="12"/>
      <c r="K2049"/>
    </row>
    <row r="2050" spans="5:11" x14ac:dyDescent="0.2">
      <c r="E2050" s="50"/>
      <c r="H2050" s="12"/>
      <c r="K2050"/>
    </row>
    <row r="2051" spans="5:11" x14ac:dyDescent="0.2">
      <c r="E2051" s="50"/>
      <c r="H2051" s="12"/>
      <c r="K2051"/>
    </row>
    <row r="2052" spans="5:11" x14ac:dyDescent="0.2">
      <c r="E2052" s="50"/>
      <c r="H2052" s="12"/>
      <c r="K2052"/>
    </row>
    <row r="2053" spans="5:11" x14ac:dyDescent="0.2">
      <c r="E2053" s="50"/>
      <c r="H2053" s="12"/>
      <c r="K2053"/>
    </row>
    <row r="2054" spans="5:11" x14ac:dyDescent="0.2">
      <c r="E2054" s="50"/>
      <c r="H2054" s="12"/>
      <c r="K2054"/>
    </row>
    <row r="2055" spans="5:11" x14ac:dyDescent="0.2">
      <c r="E2055" s="50"/>
      <c r="H2055" s="12"/>
      <c r="K2055"/>
    </row>
    <row r="2056" spans="5:11" x14ac:dyDescent="0.2">
      <c r="E2056" s="50"/>
      <c r="H2056" s="12"/>
      <c r="K2056"/>
    </row>
    <row r="2057" spans="5:11" x14ac:dyDescent="0.2">
      <c r="E2057" s="50"/>
      <c r="H2057" s="12"/>
      <c r="K2057"/>
    </row>
    <row r="2058" spans="5:11" x14ac:dyDescent="0.2">
      <c r="E2058" s="50"/>
      <c r="H2058" s="12"/>
      <c r="K2058"/>
    </row>
    <row r="2059" spans="5:11" x14ac:dyDescent="0.2">
      <c r="E2059" s="50"/>
      <c r="H2059" s="12"/>
      <c r="K2059"/>
    </row>
    <row r="2060" spans="5:11" x14ac:dyDescent="0.2">
      <c r="E2060" s="50"/>
      <c r="H2060" s="12"/>
      <c r="K2060"/>
    </row>
    <row r="2061" spans="5:11" x14ac:dyDescent="0.2">
      <c r="E2061" s="50"/>
      <c r="H2061" s="12"/>
      <c r="K2061"/>
    </row>
    <row r="2062" spans="5:11" x14ac:dyDescent="0.2">
      <c r="E2062" s="50"/>
      <c r="H2062" s="12"/>
      <c r="K2062"/>
    </row>
    <row r="2063" spans="5:11" x14ac:dyDescent="0.2">
      <c r="E2063" s="50"/>
      <c r="H2063" s="12"/>
      <c r="K2063"/>
    </row>
    <row r="2064" spans="5:11" x14ac:dyDescent="0.2">
      <c r="E2064" s="50"/>
      <c r="H2064" s="12"/>
      <c r="K2064"/>
    </row>
    <row r="2065" spans="5:11" x14ac:dyDescent="0.2">
      <c r="E2065" s="50"/>
      <c r="H2065" s="12"/>
      <c r="K2065"/>
    </row>
    <row r="2066" spans="5:11" x14ac:dyDescent="0.2">
      <c r="E2066" s="50"/>
      <c r="H2066" s="12"/>
      <c r="K2066"/>
    </row>
    <row r="2067" spans="5:11" x14ac:dyDescent="0.2">
      <c r="E2067" s="50"/>
      <c r="H2067" s="12"/>
      <c r="K2067"/>
    </row>
    <row r="2068" spans="5:11" x14ac:dyDescent="0.2">
      <c r="E2068" s="50"/>
      <c r="H2068" s="12"/>
      <c r="K2068"/>
    </row>
    <row r="2069" spans="5:11" x14ac:dyDescent="0.2">
      <c r="E2069" s="50"/>
      <c r="H2069" s="12"/>
      <c r="K2069"/>
    </row>
    <row r="2070" spans="5:11" x14ac:dyDescent="0.2">
      <c r="E2070" s="50"/>
      <c r="H2070" s="12"/>
      <c r="K2070"/>
    </row>
    <row r="2071" spans="5:11" x14ac:dyDescent="0.2">
      <c r="E2071" s="50"/>
      <c r="H2071" s="12"/>
      <c r="K2071"/>
    </row>
    <row r="2072" spans="5:11" x14ac:dyDescent="0.2">
      <c r="E2072" s="50"/>
      <c r="H2072" s="12"/>
      <c r="K2072"/>
    </row>
    <row r="2073" spans="5:11" x14ac:dyDescent="0.2">
      <c r="E2073" s="50"/>
      <c r="H2073" s="12"/>
      <c r="K2073"/>
    </row>
    <row r="2074" spans="5:11" x14ac:dyDescent="0.2">
      <c r="E2074" s="50"/>
      <c r="H2074" s="12"/>
      <c r="K2074"/>
    </row>
    <row r="2075" spans="5:11" x14ac:dyDescent="0.2">
      <c r="E2075" s="50"/>
      <c r="H2075" s="12"/>
      <c r="K2075"/>
    </row>
    <row r="2076" spans="5:11" x14ac:dyDescent="0.2">
      <c r="E2076" s="50"/>
      <c r="H2076" s="12"/>
      <c r="K2076"/>
    </row>
    <row r="2077" spans="5:11" x14ac:dyDescent="0.2">
      <c r="E2077" s="50"/>
      <c r="H2077" s="12"/>
      <c r="K2077"/>
    </row>
    <row r="2078" spans="5:11" x14ac:dyDescent="0.2">
      <c r="E2078" s="50"/>
      <c r="H2078" s="12"/>
      <c r="K2078"/>
    </row>
    <row r="2079" spans="5:11" x14ac:dyDescent="0.2">
      <c r="E2079" s="50"/>
      <c r="H2079" s="12"/>
      <c r="K2079"/>
    </row>
    <row r="2080" spans="5:11" x14ac:dyDescent="0.2">
      <c r="E2080" s="50"/>
      <c r="H2080" s="12"/>
      <c r="K2080"/>
    </row>
    <row r="2081" spans="5:11" x14ac:dyDescent="0.2">
      <c r="E2081" s="50"/>
      <c r="H2081" s="12"/>
      <c r="K2081"/>
    </row>
    <row r="2082" spans="5:11" x14ac:dyDescent="0.2">
      <c r="E2082" s="50"/>
      <c r="H2082" s="12"/>
      <c r="K2082"/>
    </row>
    <row r="2083" spans="5:11" x14ac:dyDescent="0.2">
      <c r="E2083" s="50"/>
      <c r="H2083" s="12"/>
      <c r="K2083"/>
    </row>
    <row r="2084" spans="5:11" x14ac:dyDescent="0.2">
      <c r="E2084" s="50"/>
      <c r="H2084" s="12"/>
      <c r="K2084"/>
    </row>
    <row r="2085" spans="5:11" x14ac:dyDescent="0.2">
      <c r="E2085" s="50"/>
      <c r="H2085" s="12"/>
      <c r="K2085"/>
    </row>
    <row r="2086" spans="5:11" x14ac:dyDescent="0.2">
      <c r="E2086" s="50"/>
      <c r="H2086" s="12"/>
      <c r="K2086"/>
    </row>
    <row r="2087" spans="5:11" x14ac:dyDescent="0.2">
      <c r="E2087" s="50"/>
      <c r="H2087" s="12"/>
      <c r="K2087"/>
    </row>
    <row r="2088" spans="5:11" x14ac:dyDescent="0.2">
      <c r="E2088" s="50"/>
      <c r="H2088" s="12"/>
      <c r="K2088"/>
    </row>
    <row r="2089" spans="5:11" x14ac:dyDescent="0.2">
      <c r="E2089" s="50"/>
      <c r="H2089" s="12"/>
      <c r="K2089"/>
    </row>
    <row r="2090" spans="5:11" x14ac:dyDescent="0.2">
      <c r="E2090" s="50"/>
      <c r="H2090" s="12"/>
      <c r="K2090"/>
    </row>
    <row r="2091" spans="5:11" x14ac:dyDescent="0.2">
      <c r="E2091" s="50"/>
      <c r="H2091" s="12"/>
      <c r="K2091"/>
    </row>
    <row r="2092" spans="5:11" x14ac:dyDescent="0.2">
      <c r="E2092" s="50"/>
      <c r="H2092" s="12"/>
      <c r="K2092"/>
    </row>
    <row r="2093" spans="5:11" x14ac:dyDescent="0.2">
      <c r="E2093" s="50"/>
      <c r="H2093" s="12"/>
      <c r="K2093"/>
    </row>
    <row r="2094" spans="5:11" x14ac:dyDescent="0.2">
      <c r="E2094" s="50"/>
      <c r="H2094" s="12"/>
      <c r="K2094"/>
    </row>
    <row r="2095" spans="5:11" x14ac:dyDescent="0.2">
      <c r="E2095" s="50"/>
      <c r="H2095" s="12"/>
      <c r="K2095"/>
    </row>
    <row r="2096" spans="5:11" x14ac:dyDescent="0.2">
      <c r="E2096" s="50"/>
      <c r="H2096" s="12"/>
      <c r="K2096"/>
    </row>
    <row r="2097" spans="5:11" x14ac:dyDescent="0.2">
      <c r="E2097" s="50"/>
      <c r="H2097" s="12"/>
      <c r="K2097"/>
    </row>
    <row r="2098" spans="5:11" x14ac:dyDescent="0.2">
      <c r="E2098" s="50"/>
      <c r="H2098" s="12"/>
      <c r="K2098"/>
    </row>
    <row r="2099" spans="5:11" x14ac:dyDescent="0.2">
      <c r="E2099" s="50"/>
      <c r="H2099" s="12"/>
      <c r="K2099"/>
    </row>
    <row r="2100" spans="5:11" x14ac:dyDescent="0.2">
      <c r="E2100" s="50"/>
      <c r="H2100" s="12"/>
      <c r="K2100"/>
    </row>
    <row r="2101" spans="5:11" x14ac:dyDescent="0.2">
      <c r="E2101" s="50"/>
      <c r="H2101" s="12"/>
      <c r="K2101"/>
    </row>
    <row r="2102" spans="5:11" x14ac:dyDescent="0.2">
      <c r="E2102" s="50"/>
      <c r="H2102" s="12"/>
      <c r="K2102"/>
    </row>
    <row r="2103" spans="5:11" x14ac:dyDescent="0.2">
      <c r="E2103" s="50"/>
      <c r="H2103" s="12"/>
      <c r="K2103"/>
    </row>
    <row r="2104" spans="5:11" x14ac:dyDescent="0.2">
      <c r="E2104" s="50"/>
      <c r="H2104" s="12"/>
      <c r="K2104"/>
    </row>
    <row r="2105" spans="5:11" x14ac:dyDescent="0.2">
      <c r="E2105" s="50"/>
      <c r="H2105" s="12"/>
      <c r="K2105"/>
    </row>
    <row r="2106" spans="5:11" x14ac:dyDescent="0.2">
      <c r="E2106" s="50"/>
      <c r="H2106" s="12"/>
      <c r="K2106"/>
    </row>
    <row r="2107" spans="5:11" x14ac:dyDescent="0.2">
      <c r="E2107" s="50"/>
      <c r="H2107" s="12"/>
      <c r="K2107"/>
    </row>
    <row r="2108" spans="5:11" x14ac:dyDescent="0.2">
      <c r="E2108" s="50"/>
      <c r="H2108" s="12"/>
      <c r="K2108"/>
    </row>
    <row r="2109" spans="5:11" x14ac:dyDescent="0.2">
      <c r="E2109" s="50"/>
      <c r="H2109" s="12"/>
      <c r="K2109"/>
    </row>
    <row r="2110" spans="5:11" x14ac:dyDescent="0.2">
      <c r="E2110" s="50"/>
      <c r="H2110" s="12"/>
      <c r="K2110"/>
    </row>
    <row r="2111" spans="5:11" x14ac:dyDescent="0.2">
      <c r="E2111" s="50"/>
      <c r="H2111" s="12"/>
      <c r="K2111"/>
    </row>
    <row r="2112" spans="5:11" x14ac:dyDescent="0.2">
      <c r="E2112" s="50"/>
      <c r="H2112" s="12"/>
      <c r="K2112"/>
    </row>
    <row r="2113" spans="5:11" x14ac:dyDescent="0.2">
      <c r="E2113" s="50"/>
      <c r="H2113" s="12"/>
      <c r="K2113"/>
    </row>
    <row r="2114" spans="5:11" x14ac:dyDescent="0.2">
      <c r="E2114" s="50"/>
      <c r="H2114" s="12"/>
      <c r="K2114"/>
    </row>
    <row r="2115" spans="5:11" x14ac:dyDescent="0.2">
      <c r="E2115" s="50"/>
      <c r="H2115" s="12"/>
      <c r="K2115"/>
    </row>
    <row r="2116" spans="5:11" x14ac:dyDescent="0.2">
      <c r="E2116" s="50"/>
      <c r="H2116" s="12"/>
      <c r="K2116"/>
    </row>
    <row r="2117" spans="5:11" x14ac:dyDescent="0.2">
      <c r="E2117" s="50"/>
      <c r="H2117" s="12"/>
      <c r="K2117"/>
    </row>
    <row r="2118" spans="5:11" x14ac:dyDescent="0.2">
      <c r="E2118" s="50"/>
      <c r="H2118" s="12"/>
      <c r="K2118"/>
    </row>
    <row r="2119" spans="5:11" x14ac:dyDescent="0.2">
      <c r="E2119" s="50"/>
      <c r="H2119" s="12"/>
      <c r="K2119"/>
    </row>
    <row r="2120" spans="5:11" x14ac:dyDescent="0.2">
      <c r="E2120" s="50"/>
      <c r="H2120" s="12"/>
      <c r="K2120"/>
    </row>
    <row r="2121" spans="5:11" x14ac:dyDescent="0.2">
      <c r="E2121" s="50"/>
      <c r="H2121" s="12"/>
      <c r="K2121"/>
    </row>
    <row r="2122" spans="5:11" x14ac:dyDescent="0.2">
      <c r="E2122" s="50"/>
      <c r="H2122" s="12"/>
      <c r="K2122"/>
    </row>
    <row r="2123" spans="5:11" x14ac:dyDescent="0.2">
      <c r="E2123" s="50"/>
      <c r="H2123" s="12"/>
      <c r="K2123"/>
    </row>
    <row r="2124" spans="5:11" x14ac:dyDescent="0.2">
      <c r="E2124" s="50"/>
      <c r="H2124" s="12"/>
      <c r="K2124"/>
    </row>
    <row r="2125" spans="5:11" x14ac:dyDescent="0.2">
      <c r="E2125" s="50"/>
      <c r="H2125" s="12"/>
      <c r="K2125"/>
    </row>
    <row r="2126" spans="5:11" x14ac:dyDescent="0.2">
      <c r="E2126" s="50"/>
      <c r="H2126" s="12"/>
      <c r="K2126"/>
    </row>
    <row r="2127" spans="5:11" x14ac:dyDescent="0.2">
      <c r="E2127" s="50"/>
      <c r="H2127" s="12"/>
      <c r="K2127"/>
    </row>
    <row r="2128" spans="5:11" x14ac:dyDescent="0.2">
      <c r="E2128" s="50"/>
      <c r="H2128" s="12"/>
      <c r="K2128"/>
    </row>
    <row r="2129" spans="5:11" x14ac:dyDescent="0.2">
      <c r="E2129" s="50"/>
      <c r="H2129" s="12"/>
      <c r="K2129"/>
    </row>
    <row r="2130" spans="5:11" x14ac:dyDescent="0.2">
      <c r="E2130" s="50"/>
      <c r="H2130" s="12"/>
      <c r="K2130"/>
    </row>
    <row r="2131" spans="5:11" x14ac:dyDescent="0.2">
      <c r="E2131" s="50"/>
      <c r="H2131" s="12"/>
      <c r="K2131"/>
    </row>
    <row r="2132" spans="5:11" x14ac:dyDescent="0.2">
      <c r="E2132" s="50"/>
      <c r="H2132" s="12"/>
      <c r="K2132"/>
    </row>
    <row r="2133" spans="5:11" x14ac:dyDescent="0.2">
      <c r="E2133" s="50"/>
      <c r="H2133" s="12"/>
      <c r="K2133"/>
    </row>
    <row r="2134" spans="5:11" x14ac:dyDescent="0.2">
      <c r="E2134" s="50"/>
      <c r="H2134" s="12"/>
      <c r="K2134"/>
    </row>
    <row r="2135" spans="5:11" x14ac:dyDescent="0.2">
      <c r="E2135" s="50"/>
      <c r="H2135" s="12"/>
      <c r="K2135"/>
    </row>
    <row r="2136" spans="5:11" x14ac:dyDescent="0.2">
      <c r="E2136" s="50"/>
      <c r="H2136" s="12"/>
      <c r="K2136"/>
    </row>
    <row r="2137" spans="5:11" x14ac:dyDescent="0.2">
      <c r="E2137" s="50"/>
      <c r="H2137" s="12"/>
      <c r="K2137"/>
    </row>
    <row r="2138" spans="5:11" x14ac:dyDescent="0.2">
      <c r="E2138" s="50"/>
      <c r="H2138" s="12"/>
      <c r="K2138"/>
    </row>
    <row r="2139" spans="5:11" x14ac:dyDescent="0.2">
      <c r="E2139" s="50"/>
      <c r="H2139" s="12"/>
      <c r="K2139"/>
    </row>
    <row r="2140" spans="5:11" x14ac:dyDescent="0.2">
      <c r="E2140" s="50"/>
      <c r="H2140" s="12"/>
      <c r="K2140"/>
    </row>
    <row r="2141" spans="5:11" x14ac:dyDescent="0.2">
      <c r="E2141" s="50"/>
      <c r="H2141" s="12"/>
      <c r="K2141"/>
    </row>
    <row r="2142" spans="5:11" x14ac:dyDescent="0.2">
      <c r="E2142" s="50"/>
      <c r="H2142" s="12"/>
      <c r="K2142"/>
    </row>
    <row r="2143" spans="5:11" x14ac:dyDescent="0.2">
      <c r="E2143" s="50"/>
      <c r="H2143" s="12"/>
      <c r="K2143"/>
    </row>
    <row r="2144" spans="5:11" x14ac:dyDescent="0.2">
      <c r="E2144" s="50"/>
      <c r="H2144" s="12"/>
      <c r="K2144"/>
    </row>
    <row r="2145" spans="5:11" x14ac:dyDescent="0.2">
      <c r="E2145" s="50"/>
      <c r="H2145" s="12"/>
      <c r="K2145"/>
    </row>
    <row r="2146" spans="5:11" x14ac:dyDescent="0.2">
      <c r="E2146" s="50"/>
      <c r="H2146" s="12"/>
      <c r="K2146"/>
    </row>
    <row r="2147" spans="5:11" x14ac:dyDescent="0.2">
      <c r="E2147" s="50"/>
      <c r="H2147" s="12"/>
      <c r="K2147"/>
    </row>
    <row r="2148" spans="5:11" x14ac:dyDescent="0.2">
      <c r="E2148" s="50"/>
      <c r="H2148" s="12"/>
      <c r="K2148"/>
    </row>
    <row r="2149" spans="5:11" x14ac:dyDescent="0.2">
      <c r="E2149" s="50"/>
      <c r="H2149" s="12"/>
      <c r="K2149"/>
    </row>
    <row r="2150" spans="5:11" x14ac:dyDescent="0.2">
      <c r="E2150" s="50"/>
      <c r="H2150" s="12"/>
      <c r="K2150"/>
    </row>
    <row r="2151" spans="5:11" x14ac:dyDescent="0.2">
      <c r="E2151" s="50"/>
      <c r="H2151" s="12"/>
      <c r="K2151"/>
    </row>
    <row r="2152" spans="5:11" x14ac:dyDescent="0.2">
      <c r="E2152" s="50"/>
      <c r="H2152" s="12"/>
      <c r="K2152"/>
    </row>
    <row r="2153" spans="5:11" x14ac:dyDescent="0.2">
      <c r="E2153" s="50"/>
      <c r="H2153" s="12"/>
      <c r="K2153"/>
    </row>
    <row r="2154" spans="5:11" x14ac:dyDescent="0.2">
      <c r="E2154" s="50"/>
      <c r="H2154" s="12"/>
      <c r="K2154"/>
    </row>
    <row r="2155" spans="5:11" x14ac:dyDescent="0.2">
      <c r="E2155" s="50"/>
      <c r="H2155" s="12"/>
      <c r="K2155"/>
    </row>
    <row r="2156" spans="5:11" x14ac:dyDescent="0.2">
      <c r="E2156" s="50"/>
      <c r="H2156" s="12"/>
      <c r="K2156"/>
    </row>
    <row r="2157" spans="5:11" x14ac:dyDescent="0.2">
      <c r="E2157" s="50"/>
      <c r="H2157" s="12"/>
      <c r="K2157"/>
    </row>
    <row r="2158" spans="5:11" x14ac:dyDescent="0.2">
      <c r="E2158" s="50"/>
      <c r="H2158" s="12"/>
      <c r="K2158"/>
    </row>
    <row r="2159" spans="5:11" x14ac:dyDescent="0.2">
      <c r="E2159" s="50"/>
      <c r="H2159" s="12"/>
      <c r="K2159"/>
    </row>
    <row r="2160" spans="5:11" x14ac:dyDescent="0.2">
      <c r="E2160" s="50"/>
      <c r="H2160" s="12"/>
      <c r="K2160"/>
    </row>
    <row r="2161" spans="5:11" x14ac:dyDescent="0.2">
      <c r="E2161" s="50"/>
      <c r="H2161" s="12"/>
      <c r="K2161"/>
    </row>
    <row r="2162" spans="5:11" x14ac:dyDescent="0.2">
      <c r="E2162" s="50"/>
      <c r="H2162" s="12"/>
      <c r="K2162"/>
    </row>
    <row r="2163" spans="5:11" x14ac:dyDescent="0.2">
      <c r="E2163" s="50"/>
      <c r="H2163" s="12"/>
      <c r="K2163"/>
    </row>
    <row r="2164" spans="5:11" x14ac:dyDescent="0.2">
      <c r="E2164" s="50"/>
      <c r="H2164" s="12"/>
      <c r="K2164"/>
    </row>
    <row r="2165" spans="5:11" x14ac:dyDescent="0.2">
      <c r="E2165" s="50"/>
      <c r="H2165" s="12"/>
      <c r="K2165"/>
    </row>
    <row r="2166" spans="5:11" x14ac:dyDescent="0.2">
      <c r="E2166" s="50"/>
      <c r="H2166" s="12"/>
      <c r="K2166"/>
    </row>
    <row r="2167" spans="5:11" x14ac:dyDescent="0.2">
      <c r="E2167" s="50"/>
      <c r="H2167" s="12"/>
      <c r="K2167"/>
    </row>
    <row r="2168" spans="5:11" x14ac:dyDescent="0.2">
      <c r="E2168" s="50"/>
      <c r="H2168" s="12"/>
      <c r="K2168"/>
    </row>
    <row r="2169" spans="5:11" x14ac:dyDescent="0.2">
      <c r="E2169" s="50"/>
      <c r="H2169" s="12"/>
      <c r="K2169"/>
    </row>
    <row r="2170" spans="5:11" x14ac:dyDescent="0.2">
      <c r="E2170" s="50"/>
      <c r="H2170" s="12"/>
      <c r="K2170"/>
    </row>
    <row r="2171" spans="5:11" x14ac:dyDescent="0.2">
      <c r="E2171" s="50"/>
      <c r="H2171" s="12"/>
      <c r="K2171"/>
    </row>
    <row r="2172" spans="5:11" x14ac:dyDescent="0.2">
      <c r="E2172" s="50"/>
      <c r="H2172" s="12"/>
      <c r="K2172"/>
    </row>
    <row r="2173" spans="5:11" x14ac:dyDescent="0.2">
      <c r="E2173" s="50"/>
      <c r="H2173" s="12"/>
      <c r="K2173"/>
    </row>
    <row r="2174" spans="5:11" x14ac:dyDescent="0.2">
      <c r="E2174" s="50"/>
      <c r="H2174" s="12"/>
      <c r="K2174"/>
    </row>
    <row r="2175" spans="5:11" x14ac:dyDescent="0.2">
      <c r="E2175" s="50"/>
      <c r="H2175" s="12"/>
      <c r="K2175"/>
    </row>
    <row r="2176" spans="5:11" x14ac:dyDescent="0.2">
      <c r="E2176" s="50"/>
      <c r="H2176" s="12"/>
      <c r="K2176"/>
    </row>
    <row r="2177" spans="5:11" x14ac:dyDescent="0.2">
      <c r="E2177" s="50"/>
      <c r="H2177" s="12"/>
      <c r="K2177"/>
    </row>
    <row r="2178" spans="5:11" x14ac:dyDescent="0.2">
      <c r="E2178" s="50"/>
      <c r="H2178" s="12"/>
      <c r="K2178"/>
    </row>
    <row r="2179" spans="5:11" x14ac:dyDescent="0.2">
      <c r="E2179" s="50"/>
      <c r="H2179" s="12"/>
      <c r="K2179"/>
    </row>
    <row r="2180" spans="5:11" x14ac:dyDescent="0.2">
      <c r="E2180" s="50"/>
      <c r="H2180" s="12"/>
      <c r="K2180"/>
    </row>
    <row r="2181" spans="5:11" x14ac:dyDescent="0.2">
      <c r="E2181" s="50"/>
      <c r="H2181" s="12"/>
      <c r="K2181"/>
    </row>
    <row r="2182" spans="5:11" x14ac:dyDescent="0.2">
      <c r="E2182" s="50"/>
      <c r="H2182" s="12"/>
      <c r="K2182"/>
    </row>
    <row r="2183" spans="5:11" x14ac:dyDescent="0.2">
      <c r="E2183" s="50"/>
      <c r="H2183" s="12"/>
      <c r="K2183"/>
    </row>
    <row r="2184" spans="5:11" x14ac:dyDescent="0.2">
      <c r="E2184" s="50"/>
      <c r="H2184" s="12"/>
      <c r="K2184"/>
    </row>
    <row r="2185" spans="5:11" x14ac:dyDescent="0.2">
      <c r="E2185" s="50"/>
      <c r="H2185" s="12"/>
      <c r="K2185"/>
    </row>
    <row r="2186" spans="5:11" x14ac:dyDescent="0.2">
      <c r="E2186" s="50"/>
      <c r="H2186" s="12"/>
      <c r="K2186"/>
    </row>
    <row r="2187" spans="5:11" x14ac:dyDescent="0.2">
      <c r="E2187" s="50"/>
      <c r="H2187" s="12"/>
      <c r="K2187"/>
    </row>
    <row r="2188" spans="5:11" x14ac:dyDescent="0.2">
      <c r="E2188" s="50"/>
      <c r="H2188" s="12"/>
      <c r="K2188"/>
    </row>
    <row r="2189" spans="5:11" x14ac:dyDescent="0.2">
      <c r="E2189" s="50"/>
      <c r="H2189" s="12"/>
      <c r="K2189"/>
    </row>
    <row r="2190" spans="5:11" x14ac:dyDescent="0.2">
      <c r="E2190" s="50"/>
      <c r="H2190" s="12"/>
      <c r="K2190"/>
    </row>
    <row r="2191" spans="5:11" x14ac:dyDescent="0.2">
      <c r="E2191" s="50"/>
      <c r="H2191" s="12"/>
      <c r="K2191"/>
    </row>
    <row r="2192" spans="5:11" x14ac:dyDescent="0.2">
      <c r="E2192" s="50"/>
      <c r="H2192" s="12"/>
      <c r="K2192"/>
    </row>
    <row r="2193" spans="5:11" x14ac:dyDescent="0.2">
      <c r="E2193" s="50"/>
      <c r="H2193" s="12"/>
      <c r="K2193"/>
    </row>
    <row r="2194" spans="5:11" x14ac:dyDescent="0.2">
      <c r="E2194" s="50"/>
      <c r="H2194" s="12"/>
      <c r="K2194"/>
    </row>
    <row r="2195" spans="5:11" x14ac:dyDescent="0.2">
      <c r="E2195" s="50"/>
      <c r="H2195" s="12"/>
      <c r="K2195"/>
    </row>
    <row r="2196" spans="5:11" x14ac:dyDescent="0.2">
      <c r="E2196" s="50"/>
      <c r="H2196" s="12"/>
      <c r="K2196"/>
    </row>
    <row r="2197" spans="5:11" x14ac:dyDescent="0.2">
      <c r="E2197" s="50"/>
      <c r="H2197" s="12"/>
      <c r="K2197"/>
    </row>
    <row r="2198" spans="5:11" x14ac:dyDescent="0.2">
      <c r="E2198" s="50"/>
      <c r="H2198" s="12"/>
      <c r="K2198"/>
    </row>
    <row r="2199" spans="5:11" x14ac:dyDescent="0.2">
      <c r="E2199" s="50"/>
      <c r="H2199" s="12"/>
      <c r="K2199"/>
    </row>
    <row r="2200" spans="5:11" x14ac:dyDescent="0.2">
      <c r="E2200" s="50"/>
      <c r="H2200" s="12"/>
      <c r="K2200"/>
    </row>
    <row r="2201" spans="5:11" x14ac:dyDescent="0.2">
      <c r="E2201" s="50"/>
      <c r="H2201" s="12"/>
      <c r="K2201"/>
    </row>
    <row r="2202" spans="5:11" x14ac:dyDescent="0.2">
      <c r="E2202" s="50"/>
      <c r="H2202" s="12"/>
      <c r="K2202"/>
    </row>
    <row r="2203" spans="5:11" x14ac:dyDescent="0.2">
      <c r="E2203" s="50"/>
      <c r="H2203" s="12"/>
      <c r="K2203"/>
    </row>
    <row r="2204" spans="5:11" x14ac:dyDescent="0.2">
      <c r="E2204" s="50"/>
      <c r="H2204" s="12"/>
      <c r="K2204"/>
    </row>
    <row r="2205" spans="5:11" x14ac:dyDescent="0.2">
      <c r="E2205" s="50"/>
      <c r="H2205" s="12"/>
      <c r="K2205"/>
    </row>
    <row r="2206" spans="5:11" x14ac:dyDescent="0.2">
      <c r="E2206" s="50"/>
      <c r="H2206" s="12"/>
      <c r="K2206"/>
    </row>
    <row r="2207" spans="5:11" x14ac:dyDescent="0.2">
      <c r="E2207" s="50"/>
      <c r="H2207" s="12"/>
      <c r="K2207"/>
    </row>
    <row r="2208" spans="5:11" x14ac:dyDescent="0.2">
      <c r="E2208" s="50"/>
      <c r="H2208" s="12"/>
      <c r="K2208"/>
    </row>
    <row r="2209" spans="5:11" x14ac:dyDescent="0.2">
      <c r="E2209" s="50"/>
      <c r="H2209" s="12"/>
      <c r="K2209"/>
    </row>
    <row r="2210" spans="5:11" x14ac:dyDescent="0.2">
      <c r="E2210" s="50"/>
      <c r="H2210" s="12"/>
      <c r="K2210"/>
    </row>
    <row r="2211" spans="5:11" x14ac:dyDescent="0.2">
      <c r="E2211" s="50"/>
      <c r="H2211" s="12"/>
      <c r="K2211"/>
    </row>
    <row r="2212" spans="5:11" x14ac:dyDescent="0.2">
      <c r="E2212" s="50"/>
      <c r="H2212" s="12"/>
      <c r="K2212"/>
    </row>
    <row r="2213" spans="5:11" x14ac:dyDescent="0.2">
      <c r="E2213" s="50"/>
      <c r="H2213" s="12"/>
      <c r="K2213"/>
    </row>
    <row r="2214" spans="5:11" x14ac:dyDescent="0.2">
      <c r="E2214" s="50"/>
      <c r="H2214" s="12"/>
      <c r="K2214"/>
    </row>
    <row r="2215" spans="5:11" x14ac:dyDescent="0.2">
      <c r="E2215" s="50"/>
      <c r="H2215" s="12"/>
      <c r="K2215"/>
    </row>
    <row r="2216" spans="5:11" x14ac:dyDescent="0.2">
      <c r="E2216" s="50"/>
      <c r="H2216" s="12"/>
      <c r="K2216"/>
    </row>
    <row r="2217" spans="5:11" x14ac:dyDescent="0.2">
      <c r="E2217" s="50"/>
      <c r="H2217" s="12"/>
      <c r="K2217"/>
    </row>
    <row r="2218" spans="5:11" x14ac:dyDescent="0.2">
      <c r="E2218" s="50"/>
      <c r="H2218" s="12"/>
      <c r="K2218"/>
    </row>
    <row r="2219" spans="5:11" x14ac:dyDescent="0.2">
      <c r="E2219" s="50"/>
      <c r="H2219" s="12"/>
      <c r="K2219"/>
    </row>
    <row r="2220" spans="5:11" x14ac:dyDescent="0.2">
      <c r="E2220" s="50"/>
      <c r="H2220" s="12"/>
      <c r="K2220"/>
    </row>
    <row r="2221" spans="5:11" x14ac:dyDescent="0.2">
      <c r="E2221" s="50"/>
      <c r="H2221" s="12"/>
      <c r="K2221"/>
    </row>
    <row r="2222" spans="5:11" x14ac:dyDescent="0.2">
      <c r="E2222" s="50"/>
      <c r="H2222" s="12"/>
      <c r="K2222"/>
    </row>
    <row r="2223" spans="5:11" x14ac:dyDescent="0.2">
      <c r="E2223" s="50"/>
      <c r="H2223" s="12"/>
      <c r="K2223"/>
    </row>
    <row r="2224" spans="5:11" x14ac:dyDescent="0.2">
      <c r="E2224" s="50"/>
      <c r="H2224" s="12"/>
      <c r="K2224"/>
    </row>
    <row r="2225" spans="5:11" x14ac:dyDescent="0.2">
      <c r="E2225" s="50"/>
      <c r="H2225" s="12"/>
      <c r="K2225"/>
    </row>
    <row r="2226" spans="5:11" x14ac:dyDescent="0.2">
      <c r="E2226" s="50"/>
      <c r="H2226" s="12"/>
      <c r="K2226"/>
    </row>
    <row r="2227" spans="5:11" x14ac:dyDescent="0.2">
      <c r="E2227" s="50"/>
      <c r="H2227" s="12"/>
      <c r="K2227"/>
    </row>
    <row r="2228" spans="5:11" x14ac:dyDescent="0.2">
      <c r="E2228" s="50"/>
      <c r="H2228" s="12"/>
      <c r="K2228"/>
    </row>
    <row r="2229" spans="5:11" x14ac:dyDescent="0.2">
      <c r="E2229" s="50"/>
      <c r="H2229" s="12"/>
      <c r="K2229"/>
    </row>
    <row r="2230" spans="5:11" x14ac:dyDescent="0.2">
      <c r="E2230" s="50"/>
      <c r="H2230" s="12"/>
      <c r="K2230"/>
    </row>
    <row r="2231" spans="5:11" x14ac:dyDescent="0.2">
      <c r="E2231" s="50"/>
      <c r="H2231" s="12"/>
      <c r="K2231"/>
    </row>
    <row r="2232" spans="5:11" x14ac:dyDescent="0.2">
      <c r="E2232" s="50"/>
      <c r="H2232" s="12"/>
      <c r="K2232"/>
    </row>
    <row r="2233" spans="5:11" x14ac:dyDescent="0.2">
      <c r="E2233" s="50"/>
      <c r="H2233" s="12"/>
      <c r="K2233"/>
    </row>
    <row r="2234" spans="5:11" x14ac:dyDescent="0.2">
      <c r="E2234" s="50"/>
      <c r="H2234" s="12"/>
      <c r="K2234"/>
    </row>
    <row r="2235" spans="5:11" x14ac:dyDescent="0.2">
      <c r="E2235" s="50"/>
      <c r="H2235" s="12"/>
      <c r="K2235"/>
    </row>
    <row r="2236" spans="5:11" x14ac:dyDescent="0.2">
      <c r="E2236" s="50"/>
      <c r="H2236" s="12"/>
      <c r="K2236"/>
    </row>
    <row r="2237" spans="5:11" x14ac:dyDescent="0.2">
      <c r="E2237" s="50"/>
      <c r="H2237" s="12"/>
      <c r="K2237"/>
    </row>
    <row r="2238" spans="5:11" x14ac:dyDescent="0.2">
      <c r="E2238" s="50"/>
      <c r="H2238" s="12"/>
      <c r="K2238"/>
    </row>
    <row r="2239" spans="5:11" x14ac:dyDescent="0.2">
      <c r="E2239" s="50"/>
      <c r="H2239" s="12"/>
      <c r="K2239"/>
    </row>
    <row r="2240" spans="5:11" x14ac:dyDescent="0.2">
      <c r="E2240" s="50"/>
      <c r="H2240" s="12"/>
      <c r="K2240"/>
    </row>
    <row r="2241" spans="5:11" x14ac:dyDescent="0.2">
      <c r="E2241" s="50"/>
      <c r="H2241" s="12"/>
      <c r="K2241"/>
    </row>
    <row r="2242" spans="5:11" x14ac:dyDescent="0.2">
      <c r="E2242" s="50"/>
      <c r="H2242" s="12"/>
      <c r="K2242"/>
    </row>
    <row r="2243" spans="5:11" x14ac:dyDescent="0.2">
      <c r="E2243" s="50"/>
      <c r="H2243" s="12"/>
      <c r="K2243"/>
    </row>
    <row r="2244" spans="5:11" x14ac:dyDescent="0.2">
      <c r="E2244" s="50"/>
      <c r="H2244" s="12"/>
      <c r="K2244"/>
    </row>
    <row r="2245" spans="5:11" x14ac:dyDescent="0.2">
      <c r="E2245" s="50"/>
      <c r="H2245" s="12"/>
      <c r="K2245"/>
    </row>
    <row r="2246" spans="5:11" x14ac:dyDescent="0.2">
      <c r="E2246" s="50"/>
      <c r="H2246" s="12"/>
      <c r="K2246"/>
    </row>
    <row r="2247" spans="5:11" x14ac:dyDescent="0.2">
      <c r="E2247" s="50"/>
      <c r="H2247" s="12"/>
      <c r="K2247"/>
    </row>
    <row r="2248" spans="5:11" x14ac:dyDescent="0.2">
      <c r="E2248" s="50"/>
      <c r="H2248" s="12"/>
      <c r="K2248"/>
    </row>
    <row r="2249" spans="5:11" x14ac:dyDescent="0.2">
      <c r="E2249" s="50"/>
      <c r="H2249" s="12"/>
      <c r="K2249"/>
    </row>
    <row r="2250" spans="5:11" x14ac:dyDescent="0.2">
      <c r="E2250" s="50"/>
      <c r="H2250" s="12"/>
      <c r="K2250"/>
    </row>
    <row r="2251" spans="5:11" x14ac:dyDescent="0.2">
      <c r="E2251" s="50"/>
      <c r="H2251" s="12"/>
      <c r="K2251"/>
    </row>
    <row r="2252" spans="5:11" x14ac:dyDescent="0.2">
      <c r="E2252" s="50"/>
      <c r="H2252" s="12"/>
      <c r="K2252"/>
    </row>
    <row r="2253" spans="5:11" x14ac:dyDescent="0.2">
      <c r="E2253" s="50"/>
      <c r="H2253" s="12"/>
      <c r="K2253"/>
    </row>
    <row r="2254" spans="5:11" x14ac:dyDescent="0.2">
      <c r="E2254" s="50"/>
      <c r="H2254" s="12"/>
      <c r="K2254"/>
    </row>
    <row r="2255" spans="5:11" x14ac:dyDescent="0.2">
      <c r="E2255" s="50"/>
      <c r="H2255" s="12"/>
      <c r="K2255"/>
    </row>
    <row r="2256" spans="5:11" x14ac:dyDescent="0.2">
      <c r="E2256" s="50"/>
      <c r="H2256" s="12"/>
      <c r="K2256"/>
    </row>
    <row r="2257" spans="5:11" x14ac:dyDescent="0.2">
      <c r="E2257" s="50"/>
      <c r="H2257" s="12"/>
      <c r="K2257"/>
    </row>
    <row r="2258" spans="5:11" x14ac:dyDescent="0.2">
      <c r="E2258" s="50"/>
      <c r="H2258" s="12"/>
      <c r="K2258"/>
    </row>
    <row r="2259" spans="5:11" x14ac:dyDescent="0.2">
      <c r="E2259" s="50"/>
      <c r="H2259" s="12"/>
      <c r="K2259"/>
    </row>
    <row r="2260" spans="5:11" x14ac:dyDescent="0.2">
      <c r="E2260" s="50"/>
      <c r="H2260" s="12"/>
      <c r="K2260"/>
    </row>
    <row r="2261" spans="5:11" x14ac:dyDescent="0.2">
      <c r="E2261" s="50"/>
      <c r="H2261" s="12"/>
      <c r="K2261"/>
    </row>
    <row r="2262" spans="5:11" x14ac:dyDescent="0.2">
      <c r="E2262" s="50"/>
      <c r="H2262" s="12"/>
      <c r="K2262"/>
    </row>
    <row r="2263" spans="5:11" x14ac:dyDescent="0.2">
      <c r="E2263" s="50"/>
      <c r="H2263" s="12"/>
      <c r="K2263"/>
    </row>
    <row r="2264" spans="5:11" x14ac:dyDescent="0.2">
      <c r="E2264" s="50"/>
      <c r="H2264" s="12"/>
      <c r="K2264"/>
    </row>
    <row r="2265" spans="5:11" x14ac:dyDescent="0.2">
      <c r="E2265" s="50"/>
      <c r="H2265" s="12"/>
      <c r="K2265"/>
    </row>
    <row r="2266" spans="5:11" x14ac:dyDescent="0.2">
      <c r="E2266" s="50"/>
      <c r="H2266" s="12"/>
      <c r="K2266"/>
    </row>
    <row r="2267" spans="5:11" x14ac:dyDescent="0.2">
      <c r="E2267" s="50"/>
      <c r="H2267" s="12"/>
      <c r="K2267"/>
    </row>
    <row r="2268" spans="5:11" x14ac:dyDescent="0.2">
      <c r="E2268" s="50"/>
      <c r="H2268" s="12"/>
      <c r="K2268"/>
    </row>
    <row r="2269" spans="5:11" x14ac:dyDescent="0.2">
      <c r="E2269" s="50"/>
      <c r="H2269" s="12"/>
      <c r="K2269"/>
    </row>
    <row r="2270" spans="5:11" x14ac:dyDescent="0.2">
      <c r="E2270" s="50"/>
      <c r="H2270" s="12"/>
      <c r="K2270"/>
    </row>
    <row r="2271" spans="5:11" x14ac:dyDescent="0.2">
      <c r="E2271" s="50"/>
      <c r="H2271" s="12"/>
      <c r="K2271"/>
    </row>
    <row r="2272" spans="5:11" x14ac:dyDescent="0.2">
      <c r="E2272" s="50"/>
      <c r="H2272" s="12"/>
      <c r="K2272"/>
    </row>
    <row r="2273" spans="5:11" x14ac:dyDescent="0.2">
      <c r="E2273" s="50"/>
      <c r="H2273" s="12"/>
      <c r="K2273"/>
    </row>
    <row r="2274" spans="5:11" x14ac:dyDescent="0.2">
      <c r="E2274" s="50"/>
      <c r="H2274" s="12"/>
      <c r="K2274"/>
    </row>
    <row r="2275" spans="5:11" x14ac:dyDescent="0.2">
      <c r="E2275" s="50"/>
      <c r="H2275" s="12"/>
      <c r="K2275"/>
    </row>
    <row r="2276" spans="5:11" x14ac:dyDescent="0.2">
      <c r="E2276" s="50"/>
      <c r="H2276" s="12"/>
      <c r="K2276"/>
    </row>
    <row r="2277" spans="5:11" x14ac:dyDescent="0.2">
      <c r="E2277" s="50"/>
      <c r="H2277" s="12"/>
      <c r="K2277"/>
    </row>
    <row r="2278" spans="5:11" x14ac:dyDescent="0.2">
      <c r="E2278" s="50"/>
      <c r="H2278" s="12"/>
      <c r="K2278"/>
    </row>
    <row r="2279" spans="5:11" x14ac:dyDescent="0.2">
      <c r="E2279" s="50"/>
      <c r="H2279" s="12"/>
      <c r="K2279"/>
    </row>
    <row r="2280" spans="5:11" x14ac:dyDescent="0.2">
      <c r="E2280" s="50"/>
      <c r="H2280" s="12"/>
      <c r="K2280"/>
    </row>
    <row r="2281" spans="5:11" x14ac:dyDescent="0.2">
      <c r="E2281" s="50"/>
      <c r="H2281" s="12"/>
      <c r="K2281"/>
    </row>
    <row r="2282" spans="5:11" x14ac:dyDescent="0.2">
      <c r="E2282" s="50"/>
      <c r="H2282" s="12"/>
      <c r="K2282"/>
    </row>
    <row r="2283" spans="5:11" x14ac:dyDescent="0.2">
      <c r="E2283" s="50"/>
      <c r="H2283" s="12"/>
      <c r="K2283"/>
    </row>
    <row r="2284" spans="5:11" x14ac:dyDescent="0.2">
      <c r="E2284" s="50"/>
      <c r="H2284" s="12"/>
      <c r="K2284"/>
    </row>
    <row r="2285" spans="5:11" x14ac:dyDescent="0.2">
      <c r="E2285" s="50"/>
      <c r="H2285" s="12"/>
      <c r="K2285"/>
    </row>
    <row r="2286" spans="5:11" x14ac:dyDescent="0.2">
      <c r="E2286" s="50"/>
      <c r="H2286" s="12"/>
      <c r="K2286"/>
    </row>
    <row r="2287" spans="5:11" x14ac:dyDescent="0.2">
      <c r="E2287" s="50"/>
      <c r="H2287" s="12"/>
      <c r="K2287"/>
    </row>
    <row r="2288" spans="5:11" x14ac:dyDescent="0.2">
      <c r="E2288" s="50"/>
      <c r="H2288" s="12"/>
      <c r="K2288"/>
    </row>
    <row r="2289" spans="5:11" x14ac:dyDescent="0.2">
      <c r="E2289" s="50"/>
      <c r="H2289" s="12"/>
      <c r="K2289"/>
    </row>
    <row r="2290" spans="5:11" x14ac:dyDescent="0.2">
      <c r="E2290" s="50"/>
      <c r="H2290" s="12"/>
      <c r="K2290"/>
    </row>
    <row r="2291" spans="5:11" x14ac:dyDescent="0.2">
      <c r="E2291" s="50"/>
      <c r="H2291" s="12"/>
      <c r="K2291"/>
    </row>
    <row r="2292" spans="5:11" x14ac:dyDescent="0.2">
      <c r="E2292" s="50"/>
      <c r="H2292" s="12"/>
      <c r="K2292"/>
    </row>
    <row r="2293" spans="5:11" x14ac:dyDescent="0.2">
      <c r="E2293" s="50"/>
      <c r="H2293" s="12"/>
      <c r="K2293"/>
    </row>
    <row r="2294" spans="5:11" x14ac:dyDescent="0.2">
      <c r="E2294" s="50"/>
      <c r="H2294" s="12"/>
      <c r="K2294"/>
    </row>
    <row r="2295" spans="5:11" x14ac:dyDescent="0.2">
      <c r="E2295" s="50"/>
      <c r="H2295" s="12"/>
      <c r="K2295"/>
    </row>
    <row r="2296" spans="5:11" x14ac:dyDescent="0.2">
      <c r="E2296" s="50"/>
      <c r="H2296" s="12"/>
      <c r="K2296"/>
    </row>
    <row r="2297" spans="5:11" x14ac:dyDescent="0.2">
      <c r="E2297" s="50"/>
      <c r="H2297" s="12"/>
      <c r="K2297"/>
    </row>
    <row r="2298" spans="5:11" x14ac:dyDescent="0.2">
      <c r="E2298" s="50"/>
      <c r="H2298" s="12"/>
      <c r="K2298"/>
    </row>
    <row r="2299" spans="5:11" x14ac:dyDescent="0.2">
      <c r="E2299" s="50"/>
      <c r="H2299" s="12"/>
      <c r="K2299"/>
    </row>
    <row r="2300" spans="5:11" x14ac:dyDescent="0.2">
      <c r="E2300" s="50"/>
      <c r="H2300" s="12"/>
      <c r="K2300"/>
    </row>
    <row r="2301" spans="5:11" x14ac:dyDescent="0.2">
      <c r="E2301" s="50"/>
      <c r="H2301" s="12"/>
      <c r="K2301"/>
    </row>
    <row r="2302" spans="5:11" x14ac:dyDescent="0.2">
      <c r="E2302" s="50"/>
      <c r="H2302" s="12"/>
      <c r="K2302"/>
    </row>
    <row r="2303" spans="5:11" x14ac:dyDescent="0.2">
      <c r="E2303" s="50"/>
      <c r="H2303" s="12"/>
      <c r="K2303"/>
    </row>
    <row r="2304" spans="5:11" x14ac:dyDescent="0.2">
      <c r="E2304" s="50"/>
      <c r="H2304" s="12"/>
      <c r="K2304"/>
    </row>
    <row r="2305" spans="5:11" x14ac:dyDescent="0.2">
      <c r="E2305" s="50"/>
      <c r="H2305" s="12"/>
      <c r="K2305"/>
    </row>
    <row r="2306" spans="5:11" x14ac:dyDescent="0.2">
      <c r="E2306" s="50"/>
      <c r="H2306" s="12"/>
      <c r="K2306"/>
    </row>
    <row r="2307" spans="5:11" x14ac:dyDescent="0.2">
      <c r="E2307" s="50"/>
      <c r="H2307" s="12"/>
      <c r="K2307"/>
    </row>
    <row r="2308" spans="5:11" x14ac:dyDescent="0.2">
      <c r="E2308" s="50"/>
      <c r="H2308" s="12"/>
      <c r="K2308"/>
    </row>
    <row r="2309" spans="5:11" x14ac:dyDescent="0.2">
      <c r="E2309" s="50"/>
      <c r="H2309" s="12"/>
      <c r="K2309"/>
    </row>
    <row r="2310" spans="5:11" x14ac:dyDescent="0.2">
      <c r="E2310" s="50"/>
      <c r="H2310" s="12"/>
      <c r="K2310"/>
    </row>
    <row r="2311" spans="5:11" x14ac:dyDescent="0.2">
      <c r="E2311" s="50"/>
      <c r="H2311" s="12"/>
      <c r="K2311"/>
    </row>
    <row r="2312" spans="5:11" x14ac:dyDescent="0.2">
      <c r="E2312" s="50"/>
      <c r="H2312" s="12"/>
      <c r="K2312"/>
    </row>
    <row r="2313" spans="5:11" x14ac:dyDescent="0.2">
      <c r="E2313" s="50"/>
      <c r="H2313" s="12"/>
      <c r="K2313"/>
    </row>
    <row r="2314" spans="5:11" x14ac:dyDescent="0.2">
      <c r="E2314" s="50"/>
      <c r="H2314" s="12"/>
      <c r="K2314"/>
    </row>
    <row r="2315" spans="5:11" x14ac:dyDescent="0.2">
      <c r="E2315" s="50"/>
      <c r="H2315" s="12"/>
      <c r="K2315"/>
    </row>
    <row r="2316" spans="5:11" x14ac:dyDescent="0.2">
      <c r="E2316" s="50"/>
      <c r="H2316" s="12"/>
      <c r="K2316"/>
    </row>
    <row r="2317" spans="5:11" x14ac:dyDescent="0.2">
      <c r="E2317" s="50"/>
      <c r="H2317" s="12"/>
      <c r="K2317"/>
    </row>
    <row r="2318" spans="5:11" x14ac:dyDescent="0.2">
      <c r="E2318" s="50"/>
      <c r="H2318" s="12"/>
      <c r="K2318"/>
    </row>
    <row r="2319" spans="5:11" x14ac:dyDescent="0.2">
      <c r="E2319" s="50"/>
      <c r="H2319" s="12"/>
      <c r="K2319"/>
    </row>
    <row r="2320" spans="5:11" x14ac:dyDescent="0.2">
      <c r="E2320" s="50"/>
      <c r="H2320" s="12"/>
      <c r="K2320"/>
    </row>
    <row r="2321" spans="5:11" x14ac:dyDescent="0.2">
      <c r="E2321" s="50"/>
      <c r="H2321" s="12"/>
      <c r="K2321"/>
    </row>
    <row r="2322" spans="5:11" x14ac:dyDescent="0.2">
      <c r="E2322" s="50"/>
      <c r="H2322" s="12"/>
      <c r="K2322"/>
    </row>
    <row r="2323" spans="5:11" x14ac:dyDescent="0.2">
      <c r="E2323" s="50"/>
      <c r="H2323" s="12"/>
      <c r="K2323"/>
    </row>
    <row r="2324" spans="5:11" x14ac:dyDescent="0.2">
      <c r="E2324" s="50"/>
      <c r="H2324" s="12"/>
      <c r="K2324"/>
    </row>
    <row r="2325" spans="5:11" x14ac:dyDescent="0.2">
      <c r="E2325" s="50"/>
      <c r="H2325" s="12"/>
      <c r="K2325"/>
    </row>
    <row r="2326" spans="5:11" x14ac:dyDescent="0.2">
      <c r="E2326" s="50"/>
      <c r="H2326" s="12"/>
      <c r="K2326"/>
    </row>
    <row r="2327" spans="5:11" x14ac:dyDescent="0.2">
      <c r="E2327" s="50"/>
      <c r="H2327" s="12"/>
      <c r="K2327"/>
    </row>
    <row r="2328" spans="5:11" x14ac:dyDescent="0.2">
      <c r="E2328" s="50"/>
      <c r="H2328" s="12"/>
      <c r="K2328"/>
    </row>
    <row r="2329" spans="5:11" x14ac:dyDescent="0.2">
      <c r="E2329" s="50"/>
      <c r="H2329" s="12"/>
      <c r="K2329"/>
    </row>
    <row r="2330" spans="5:11" x14ac:dyDescent="0.2">
      <c r="E2330" s="50"/>
      <c r="H2330" s="12"/>
      <c r="K2330"/>
    </row>
    <row r="2331" spans="5:11" x14ac:dyDescent="0.2">
      <c r="E2331" s="50"/>
      <c r="H2331" s="12"/>
      <c r="K2331"/>
    </row>
    <row r="2332" spans="5:11" x14ac:dyDescent="0.2">
      <c r="E2332" s="50"/>
      <c r="H2332" s="12"/>
      <c r="K2332"/>
    </row>
    <row r="2333" spans="5:11" x14ac:dyDescent="0.2">
      <c r="E2333" s="50"/>
      <c r="H2333" s="12"/>
      <c r="K2333"/>
    </row>
    <row r="2334" spans="5:11" x14ac:dyDescent="0.2">
      <c r="E2334" s="50"/>
      <c r="H2334" s="12"/>
      <c r="K2334"/>
    </row>
    <row r="2335" spans="5:11" x14ac:dyDescent="0.2">
      <c r="E2335" s="50"/>
      <c r="H2335" s="12"/>
      <c r="K2335"/>
    </row>
    <row r="2336" spans="5:11" x14ac:dyDescent="0.2">
      <c r="E2336" s="50"/>
      <c r="H2336" s="12"/>
      <c r="K2336"/>
    </row>
    <row r="2337" spans="5:11" x14ac:dyDescent="0.2">
      <c r="E2337" s="50"/>
      <c r="H2337" s="12"/>
      <c r="K2337"/>
    </row>
    <row r="2338" spans="5:11" x14ac:dyDescent="0.2">
      <c r="E2338" s="50"/>
      <c r="H2338" s="12"/>
      <c r="K2338"/>
    </row>
    <row r="2339" spans="5:11" x14ac:dyDescent="0.2">
      <c r="E2339" s="50"/>
      <c r="H2339" s="12"/>
      <c r="K2339"/>
    </row>
    <row r="2340" spans="5:11" x14ac:dyDescent="0.2">
      <c r="E2340" s="50"/>
      <c r="H2340" s="12"/>
      <c r="K2340"/>
    </row>
    <row r="2341" spans="5:11" x14ac:dyDescent="0.2">
      <c r="E2341" s="50"/>
      <c r="H2341" s="12"/>
      <c r="K2341"/>
    </row>
    <row r="2342" spans="5:11" x14ac:dyDescent="0.2">
      <c r="E2342" s="50"/>
      <c r="H2342" s="12"/>
      <c r="K2342"/>
    </row>
    <row r="2343" spans="5:11" x14ac:dyDescent="0.2">
      <c r="E2343" s="50"/>
      <c r="H2343" s="12"/>
      <c r="K2343"/>
    </row>
    <row r="2344" spans="5:11" x14ac:dyDescent="0.2">
      <c r="E2344" s="50"/>
      <c r="H2344" s="12"/>
      <c r="K2344"/>
    </row>
    <row r="2345" spans="5:11" x14ac:dyDescent="0.2">
      <c r="E2345" s="50"/>
      <c r="H2345" s="12"/>
      <c r="K2345"/>
    </row>
    <row r="2346" spans="5:11" x14ac:dyDescent="0.2">
      <c r="E2346" s="50"/>
      <c r="H2346" s="12"/>
      <c r="K2346"/>
    </row>
    <row r="2347" spans="5:11" x14ac:dyDescent="0.2">
      <c r="E2347" s="50"/>
      <c r="H2347" s="12"/>
      <c r="K2347"/>
    </row>
    <row r="2348" spans="5:11" x14ac:dyDescent="0.2">
      <c r="E2348" s="50"/>
      <c r="H2348" s="12"/>
      <c r="K2348"/>
    </row>
    <row r="2349" spans="5:11" x14ac:dyDescent="0.2">
      <c r="E2349" s="50"/>
      <c r="H2349" s="12"/>
      <c r="K2349"/>
    </row>
    <row r="2350" spans="5:11" x14ac:dyDescent="0.2">
      <c r="E2350" s="50"/>
      <c r="H2350" s="12"/>
      <c r="K2350"/>
    </row>
    <row r="2351" spans="5:11" x14ac:dyDescent="0.2">
      <c r="E2351" s="50"/>
      <c r="H2351" s="12"/>
      <c r="K2351"/>
    </row>
    <row r="2352" spans="5:11" x14ac:dyDescent="0.2">
      <c r="E2352" s="50"/>
      <c r="H2352" s="12"/>
      <c r="K2352"/>
    </row>
    <row r="2353" spans="5:11" x14ac:dyDescent="0.2">
      <c r="E2353" s="50"/>
      <c r="H2353" s="12"/>
      <c r="K2353"/>
    </row>
    <row r="2354" spans="5:11" x14ac:dyDescent="0.2">
      <c r="E2354" s="50"/>
      <c r="H2354" s="12"/>
      <c r="K2354"/>
    </row>
    <row r="2355" spans="5:11" x14ac:dyDescent="0.2">
      <c r="E2355" s="50"/>
      <c r="H2355" s="12"/>
      <c r="K2355"/>
    </row>
    <row r="2356" spans="5:11" x14ac:dyDescent="0.2">
      <c r="E2356" s="50"/>
      <c r="H2356" s="12"/>
      <c r="K2356"/>
    </row>
    <row r="2357" spans="5:11" x14ac:dyDescent="0.2">
      <c r="E2357" s="50"/>
      <c r="H2357" s="12"/>
      <c r="K2357"/>
    </row>
    <row r="2358" spans="5:11" x14ac:dyDescent="0.2">
      <c r="E2358" s="50"/>
      <c r="H2358" s="12"/>
      <c r="K2358"/>
    </row>
    <row r="2359" spans="5:11" x14ac:dyDescent="0.2">
      <c r="E2359" s="50"/>
      <c r="H2359" s="12"/>
      <c r="K2359"/>
    </row>
    <row r="2360" spans="5:11" x14ac:dyDescent="0.2">
      <c r="E2360" s="50"/>
      <c r="H2360" s="12"/>
      <c r="K2360"/>
    </row>
    <row r="2361" spans="5:11" x14ac:dyDescent="0.2">
      <c r="E2361" s="50"/>
      <c r="H2361" s="12"/>
      <c r="K2361"/>
    </row>
    <row r="2362" spans="5:11" x14ac:dyDescent="0.2">
      <c r="E2362" s="50"/>
      <c r="H2362" s="12"/>
      <c r="K2362"/>
    </row>
    <row r="2363" spans="5:11" x14ac:dyDescent="0.2">
      <c r="E2363" s="50"/>
      <c r="H2363" s="12"/>
      <c r="K2363"/>
    </row>
    <row r="2364" spans="5:11" x14ac:dyDescent="0.2">
      <c r="E2364" s="50"/>
      <c r="H2364" s="12"/>
      <c r="K2364"/>
    </row>
    <row r="2365" spans="5:11" x14ac:dyDescent="0.2">
      <c r="E2365" s="50"/>
      <c r="H2365" s="12"/>
      <c r="K2365"/>
    </row>
    <row r="2366" spans="5:11" x14ac:dyDescent="0.2">
      <c r="E2366" s="50"/>
      <c r="H2366" s="12"/>
      <c r="K2366"/>
    </row>
    <row r="2367" spans="5:11" x14ac:dyDescent="0.2">
      <c r="E2367" s="50"/>
      <c r="H2367" s="12"/>
      <c r="K2367"/>
    </row>
    <row r="2368" spans="5:11" x14ac:dyDescent="0.2">
      <c r="E2368" s="50"/>
      <c r="H2368" s="12"/>
      <c r="K2368"/>
    </row>
    <row r="2369" spans="5:11" x14ac:dyDescent="0.2">
      <c r="E2369" s="50"/>
      <c r="H2369" s="12"/>
      <c r="K2369"/>
    </row>
    <row r="2370" spans="5:11" x14ac:dyDescent="0.2">
      <c r="E2370" s="50"/>
      <c r="H2370" s="12"/>
      <c r="K2370"/>
    </row>
    <row r="2371" spans="5:11" x14ac:dyDescent="0.2">
      <c r="E2371" s="50"/>
      <c r="H2371" s="12"/>
      <c r="K2371"/>
    </row>
    <row r="2372" spans="5:11" x14ac:dyDescent="0.2">
      <c r="E2372" s="50"/>
      <c r="H2372" s="12"/>
      <c r="K2372"/>
    </row>
    <row r="2373" spans="5:11" x14ac:dyDescent="0.2">
      <c r="E2373" s="50"/>
      <c r="H2373" s="12"/>
      <c r="K2373"/>
    </row>
    <row r="2374" spans="5:11" x14ac:dyDescent="0.2">
      <c r="E2374" s="50"/>
      <c r="H2374" s="12"/>
      <c r="K2374"/>
    </row>
    <row r="2375" spans="5:11" x14ac:dyDescent="0.2">
      <c r="E2375" s="50"/>
      <c r="H2375" s="12"/>
      <c r="K2375"/>
    </row>
    <row r="2376" spans="5:11" x14ac:dyDescent="0.2">
      <c r="E2376" s="50"/>
      <c r="H2376" s="12"/>
      <c r="K2376"/>
    </row>
    <row r="2377" spans="5:11" x14ac:dyDescent="0.2">
      <c r="E2377" s="50"/>
      <c r="H2377" s="12"/>
      <c r="K2377"/>
    </row>
    <row r="2378" spans="5:11" x14ac:dyDescent="0.2">
      <c r="E2378" s="50"/>
      <c r="H2378" s="12"/>
      <c r="K2378"/>
    </row>
    <row r="2379" spans="5:11" x14ac:dyDescent="0.2">
      <c r="E2379" s="50"/>
      <c r="H2379" s="12"/>
      <c r="K2379"/>
    </row>
    <row r="2380" spans="5:11" x14ac:dyDescent="0.2">
      <c r="E2380" s="50"/>
      <c r="H2380" s="12"/>
      <c r="K2380"/>
    </row>
    <row r="2381" spans="5:11" x14ac:dyDescent="0.2">
      <c r="E2381" s="50"/>
      <c r="H2381" s="12"/>
      <c r="K2381"/>
    </row>
    <row r="2382" spans="5:11" x14ac:dyDescent="0.2">
      <c r="E2382" s="50"/>
      <c r="H2382" s="12"/>
      <c r="K2382"/>
    </row>
    <row r="2383" spans="5:11" x14ac:dyDescent="0.2">
      <c r="E2383" s="50"/>
      <c r="H2383" s="12"/>
      <c r="K2383"/>
    </row>
    <row r="2384" spans="5:11" x14ac:dyDescent="0.2">
      <c r="E2384" s="50"/>
      <c r="H2384" s="12"/>
      <c r="K2384"/>
    </row>
    <row r="2385" spans="5:11" x14ac:dyDescent="0.2">
      <c r="E2385" s="50"/>
      <c r="H2385" s="12"/>
      <c r="K2385"/>
    </row>
    <row r="2386" spans="5:11" x14ac:dyDescent="0.2">
      <c r="E2386" s="50"/>
      <c r="H2386" s="12"/>
      <c r="K2386"/>
    </row>
    <row r="2387" spans="5:11" x14ac:dyDescent="0.2">
      <c r="E2387" s="50"/>
      <c r="H2387" s="12"/>
      <c r="K2387"/>
    </row>
    <row r="2388" spans="5:11" x14ac:dyDescent="0.2">
      <c r="E2388" s="50"/>
      <c r="H2388" s="12"/>
      <c r="K2388"/>
    </row>
    <row r="2389" spans="5:11" x14ac:dyDescent="0.2">
      <c r="E2389" s="50"/>
      <c r="H2389" s="12"/>
      <c r="K2389"/>
    </row>
    <row r="2390" spans="5:11" x14ac:dyDescent="0.2">
      <c r="E2390" s="50"/>
      <c r="H2390" s="12"/>
      <c r="K2390"/>
    </row>
    <row r="2391" spans="5:11" x14ac:dyDescent="0.2">
      <c r="E2391" s="50"/>
      <c r="H2391" s="12"/>
      <c r="K2391"/>
    </row>
    <row r="2392" spans="5:11" x14ac:dyDescent="0.2">
      <c r="E2392" s="50"/>
      <c r="H2392" s="12"/>
      <c r="K2392"/>
    </row>
    <row r="2393" spans="5:11" x14ac:dyDescent="0.2">
      <c r="E2393" s="50"/>
      <c r="H2393" s="12"/>
      <c r="K2393"/>
    </row>
    <row r="2394" spans="5:11" x14ac:dyDescent="0.2">
      <c r="E2394" s="50"/>
      <c r="H2394" s="12"/>
      <c r="K2394"/>
    </row>
    <row r="2395" spans="5:11" x14ac:dyDescent="0.2">
      <c r="E2395" s="50"/>
      <c r="H2395" s="12"/>
      <c r="K2395"/>
    </row>
    <row r="2396" spans="5:11" x14ac:dyDescent="0.2">
      <c r="E2396" s="50"/>
      <c r="H2396" s="12"/>
      <c r="K2396"/>
    </row>
    <row r="2397" spans="5:11" x14ac:dyDescent="0.2">
      <c r="E2397" s="50"/>
      <c r="H2397" s="12"/>
      <c r="K2397"/>
    </row>
    <row r="2398" spans="5:11" x14ac:dyDescent="0.2">
      <c r="E2398" s="50"/>
      <c r="H2398" s="12"/>
      <c r="K2398"/>
    </row>
    <row r="2399" spans="5:11" x14ac:dyDescent="0.2">
      <c r="E2399" s="50"/>
      <c r="H2399" s="12"/>
      <c r="K2399"/>
    </row>
    <row r="2400" spans="5:11" x14ac:dyDescent="0.2">
      <c r="E2400" s="50"/>
      <c r="H2400" s="12"/>
      <c r="K2400"/>
    </row>
    <row r="2401" spans="5:11" x14ac:dyDescent="0.2">
      <c r="E2401" s="50"/>
      <c r="H2401" s="12"/>
      <c r="K2401"/>
    </row>
    <row r="2402" spans="5:11" x14ac:dyDescent="0.2">
      <c r="E2402" s="50"/>
      <c r="H2402" s="12"/>
      <c r="K2402"/>
    </row>
    <row r="2403" spans="5:11" x14ac:dyDescent="0.2">
      <c r="E2403" s="50"/>
      <c r="H2403" s="12"/>
      <c r="K2403"/>
    </row>
    <row r="2404" spans="5:11" x14ac:dyDescent="0.2">
      <c r="E2404" s="50"/>
      <c r="H2404" s="12"/>
      <c r="K2404"/>
    </row>
    <row r="2405" spans="5:11" x14ac:dyDescent="0.2">
      <c r="E2405" s="50"/>
      <c r="H2405" s="12"/>
      <c r="K2405"/>
    </row>
    <row r="2406" spans="5:11" x14ac:dyDescent="0.2">
      <c r="E2406" s="50"/>
      <c r="H2406" s="12"/>
      <c r="K2406"/>
    </row>
    <row r="2407" spans="5:11" x14ac:dyDescent="0.2">
      <c r="E2407" s="50"/>
      <c r="H2407" s="12"/>
      <c r="K2407"/>
    </row>
    <row r="2408" spans="5:11" x14ac:dyDescent="0.2">
      <c r="E2408" s="50"/>
      <c r="H2408" s="12"/>
      <c r="K2408"/>
    </row>
    <row r="2409" spans="5:11" x14ac:dyDescent="0.2">
      <c r="E2409" s="50"/>
      <c r="H2409" s="12"/>
      <c r="K2409"/>
    </row>
    <row r="2410" spans="5:11" x14ac:dyDescent="0.2">
      <c r="E2410" s="50"/>
      <c r="H2410" s="12"/>
      <c r="K2410"/>
    </row>
    <row r="2411" spans="5:11" x14ac:dyDescent="0.2">
      <c r="E2411" s="50"/>
      <c r="H2411" s="12"/>
      <c r="K2411"/>
    </row>
    <row r="2412" spans="5:11" x14ac:dyDescent="0.2">
      <c r="E2412" s="50"/>
      <c r="H2412" s="12"/>
      <c r="K2412"/>
    </row>
    <row r="2413" spans="5:11" x14ac:dyDescent="0.2">
      <c r="E2413" s="50"/>
      <c r="H2413" s="12"/>
      <c r="K2413"/>
    </row>
    <row r="2414" spans="5:11" x14ac:dyDescent="0.2">
      <c r="E2414" s="50"/>
      <c r="H2414" s="12"/>
      <c r="K2414"/>
    </row>
    <row r="2415" spans="5:11" x14ac:dyDescent="0.2">
      <c r="E2415" s="50"/>
      <c r="H2415" s="12"/>
      <c r="K2415"/>
    </row>
    <row r="2416" spans="5:11" x14ac:dyDescent="0.2">
      <c r="E2416" s="50"/>
      <c r="H2416" s="12"/>
      <c r="K2416"/>
    </row>
    <row r="2417" spans="5:11" x14ac:dyDescent="0.2">
      <c r="E2417" s="50"/>
      <c r="H2417" s="12"/>
      <c r="K2417"/>
    </row>
    <row r="2418" spans="5:11" x14ac:dyDescent="0.2">
      <c r="E2418" s="50"/>
      <c r="H2418" s="12"/>
      <c r="K2418"/>
    </row>
    <row r="2419" spans="5:11" x14ac:dyDescent="0.2">
      <c r="E2419" s="50"/>
      <c r="H2419" s="12"/>
      <c r="K2419"/>
    </row>
    <row r="2420" spans="5:11" x14ac:dyDescent="0.2">
      <c r="E2420" s="50"/>
      <c r="H2420" s="12"/>
      <c r="K2420"/>
    </row>
    <row r="2421" spans="5:11" x14ac:dyDescent="0.2">
      <c r="E2421" s="50"/>
      <c r="H2421" s="12"/>
      <c r="K2421"/>
    </row>
    <row r="2422" spans="5:11" x14ac:dyDescent="0.2">
      <c r="E2422" s="50"/>
      <c r="H2422" s="12"/>
      <c r="K2422"/>
    </row>
    <row r="2423" spans="5:11" x14ac:dyDescent="0.2">
      <c r="E2423" s="50"/>
      <c r="H2423" s="12"/>
      <c r="K2423"/>
    </row>
    <row r="2424" spans="5:11" x14ac:dyDescent="0.2">
      <c r="E2424" s="50"/>
      <c r="H2424" s="12"/>
      <c r="K2424"/>
    </row>
    <row r="2425" spans="5:11" x14ac:dyDescent="0.2">
      <c r="E2425" s="50"/>
      <c r="H2425" s="12"/>
      <c r="K2425"/>
    </row>
    <row r="2426" spans="5:11" x14ac:dyDescent="0.2">
      <c r="E2426" s="50"/>
      <c r="H2426" s="12"/>
      <c r="K2426"/>
    </row>
    <row r="2427" spans="5:11" x14ac:dyDescent="0.2">
      <c r="E2427" s="50"/>
      <c r="H2427" s="12"/>
      <c r="K2427"/>
    </row>
    <row r="2428" spans="5:11" x14ac:dyDescent="0.2">
      <c r="E2428" s="50"/>
      <c r="H2428" s="12"/>
      <c r="K2428"/>
    </row>
    <row r="2429" spans="5:11" x14ac:dyDescent="0.2">
      <c r="E2429" s="50"/>
      <c r="H2429" s="12"/>
      <c r="K2429"/>
    </row>
    <row r="2430" spans="5:11" x14ac:dyDescent="0.2">
      <c r="E2430" s="50"/>
      <c r="H2430" s="12"/>
      <c r="K2430"/>
    </row>
    <row r="2431" spans="5:11" x14ac:dyDescent="0.2">
      <c r="E2431" s="50"/>
      <c r="H2431" s="12"/>
      <c r="K2431"/>
    </row>
    <row r="2432" spans="5:11" x14ac:dyDescent="0.2">
      <c r="E2432" s="50"/>
      <c r="H2432" s="12"/>
      <c r="K2432"/>
    </row>
    <row r="2433" spans="5:11" x14ac:dyDescent="0.2">
      <c r="E2433" s="50"/>
      <c r="H2433" s="12"/>
      <c r="K2433"/>
    </row>
    <row r="2434" spans="5:11" x14ac:dyDescent="0.2">
      <c r="E2434" s="50"/>
      <c r="H2434" s="12"/>
      <c r="K2434"/>
    </row>
    <row r="2435" spans="5:11" x14ac:dyDescent="0.2">
      <c r="E2435" s="50"/>
      <c r="H2435" s="12"/>
      <c r="K2435"/>
    </row>
    <row r="2436" spans="5:11" x14ac:dyDescent="0.2">
      <c r="E2436" s="50"/>
      <c r="H2436" s="12"/>
      <c r="K2436"/>
    </row>
    <row r="2437" spans="5:11" x14ac:dyDescent="0.2">
      <c r="E2437" s="50"/>
      <c r="H2437" s="12"/>
      <c r="K2437"/>
    </row>
    <row r="2438" spans="5:11" x14ac:dyDescent="0.2">
      <c r="E2438" s="50"/>
      <c r="H2438" s="12"/>
      <c r="K2438"/>
    </row>
    <row r="2439" spans="5:11" x14ac:dyDescent="0.2">
      <c r="E2439" s="50"/>
      <c r="H2439" s="12"/>
      <c r="K2439"/>
    </row>
    <row r="2440" spans="5:11" x14ac:dyDescent="0.2">
      <c r="E2440" s="50"/>
      <c r="H2440" s="12"/>
      <c r="K2440"/>
    </row>
    <row r="2441" spans="5:11" x14ac:dyDescent="0.2">
      <c r="E2441" s="50"/>
      <c r="H2441" s="12"/>
      <c r="K2441"/>
    </row>
    <row r="2442" spans="5:11" x14ac:dyDescent="0.2">
      <c r="E2442" s="50"/>
      <c r="H2442" s="12"/>
      <c r="K2442"/>
    </row>
    <row r="2443" spans="5:11" x14ac:dyDescent="0.2">
      <c r="E2443" s="50"/>
      <c r="H2443" s="12"/>
      <c r="K2443"/>
    </row>
    <row r="2444" spans="5:11" x14ac:dyDescent="0.2">
      <c r="E2444" s="50"/>
      <c r="H2444" s="12"/>
      <c r="K2444"/>
    </row>
    <row r="2445" spans="5:11" x14ac:dyDescent="0.2">
      <c r="E2445" s="50"/>
      <c r="H2445" s="12"/>
      <c r="K2445"/>
    </row>
    <row r="2446" spans="5:11" x14ac:dyDescent="0.2">
      <c r="E2446" s="50"/>
      <c r="H2446" s="12"/>
      <c r="K2446"/>
    </row>
    <row r="2447" spans="5:11" x14ac:dyDescent="0.2">
      <c r="E2447" s="50"/>
      <c r="H2447" s="12"/>
      <c r="K2447"/>
    </row>
    <row r="2448" spans="5:11" x14ac:dyDescent="0.2">
      <c r="E2448" s="50"/>
      <c r="H2448" s="12"/>
      <c r="K2448"/>
    </row>
    <row r="2449" spans="5:11" x14ac:dyDescent="0.2">
      <c r="E2449" s="50"/>
      <c r="H2449" s="12"/>
      <c r="K2449"/>
    </row>
    <row r="2450" spans="5:11" x14ac:dyDescent="0.2">
      <c r="E2450" s="50"/>
      <c r="H2450" s="12"/>
      <c r="K2450"/>
    </row>
    <row r="2451" spans="5:11" x14ac:dyDescent="0.2">
      <c r="E2451" s="50"/>
      <c r="H2451" s="12"/>
      <c r="K2451"/>
    </row>
    <row r="2452" spans="5:11" x14ac:dyDescent="0.2">
      <c r="E2452" s="50"/>
      <c r="H2452" s="12"/>
      <c r="K2452"/>
    </row>
    <row r="2453" spans="5:11" x14ac:dyDescent="0.2">
      <c r="E2453" s="50"/>
      <c r="H2453" s="12"/>
      <c r="K2453"/>
    </row>
    <row r="2454" spans="5:11" x14ac:dyDescent="0.2">
      <c r="E2454" s="50"/>
      <c r="H2454" s="12"/>
      <c r="K2454"/>
    </row>
    <row r="2455" spans="5:11" x14ac:dyDescent="0.2">
      <c r="E2455" s="50"/>
      <c r="H2455" s="12"/>
      <c r="K2455"/>
    </row>
    <row r="2456" spans="5:11" x14ac:dyDescent="0.2">
      <c r="E2456" s="50"/>
      <c r="H2456" s="12"/>
      <c r="K2456"/>
    </row>
    <row r="2457" spans="5:11" x14ac:dyDescent="0.2">
      <c r="E2457" s="50"/>
      <c r="H2457" s="12"/>
      <c r="K2457"/>
    </row>
    <row r="2458" spans="5:11" x14ac:dyDescent="0.2">
      <c r="E2458" s="50"/>
      <c r="H2458" s="12"/>
      <c r="K2458"/>
    </row>
    <row r="2459" spans="5:11" x14ac:dyDescent="0.2">
      <c r="E2459" s="50"/>
      <c r="H2459" s="12"/>
      <c r="K2459"/>
    </row>
    <row r="2460" spans="5:11" x14ac:dyDescent="0.2">
      <c r="E2460" s="50"/>
      <c r="H2460" s="12"/>
      <c r="K2460"/>
    </row>
    <row r="2461" spans="5:11" x14ac:dyDescent="0.2">
      <c r="E2461" s="50"/>
      <c r="H2461" s="12"/>
      <c r="K2461"/>
    </row>
    <row r="2462" spans="5:11" x14ac:dyDescent="0.2">
      <c r="E2462" s="50"/>
      <c r="H2462" s="12"/>
      <c r="K2462"/>
    </row>
    <row r="2463" spans="5:11" x14ac:dyDescent="0.2">
      <c r="E2463" s="50"/>
      <c r="H2463" s="12"/>
      <c r="K2463"/>
    </row>
    <row r="2464" spans="5:11" x14ac:dyDescent="0.2">
      <c r="E2464" s="50"/>
      <c r="H2464" s="12"/>
      <c r="K2464"/>
    </row>
    <row r="2465" spans="5:11" x14ac:dyDescent="0.2">
      <c r="E2465" s="50"/>
      <c r="H2465" s="12"/>
      <c r="K2465"/>
    </row>
    <row r="2466" spans="5:11" x14ac:dyDescent="0.2">
      <c r="E2466" s="50"/>
      <c r="H2466" s="12"/>
      <c r="K2466"/>
    </row>
    <row r="2467" spans="5:11" x14ac:dyDescent="0.2">
      <c r="E2467" s="50"/>
      <c r="H2467" s="12"/>
      <c r="K2467"/>
    </row>
    <row r="2468" spans="5:11" x14ac:dyDescent="0.2">
      <c r="E2468" s="50"/>
      <c r="H2468" s="12"/>
      <c r="K2468"/>
    </row>
    <row r="2469" spans="5:11" x14ac:dyDescent="0.2">
      <c r="E2469" s="50"/>
      <c r="H2469" s="12"/>
      <c r="K2469"/>
    </row>
    <row r="2470" spans="5:11" x14ac:dyDescent="0.2">
      <c r="E2470" s="50"/>
      <c r="H2470" s="12"/>
      <c r="K2470"/>
    </row>
    <row r="2471" spans="5:11" x14ac:dyDescent="0.2">
      <c r="E2471" s="50"/>
      <c r="H2471" s="12"/>
      <c r="K2471"/>
    </row>
    <row r="2472" spans="5:11" x14ac:dyDescent="0.2">
      <c r="E2472" s="50"/>
      <c r="H2472" s="12"/>
      <c r="K2472"/>
    </row>
    <row r="2473" spans="5:11" x14ac:dyDescent="0.2">
      <c r="E2473" s="50"/>
      <c r="H2473" s="12"/>
      <c r="K2473"/>
    </row>
    <row r="2474" spans="5:11" x14ac:dyDescent="0.2">
      <c r="E2474" s="50"/>
      <c r="H2474" s="12"/>
      <c r="K2474"/>
    </row>
    <row r="2475" spans="5:11" x14ac:dyDescent="0.2">
      <c r="E2475" s="50"/>
      <c r="H2475" s="12"/>
      <c r="K2475"/>
    </row>
    <row r="2476" spans="5:11" x14ac:dyDescent="0.2">
      <c r="E2476" s="50"/>
      <c r="H2476" s="12"/>
      <c r="K2476"/>
    </row>
    <row r="2477" spans="5:11" x14ac:dyDescent="0.2">
      <c r="E2477" s="50"/>
      <c r="H2477" s="12"/>
      <c r="K2477"/>
    </row>
    <row r="2478" spans="5:11" x14ac:dyDescent="0.2">
      <c r="E2478" s="50"/>
      <c r="H2478" s="12"/>
      <c r="K2478"/>
    </row>
    <row r="2479" spans="5:11" x14ac:dyDescent="0.2">
      <c r="E2479" s="50"/>
      <c r="H2479" s="12"/>
      <c r="K2479"/>
    </row>
    <row r="2480" spans="5:11" x14ac:dyDescent="0.2">
      <c r="E2480" s="50"/>
      <c r="H2480" s="12"/>
      <c r="K2480"/>
    </row>
    <row r="2481" spans="5:11" x14ac:dyDescent="0.2">
      <c r="E2481" s="50"/>
      <c r="H2481" s="12"/>
      <c r="K2481"/>
    </row>
    <row r="2482" spans="5:11" x14ac:dyDescent="0.2">
      <c r="E2482" s="50"/>
      <c r="H2482" s="12"/>
      <c r="K2482"/>
    </row>
    <row r="2483" spans="5:11" x14ac:dyDescent="0.2">
      <c r="E2483" s="50"/>
      <c r="H2483" s="12"/>
      <c r="K2483"/>
    </row>
    <row r="2484" spans="5:11" x14ac:dyDescent="0.2">
      <c r="E2484" s="50"/>
      <c r="H2484" s="12"/>
      <c r="K2484"/>
    </row>
    <row r="2485" spans="5:11" x14ac:dyDescent="0.2">
      <c r="E2485" s="50"/>
      <c r="H2485" s="12"/>
      <c r="K2485"/>
    </row>
    <row r="2486" spans="5:11" x14ac:dyDescent="0.2">
      <c r="E2486" s="50"/>
      <c r="H2486" s="12"/>
      <c r="K2486"/>
    </row>
    <row r="2487" spans="5:11" x14ac:dyDescent="0.2">
      <c r="E2487" s="50"/>
      <c r="H2487" s="12"/>
      <c r="K2487"/>
    </row>
    <row r="2488" spans="5:11" x14ac:dyDescent="0.2">
      <c r="E2488" s="50"/>
      <c r="H2488" s="12"/>
      <c r="K2488"/>
    </row>
    <row r="2489" spans="5:11" x14ac:dyDescent="0.2">
      <c r="E2489" s="50"/>
      <c r="H2489" s="12"/>
      <c r="K2489"/>
    </row>
    <row r="2490" spans="5:11" x14ac:dyDescent="0.2">
      <c r="E2490" s="50"/>
      <c r="H2490" s="12"/>
      <c r="K2490"/>
    </row>
    <row r="2491" spans="5:11" x14ac:dyDescent="0.2">
      <c r="E2491" s="50"/>
      <c r="H2491" s="12"/>
      <c r="K2491"/>
    </row>
    <row r="2492" spans="5:11" x14ac:dyDescent="0.2">
      <c r="E2492" s="50"/>
      <c r="H2492" s="12"/>
      <c r="K2492"/>
    </row>
    <row r="2493" spans="5:11" x14ac:dyDescent="0.2">
      <c r="E2493" s="50"/>
      <c r="H2493" s="12"/>
      <c r="K2493"/>
    </row>
    <row r="2494" spans="5:11" x14ac:dyDescent="0.2">
      <c r="E2494" s="50"/>
      <c r="H2494" s="12"/>
      <c r="K2494"/>
    </row>
    <row r="2495" spans="5:11" x14ac:dyDescent="0.2">
      <c r="E2495" s="50"/>
      <c r="H2495" s="12"/>
      <c r="K2495"/>
    </row>
    <row r="2496" spans="5:11" x14ac:dyDescent="0.2">
      <c r="E2496" s="50"/>
      <c r="H2496" s="12"/>
      <c r="K2496"/>
    </row>
    <row r="2497" spans="5:11" x14ac:dyDescent="0.2">
      <c r="E2497" s="50"/>
      <c r="H2497" s="12"/>
      <c r="K2497"/>
    </row>
    <row r="2498" spans="5:11" x14ac:dyDescent="0.2">
      <c r="E2498" s="50"/>
      <c r="H2498" s="12"/>
      <c r="K2498"/>
    </row>
    <row r="2499" spans="5:11" x14ac:dyDescent="0.2">
      <c r="E2499" s="50"/>
      <c r="H2499" s="12"/>
      <c r="K2499"/>
    </row>
    <row r="2500" spans="5:11" x14ac:dyDescent="0.2">
      <c r="E2500" s="50"/>
      <c r="H2500" s="12"/>
      <c r="K2500"/>
    </row>
    <row r="2501" spans="5:11" x14ac:dyDescent="0.2">
      <c r="E2501" s="50"/>
      <c r="H2501" s="12"/>
      <c r="K2501"/>
    </row>
    <row r="2502" spans="5:11" x14ac:dyDescent="0.2">
      <c r="E2502" s="50"/>
      <c r="H2502" s="12"/>
      <c r="K2502"/>
    </row>
    <row r="2503" spans="5:11" x14ac:dyDescent="0.2">
      <c r="E2503" s="50"/>
      <c r="H2503" s="12"/>
      <c r="K2503"/>
    </row>
    <row r="2504" spans="5:11" x14ac:dyDescent="0.2">
      <c r="E2504" s="50"/>
      <c r="H2504" s="12"/>
      <c r="K2504"/>
    </row>
    <row r="2505" spans="5:11" x14ac:dyDescent="0.2">
      <c r="E2505" s="50"/>
      <c r="H2505" s="12"/>
      <c r="K2505"/>
    </row>
    <row r="2506" spans="5:11" x14ac:dyDescent="0.2">
      <c r="E2506" s="50"/>
      <c r="H2506" s="12"/>
      <c r="K2506"/>
    </row>
    <row r="2507" spans="5:11" x14ac:dyDescent="0.2">
      <c r="E2507" s="50"/>
      <c r="H2507" s="12"/>
      <c r="K2507"/>
    </row>
    <row r="2508" spans="5:11" x14ac:dyDescent="0.2">
      <c r="E2508" s="50"/>
      <c r="H2508" s="12"/>
      <c r="K2508"/>
    </row>
    <row r="2509" spans="5:11" x14ac:dyDescent="0.2">
      <c r="E2509" s="50"/>
      <c r="H2509" s="12"/>
      <c r="K2509"/>
    </row>
    <row r="2510" spans="5:11" x14ac:dyDescent="0.2">
      <c r="E2510" s="50"/>
      <c r="H2510" s="12"/>
      <c r="K2510"/>
    </row>
    <row r="2511" spans="5:11" x14ac:dyDescent="0.2">
      <c r="E2511" s="50"/>
      <c r="H2511" s="12"/>
      <c r="K2511"/>
    </row>
    <row r="2512" spans="5:11" x14ac:dyDescent="0.2">
      <c r="E2512" s="50"/>
      <c r="H2512" s="12"/>
      <c r="K2512"/>
    </row>
    <row r="2513" spans="5:11" x14ac:dyDescent="0.2">
      <c r="E2513" s="50"/>
      <c r="H2513" s="12"/>
      <c r="K2513"/>
    </row>
    <row r="2514" spans="5:11" x14ac:dyDescent="0.2">
      <c r="E2514" s="50"/>
      <c r="H2514" s="12"/>
      <c r="K2514"/>
    </row>
    <row r="2515" spans="5:11" x14ac:dyDescent="0.2">
      <c r="E2515" s="50"/>
      <c r="H2515" s="12"/>
      <c r="K2515"/>
    </row>
    <row r="2516" spans="5:11" x14ac:dyDescent="0.2">
      <c r="E2516" s="50"/>
      <c r="H2516" s="12"/>
      <c r="K2516"/>
    </row>
    <row r="2517" spans="5:11" x14ac:dyDescent="0.2">
      <c r="E2517" s="50"/>
      <c r="H2517" s="12"/>
      <c r="K2517"/>
    </row>
    <row r="2518" spans="5:11" x14ac:dyDescent="0.2">
      <c r="E2518" s="50"/>
      <c r="H2518" s="12"/>
      <c r="K2518"/>
    </row>
    <row r="2519" spans="5:11" x14ac:dyDescent="0.2">
      <c r="E2519" s="50"/>
      <c r="H2519" s="12"/>
      <c r="K2519"/>
    </row>
    <row r="2520" spans="5:11" x14ac:dyDescent="0.2">
      <c r="E2520" s="50"/>
      <c r="H2520" s="12"/>
      <c r="K2520"/>
    </row>
    <row r="2521" spans="5:11" x14ac:dyDescent="0.2">
      <c r="E2521" s="50"/>
      <c r="H2521" s="12"/>
      <c r="K2521"/>
    </row>
    <row r="2522" spans="5:11" x14ac:dyDescent="0.2">
      <c r="E2522" s="50"/>
      <c r="H2522" s="12"/>
      <c r="K2522"/>
    </row>
    <row r="2523" spans="5:11" x14ac:dyDescent="0.2">
      <c r="E2523" s="50"/>
      <c r="H2523" s="12"/>
      <c r="K2523"/>
    </row>
    <row r="2524" spans="5:11" x14ac:dyDescent="0.2">
      <c r="E2524" s="50"/>
      <c r="H2524" s="12"/>
      <c r="K2524"/>
    </row>
    <row r="2525" spans="5:11" x14ac:dyDescent="0.2">
      <c r="E2525" s="50"/>
      <c r="H2525" s="12"/>
      <c r="K2525"/>
    </row>
    <row r="2526" spans="5:11" x14ac:dyDescent="0.2">
      <c r="E2526" s="50"/>
      <c r="H2526" s="12"/>
      <c r="K2526"/>
    </row>
    <row r="2527" spans="5:11" x14ac:dyDescent="0.2">
      <c r="E2527" s="50"/>
      <c r="H2527" s="12"/>
      <c r="K2527"/>
    </row>
    <row r="2528" spans="5:11" x14ac:dyDescent="0.2">
      <c r="E2528" s="50"/>
      <c r="H2528" s="12"/>
      <c r="K2528"/>
    </row>
    <row r="2529" spans="5:11" x14ac:dyDescent="0.2">
      <c r="E2529" s="50"/>
      <c r="H2529" s="12"/>
      <c r="K2529"/>
    </row>
    <row r="2530" spans="5:11" x14ac:dyDescent="0.2">
      <c r="E2530" s="50"/>
      <c r="H2530" s="12"/>
      <c r="K2530"/>
    </row>
    <row r="2531" spans="5:11" x14ac:dyDescent="0.2">
      <c r="E2531" s="50"/>
      <c r="H2531" s="12"/>
      <c r="K2531"/>
    </row>
    <row r="2532" spans="5:11" x14ac:dyDescent="0.2">
      <c r="E2532" s="50"/>
      <c r="H2532" s="12"/>
      <c r="K2532"/>
    </row>
    <row r="2533" spans="5:11" x14ac:dyDescent="0.2">
      <c r="E2533" s="50"/>
      <c r="H2533" s="12"/>
      <c r="K2533"/>
    </row>
    <row r="2534" spans="5:11" x14ac:dyDescent="0.2">
      <c r="E2534" s="50"/>
      <c r="H2534" s="12"/>
      <c r="K2534"/>
    </row>
    <row r="2535" spans="5:11" x14ac:dyDescent="0.2">
      <c r="E2535" s="50"/>
      <c r="H2535" s="12"/>
      <c r="K2535"/>
    </row>
    <row r="2536" spans="5:11" x14ac:dyDescent="0.2">
      <c r="E2536" s="50"/>
      <c r="H2536" s="12"/>
      <c r="K2536"/>
    </row>
    <row r="2537" spans="5:11" x14ac:dyDescent="0.2">
      <c r="E2537" s="50"/>
      <c r="H2537" s="12"/>
      <c r="K2537"/>
    </row>
    <row r="2538" spans="5:11" x14ac:dyDescent="0.2">
      <c r="E2538" s="50"/>
      <c r="H2538" s="12"/>
      <c r="K2538"/>
    </row>
    <row r="2539" spans="5:11" x14ac:dyDescent="0.2">
      <c r="E2539" s="50"/>
      <c r="H2539" s="12"/>
      <c r="K2539"/>
    </row>
    <row r="2540" spans="5:11" x14ac:dyDescent="0.2">
      <c r="E2540" s="50"/>
      <c r="H2540" s="12"/>
      <c r="K2540"/>
    </row>
    <row r="2541" spans="5:11" x14ac:dyDescent="0.2">
      <c r="E2541" s="50"/>
      <c r="H2541" s="12"/>
      <c r="K2541"/>
    </row>
    <row r="2542" spans="5:11" x14ac:dyDescent="0.2">
      <c r="E2542" s="50"/>
      <c r="H2542" s="12"/>
      <c r="K2542"/>
    </row>
    <row r="2543" spans="5:11" x14ac:dyDescent="0.2">
      <c r="E2543" s="50"/>
      <c r="H2543" s="12"/>
      <c r="K2543"/>
    </row>
    <row r="2544" spans="5:11" x14ac:dyDescent="0.2">
      <c r="E2544" s="50"/>
      <c r="H2544" s="12"/>
      <c r="K2544"/>
    </row>
    <row r="2545" spans="5:11" x14ac:dyDescent="0.2">
      <c r="E2545" s="50"/>
      <c r="H2545" s="12"/>
      <c r="K2545"/>
    </row>
    <row r="2546" spans="5:11" x14ac:dyDescent="0.2">
      <c r="E2546" s="50"/>
      <c r="H2546" s="12"/>
      <c r="K2546"/>
    </row>
    <row r="2547" spans="5:11" x14ac:dyDescent="0.2">
      <c r="E2547" s="50"/>
      <c r="H2547" s="12"/>
      <c r="K2547"/>
    </row>
    <row r="2548" spans="5:11" x14ac:dyDescent="0.2">
      <c r="E2548" s="50"/>
      <c r="H2548" s="12"/>
      <c r="K2548"/>
    </row>
    <row r="2549" spans="5:11" x14ac:dyDescent="0.2">
      <c r="E2549" s="50"/>
      <c r="H2549" s="12"/>
      <c r="K2549"/>
    </row>
    <row r="2550" spans="5:11" x14ac:dyDescent="0.2">
      <c r="E2550" s="50"/>
      <c r="H2550" s="12"/>
      <c r="K2550"/>
    </row>
    <row r="2551" spans="5:11" x14ac:dyDescent="0.2">
      <c r="E2551" s="50"/>
      <c r="H2551" s="12"/>
      <c r="K2551"/>
    </row>
    <row r="2552" spans="5:11" x14ac:dyDescent="0.2">
      <c r="E2552" s="50"/>
      <c r="H2552" s="12"/>
      <c r="K2552"/>
    </row>
    <row r="2553" spans="5:11" x14ac:dyDescent="0.2">
      <c r="E2553" s="50"/>
      <c r="H2553" s="12"/>
      <c r="K2553"/>
    </row>
    <row r="2554" spans="5:11" x14ac:dyDescent="0.2">
      <c r="E2554" s="50"/>
      <c r="H2554" s="12"/>
      <c r="K2554"/>
    </row>
    <row r="2555" spans="5:11" x14ac:dyDescent="0.2">
      <c r="E2555" s="50"/>
      <c r="H2555" s="12"/>
      <c r="K2555"/>
    </row>
    <row r="2556" spans="5:11" x14ac:dyDescent="0.2">
      <c r="E2556" s="50"/>
      <c r="H2556" s="12"/>
      <c r="K2556"/>
    </row>
    <row r="2557" spans="5:11" x14ac:dyDescent="0.2">
      <c r="E2557" s="50"/>
      <c r="H2557" s="12"/>
      <c r="K2557"/>
    </row>
    <row r="2558" spans="5:11" x14ac:dyDescent="0.2">
      <c r="E2558" s="50"/>
      <c r="H2558" s="12"/>
      <c r="K2558"/>
    </row>
    <row r="2559" spans="5:11" x14ac:dyDescent="0.2">
      <c r="E2559" s="50"/>
      <c r="H2559" s="12"/>
      <c r="K2559"/>
    </row>
    <row r="2560" spans="5:11" x14ac:dyDescent="0.2">
      <c r="E2560" s="50"/>
      <c r="H2560" s="12"/>
      <c r="K2560"/>
    </row>
    <row r="2561" spans="5:11" x14ac:dyDescent="0.2">
      <c r="E2561" s="50"/>
      <c r="H2561" s="12"/>
      <c r="K2561"/>
    </row>
    <row r="2562" spans="5:11" x14ac:dyDescent="0.2">
      <c r="E2562" s="50"/>
      <c r="H2562" s="12"/>
      <c r="K2562"/>
    </row>
    <row r="2563" spans="5:11" x14ac:dyDescent="0.2">
      <c r="E2563" s="50"/>
      <c r="H2563" s="12"/>
      <c r="K2563"/>
    </row>
    <row r="2564" spans="5:11" x14ac:dyDescent="0.2">
      <c r="E2564" s="50"/>
      <c r="H2564" s="12"/>
      <c r="K2564"/>
    </row>
    <row r="2565" spans="5:11" x14ac:dyDescent="0.2">
      <c r="E2565" s="50"/>
      <c r="H2565" s="12"/>
      <c r="K2565"/>
    </row>
    <row r="2566" spans="5:11" x14ac:dyDescent="0.2">
      <c r="E2566" s="50"/>
      <c r="H2566" s="12"/>
      <c r="K2566"/>
    </row>
    <row r="2567" spans="5:11" x14ac:dyDescent="0.2">
      <c r="E2567" s="50"/>
      <c r="H2567" s="12"/>
      <c r="K2567"/>
    </row>
    <row r="2568" spans="5:11" x14ac:dyDescent="0.2">
      <c r="E2568" s="50"/>
      <c r="H2568" s="12"/>
      <c r="K2568"/>
    </row>
    <row r="2569" spans="5:11" x14ac:dyDescent="0.2">
      <c r="E2569" s="50"/>
      <c r="H2569" s="12"/>
      <c r="K2569"/>
    </row>
    <row r="2570" spans="5:11" x14ac:dyDescent="0.2">
      <c r="E2570" s="50"/>
      <c r="H2570" s="12"/>
      <c r="K2570"/>
    </row>
    <row r="2571" spans="5:11" x14ac:dyDescent="0.2">
      <c r="E2571" s="50"/>
      <c r="H2571" s="12"/>
      <c r="K2571"/>
    </row>
    <row r="2572" spans="5:11" x14ac:dyDescent="0.2">
      <c r="E2572" s="50"/>
      <c r="H2572" s="12"/>
      <c r="K2572"/>
    </row>
    <row r="2573" spans="5:11" x14ac:dyDescent="0.2">
      <c r="E2573" s="50"/>
      <c r="H2573" s="12"/>
      <c r="K2573"/>
    </row>
    <row r="2574" spans="5:11" x14ac:dyDescent="0.2">
      <c r="E2574" s="50"/>
      <c r="H2574" s="12"/>
      <c r="K2574"/>
    </row>
    <row r="2575" spans="5:11" x14ac:dyDescent="0.2">
      <c r="E2575" s="50"/>
      <c r="H2575" s="12"/>
      <c r="K2575"/>
    </row>
    <row r="2576" spans="5:11" x14ac:dyDescent="0.2">
      <c r="E2576" s="50"/>
      <c r="H2576" s="12"/>
      <c r="K2576"/>
    </row>
    <row r="2577" spans="5:11" x14ac:dyDescent="0.2">
      <c r="E2577" s="50"/>
      <c r="H2577" s="12"/>
      <c r="K2577"/>
    </row>
    <row r="2578" spans="5:11" x14ac:dyDescent="0.2">
      <c r="E2578" s="50"/>
      <c r="H2578" s="12"/>
      <c r="K2578"/>
    </row>
    <row r="2579" spans="5:11" x14ac:dyDescent="0.2">
      <c r="E2579" s="50"/>
      <c r="H2579" s="12"/>
      <c r="K2579"/>
    </row>
    <row r="2580" spans="5:11" x14ac:dyDescent="0.2">
      <c r="E2580" s="50"/>
      <c r="H2580" s="12"/>
      <c r="K2580"/>
    </row>
    <row r="2581" spans="5:11" x14ac:dyDescent="0.2">
      <c r="E2581" s="50"/>
      <c r="H2581" s="12"/>
      <c r="K2581"/>
    </row>
    <row r="2582" spans="5:11" x14ac:dyDescent="0.2">
      <c r="E2582" s="50"/>
      <c r="H2582" s="12"/>
      <c r="K2582"/>
    </row>
    <row r="2583" spans="5:11" x14ac:dyDescent="0.2">
      <c r="E2583" s="50"/>
      <c r="H2583" s="12"/>
      <c r="K2583"/>
    </row>
    <row r="2584" spans="5:11" x14ac:dyDescent="0.2">
      <c r="E2584" s="50"/>
      <c r="H2584" s="12"/>
      <c r="K2584"/>
    </row>
    <row r="2585" spans="5:11" x14ac:dyDescent="0.2">
      <c r="E2585" s="50"/>
      <c r="H2585" s="12"/>
      <c r="K2585"/>
    </row>
    <row r="2586" spans="5:11" x14ac:dyDescent="0.2">
      <c r="E2586" s="50"/>
      <c r="H2586" s="12"/>
      <c r="K2586"/>
    </row>
    <row r="2587" spans="5:11" x14ac:dyDescent="0.2">
      <c r="E2587" s="50"/>
      <c r="H2587" s="12"/>
      <c r="K2587"/>
    </row>
    <row r="2588" spans="5:11" x14ac:dyDescent="0.2">
      <c r="E2588" s="50"/>
      <c r="H2588" s="12"/>
      <c r="K2588"/>
    </row>
    <row r="2589" spans="5:11" x14ac:dyDescent="0.2">
      <c r="E2589" s="50"/>
      <c r="H2589" s="12"/>
      <c r="K2589"/>
    </row>
    <row r="2590" spans="5:11" x14ac:dyDescent="0.2">
      <c r="E2590" s="50"/>
      <c r="H2590" s="12"/>
      <c r="K2590"/>
    </row>
    <row r="2591" spans="5:11" x14ac:dyDescent="0.2">
      <c r="E2591" s="50"/>
      <c r="H2591" s="12"/>
      <c r="K2591"/>
    </row>
    <row r="2592" spans="5:11" x14ac:dyDescent="0.2">
      <c r="E2592" s="50"/>
      <c r="H2592" s="12"/>
      <c r="K2592"/>
    </row>
    <row r="2593" spans="5:11" x14ac:dyDescent="0.2">
      <c r="E2593" s="50"/>
      <c r="H2593" s="12"/>
      <c r="K2593"/>
    </row>
    <row r="2594" spans="5:11" x14ac:dyDescent="0.2">
      <c r="E2594" s="50"/>
      <c r="H2594" s="12"/>
      <c r="K2594"/>
    </row>
    <row r="2595" spans="5:11" x14ac:dyDescent="0.2">
      <c r="E2595" s="50"/>
      <c r="H2595" s="12"/>
      <c r="K2595"/>
    </row>
    <row r="2596" spans="5:11" x14ac:dyDescent="0.2">
      <c r="E2596" s="50"/>
      <c r="H2596" s="12"/>
      <c r="K2596"/>
    </row>
    <row r="2597" spans="5:11" x14ac:dyDescent="0.2">
      <c r="E2597" s="50"/>
      <c r="H2597" s="12"/>
      <c r="K2597"/>
    </row>
    <row r="2598" spans="5:11" x14ac:dyDescent="0.2">
      <c r="E2598" s="50"/>
      <c r="H2598" s="12"/>
      <c r="K2598"/>
    </row>
    <row r="2599" spans="5:11" x14ac:dyDescent="0.2">
      <c r="E2599" s="50"/>
      <c r="H2599" s="12"/>
      <c r="K2599"/>
    </row>
    <row r="2600" spans="5:11" x14ac:dyDescent="0.2">
      <c r="E2600" s="50"/>
      <c r="H2600" s="12"/>
      <c r="K2600"/>
    </row>
    <row r="2601" spans="5:11" x14ac:dyDescent="0.2">
      <c r="E2601" s="50"/>
      <c r="H2601" s="12"/>
      <c r="K2601"/>
    </row>
    <row r="2602" spans="5:11" x14ac:dyDescent="0.2">
      <c r="E2602" s="50"/>
      <c r="H2602" s="12"/>
      <c r="K2602"/>
    </row>
    <row r="2603" spans="5:11" x14ac:dyDescent="0.2">
      <c r="E2603" s="50"/>
      <c r="H2603" s="12"/>
      <c r="K2603"/>
    </row>
    <row r="2604" spans="5:11" x14ac:dyDescent="0.2">
      <c r="E2604" s="50"/>
      <c r="H2604" s="12"/>
      <c r="K2604"/>
    </row>
    <row r="2605" spans="5:11" x14ac:dyDescent="0.2">
      <c r="E2605" s="50"/>
      <c r="H2605" s="12"/>
      <c r="K2605"/>
    </row>
    <row r="2606" spans="5:11" x14ac:dyDescent="0.2">
      <c r="E2606" s="50"/>
      <c r="H2606" s="12"/>
      <c r="K2606"/>
    </row>
    <row r="2607" spans="5:11" x14ac:dyDescent="0.2">
      <c r="E2607" s="50"/>
      <c r="H2607" s="12"/>
      <c r="K2607"/>
    </row>
    <row r="2608" spans="5:11" x14ac:dyDescent="0.2">
      <c r="E2608" s="50"/>
      <c r="H2608" s="12"/>
      <c r="K2608"/>
    </row>
    <row r="2609" spans="5:11" x14ac:dyDescent="0.2">
      <c r="E2609" s="50"/>
      <c r="H2609" s="12"/>
      <c r="K2609"/>
    </row>
    <row r="2610" spans="5:11" x14ac:dyDescent="0.2">
      <c r="E2610" s="50"/>
      <c r="H2610" s="12"/>
      <c r="K2610"/>
    </row>
    <row r="2611" spans="5:11" x14ac:dyDescent="0.2">
      <c r="E2611" s="50"/>
      <c r="H2611" s="12"/>
      <c r="K2611"/>
    </row>
    <row r="2612" spans="5:11" x14ac:dyDescent="0.2">
      <c r="E2612" s="50"/>
      <c r="H2612" s="12"/>
      <c r="K2612"/>
    </row>
    <row r="2613" spans="5:11" x14ac:dyDescent="0.2">
      <c r="E2613" s="50"/>
      <c r="H2613" s="12"/>
      <c r="K2613"/>
    </row>
    <row r="2614" spans="5:11" x14ac:dyDescent="0.2">
      <c r="E2614" s="50"/>
      <c r="H2614" s="12"/>
      <c r="K2614"/>
    </row>
    <row r="2615" spans="5:11" x14ac:dyDescent="0.2">
      <c r="E2615" s="50"/>
      <c r="H2615" s="12"/>
      <c r="K2615"/>
    </row>
    <row r="2616" spans="5:11" x14ac:dyDescent="0.2">
      <c r="E2616" s="50"/>
      <c r="H2616" s="12"/>
      <c r="K2616"/>
    </row>
    <row r="2617" spans="5:11" x14ac:dyDescent="0.2">
      <c r="E2617" s="50"/>
      <c r="H2617" s="12"/>
      <c r="K2617"/>
    </row>
    <row r="2618" spans="5:11" x14ac:dyDescent="0.2">
      <c r="E2618" s="50"/>
      <c r="H2618" s="12"/>
      <c r="K2618"/>
    </row>
    <row r="2619" spans="5:11" x14ac:dyDescent="0.2">
      <c r="E2619" s="50"/>
      <c r="H2619" s="12"/>
      <c r="K2619"/>
    </row>
    <row r="2620" spans="5:11" x14ac:dyDescent="0.2">
      <c r="E2620" s="50"/>
      <c r="H2620" s="12"/>
      <c r="K2620"/>
    </row>
    <row r="2621" spans="5:11" x14ac:dyDescent="0.2">
      <c r="E2621" s="50"/>
      <c r="H2621" s="12"/>
      <c r="K2621"/>
    </row>
    <row r="2622" spans="5:11" x14ac:dyDescent="0.2">
      <c r="E2622" s="50"/>
      <c r="H2622" s="12"/>
      <c r="K2622"/>
    </row>
    <row r="2623" spans="5:11" x14ac:dyDescent="0.2">
      <c r="E2623" s="50"/>
      <c r="H2623" s="12"/>
      <c r="K2623"/>
    </row>
    <row r="2624" spans="5:11" x14ac:dyDescent="0.2">
      <c r="E2624" s="50"/>
      <c r="H2624" s="12"/>
      <c r="K2624"/>
    </row>
    <row r="2625" spans="5:11" x14ac:dyDescent="0.2">
      <c r="E2625" s="50"/>
      <c r="H2625" s="12"/>
      <c r="K2625"/>
    </row>
    <row r="2626" spans="5:11" x14ac:dyDescent="0.2">
      <c r="E2626" s="50"/>
      <c r="H2626" s="12"/>
      <c r="K2626"/>
    </row>
    <row r="2627" spans="5:11" x14ac:dyDescent="0.2">
      <c r="E2627" s="50"/>
      <c r="H2627" s="12"/>
      <c r="K2627"/>
    </row>
    <row r="2628" spans="5:11" x14ac:dyDescent="0.2">
      <c r="E2628" s="50"/>
      <c r="H2628" s="12"/>
      <c r="K2628"/>
    </row>
    <row r="2629" spans="5:11" x14ac:dyDescent="0.2">
      <c r="E2629" s="50"/>
      <c r="H2629" s="12"/>
      <c r="K2629"/>
    </row>
    <row r="2630" spans="5:11" x14ac:dyDescent="0.2">
      <c r="E2630" s="50"/>
      <c r="H2630" s="12"/>
      <c r="K2630"/>
    </row>
    <row r="2631" spans="5:11" x14ac:dyDescent="0.2">
      <c r="E2631" s="50"/>
      <c r="H2631" s="12"/>
      <c r="K2631"/>
    </row>
    <row r="2632" spans="5:11" x14ac:dyDescent="0.2">
      <c r="E2632" s="50"/>
      <c r="H2632" s="12"/>
      <c r="K2632"/>
    </row>
    <row r="2633" spans="5:11" x14ac:dyDescent="0.2">
      <c r="E2633" s="50"/>
      <c r="H2633" s="12"/>
      <c r="K2633"/>
    </row>
    <row r="2634" spans="5:11" x14ac:dyDescent="0.2">
      <c r="E2634" s="50"/>
      <c r="H2634" s="12"/>
      <c r="K2634"/>
    </row>
    <row r="2635" spans="5:11" x14ac:dyDescent="0.2">
      <c r="E2635" s="50"/>
      <c r="H2635" s="12"/>
      <c r="K2635"/>
    </row>
    <row r="2636" spans="5:11" x14ac:dyDescent="0.2">
      <c r="E2636" s="50"/>
      <c r="H2636" s="12"/>
      <c r="K2636"/>
    </row>
    <row r="2637" spans="5:11" x14ac:dyDescent="0.2">
      <c r="E2637" s="50"/>
      <c r="H2637" s="12"/>
      <c r="K2637"/>
    </row>
    <row r="2638" spans="5:11" x14ac:dyDescent="0.2">
      <c r="E2638" s="50"/>
      <c r="H2638" s="12"/>
      <c r="K2638"/>
    </row>
    <row r="2639" spans="5:11" x14ac:dyDescent="0.2">
      <c r="E2639" s="50"/>
      <c r="H2639" s="12"/>
      <c r="K2639"/>
    </row>
    <row r="2640" spans="5:11" x14ac:dyDescent="0.2">
      <c r="E2640" s="50"/>
      <c r="H2640" s="12"/>
      <c r="K2640"/>
    </row>
    <row r="2641" spans="5:11" x14ac:dyDescent="0.2">
      <c r="E2641" s="50"/>
      <c r="H2641" s="12"/>
      <c r="K2641"/>
    </row>
    <row r="2642" spans="5:11" x14ac:dyDescent="0.2">
      <c r="E2642" s="50"/>
      <c r="H2642" s="12"/>
      <c r="K2642"/>
    </row>
    <row r="2643" spans="5:11" x14ac:dyDescent="0.2">
      <c r="E2643" s="50"/>
      <c r="H2643" s="12"/>
      <c r="K2643"/>
    </row>
    <row r="2644" spans="5:11" x14ac:dyDescent="0.2">
      <c r="E2644" s="50"/>
      <c r="H2644" s="12"/>
      <c r="K2644"/>
    </row>
    <row r="2645" spans="5:11" x14ac:dyDescent="0.2">
      <c r="E2645" s="50"/>
      <c r="H2645" s="12"/>
      <c r="K2645"/>
    </row>
    <row r="2646" spans="5:11" x14ac:dyDescent="0.2">
      <c r="E2646" s="50"/>
      <c r="H2646" s="12"/>
      <c r="K2646"/>
    </row>
    <row r="2647" spans="5:11" x14ac:dyDescent="0.2">
      <c r="E2647" s="50"/>
      <c r="H2647" s="12"/>
      <c r="K2647"/>
    </row>
    <row r="2648" spans="5:11" x14ac:dyDescent="0.2">
      <c r="E2648" s="50"/>
      <c r="H2648" s="12"/>
      <c r="K2648"/>
    </row>
    <row r="2649" spans="5:11" x14ac:dyDescent="0.2">
      <c r="E2649" s="50"/>
      <c r="H2649" s="12"/>
      <c r="K2649"/>
    </row>
    <row r="2650" spans="5:11" x14ac:dyDescent="0.2">
      <c r="E2650" s="50"/>
      <c r="H2650" s="12"/>
      <c r="K2650"/>
    </row>
    <row r="2651" spans="5:11" x14ac:dyDescent="0.2">
      <c r="E2651" s="50"/>
      <c r="H2651" s="12"/>
      <c r="K2651"/>
    </row>
    <row r="2652" spans="5:11" x14ac:dyDescent="0.2">
      <c r="E2652" s="50"/>
      <c r="H2652" s="12"/>
      <c r="K2652"/>
    </row>
    <row r="2653" spans="5:11" x14ac:dyDescent="0.2">
      <c r="E2653" s="50"/>
      <c r="H2653" s="12"/>
      <c r="K2653"/>
    </row>
    <row r="2654" spans="5:11" x14ac:dyDescent="0.2">
      <c r="E2654" s="50"/>
      <c r="H2654" s="12"/>
      <c r="K2654"/>
    </row>
    <row r="2655" spans="5:11" x14ac:dyDescent="0.2">
      <c r="E2655" s="50"/>
      <c r="H2655" s="12"/>
      <c r="K2655"/>
    </row>
    <row r="2656" spans="5:11" x14ac:dyDescent="0.2">
      <c r="E2656" s="50"/>
      <c r="H2656" s="12"/>
      <c r="K2656"/>
    </row>
    <row r="2657" spans="5:11" x14ac:dyDescent="0.2">
      <c r="E2657" s="50"/>
      <c r="H2657" s="12"/>
      <c r="K2657"/>
    </row>
    <row r="2658" spans="5:11" x14ac:dyDescent="0.2">
      <c r="E2658" s="50"/>
      <c r="H2658" s="12"/>
      <c r="K2658"/>
    </row>
    <row r="2659" spans="5:11" x14ac:dyDescent="0.2">
      <c r="E2659" s="50"/>
      <c r="H2659" s="12"/>
      <c r="K2659"/>
    </row>
    <row r="2660" spans="5:11" x14ac:dyDescent="0.2">
      <c r="E2660" s="50"/>
      <c r="H2660" s="12"/>
      <c r="K2660"/>
    </row>
    <row r="2661" spans="5:11" x14ac:dyDescent="0.2">
      <c r="E2661" s="50"/>
      <c r="H2661" s="12"/>
      <c r="K2661"/>
    </row>
    <row r="2662" spans="5:11" x14ac:dyDescent="0.2">
      <c r="E2662" s="50"/>
      <c r="H2662" s="12"/>
      <c r="K2662"/>
    </row>
    <row r="2663" spans="5:11" x14ac:dyDescent="0.2">
      <c r="E2663" s="50"/>
      <c r="H2663" s="12"/>
      <c r="K2663"/>
    </row>
    <row r="2664" spans="5:11" x14ac:dyDescent="0.2">
      <c r="E2664" s="50"/>
      <c r="H2664" s="12"/>
      <c r="K2664"/>
    </row>
    <row r="2665" spans="5:11" x14ac:dyDescent="0.2">
      <c r="E2665" s="50"/>
      <c r="H2665" s="12"/>
      <c r="K2665"/>
    </row>
    <row r="2666" spans="5:11" x14ac:dyDescent="0.2">
      <c r="E2666" s="50"/>
      <c r="H2666" s="12"/>
      <c r="K2666"/>
    </row>
    <row r="2667" spans="5:11" x14ac:dyDescent="0.2">
      <c r="E2667" s="50"/>
      <c r="H2667" s="12"/>
      <c r="K2667"/>
    </row>
    <row r="2668" spans="5:11" x14ac:dyDescent="0.2">
      <c r="E2668" s="50"/>
      <c r="H2668" s="12"/>
      <c r="K2668"/>
    </row>
    <row r="2669" spans="5:11" x14ac:dyDescent="0.2">
      <c r="E2669" s="50"/>
      <c r="H2669" s="12"/>
      <c r="K2669"/>
    </row>
    <row r="2670" spans="5:11" x14ac:dyDescent="0.2">
      <c r="E2670" s="50"/>
      <c r="H2670" s="12"/>
      <c r="K2670"/>
    </row>
    <row r="2671" spans="5:11" x14ac:dyDescent="0.2">
      <c r="E2671" s="50"/>
      <c r="H2671" s="12"/>
      <c r="K2671"/>
    </row>
    <row r="2672" spans="5:11" x14ac:dyDescent="0.2">
      <c r="E2672" s="50"/>
      <c r="H2672" s="12"/>
      <c r="K2672"/>
    </row>
    <row r="2673" spans="5:11" x14ac:dyDescent="0.2">
      <c r="E2673" s="50"/>
      <c r="H2673" s="12"/>
      <c r="K2673"/>
    </row>
    <row r="2674" spans="5:11" x14ac:dyDescent="0.2">
      <c r="E2674" s="50"/>
      <c r="H2674" s="12"/>
      <c r="K2674"/>
    </row>
    <row r="2675" spans="5:11" x14ac:dyDescent="0.2">
      <c r="E2675" s="50"/>
      <c r="H2675" s="12"/>
      <c r="K2675"/>
    </row>
    <row r="2676" spans="5:11" x14ac:dyDescent="0.2">
      <c r="E2676" s="50"/>
      <c r="H2676" s="12"/>
      <c r="K2676"/>
    </row>
    <row r="2677" spans="5:11" x14ac:dyDescent="0.2">
      <c r="E2677" s="50"/>
      <c r="H2677" s="12"/>
      <c r="K2677"/>
    </row>
    <row r="2678" spans="5:11" x14ac:dyDescent="0.2">
      <c r="E2678" s="50"/>
      <c r="H2678" s="12"/>
      <c r="K2678"/>
    </row>
    <row r="2679" spans="5:11" x14ac:dyDescent="0.2">
      <c r="E2679" s="50"/>
      <c r="H2679" s="12"/>
      <c r="K2679"/>
    </row>
    <row r="2680" spans="5:11" x14ac:dyDescent="0.2">
      <c r="E2680" s="50"/>
      <c r="H2680" s="12"/>
      <c r="K2680"/>
    </row>
    <row r="2681" spans="5:11" x14ac:dyDescent="0.2">
      <c r="E2681" s="50"/>
      <c r="H2681" s="12"/>
      <c r="K2681"/>
    </row>
    <row r="2682" spans="5:11" x14ac:dyDescent="0.2">
      <c r="E2682" s="50"/>
      <c r="H2682" s="12"/>
      <c r="K2682"/>
    </row>
    <row r="2683" spans="5:11" x14ac:dyDescent="0.2">
      <c r="E2683" s="50"/>
      <c r="H2683" s="12"/>
      <c r="K2683"/>
    </row>
    <row r="2684" spans="5:11" x14ac:dyDescent="0.2">
      <c r="E2684" s="50"/>
      <c r="H2684" s="12"/>
      <c r="K2684"/>
    </row>
    <row r="2685" spans="5:11" x14ac:dyDescent="0.2">
      <c r="E2685" s="50"/>
      <c r="H2685" s="12"/>
      <c r="K2685"/>
    </row>
    <row r="2686" spans="5:11" x14ac:dyDescent="0.2">
      <c r="E2686" s="50"/>
      <c r="H2686" s="12"/>
      <c r="K2686"/>
    </row>
    <row r="2687" spans="5:11" x14ac:dyDescent="0.2">
      <c r="E2687" s="50"/>
      <c r="H2687" s="12"/>
      <c r="K2687"/>
    </row>
    <row r="2688" spans="5:11" x14ac:dyDescent="0.2">
      <c r="E2688" s="50"/>
      <c r="H2688" s="12"/>
      <c r="K2688"/>
    </row>
    <row r="2689" spans="5:11" x14ac:dyDescent="0.2">
      <c r="E2689" s="50"/>
      <c r="H2689" s="12"/>
      <c r="K2689"/>
    </row>
    <row r="2690" spans="5:11" x14ac:dyDescent="0.2">
      <c r="E2690" s="50"/>
      <c r="H2690" s="12"/>
      <c r="K2690"/>
    </row>
    <row r="2691" spans="5:11" x14ac:dyDescent="0.2">
      <c r="E2691" s="50"/>
      <c r="H2691" s="12"/>
      <c r="K2691"/>
    </row>
    <row r="2692" spans="5:11" x14ac:dyDescent="0.2">
      <c r="E2692" s="50"/>
      <c r="H2692" s="12"/>
      <c r="K2692"/>
    </row>
    <row r="2693" spans="5:11" x14ac:dyDescent="0.2">
      <c r="E2693" s="50"/>
      <c r="H2693" s="12"/>
      <c r="K2693"/>
    </row>
    <row r="2694" spans="5:11" x14ac:dyDescent="0.2">
      <c r="E2694" s="50"/>
      <c r="H2694" s="12"/>
      <c r="K2694"/>
    </row>
    <row r="2695" spans="5:11" x14ac:dyDescent="0.2">
      <c r="E2695" s="50"/>
      <c r="H2695" s="12"/>
      <c r="K2695"/>
    </row>
    <row r="2696" spans="5:11" x14ac:dyDescent="0.2">
      <c r="E2696" s="50"/>
      <c r="H2696" s="12"/>
      <c r="K2696"/>
    </row>
    <row r="2697" spans="5:11" x14ac:dyDescent="0.2">
      <c r="E2697" s="50"/>
      <c r="H2697" s="12"/>
      <c r="K2697"/>
    </row>
    <row r="2698" spans="5:11" x14ac:dyDescent="0.2">
      <c r="E2698" s="50"/>
      <c r="H2698" s="12"/>
      <c r="K2698"/>
    </row>
    <row r="2699" spans="5:11" x14ac:dyDescent="0.2">
      <c r="E2699" s="50"/>
      <c r="H2699" s="12"/>
      <c r="K2699"/>
    </row>
    <row r="2700" spans="5:11" x14ac:dyDescent="0.2">
      <c r="E2700" s="50"/>
      <c r="H2700" s="12"/>
      <c r="K2700"/>
    </row>
    <row r="2701" spans="5:11" x14ac:dyDescent="0.2">
      <c r="E2701" s="50"/>
      <c r="H2701" s="12"/>
      <c r="K2701"/>
    </row>
    <row r="2702" spans="5:11" x14ac:dyDescent="0.2">
      <c r="E2702" s="50"/>
      <c r="H2702" s="12"/>
      <c r="K2702"/>
    </row>
    <row r="2703" spans="5:11" x14ac:dyDescent="0.2">
      <c r="E2703" s="50"/>
      <c r="H2703" s="12"/>
      <c r="K2703"/>
    </row>
    <row r="2704" spans="5:11" x14ac:dyDescent="0.2">
      <c r="E2704" s="50"/>
      <c r="H2704" s="12"/>
      <c r="K2704"/>
    </row>
    <row r="2705" spans="5:11" x14ac:dyDescent="0.2">
      <c r="E2705" s="50"/>
      <c r="H2705" s="12"/>
      <c r="K2705"/>
    </row>
    <row r="2706" spans="5:11" x14ac:dyDescent="0.2">
      <c r="E2706" s="50"/>
      <c r="H2706" s="12"/>
      <c r="K2706"/>
    </row>
    <row r="2707" spans="5:11" x14ac:dyDescent="0.2">
      <c r="E2707" s="50"/>
      <c r="H2707" s="12"/>
      <c r="K2707"/>
    </row>
    <row r="2708" spans="5:11" x14ac:dyDescent="0.2">
      <c r="E2708" s="50"/>
      <c r="H2708" s="12"/>
      <c r="K2708"/>
    </row>
    <row r="2709" spans="5:11" x14ac:dyDescent="0.2">
      <c r="E2709" s="50"/>
      <c r="H2709" s="12"/>
      <c r="K2709"/>
    </row>
    <row r="2710" spans="5:11" x14ac:dyDescent="0.2">
      <c r="E2710" s="50"/>
      <c r="H2710" s="12"/>
      <c r="K2710"/>
    </row>
    <row r="2711" spans="5:11" x14ac:dyDescent="0.2">
      <c r="E2711" s="50"/>
      <c r="H2711" s="12"/>
      <c r="K2711"/>
    </row>
    <row r="2712" spans="5:11" x14ac:dyDescent="0.2">
      <c r="E2712" s="50"/>
      <c r="H2712" s="12"/>
      <c r="K2712"/>
    </row>
    <row r="2713" spans="5:11" x14ac:dyDescent="0.2">
      <c r="E2713" s="50"/>
      <c r="H2713" s="12"/>
      <c r="K2713"/>
    </row>
    <row r="2714" spans="5:11" x14ac:dyDescent="0.2">
      <c r="E2714" s="50"/>
      <c r="H2714" s="12"/>
      <c r="K2714"/>
    </row>
    <row r="2715" spans="5:11" x14ac:dyDescent="0.2">
      <c r="E2715" s="50"/>
      <c r="H2715" s="12"/>
      <c r="K2715"/>
    </row>
    <row r="2716" spans="5:11" x14ac:dyDescent="0.2">
      <c r="E2716" s="50"/>
      <c r="H2716" s="12"/>
      <c r="K2716"/>
    </row>
    <row r="2717" spans="5:11" x14ac:dyDescent="0.2">
      <c r="E2717" s="50"/>
      <c r="H2717" s="12"/>
      <c r="K2717"/>
    </row>
    <row r="2718" spans="5:11" x14ac:dyDescent="0.2">
      <c r="E2718" s="50"/>
      <c r="H2718" s="12"/>
      <c r="K2718"/>
    </row>
    <row r="2719" spans="5:11" x14ac:dyDescent="0.2">
      <c r="E2719" s="50"/>
      <c r="H2719" s="12"/>
      <c r="K2719"/>
    </row>
    <row r="2720" spans="5:11" x14ac:dyDescent="0.2">
      <c r="E2720" s="50"/>
      <c r="H2720" s="12"/>
      <c r="K2720"/>
    </row>
    <row r="2721" spans="5:11" x14ac:dyDescent="0.2">
      <c r="E2721" s="50"/>
      <c r="H2721" s="12"/>
      <c r="K2721"/>
    </row>
    <row r="2722" spans="5:11" x14ac:dyDescent="0.2">
      <c r="E2722" s="50"/>
      <c r="H2722" s="12"/>
      <c r="K2722"/>
    </row>
    <row r="2723" spans="5:11" x14ac:dyDescent="0.2">
      <c r="E2723" s="50"/>
      <c r="H2723" s="12"/>
      <c r="K2723"/>
    </row>
    <row r="2724" spans="5:11" x14ac:dyDescent="0.2">
      <c r="E2724" s="50"/>
      <c r="H2724" s="12"/>
      <c r="K2724"/>
    </row>
    <row r="2725" spans="5:11" x14ac:dyDescent="0.2">
      <c r="E2725" s="50"/>
      <c r="H2725" s="12"/>
      <c r="K2725"/>
    </row>
    <row r="2726" spans="5:11" x14ac:dyDescent="0.2">
      <c r="E2726" s="50"/>
      <c r="H2726" s="12"/>
      <c r="K2726"/>
    </row>
    <row r="2727" spans="5:11" x14ac:dyDescent="0.2">
      <c r="E2727" s="50"/>
      <c r="H2727" s="12"/>
      <c r="K2727"/>
    </row>
    <row r="2728" spans="5:11" x14ac:dyDescent="0.2">
      <c r="E2728" s="50"/>
      <c r="H2728" s="12"/>
      <c r="K2728"/>
    </row>
    <row r="2729" spans="5:11" x14ac:dyDescent="0.2">
      <c r="E2729" s="50"/>
      <c r="H2729" s="12"/>
      <c r="K2729"/>
    </row>
    <row r="2730" spans="5:11" x14ac:dyDescent="0.2">
      <c r="E2730" s="50"/>
      <c r="H2730" s="12"/>
      <c r="K2730"/>
    </row>
    <row r="2731" spans="5:11" x14ac:dyDescent="0.2">
      <c r="E2731" s="50"/>
      <c r="H2731" s="12"/>
      <c r="K2731"/>
    </row>
    <row r="2732" spans="5:11" x14ac:dyDescent="0.2">
      <c r="E2732" s="50"/>
      <c r="H2732" s="12"/>
      <c r="K2732"/>
    </row>
    <row r="2733" spans="5:11" x14ac:dyDescent="0.2">
      <c r="E2733" s="50"/>
      <c r="H2733" s="12"/>
      <c r="K2733"/>
    </row>
    <row r="2734" spans="5:11" x14ac:dyDescent="0.2">
      <c r="E2734" s="50"/>
      <c r="H2734" s="12"/>
      <c r="K2734"/>
    </row>
    <row r="2735" spans="5:11" x14ac:dyDescent="0.2">
      <c r="E2735" s="50"/>
      <c r="H2735" s="12"/>
      <c r="K2735"/>
    </row>
    <row r="2736" spans="5:11" x14ac:dyDescent="0.2">
      <c r="E2736" s="50"/>
      <c r="H2736" s="12"/>
      <c r="K2736"/>
    </row>
    <row r="2737" spans="5:11" x14ac:dyDescent="0.2">
      <c r="E2737" s="50"/>
      <c r="H2737" s="12"/>
      <c r="K2737"/>
    </row>
    <row r="2738" spans="5:11" x14ac:dyDescent="0.2">
      <c r="E2738" s="50"/>
      <c r="H2738" s="12"/>
      <c r="K2738"/>
    </row>
    <row r="2739" spans="5:11" x14ac:dyDescent="0.2">
      <c r="E2739" s="50"/>
      <c r="H2739" s="12"/>
      <c r="K2739"/>
    </row>
    <row r="2740" spans="5:11" x14ac:dyDescent="0.2">
      <c r="E2740" s="50"/>
      <c r="H2740" s="12"/>
      <c r="K2740"/>
    </row>
    <row r="2741" spans="5:11" x14ac:dyDescent="0.2">
      <c r="E2741" s="50"/>
      <c r="H2741" s="12"/>
      <c r="K2741"/>
    </row>
    <row r="2742" spans="5:11" x14ac:dyDescent="0.2">
      <c r="E2742" s="50"/>
      <c r="H2742" s="12"/>
      <c r="K2742"/>
    </row>
    <row r="2743" spans="5:11" x14ac:dyDescent="0.2">
      <c r="E2743" s="50"/>
      <c r="H2743" s="12"/>
      <c r="K2743"/>
    </row>
    <row r="2744" spans="5:11" x14ac:dyDescent="0.2">
      <c r="E2744" s="50"/>
      <c r="H2744" s="12"/>
      <c r="K2744"/>
    </row>
    <row r="2745" spans="5:11" x14ac:dyDescent="0.2">
      <c r="E2745" s="50"/>
      <c r="H2745" s="12"/>
      <c r="K2745"/>
    </row>
    <row r="2746" spans="5:11" x14ac:dyDescent="0.2">
      <c r="E2746" s="50"/>
      <c r="H2746" s="12"/>
      <c r="K2746"/>
    </row>
    <row r="2747" spans="5:11" x14ac:dyDescent="0.2">
      <c r="E2747" s="50"/>
      <c r="H2747" s="12"/>
      <c r="K2747"/>
    </row>
    <row r="2748" spans="5:11" x14ac:dyDescent="0.2">
      <c r="E2748" s="50"/>
      <c r="H2748" s="12"/>
      <c r="K2748"/>
    </row>
    <row r="2749" spans="5:11" x14ac:dyDescent="0.2">
      <c r="E2749" s="50"/>
      <c r="H2749" s="12"/>
      <c r="K2749"/>
    </row>
    <row r="2750" spans="5:11" x14ac:dyDescent="0.2">
      <c r="E2750" s="50"/>
      <c r="F2750" s="41"/>
      <c r="H2750" s="12"/>
      <c r="K2750"/>
    </row>
    <row r="2751" spans="5:11" x14ac:dyDescent="0.2">
      <c r="E2751" s="50"/>
      <c r="H2751" s="12"/>
      <c r="K2751"/>
    </row>
    <row r="2752" spans="5:11" x14ac:dyDescent="0.2">
      <c r="E2752" s="50"/>
      <c r="H2752" s="12"/>
      <c r="K2752"/>
    </row>
    <row r="2753" spans="5:11" x14ac:dyDescent="0.2">
      <c r="E2753" s="50"/>
      <c r="H2753" s="12"/>
      <c r="K2753"/>
    </row>
    <row r="2754" spans="5:11" x14ac:dyDescent="0.2">
      <c r="E2754" s="50"/>
      <c r="H2754" s="12"/>
      <c r="K2754"/>
    </row>
    <row r="2755" spans="5:11" x14ac:dyDescent="0.2">
      <c r="E2755" s="50"/>
      <c r="H2755" s="12"/>
      <c r="K2755"/>
    </row>
    <row r="2756" spans="5:11" x14ac:dyDescent="0.2">
      <c r="E2756" s="50"/>
      <c r="H2756" s="12"/>
      <c r="K2756"/>
    </row>
    <row r="2757" spans="5:11" x14ac:dyDescent="0.2">
      <c r="E2757" s="50"/>
      <c r="H2757" s="12"/>
      <c r="K2757"/>
    </row>
    <row r="2758" spans="5:11" x14ac:dyDescent="0.2">
      <c r="E2758" s="50"/>
      <c r="H2758" s="12"/>
      <c r="K2758"/>
    </row>
    <row r="2759" spans="5:11" x14ac:dyDescent="0.2">
      <c r="E2759" s="50"/>
      <c r="H2759" s="12"/>
      <c r="K2759"/>
    </row>
    <row r="2760" spans="5:11" x14ac:dyDescent="0.2">
      <c r="E2760" s="50"/>
      <c r="H2760" s="12"/>
      <c r="K2760"/>
    </row>
    <row r="2761" spans="5:11" x14ac:dyDescent="0.2">
      <c r="E2761" s="50"/>
      <c r="H2761" s="12"/>
      <c r="K2761"/>
    </row>
    <row r="2762" spans="5:11" x14ac:dyDescent="0.2">
      <c r="E2762" s="50"/>
      <c r="H2762" s="12"/>
      <c r="K2762"/>
    </row>
    <row r="2763" spans="5:11" x14ac:dyDescent="0.2">
      <c r="E2763" s="50"/>
      <c r="H2763" s="12"/>
      <c r="K2763"/>
    </row>
    <row r="2764" spans="5:11" x14ac:dyDescent="0.2">
      <c r="E2764" s="50"/>
      <c r="H2764" s="12"/>
      <c r="K2764"/>
    </row>
    <row r="2765" spans="5:11" x14ac:dyDescent="0.2">
      <c r="E2765" s="50"/>
      <c r="H2765" s="12"/>
      <c r="K2765"/>
    </row>
    <row r="2766" spans="5:11" x14ac:dyDescent="0.2">
      <c r="E2766" s="50"/>
      <c r="H2766" s="12"/>
      <c r="K2766"/>
    </row>
    <row r="2767" spans="5:11" x14ac:dyDescent="0.2">
      <c r="E2767" s="50"/>
      <c r="H2767" s="12"/>
      <c r="K2767"/>
    </row>
    <row r="2768" spans="5:11" x14ac:dyDescent="0.2">
      <c r="E2768" s="50"/>
      <c r="H2768" s="12"/>
      <c r="K2768"/>
    </row>
    <row r="2769" spans="1:11" x14ac:dyDescent="0.2">
      <c r="E2769" s="50"/>
      <c r="H2769" s="12"/>
      <c r="K2769"/>
    </row>
    <row r="2770" spans="1:11" x14ac:dyDescent="0.2">
      <c r="E2770" s="50"/>
      <c r="H2770" s="12"/>
      <c r="K2770"/>
    </row>
    <row r="2771" spans="1:11" x14ac:dyDescent="0.2">
      <c r="E2771" s="50"/>
      <c r="H2771" s="12"/>
      <c r="K2771"/>
    </row>
    <row r="2772" spans="1:11" x14ac:dyDescent="0.2">
      <c r="E2772" s="50"/>
      <c r="H2772" s="12"/>
      <c r="K2772"/>
    </row>
    <row r="2773" spans="1:11" x14ac:dyDescent="0.2">
      <c r="E2773" s="50"/>
      <c r="H2773" s="12"/>
      <c r="K2773"/>
    </row>
    <row r="2774" spans="1:11" x14ac:dyDescent="0.2">
      <c r="E2774" s="50"/>
      <c r="H2774" s="12"/>
      <c r="K2774"/>
    </row>
    <row r="2775" spans="1:11" x14ac:dyDescent="0.2">
      <c r="A2775" s="43"/>
      <c r="B2775" s="43"/>
      <c r="C2775" s="43"/>
      <c r="D2775" s="28" t="s">
        <v>55</v>
      </c>
      <c r="E2775" s="53" t="s">
        <v>43</v>
      </c>
      <c r="G2775" s="29"/>
      <c r="H2775" s="12"/>
    </row>
    <row r="2776" spans="1:11" ht="12" customHeight="1" x14ac:dyDescent="0.2">
      <c r="A2776" s="45" t="s">
        <v>0</v>
      </c>
      <c r="D2776" s="27" t="s">
        <v>17</v>
      </c>
      <c r="E2776" s="63">
        <v>44440</v>
      </c>
      <c r="G2776" s="26" t="s">
        <v>12</v>
      </c>
      <c r="H2776" s="123">
        <v>44440</v>
      </c>
      <c r="I2776" s="12" t="s">
        <v>53</v>
      </c>
    </row>
    <row r="2777" spans="1:11" x14ac:dyDescent="0.2">
      <c r="A2777" s="46" t="s">
        <v>41</v>
      </c>
      <c r="D2777" s="27" t="s">
        <v>17</v>
      </c>
      <c r="E2777" s="63">
        <v>44441</v>
      </c>
      <c r="G2777" s="26" t="s">
        <v>20</v>
      </c>
      <c r="H2777" s="123">
        <v>44441</v>
      </c>
      <c r="I2777" s="12" t="s">
        <v>53</v>
      </c>
    </row>
    <row r="2778" spans="1:11" x14ac:dyDescent="0.2">
      <c r="D2778" s="27" t="s">
        <v>17</v>
      </c>
      <c r="E2778" s="63">
        <v>44442</v>
      </c>
      <c r="G2778" s="26" t="s">
        <v>21</v>
      </c>
      <c r="H2778" s="123">
        <v>44442</v>
      </c>
      <c r="I2778" s="12" t="s">
        <v>53</v>
      </c>
    </row>
    <row r="2779" spans="1:11" x14ac:dyDescent="0.2">
      <c r="D2779" s="27" t="s">
        <v>17</v>
      </c>
      <c r="E2779" s="63">
        <v>44443</v>
      </c>
      <c r="G2779" s="26" t="s">
        <v>19</v>
      </c>
      <c r="H2779" s="123">
        <v>44445</v>
      </c>
      <c r="I2779" s="12" t="s">
        <v>53</v>
      </c>
    </row>
    <row r="2780" spans="1:11" x14ac:dyDescent="0.2">
      <c r="D2780" s="27" t="s">
        <v>17</v>
      </c>
      <c r="E2780" s="63">
        <v>44444</v>
      </c>
      <c r="G2780" s="26" t="s">
        <v>14</v>
      </c>
      <c r="H2780" s="123">
        <v>44445</v>
      </c>
      <c r="I2780" s="12" t="s">
        <v>53</v>
      </c>
    </row>
    <row r="2781" spans="1:11" x14ac:dyDescent="0.2">
      <c r="D2781" s="27" t="s">
        <v>17</v>
      </c>
      <c r="E2781" s="63">
        <v>44445</v>
      </c>
      <c r="G2781" s="26" t="s">
        <v>15</v>
      </c>
      <c r="H2781" s="123">
        <v>44445</v>
      </c>
      <c r="I2781" s="12" t="s">
        <v>53</v>
      </c>
    </row>
    <row r="2782" spans="1:11" x14ac:dyDescent="0.2">
      <c r="D2782" s="27" t="s">
        <v>17</v>
      </c>
      <c r="E2782" s="63">
        <v>44446</v>
      </c>
      <c r="G2782" s="26" t="s">
        <v>16</v>
      </c>
      <c r="H2782" s="123">
        <v>44446</v>
      </c>
      <c r="I2782" s="12" t="s">
        <v>53</v>
      </c>
      <c r="K2782"/>
    </row>
    <row r="2783" spans="1:11" x14ac:dyDescent="0.2">
      <c r="D2783" s="27" t="s">
        <v>17</v>
      </c>
      <c r="E2783" s="63">
        <v>44447</v>
      </c>
      <c r="G2783" s="26" t="s">
        <v>25</v>
      </c>
      <c r="H2783" s="123">
        <v>44447</v>
      </c>
      <c r="I2783" s="12" t="s">
        <v>53</v>
      </c>
      <c r="K2783"/>
    </row>
    <row r="2784" spans="1:11" x14ac:dyDescent="0.2">
      <c r="D2784" s="27" t="s">
        <v>17</v>
      </c>
      <c r="E2784" s="63">
        <v>44448</v>
      </c>
      <c r="G2784" s="26" t="s">
        <v>26</v>
      </c>
      <c r="H2784" s="123">
        <v>44448</v>
      </c>
      <c r="I2784" s="12" t="s">
        <v>53</v>
      </c>
      <c r="K2784"/>
    </row>
    <row r="2785" spans="4:11" x14ac:dyDescent="0.2">
      <c r="D2785" s="27" t="s">
        <v>17</v>
      </c>
      <c r="E2785" s="63">
        <v>44449</v>
      </c>
      <c r="G2785" s="26" t="s">
        <v>36</v>
      </c>
      <c r="H2785" s="123">
        <v>44449</v>
      </c>
      <c r="I2785" s="12" t="s">
        <v>53</v>
      </c>
      <c r="K2785"/>
    </row>
    <row r="2786" spans="4:11" x14ac:dyDescent="0.2">
      <c r="D2786" s="27" t="s">
        <v>17</v>
      </c>
      <c r="E2786" s="63">
        <v>44450</v>
      </c>
      <c r="G2786" s="26" t="s">
        <v>31</v>
      </c>
      <c r="H2786" s="123">
        <v>44452</v>
      </c>
      <c r="I2786" s="12" t="s">
        <v>53</v>
      </c>
      <c r="K2786"/>
    </row>
    <row r="2787" spans="4:11" x14ac:dyDescent="0.2">
      <c r="D2787" s="27" t="s">
        <v>17</v>
      </c>
      <c r="E2787" s="63">
        <v>44451</v>
      </c>
      <c r="G2787" s="26" t="s">
        <v>29</v>
      </c>
      <c r="H2787" s="123">
        <v>44452</v>
      </c>
      <c r="I2787" s="12" t="s">
        <v>53</v>
      </c>
      <c r="K2787"/>
    </row>
    <row r="2788" spans="4:11" x14ac:dyDescent="0.2">
      <c r="D2788" s="27" t="s">
        <v>17</v>
      </c>
      <c r="E2788" s="63">
        <v>44452</v>
      </c>
      <c r="G2788" s="26" t="s">
        <v>32</v>
      </c>
      <c r="H2788" s="123">
        <v>44452</v>
      </c>
      <c r="I2788" s="12" t="s">
        <v>53</v>
      </c>
      <c r="K2788"/>
    </row>
    <row r="2789" spans="4:11" x14ac:dyDescent="0.2">
      <c r="D2789" s="27" t="s">
        <v>17</v>
      </c>
      <c r="E2789" s="63">
        <v>44453</v>
      </c>
      <c r="G2789" s="26" t="s">
        <v>33</v>
      </c>
      <c r="H2789" s="123">
        <v>44453</v>
      </c>
      <c r="I2789" s="12" t="s">
        <v>53</v>
      </c>
      <c r="K2789"/>
    </row>
    <row r="2790" spans="4:11" x14ac:dyDescent="0.2">
      <c r="D2790" s="27" t="s">
        <v>17</v>
      </c>
      <c r="E2790" s="63">
        <v>44454</v>
      </c>
      <c r="G2790" s="26" t="s">
        <v>34</v>
      </c>
      <c r="H2790" s="123">
        <v>44454</v>
      </c>
      <c r="I2790" s="12" t="s">
        <v>53</v>
      </c>
      <c r="K2790"/>
    </row>
    <row r="2791" spans="4:11" x14ac:dyDescent="0.2">
      <c r="D2791" s="27" t="s">
        <v>17</v>
      </c>
      <c r="E2791" s="63">
        <v>44455</v>
      </c>
      <c r="G2791" s="26" t="s">
        <v>7</v>
      </c>
      <c r="H2791" s="123">
        <v>44455</v>
      </c>
      <c r="I2791" s="12" t="s">
        <v>53</v>
      </c>
      <c r="K2791"/>
    </row>
    <row r="2792" spans="4:11" x14ac:dyDescent="0.2">
      <c r="D2792" s="27" t="s">
        <v>17</v>
      </c>
      <c r="E2792" s="63">
        <v>44456</v>
      </c>
      <c r="G2792" s="26" t="s">
        <v>8</v>
      </c>
      <c r="H2792" s="123">
        <v>44456</v>
      </c>
      <c r="I2792" s="12" t="s">
        <v>53</v>
      </c>
      <c r="K2792"/>
    </row>
    <row r="2793" spans="4:11" x14ac:dyDescent="0.2">
      <c r="D2793" s="27" t="s">
        <v>17</v>
      </c>
      <c r="E2793" s="63">
        <v>44457</v>
      </c>
      <c r="G2793" s="26" t="s">
        <v>9</v>
      </c>
      <c r="H2793" s="123">
        <v>44459</v>
      </c>
      <c r="I2793" s="12" t="s">
        <v>53</v>
      </c>
      <c r="K2793"/>
    </row>
    <row r="2794" spans="4:11" x14ac:dyDescent="0.2">
      <c r="D2794" s="27" t="s">
        <v>17</v>
      </c>
      <c r="E2794" s="63">
        <v>44458</v>
      </c>
      <c r="G2794" s="26" t="s">
        <v>52</v>
      </c>
      <c r="H2794" s="123">
        <v>44459</v>
      </c>
      <c r="I2794" s="12" t="s">
        <v>53</v>
      </c>
      <c r="K2794"/>
    </row>
    <row r="2795" spans="4:11" x14ac:dyDescent="0.2">
      <c r="D2795" s="27" t="s">
        <v>17</v>
      </c>
      <c r="E2795" s="63">
        <v>44459</v>
      </c>
      <c r="G2795" s="26" t="s">
        <v>30</v>
      </c>
      <c r="H2795" s="123">
        <v>44459</v>
      </c>
      <c r="I2795" s="12" t="s">
        <v>53</v>
      </c>
      <c r="K2795"/>
    </row>
    <row r="2796" spans="4:11" x14ac:dyDescent="0.2">
      <c r="D2796" s="27" t="s">
        <v>17</v>
      </c>
      <c r="E2796" s="63">
        <v>44460</v>
      </c>
      <c r="G2796" s="26" t="s">
        <v>51</v>
      </c>
      <c r="H2796" s="123">
        <v>44460</v>
      </c>
      <c r="I2796" s="12" t="s">
        <v>53</v>
      </c>
      <c r="K2796"/>
    </row>
    <row r="2797" spans="4:11" x14ac:dyDescent="0.2">
      <c r="D2797" s="27" t="s">
        <v>17</v>
      </c>
      <c r="E2797" s="63">
        <v>44461</v>
      </c>
      <c r="G2797" s="26" t="s">
        <v>38</v>
      </c>
      <c r="H2797" s="123">
        <v>44461</v>
      </c>
      <c r="I2797" s="12" t="s">
        <v>53</v>
      </c>
      <c r="K2797"/>
    </row>
    <row r="2798" spans="4:11" x14ac:dyDescent="0.2">
      <c r="D2798" s="27" t="s">
        <v>17</v>
      </c>
      <c r="E2798" s="63">
        <v>44462</v>
      </c>
      <c r="G2798" s="26" t="s">
        <v>39</v>
      </c>
      <c r="H2798" s="123">
        <v>44462</v>
      </c>
      <c r="I2798" s="12" t="s">
        <v>53</v>
      </c>
      <c r="K2798"/>
    </row>
    <row r="2799" spans="4:11" x14ac:dyDescent="0.2">
      <c r="D2799" s="27" t="s">
        <v>17</v>
      </c>
      <c r="E2799" s="63">
        <v>44463</v>
      </c>
      <c r="G2799" s="26" t="s">
        <v>27</v>
      </c>
      <c r="H2799" s="123">
        <v>44463</v>
      </c>
      <c r="I2799" s="12" t="s">
        <v>53</v>
      </c>
      <c r="K2799"/>
    </row>
    <row r="2800" spans="4:11" x14ac:dyDescent="0.2">
      <c r="D2800" s="27" t="s">
        <v>17</v>
      </c>
      <c r="E2800" s="63">
        <v>44464</v>
      </c>
      <c r="G2800" s="26" t="s">
        <v>28</v>
      </c>
      <c r="H2800" s="123">
        <v>44466</v>
      </c>
      <c r="I2800" s="12" t="s">
        <v>53</v>
      </c>
      <c r="K2800"/>
    </row>
    <row r="2801" spans="4:11" x14ac:dyDescent="0.2">
      <c r="D2801" s="27" t="s">
        <v>17</v>
      </c>
      <c r="E2801" s="63">
        <v>44465</v>
      </c>
      <c r="G2801" s="26" t="s">
        <v>18</v>
      </c>
      <c r="H2801" s="123">
        <v>44466</v>
      </c>
      <c r="I2801" s="12" t="s">
        <v>53</v>
      </c>
      <c r="K2801"/>
    </row>
    <row r="2802" spans="4:11" x14ac:dyDescent="0.2">
      <c r="D2802" s="27" t="s">
        <v>17</v>
      </c>
      <c r="E2802" s="63">
        <v>44466</v>
      </c>
      <c r="G2802" s="26" t="s">
        <v>6</v>
      </c>
      <c r="H2802" s="123">
        <v>44466</v>
      </c>
      <c r="I2802" s="12" t="s">
        <v>53</v>
      </c>
      <c r="K2802"/>
    </row>
    <row r="2803" spans="4:11" x14ac:dyDescent="0.2">
      <c r="D2803" s="27" t="s">
        <v>17</v>
      </c>
      <c r="E2803" s="63">
        <v>44467</v>
      </c>
      <c r="G2803" s="26" t="s">
        <v>22</v>
      </c>
      <c r="H2803" s="123">
        <v>44467</v>
      </c>
      <c r="I2803" s="12" t="s">
        <v>53</v>
      </c>
      <c r="K2803"/>
    </row>
    <row r="2804" spans="4:11" x14ac:dyDescent="0.2">
      <c r="D2804" s="27" t="s">
        <v>17</v>
      </c>
      <c r="E2804" s="63">
        <v>44468</v>
      </c>
      <c r="G2804" s="26" t="s">
        <v>45</v>
      </c>
      <c r="H2804" s="123">
        <v>44468</v>
      </c>
      <c r="I2804" s="12" t="s">
        <v>53</v>
      </c>
      <c r="K2804"/>
    </row>
    <row r="2805" spans="4:11" x14ac:dyDescent="0.2">
      <c r="D2805" s="27" t="s">
        <v>17</v>
      </c>
      <c r="E2805" s="63">
        <v>44469</v>
      </c>
      <c r="G2805" s="26" t="s">
        <v>13</v>
      </c>
      <c r="H2805" s="123">
        <v>44469</v>
      </c>
      <c r="I2805" s="12" t="s">
        <v>53</v>
      </c>
      <c r="K2805"/>
    </row>
    <row r="2806" spans="4:11" x14ac:dyDescent="0.2">
      <c r="D2806" s="27" t="s">
        <v>17</v>
      </c>
      <c r="E2806" s="63"/>
      <c r="G2806" s="26"/>
      <c r="H2806" s="123"/>
      <c r="I2806" s="12" t="s">
        <v>53</v>
      </c>
      <c r="K2806"/>
    </row>
    <row r="2807" spans="4:11" x14ac:dyDescent="0.2">
      <c r="D2807" s="27" t="s">
        <v>44</v>
      </c>
      <c r="E2807" s="59">
        <v>44443</v>
      </c>
      <c r="G2807" s="26" t="s">
        <v>1</v>
      </c>
      <c r="H2807" s="65">
        <v>44443</v>
      </c>
      <c r="I2807" s="12"/>
      <c r="K2807"/>
    </row>
    <row r="2808" spans="4:11" x14ac:dyDescent="0.2">
      <c r="D2808" s="27" t="s">
        <v>44</v>
      </c>
      <c r="E2808" s="59">
        <v>44444</v>
      </c>
      <c r="G2808" s="26" t="s">
        <v>10</v>
      </c>
      <c r="H2808" s="65">
        <v>44444</v>
      </c>
      <c r="K2808"/>
    </row>
    <row r="2809" spans="4:11" x14ac:dyDescent="0.2">
      <c r="D2809" s="27" t="s">
        <v>44</v>
      </c>
      <c r="E2809" s="59">
        <v>44450</v>
      </c>
      <c r="G2809" s="26" t="s">
        <v>11</v>
      </c>
      <c r="H2809" s="65">
        <v>44450</v>
      </c>
      <c r="K2809"/>
    </row>
    <row r="2810" spans="4:11" x14ac:dyDescent="0.2">
      <c r="D2810" s="27" t="s">
        <v>44</v>
      </c>
      <c r="E2810" s="59">
        <v>44451</v>
      </c>
      <c r="G2810" s="26" t="s">
        <v>23</v>
      </c>
      <c r="H2810" s="65">
        <v>44451</v>
      </c>
      <c r="K2810"/>
    </row>
    <row r="2811" spans="4:11" x14ac:dyDescent="0.2">
      <c r="D2811" s="27" t="s">
        <v>44</v>
      </c>
      <c r="E2811" s="59">
        <v>44457</v>
      </c>
      <c r="G2811" s="26" t="s">
        <v>4</v>
      </c>
      <c r="H2811" s="65">
        <v>44457</v>
      </c>
      <c r="K2811"/>
    </row>
    <row r="2812" spans="4:11" x14ac:dyDescent="0.2">
      <c r="D2812" s="27" t="s">
        <v>44</v>
      </c>
      <c r="E2812" s="59">
        <v>44458</v>
      </c>
      <c r="G2812" s="26" t="s">
        <v>24</v>
      </c>
      <c r="H2812" s="65">
        <v>44458</v>
      </c>
      <c r="K2812"/>
    </row>
    <row r="2813" spans="4:11" x14ac:dyDescent="0.2">
      <c r="D2813" s="27" t="s">
        <v>44</v>
      </c>
      <c r="E2813" s="59">
        <v>44464</v>
      </c>
      <c r="G2813" s="26" t="s">
        <v>37</v>
      </c>
      <c r="H2813" s="65">
        <v>44464</v>
      </c>
      <c r="K2813"/>
    </row>
    <row r="2814" spans="4:11" x14ac:dyDescent="0.2">
      <c r="D2814" s="27" t="s">
        <v>44</v>
      </c>
      <c r="E2814" s="59">
        <v>44465</v>
      </c>
      <c r="H2814" s="65">
        <v>44465</v>
      </c>
      <c r="K2814"/>
    </row>
    <row r="2815" spans="4:11" x14ac:dyDescent="0.2">
      <c r="D2815" s="27"/>
      <c r="E2815" s="50"/>
      <c r="F2815" s="41"/>
      <c r="H2815" s="3"/>
      <c r="K2815"/>
    </row>
    <row r="2816" spans="4:11" x14ac:dyDescent="0.2">
      <c r="D2816" s="27"/>
      <c r="E2816" s="50"/>
      <c r="F2816" s="41"/>
      <c r="H2816" s="3"/>
      <c r="K2816"/>
    </row>
    <row r="2817" spans="4:11" x14ac:dyDescent="0.2">
      <c r="D2817" s="27"/>
      <c r="E2817" s="50"/>
      <c r="F2817" s="41"/>
      <c r="H2817" s="3"/>
      <c r="K2817"/>
    </row>
    <row r="2818" spans="4:11" x14ac:dyDescent="0.2">
      <c r="F2818" s="41"/>
      <c r="K2818"/>
    </row>
    <row r="2822" spans="4:11" x14ac:dyDescent="0.2">
      <c r="I2822" s="30"/>
      <c r="K2822"/>
    </row>
    <row r="2823" spans="4:11" x14ac:dyDescent="0.2">
      <c r="I2823" s="30"/>
      <c r="K2823"/>
    </row>
    <row r="2824" spans="4:11" x14ac:dyDescent="0.2">
      <c r="I2824" s="30"/>
      <c r="K2824"/>
    </row>
    <row r="2825" spans="4:11" x14ac:dyDescent="0.2">
      <c r="I2825" s="30"/>
      <c r="K2825"/>
    </row>
    <row r="2826" spans="4:11" x14ac:dyDescent="0.2">
      <c r="I2826" s="30"/>
      <c r="K2826"/>
    </row>
    <row r="2827" spans="4:11" x14ac:dyDescent="0.2">
      <c r="I2827" s="30"/>
      <c r="K2827"/>
    </row>
    <row r="2828" spans="4:11" x14ac:dyDescent="0.2">
      <c r="I2828" s="30"/>
      <c r="K2828"/>
    </row>
    <row r="2829" spans="4:11" x14ac:dyDescent="0.2">
      <c r="I2829" s="30"/>
      <c r="K2829"/>
    </row>
    <row r="2830" spans="4:11" x14ac:dyDescent="0.2">
      <c r="E2830"/>
      <c r="F2830"/>
      <c r="H2830"/>
      <c r="I2830" s="30"/>
      <c r="K2830"/>
    </row>
    <row r="2831" spans="4:11" x14ac:dyDescent="0.2">
      <c r="E2831"/>
      <c r="F2831"/>
      <c r="H2831"/>
      <c r="I2831" s="30"/>
      <c r="K2831"/>
    </row>
    <row r="2832" spans="4:11" x14ac:dyDescent="0.2">
      <c r="E2832"/>
      <c r="F2832"/>
      <c r="H2832"/>
      <c r="I2832" s="30"/>
      <c r="K2832"/>
    </row>
    <row r="2833" spans="9:9" customFormat="1" x14ac:dyDescent="0.2">
      <c r="I2833" s="30"/>
    </row>
    <row r="2834" spans="9:9" customFormat="1" x14ac:dyDescent="0.2">
      <c r="I2834" s="30"/>
    </row>
    <row r="2835" spans="9:9" customFormat="1" x14ac:dyDescent="0.2">
      <c r="I2835" s="30"/>
    </row>
    <row r="2836" spans="9:9" customFormat="1" x14ac:dyDescent="0.2">
      <c r="I2836" s="30"/>
    </row>
    <row r="2837" spans="9:9" customFormat="1" x14ac:dyDescent="0.2">
      <c r="I2837" s="30"/>
    </row>
    <row r="2838" spans="9:9" customFormat="1" x14ac:dyDescent="0.2">
      <c r="I2838" s="30"/>
    </row>
    <row r="2839" spans="9:9" customFormat="1" x14ac:dyDescent="0.2">
      <c r="I2839" s="30"/>
    </row>
    <row r="2840" spans="9:9" customFormat="1" x14ac:dyDescent="0.2">
      <c r="I2840" s="30"/>
    </row>
    <row r="2841" spans="9:9" customFormat="1" x14ac:dyDescent="0.2">
      <c r="I2841" s="30"/>
    </row>
    <row r="2842" spans="9:9" customFormat="1" x14ac:dyDescent="0.2">
      <c r="I2842" s="30"/>
    </row>
    <row r="2843" spans="9:9" customFormat="1" x14ac:dyDescent="0.2">
      <c r="I2843" s="30"/>
    </row>
    <row r="2844" spans="9:9" customFormat="1" x14ac:dyDescent="0.2">
      <c r="I2844" s="30"/>
    </row>
    <row r="2845" spans="9:9" customFormat="1" x14ac:dyDescent="0.2">
      <c r="I2845" s="30"/>
    </row>
    <row r="2846" spans="9:9" customFormat="1" x14ac:dyDescent="0.2">
      <c r="I2846" s="30"/>
    </row>
    <row r="2847" spans="9:9" customFormat="1" x14ac:dyDescent="0.2">
      <c r="I2847" s="30"/>
    </row>
    <row r="2848" spans="9:9" customFormat="1" x14ac:dyDescent="0.2">
      <c r="I2848" s="30"/>
    </row>
    <row r="2849" spans="9:9" customFormat="1" x14ac:dyDescent="0.2">
      <c r="I2849" s="30"/>
    </row>
    <row r="2850" spans="9:9" customFormat="1" x14ac:dyDescent="0.2">
      <c r="I2850" s="30"/>
    </row>
    <row r="2851" spans="9:9" customFormat="1" x14ac:dyDescent="0.2">
      <c r="I2851" s="30"/>
    </row>
    <row r="2852" spans="9:9" customFormat="1" x14ac:dyDescent="0.2">
      <c r="I2852" s="30"/>
    </row>
  </sheetData>
  <autoFilter ref="A1:H126" xr:uid="{00000000-0009-0000-0000-000006000000}"/>
  <pageMargins left="0.19685039370078741" right="0.19685039370078741" top="0.19685039370078741" bottom="0.19685039370078741" header="0.51181102362204722" footer="0.51181102362204722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AG63"/>
  <sheetViews>
    <sheetView zoomScale="75" zoomScaleNormal="75" workbookViewId="0">
      <pane xSplit="1" ySplit="4" topLeftCell="L5" activePane="bottomRight" state="frozen"/>
      <selection activeCell="G2826" sqref="G2826"/>
      <selection pane="topRight" activeCell="G2826" sqref="G2826"/>
      <selection pane="bottomLeft" activeCell="G2826" sqref="G2826"/>
      <selection pane="bottomRight" activeCell="N18" sqref="N18"/>
    </sheetView>
  </sheetViews>
  <sheetFormatPr defaultColWidth="15.7109375" defaultRowHeight="12.75" x14ac:dyDescent="0.2"/>
  <cols>
    <col min="1" max="1" width="15.7109375" customWidth="1"/>
    <col min="2" max="12" width="15.7109375" style="1" customWidth="1"/>
    <col min="13" max="24" width="15.7109375" customWidth="1"/>
  </cols>
  <sheetData>
    <row r="1" spans="1:23" s="2" customFormat="1" x14ac:dyDescent="0.2">
      <c r="B1" s="2" t="str">
        <f>IF(B5=1,"Domingo",IF(B5=2,"Segunda",IF(B5=3,"Terça",IF(B5=4,"Quarta",IF(B5=5,"Quinta",IF(B5=6,"Sexta",IF(B5=7,"Sábado",0)))))))</f>
        <v>Quarta</v>
      </c>
      <c r="C1" s="2" t="str">
        <f t="shared" ref="C1:U1" si="0">IF(C5=1,"Domingo",IF(C5=2,"Segunda",IF(C5=3,"Terça",IF(C5=4,"Quarta",IF(C5=5,"Quinta",IF(C5=6,"Sexta",IF(C5=7,"Sábado",0)))))))</f>
        <v>Quinta</v>
      </c>
      <c r="D1" s="2" t="str">
        <f t="shared" si="0"/>
        <v>Sexta</v>
      </c>
      <c r="E1" s="2" t="str">
        <f t="shared" si="0"/>
        <v>Segunda</v>
      </c>
      <c r="F1" s="2" t="str">
        <f t="shared" si="0"/>
        <v>Terça</v>
      </c>
      <c r="G1" s="2" t="str">
        <f t="shared" si="0"/>
        <v>Quarta</v>
      </c>
      <c r="H1" s="2" t="str">
        <f t="shared" si="0"/>
        <v>Quinta</v>
      </c>
      <c r="I1" s="2" t="str">
        <f t="shared" si="0"/>
        <v>Sexta</v>
      </c>
      <c r="J1" s="2" t="str">
        <f t="shared" si="0"/>
        <v>Segunda</v>
      </c>
      <c r="K1" s="2" t="str">
        <f t="shared" si="0"/>
        <v>Terça</v>
      </c>
      <c r="L1" s="2" t="str">
        <f t="shared" si="0"/>
        <v>Quarta</v>
      </c>
      <c r="M1" s="2" t="str">
        <f t="shared" si="0"/>
        <v>Quinta</v>
      </c>
      <c r="N1" s="2" t="str">
        <f t="shared" si="0"/>
        <v>Sexta</v>
      </c>
      <c r="O1" s="2" t="str">
        <f t="shared" si="0"/>
        <v>Segunda</v>
      </c>
      <c r="P1" s="2" t="str">
        <f t="shared" si="0"/>
        <v>Terça</v>
      </c>
      <c r="Q1" s="2" t="str">
        <f t="shared" si="0"/>
        <v>Quarta</v>
      </c>
      <c r="R1" s="2" t="str">
        <f t="shared" si="0"/>
        <v>Quinta</v>
      </c>
      <c r="S1" s="2" t="str">
        <f t="shared" si="0"/>
        <v>Sexta</v>
      </c>
      <c r="T1" s="2" t="str">
        <f t="shared" si="0"/>
        <v>Segunda</v>
      </c>
      <c r="U1" s="2" t="str">
        <f t="shared" si="0"/>
        <v>Terça</v>
      </c>
      <c r="V1" s="2" t="str">
        <f>IF(V5=1,"Domingo",IF(V5=2,"Segunda",IF(V5=3,"Terça",IF(V5=4,"Quarta",IF(V5=5,"Quinta",IF(V5=6,"Sexta",IF(V5=7,"Sábado",0)))))))</f>
        <v>Quarta</v>
      </c>
      <c r="W1" s="2" t="str">
        <f>IF(W5=1,"Domingo",IF(W5=2,"Segunda",IF(W5=3,"Terça",IF(W5=4,"Quarta",IF(W5=5,"Quinta",IF(W5=6,"Sexta",IF(W5=7,"Sábado",0)))))))</f>
        <v>Quinta</v>
      </c>
    </row>
    <row r="2" spans="1:23" s="3" customFormat="1" x14ac:dyDescent="0.2">
      <c r="A2" s="4" t="s">
        <v>2</v>
      </c>
      <c r="B2" s="3">
        <f t="shared" ref="B2:U2" si="1">B29</f>
        <v>44440</v>
      </c>
      <c r="C2" s="3">
        <f t="shared" si="1"/>
        <v>44441</v>
      </c>
      <c r="D2" s="3">
        <f t="shared" si="1"/>
        <v>44442</v>
      </c>
      <c r="E2" s="3">
        <f t="shared" si="1"/>
        <v>44445</v>
      </c>
      <c r="F2" s="3">
        <f t="shared" si="1"/>
        <v>44446</v>
      </c>
      <c r="G2" s="3">
        <f t="shared" si="1"/>
        <v>44447</v>
      </c>
      <c r="H2" s="3">
        <f t="shared" si="1"/>
        <v>44448</v>
      </c>
      <c r="I2" s="3">
        <f t="shared" si="1"/>
        <v>44449</v>
      </c>
      <c r="J2" s="3">
        <f t="shared" si="1"/>
        <v>44452</v>
      </c>
      <c r="K2" s="3">
        <f t="shared" si="1"/>
        <v>44453</v>
      </c>
      <c r="L2" s="3">
        <f t="shared" si="1"/>
        <v>44454</v>
      </c>
      <c r="M2" s="3">
        <f t="shared" si="1"/>
        <v>44455</v>
      </c>
      <c r="N2" s="3">
        <f t="shared" si="1"/>
        <v>44456</v>
      </c>
      <c r="O2" s="3">
        <f t="shared" si="1"/>
        <v>44459</v>
      </c>
      <c r="P2" s="3">
        <f t="shared" si="1"/>
        <v>44460</v>
      </c>
      <c r="Q2" s="3">
        <f t="shared" si="1"/>
        <v>44461</v>
      </c>
      <c r="R2" s="3">
        <f t="shared" si="1"/>
        <v>44462</v>
      </c>
      <c r="S2" s="3">
        <f t="shared" si="1"/>
        <v>44463</v>
      </c>
      <c r="T2" s="3">
        <f t="shared" si="1"/>
        <v>44466</v>
      </c>
      <c r="U2" s="3">
        <f t="shared" si="1"/>
        <v>44467</v>
      </c>
      <c r="V2" s="3">
        <f>V29</f>
        <v>44468</v>
      </c>
      <c r="W2" s="3">
        <f>W29</f>
        <v>44469</v>
      </c>
    </row>
    <row r="3" spans="1:23" ht="3.75" customHeight="1" thickBo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23" ht="14.25" thickTop="1" thickBot="1" x14ac:dyDescent="0.25">
      <c r="A4" s="7" t="s">
        <v>40</v>
      </c>
      <c r="B4" s="137">
        <f>Fluxo_08_21!W38</f>
        <v>-6812.3599999999742</v>
      </c>
      <c r="C4" s="8">
        <f>B38</f>
        <v>-11416.669999999973</v>
      </c>
      <c r="D4" s="8">
        <f>C38</f>
        <v>-3181.9199999999728</v>
      </c>
      <c r="E4" s="8">
        <f>D38</f>
        <v>-8217.9899999999761</v>
      </c>
      <c r="F4" s="8">
        <f>E38</f>
        <v>-18546.989999999976</v>
      </c>
      <c r="G4" s="8">
        <f>F38</f>
        <v>-19140.989999999976</v>
      </c>
      <c r="H4" s="8">
        <f t="shared" ref="H4:W4" si="2">G38</f>
        <v>-20172.989999999976</v>
      </c>
      <c r="I4" s="8">
        <f t="shared" si="2"/>
        <v>-10020.429999999977</v>
      </c>
      <c r="J4" s="8">
        <f>I38</f>
        <v>-6850.1099999999788</v>
      </c>
      <c r="K4" s="8">
        <f t="shared" si="2"/>
        <v>-7883.149999999936</v>
      </c>
      <c r="L4" s="8">
        <f t="shared" si="2"/>
        <v>-16337.139999999934</v>
      </c>
      <c r="M4" s="8">
        <f t="shared" si="2"/>
        <v>-17739.611999999932</v>
      </c>
      <c r="N4" s="8">
        <f t="shared" si="2"/>
        <v>-17821.601999999933</v>
      </c>
      <c r="O4" s="8">
        <f t="shared" si="2"/>
        <v>-21387.411999999935</v>
      </c>
      <c r="P4" s="8">
        <f t="shared" si="2"/>
        <v>-21387.411999999935</v>
      </c>
      <c r="Q4" s="8">
        <f t="shared" si="2"/>
        <v>-22051.411999999935</v>
      </c>
      <c r="R4" s="8">
        <f t="shared" si="2"/>
        <v>-22608.411999999935</v>
      </c>
      <c r="S4" s="8">
        <f t="shared" si="2"/>
        <v>-22837.731999999934</v>
      </c>
      <c r="T4" s="8">
        <f t="shared" si="2"/>
        <v>-19378.951999999936</v>
      </c>
      <c r="U4" s="8">
        <f t="shared" si="2"/>
        <v>-14553.021999999928</v>
      </c>
      <c r="V4" s="8">
        <f t="shared" si="2"/>
        <v>-20903.021999999928</v>
      </c>
      <c r="W4" s="8">
        <f t="shared" si="2"/>
        <v>-14905.561999999929</v>
      </c>
    </row>
    <row r="5" spans="1:23" ht="6.95" customHeight="1" thickTop="1" x14ac:dyDescent="0.2">
      <c r="A5" s="9"/>
      <c r="B5" s="10">
        <f t="shared" ref="B5:U5" si="3">WEEKDAY(B2)</f>
        <v>4</v>
      </c>
      <c r="C5" s="10">
        <f t="shared" si="3"/>
        <v>5</v>
      </c>
      <c r="D5" s="10">
        <f t="shared" si="3"/>
        <v>6</v>
      </c>
      <c r="E5" s="10">
        <f t="shared" si="3"/>
        <v>2</v>
      </c>
      <c r="F5" s="10">
        <f t="shared" si="3"/>
        <v>3</v>
      </c>
      <c r="G5" s="10">
        <f t="shared" si="3"/>
        <v>4</v>
      </c>
      <c r="H5" s="10">
        <f t="shared" si="3"/>
        <v>5</v>
      </c>
      <c r="I5" s="10">
        <f t="shared" si="3"/>
        <v>6</v>
      </c>
      <c r="J5" s="10">
        <f t="shared" si="3"/>
        <v>2</v>
      </c>
      <c r="K5" s="10">
        <f t="shared" si="3"/>
        <v>3</v>
      </c>
      <c r="L5" s="10">
        <f t="shared" si="3"/>
        <v>4</v>
      </c>
      <c r="M5" s="10">
        <f t="shared" si="3"/>
        <v>5</v>
      </c>
      <c r="N5" s="10">
        <f t="shared" si="3"/>
        <v>6</v>
      </c>
      <c r="O5" s="10">
        <f t="shared" si="3"/>
        <v>2</v>
      </c>
      <c r="P5" s="10">
        <f t="shared" si="3"/>
        <v>3</v>
      </c>
      <c r="Q5" s="10">
        <f t="shared" si="3"/>
        <v>4</v>
      </c>
      <c r="R5" s="10">
        <f t="shared" si="3"/>
        <v>5</v>
      </c>
      <c r="S5" s="10">
        <f t="shared" si="3"/>
        <v>6</v>
      </c>
      <c r="T5" s="10">
        <f t="shared" si="3"/>
        <v>2</v>
      </c>
      <c r="U5" s="10">
        <f t="shared" si="3"/>
        <v>3</v>
      </c>
      <c r="V5" s="10">
        <f>WEEKDAY(V2)</f>
        <v>4</v>
      </c>
      <c r="W5" s="10">
        <f>WEEKDAY(W2)</f>
        <v>5</v>
      </c>
    </row>
    <row r="6" spans="1:23" x14ac:dyDescent="0.2">
      <c r="A6" s="20" t="s">
        <v>3</v>
      </c>
      <c r="B6" s="23">
        <f t="shared" ref="B6:U6" si="4">SUM(B7:B26)</f>
        <v>30971.5</v>
      </c>
      <c r="C6" s="23">
        <f t="shared" si="4"/>
        <v>18572.95</v>
      </c>
      <c r="D6" s="23">
        <f t="shared" si="4"/>
        <v>18318.919999999998</v>
      </c>
      <c r="E6" s="23">
        <f t="shared" si="4"/>
        <v>0</v>
      </c>
      <c r="F6" s="23">
        <f t="shared" si="4"/>
        <v>0</v>
      </c>
      <c r="G6" s="23">
        <f t="shared" si="4"/>
        <v>0</v>
      </c>
      <c r="H6" s="23">
        <f t="shared" si="4"/>
        <v>25000</v>
      </c>
      <c r="I6" s="23">
        <f t="shared" si="4"/>
        <v>33247.25</v>
      </c>
      <c r="J6" s="23">
        <f t="shared" si="4"/>
        <v>182929.88</v>
      </c>
      <c r="K6" s="23">
        <f t="shared" si="4"/>
        <v>8000</v>
      </c>
      <c r="L6" s="23">
        <f t="shared" si="4"/>
        <v>19951.629999999997</v>
      </c>
      <c r="M6" s="23">
        <f t="shared" si="4"/>
        <v>0</v>
      </c>
      <c r="N6" s="23">
        <f t="shared" si="4"/>
        <v>20365.96</v>
      </c>
      <c r="O6" s="23">
        <f t="shared" si="4"/>
        <v>0</v>
      </c>
      <c r="P6" s="23">
        <f t="shared" si="4"/>
        <v>0</v>
      </c>
      <c r="Q6" s="23">
        <f t="shared" si="4"/>
        <v>0</v>
      </c>
      <c r="R6" s="23">
        <f t="shared" si="4"/>
        <v>27000</v>
      </c>
      <c r="S6" s="23">
        <f t="shared" si="4"/>
        <v>7000</v>
      </c>
      <c r="T6" s="23">
        <f t="shared" si="4"/>
        <v>47937.240000000005</v>
      </c>
      <c r="U6" s="23">
        <f t="shared" si="4"/>
        <v>0</v>
      </c>
      <c r="V6" s="23">
        <f>SUM(V7:V26)</f>
        <v>30000</v>
      </c>
      <c r="W6" s="23">
        <f>SUM(W7:W26)</f>
        <v>0</v>
      </c>
    </row>
    <row r="7" spans="1:23" x14ac:dyDescent="0.2">
      <c r="A7" t="s">
        <v>137</v>
      </c>
      <c r="B7" s="106">
        <f>11747+6318-125.08</f>
        <v>17939.919999999998</v>
      </c>
      <c r="C7" s="109">
        <v>18572.95</v>
      </c>
      <c r="D7" s="13"/>
      <c r="G7" s="15"/>
      <c r="I7" s="15"/>
      <c r="J7" s="109">
        <v>6526.1</v>
      </c>
      <c r="M7" s="1"/>
      <c r="N7" s="15"/>
      <c r="O7" s="15"/>
      <c r="P7" s="1"/>
      <c r="Q7" s="1"/>
      <c r="R7" s="120"/>
      <c r="S7" s="120"/>
      <c r="U7" s="1"/>
      <c r="W7" s="1"/>
    </row>
    <row r="8" spans="1:23" x14ac:dyDescent="0.2">
      <c r="A8" t="s">
        <v>60</v>
      </c>
      <c r="B8" s="104">
        <f>13031.58</f>
        <v>13031.58</v>
      </c>
      <c r="E8" s="71"/>
      <c r="F8" s="71"/>
      <c r="G8" s="71"/>
      <c r="I8" s="71"/>
      <c r="J8" s="71"/>
      <c r="K8" s="72"/>
      <c r="M8" s="73"/>
      <c r="N8" s="1"/>
      <c r="O8" s="17"/>
      <c r="P8" s="1"/>
      <c r="Q8" s="17"/>
      <c r="R8" s="120"/>
      <c r="S8" s="120"/>
      <c r="T8" s="1"/>
      <c r="U8" s="1"/>
      <c r="V8" s="120"/>
      <c r="W8" s="1"/>
    </row>
    <row r="9" spans="1:23" x14ac:dyDescent="0.2">
      <c r="A9" t="s">
        <v>79</v>
      </c>
      <c r="B9" s="72"/>
      <c r="C9"/>
      <c r="D9" s="112">
        <v>4320.4399999999996</v>
      </c>
      <c r="E9" s="72"/>
      <c r="F9" s="72"/>
      <c r="G9" s="72"/>
      <c r="H9" s="72"/>
      <c r="J9"/>
      <c r="K9"/>
      <c r="N9" s="104"/>
      <c r="O9" s="32"/>
      <c r="Q9" s="15"/>
      <c r="R9" s="15"/>
      <c r="S9" s="120"/>
      <c r="T9" s="104">
        <f>4300+20200</f>
        <v>24500</v>
      </c>
    </row>
    <row r="10" spans="1:23" x14ac:dyDescent="0.2">
      <c r="A10" t="s">
        <v>138</v>
      </c>
      <c r="B10" s="72"/>
      <c r="C10" s="73"/>
      <c r="D10" s="72"/>
      <c r="E10" s="72"/>
      <c r="F10" s="72"/>
      <c r="G10" s="71"/>
      <c r="H10" s="71"/>
      <c r="I10" s="71"/>
      <c r="J10" s="71"/>
      <c r="K10" s="71"/>
      <c r="L10" s="74">
        <f>7338.24+1834.56</f>
        <v>9172.7999999999993</v>
      </c>
      <c r="M10" s="15"/>
      <c r="N10" s="15"/>
      <c r="O10" s="17"/>
      <c r="P10" s="15"/>
      <c r="Q10" s="71"/>
      <c r="R10" s="15"/>
      <c r="S10" s="15"/>
      <c r="T10" s="15"/>
    </row>
    <row r="11" spans="1:23" x14ac:dyDescent="0.2">
      <c r="A11" t="s">
        <v>61</v>
      </c>
      <c r="B11" s="74"/>
      <c r="C11" s="72"/>
      <c r="D11" s="73"/>
      <c r="E11" s="71"/>
      <c r="F11" s="71"/>
      <c r="G11" s="71"/>
      <c r="H11" s="71"/>
      <c r="I11" s="74">
        <v>2300</v>
      </c>
      <c r="J11" s="71"/>
      <c r="K11" s="71"/>
      <c r="L11" s="15"/>
      <c r="M11" s="15"/>
      <c r="N11" s="15"/>
      <c r="O11" s="15"/>
      <c r="P11" s="15"/>
      <c r="Q11" s="14"/>
      <c r="R11" s="15"/>
    </row>
    <row r="12" spans="1:23" x14ac:dyDescent="0.2">
      <c r="A12" t="s">
        <v>58</v>
      </c>
      <c r="B12" s="72"/>
      <c r="C12" s="73"/>
      <c r="D12" s="73"/>
      <c r="E12" s="71"/>
      <c r="F12" s="71"/>
      <c r="G12" s="71"/>
      <c r="H12" s="71"/>
      <c r="I12" s="71"/>
      <c r="J12" s="72"/>
      <c r="K12" s="72"/>
      <c r="L12" s="15"/>
      <c r="N12" s="15"/>
      <c r="O12" s="71"/>
      <c r="P12" s="15"/>
    </row>
    <row r="13" spans="1:23" x14ac:dyDescent="0.2">
      <c r="A13" t="s">
        <v>59</v>
      </c>
      <c r="B13" s="71"/>
      <c r="C13" s="71"/>
      <c r="D13" s="71"/>
      <c r="E13" s="71"/>
      <c r="F13" s="73"/>
      <c r="G13" s="71"/>
      <c r="H13" s="71"/>
      <c r="I13" s="110">
        <v>30947.25</v>
      </c>
      <c r="J13" s="71"/>
      <c r="K13" s="71"/>
      <c r="L13" s="15"/>
      <c r="M13" s="15"/>
      <c r="N13" s="110">
        <v>20365.96</v>
      </c>
      <c r="O13" s="15"/>
      <c r="P13" s="15"/>
      <c r="Q13" s="1"/>
      <c r="R13" s="15"/>
      <c r="S13" s="15"/>
      <c r="T13" s="15"/>
    </row>
    <row r="14" spans="1:23" x14ac:dyDescent="0.2">
      <c r="A14" t="s">
        <v>139</v>
      </c>
      <c r="B14" s="17"/>
      <c r="C14" s="17"/>
      <c r="D14" s="74">
        <v>9912.48</v>
      </c>
      <c r="E14" s="15"/>
      <c r="F14" s="15"/>
      <c r="G14" s="15"/>
      <c r="I14" s="15"/>
      <c r="J14" s="15"/>
      <c r="L14" s="15"/>
      <c r="M14" s="1"/>
      <c r="N14" s="15"/>
      <c r="O14" s="15"/>
      <c r="P14" s="1"/>
      <c r="Q14" s="1"/>
      <c r="R14" s="1"/>
      <c r="S14" s="1"/>
      <c r="T14" s="1"/>
      <c r="U14" s="1"/>
      <c r="W14" s="1"/>
    </row>
    <row r="15" spans="1:23" x14ac:dyDescent="0.2">
      <c r="A15" t="s">
        <v>140</v>
      </c>
      <c r="B15"/>
      <c r="C15"/>
      <c r="D15" s="72"/>
      <c r="E15" s="72"/>
      <c r="F15" s="72"/>
      <c r="G15" s="72"/>
      <c r="H15" s="72"/>
      <c r="I15" s="72"/>
      <c r="J15" s="74">
        <f>5485.5+5372.25+6270.64+5372.25+5903.14</f>
        <v>28403.78</v>
      </c>
      <c r="K15" s="71"/>
      <c r="L15" s="15"/>
      <c r="M15" s="15"/>
      <c r="N15" s="15"/>
      <c r="O15" s="15"/>
      <c r="P15" s="1"/>
      <c r="Q15" s="15"/>
      <c r="R15" s="15"/>
      <c r="S15" s="15"/>
      <c r="T15" s="74">
        <f>3822.62+3974.81+4473.18+4473.18+6693.45</f>
        <v>23437.24</v>
      </c>
    </row>
    <row r="16" spans="1:23" x14ac:dyDescent="0.2">
      <c r="A16" t="s">
        <v>1343</v>
      </c>
      <c r="B16"/>
      <c r="C16"/>
      <c r="D16" s="106">
        <v>1086</v>
      </c>
      <c r="E16" s="71"/>
      <c r="F16" s="71"/>
      <c r="G16" s="71"/>
      <c r="H16" s="71"/>
      <c r="I16" s="71"/>
      <c r="J16" s="71"/>
      <c r="K16" s="71"/>
      <c r="L16" s="71"/>
      <c r="M16" s="15"/>
      <c r="N16" s="15"/>
      <c r="O16" s="15"/>
      <c r="P16" s="15"/>
      <c r="Q16" s="15"/>
      <c r="R16" s="71"/>
      <c r="S16" s="15"/>
      <c r="T16" s="15"/>
    </row>
    <row r="17" spans="1:33" x14ac:dyDescent="0.2">
      <c r="A17" t="s">
        <v>1412</v>
      </c>
      <c r="B17"/>
      <c r="C17"/>
      <c r="D17" s="104">
        <v>3000</v>
      </c>
      <c r="E17" s="15"/>
      <c r="F17" s="15"/>
      <c r="G17" s="15"/>
      <c r="H17" s="74">
        <f>17000+8000</f>
        <v>25000</v>
      </c>
      <c r="I17" s="15"/>
      <c r="J17" s="74">
        <f>130000-17000+35000</f>
        <v>148000</v>
      </c>
      <c r="K17" s="74">
        <f>8000</f>
        <v>8000</v>
      </c>
      <c r="L17" s="15"/>
      <c r="M17" s="15"/>
      <c r="N17" s="15"/>
      <c r="O17" s="15"/>
      <c r="P17" s="15"/>
      <c r="Q17" s="15"/>
      <c r="R17" s="15"/>
      <c r="S17" s="15"/>
      <c r="T17" s="15"/>
    </row>
    <row r="18" spans="1:33" x14ac:dyDescent="0.2">
      <c r="A18" t="s">
        <v>230</v>
      </c>
      <c r="D18" s="13"/>
      <c r="E18" s="16"/>
      <c r="F18" s="15"/>
      <c r="G18" s="15"/>
      <c r="I18" s="15"/>
      <c r="J18" s="15"/>
      <c r="L18" s="74">
        <f>1764+5059.43+1628.39+2327.01</f>
        <v>10778.83</v>
      </c>
      <c r="M18" s="15"/>
      <c r="N18" s="15"/>
      <c r="O18" s="17"/>
      <c r="P18" s="19"/>
      <c r="R18" s="15"/>
      <c r="S18" s="15"/>
      <c r="T18" s="19"/>
    </row>
    <row r="19" spans="1:33" x14ac:dyDescent="0.2">
      <c r="A19" t="s">
        <v>1355</v>
      </c>
      <c r="B19" s="15"/>
      <c r="C19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48">
        <v>27000</v>
      </c>
      <c r="S19" s="148">
        <v>7000</v>
      </c>
      <c r="T19" s="74"/>
      <c r="U19" s="15"/>
      <c r="V19" s="148">
        <v>30000</v>
      </c>
    </row>
    <row r="20" spans="1:33" x14ac:dyDescent="0.2">
      <c r="A20" s="12"/>
      <c r="B20" s="15"/>
      <c r="C2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 spans="1:33" x14ac:dyDescent="0.2">
      <c r="A21" s="12"/>
      <c r="B21" s="15"/>
      <c r="C2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33" x14ac:dyDescent="0.2">
      <c r="B22"/>
      <c r="C22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spans="1:33" x14ac:dyDescent="0.2">
      <c r="D23" s="13"/>
      <c r="E23" s="16"/>
      <c r="F23" s="15"/>
      <c r="G23" s="15"/>
      <c r="I23" s="15"/>
      <c r="J23" s="15"/>
      <c r="M23" s="15"/>
      <c r="N23" s="15"/>
      <c r="O23" s="17"/>
      <c r="P23" s="19"/>
      <c r="R23" s="15"/>
      <c r="S23" s="15"/>
      <c r="T23" s="19"/>
    </row>
    <row r="24" spans="1:33" x14ac:dyDescent="0.2">
      <c r="D24" s="13"/>
      <c r="E24" s="16"/>
      <c r="F24" s="15"/>
      <c r="G24" s="15"/>
      <c r="I24" s="15"/>
      <c r="J24" s="15"/>
      <c r="M24" s="15"/>
      <c r="N24" s="15"/>
      <c r="O24" s="48"/>
      <c r="P24" s="19"/>
      <c r="R24" s="15"/>
      <c r="S24" s="15"/>
      <c r="T24" s="19"/>
    </row>
    <row r="25" spans="1:33" x14ac:dyDescent="0.2">
      <c r="A25" s="12"/>
      <c r="D25" s="13"/>
      <c r="E25" s="47"/>
      <c r="F25" s="15"/>
      <c r="G25" s="15"/>
      <c r="I25" s="15"/>
      <c r="J25" s="15"/>
      <c r="M25" s="15"/>
      <c r="N25" s="15"/>
      <c r="O25" s="17"/>
      <c r="P25" s="19"/>
      <c r="R25" s="15"/>
      <c r="S25" s="15"/>
      <c r="T25" s="19"/>
    </row>
    <row r="26" spans="1:33" x14ac:dyDescent="0.2">
      <c r="A26" s="12"/>
      <c r="B26"/>
      <c r="C26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</row>
    <row r="27" spans="1:33" x14ac:dyDescent="0.2">
      <c r="A27" s="21" t="s">
        <v>54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spans="1:33" x14ac:dyDescent="0.2">
      <c r="A28" s="80" t="s">
        <v>62</v>
      </c>
      <c r="B28" s="80" t="s">
        <v>42</v>
      </c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2"/>
    </row>
    <row r="29" spans="1:33" x14ac:dyDescent="0.2">
      <c r="A29" s="80" t="s">
        <v>50</v>
      </c>
      <c r="B29" s="83">
        <v>44440</v>
      </c>
      <c r="C29" s="84">
        <v>44441</v>
      </c>
      <c r="D29" s="84">
        <v>44442</v>
      </c>
      <c r="E29" s="84">
        <v>44445</v>
      </c>
      <c r="F29" s="84">
        <v>44446</v>
      </c>
      <c r="G29" s="84">
        <v>44447</v>
      </c>
      <c r="H29" s="84">
        <v>44448</v>
      </c>
      <c r="I29" s="84">
        <v>44449</v>
      </c>
      <c r="J29" s="84">
        <v>44452</v>
      </c>
      <c r="K29" s="84">
        <v>44453</v>
      </c>
      <c r="L29" s="84">
        <v>44454</v>
      </c>
      <c r="M29" s="84">
        <v>44455</v>
      </c>
      <c r="N29" s="84">
        <v>44456</v>
      </c>
      <c r="O29" s="84">
        <v>44459</v>
      </c>
      <c r="P29" s="84">
        <v>44460</v>
      </c>
      <c r="Q29" s="84">
        <v>44461</v>
      </c>
      <c r="R29" s="84">
        <v>44462</v>
      </c>
      <c r="S29" s="84">
        <v>44463</v>
      </c>
      <c r="T29" s="84">
        <v>44466</v>
      </c>
      <c r="U29" s="84">
        <v>44467</v>
      </c>
      <c r="V29" s="84">
        <v>44468</v>
      </c>
      <c r="W29" s="84">
        <v>44469</v>
      </c>
      <c r="X29" s="85" t="s">
        <v>71</v>
      </c>
    </row>
    <row r="30" spans="1:33" s="11" customFormat="1" x14ac:dyDescent="0.2">
      <c r="A30" s="86" t="s">
        <v>63</v>
      </c>
      <c r="B30" s="86"/>
      <c r="C30" s="87"/>
      <c r="D30" s="87">
        <v>1080.99</v>
      </c>
      <c r="E30" s="87"/>
      <c r="F30" s="87"/>
      <c r="G30" s="87"/>
      <c r="H30" s="87"/>
      <c r="I30" s="87">
        <v>400</v>
      </c>
      <c r="J30" s="87">
        <v>604.33999999999992</v>
      </c>
      <c r="K30" s="87">
        <v>460</v>
      </c>
      <c r="L30" s="87">
        <v>370</v>
      </c>
      <c r="M30" s="87"/>
      <c r="N30" s="87">
        <v>4100</v>
      </c>
      <c r="O30" s="87"/>
      <c r="P30" s="87"/>
      <c r="Q30" s="87"/>
      <c r="R30" s="87"/>
      <c r="S30" s="87"/>
      <c r="T30" s="87">
        <v>4520</v>
      </c>
      <c r="U30" s="87"/>
      <c r="V30" s="87">
        <v>2000</v>
      </c>
      <c r="W30" s="87"/>
      <c r="X30" s="85">
        <v>13535.33</v>
      </c>
      <c r="Y30"/>
      <c r="Z30"/>
      <c r="AA30"/>
      <c r="AB30"/>
      <c r="AC30"/>
      <c r="AD30"/>
      <c r="AE30"/>
      <c r="AF30"/>
      <c r="AG30"/>
    </row>
    <row r="31" spans="1:33" s="11" customFormat="1" x14ac:dyDescent="0.2">
      <c r="A31" s="88" t="s">
        <v>67</v>
      </c>
      <c r="B31" s="88">
        <v>3133.2799999999997</v>
      </c>
      <c r="C31"/>
      <c r="D31"/>
      <c r="E31">
        <v>793.15</v>
      </c>
      <c r="F31"/>
      <c r="G31"/>
      <c r="H31"/>
      <c r="I31">
        <v>1727.3300000000002</v>
      </c>
      <c r="J31"/>
      <c r="K31">
        <v>4200</v>
      </c>
      <c r="L31">
        <v>3038.44</v>
      </c>
      <c r="M31">
        <v>81.99</v>
      </c>
      <c r="N31">
        <v>2124.1999999999998</v>
      </c>
      <c r="O31"/>
      <c r="P31"/>
      <c r="Q31">
        <v>177</v>
      </c>
      <c r="R31">
        <v>110</v>
      </c>
      <c r="S31"/>
      <c r="T31">
        <v>2925.0299999999997</v>
      </c>
      <c r="U31"/>
      <c r="V31">
        <v>5834.7099999999991</v>
      </c>
      <c r="W31"/>
      <c r="X31" s="89">
        <v>24145.129999999997</v>
      </c>
      <c r="Y31"/>
      <c r="Z31"/>
      <c r="AA31"/>
      <c r="AB31"/>
      <c r="AC31"/>
      <c r="AD31"/>
      <c r="AE31"/>
      <c r="AF31"/>
      <c r="AG31"/>
    </row>
    <row r="32" spans="1:33" s="11" customFormat="1" x14ac:dyDescent="0.2">
      <c r="A32" s="88" t="s">
        <v>68</v>
      </c>
      <c r="B32" s="88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>
        <v>1283.0899999999999</v>
      </c>
      <c r="W32"/>
      <c r="X32" s="89">
        <v>1283.0899999999999</v>
      </c>
      <c r="Y32"/>
      <c r="Z32"/>
      <c r="AA32"/>
      <c r="AB32"/>
      <c r="AC32"/>
      <c r="AD32"/>
      <c r="AE32"/>
      <c r="AF32"/>
      <c r="AG32"/>
    </row>
    <row r="33" spans="1:33" s="11" customFormat="1" x14ac:dyDescent="0.2">
      <c r="A33" s="88" t="s">
        <v>64</v>
      </c>
      <c r="B33" s="88"/>
      <c r="C33"/>
      <c r="D33"/>
      <c r="E33"/>
      <c r="F33"/>
      <c r="G33"/>
      <c r="H33"/>
      <c r="I33"/>
      <c r="J33"/>
      <c r="K33">
        <v>534.69000000000005</v>
      </c>
      <c r="L33"/>
      <c r="M33"/>
      <c r="N33"/>
      <c r="O33"/>
      <c r="P33"/>
      <c r="Q33"/>
      <c r="R33"/>
      <c r="S33"/>
      <c r="T33">
        <v>3710.47</v>
      </c>
      <c r="U33"/>
      <c r="V33"/>
      <c r="W33"/>
      <c r="X33" s="89">
        <v>4245.16</v>
      </c>
      <c r="Y33"/>
      <c r="Z33"/>
      <c r="AA33"/>
      <c r="AB33"/>
      <c r="AC33"/>
      <c r="AD33"/>
      <c r="AE33"/>
      <c r="AF33"/>
      <c r="AG33"/>
    </row>
    <row r="34" spans="1:33" s="11" customFormat="1" x14ac:dyDescent="0.2">
      <c r="A34" s="88" t="s">
        <v>91</v>
      </c>
      <c r="B34" s="88">
        <v>32442.53</v>
      </c>
      <c r="C34">
        <v>10338.200000000001</v>
      </c>
      <c r="D34">
        <v>22274</v>
      </c>
      <c r="E34">
        <v>9535.85</v>
      </c>
      <c r="F34">
        <v>594</v>
      </c>
      <c r="G34">
        <v>1032</v>
      </c>
      <c r="H34">
        <v>14847.44</v>
      </c>
      <c r="I34">
        <v>27949.599999999999</v>
      </c>
      <c r="J34">
        <v>183358.57999999996</v>
      </c>
      <c r="K34">
        <v>11259.3</v>
      </c>
      <c r="L34">
        <v>17945.661999999997</v>
      </c>
      <c r="M34"/>
      <c r="N34">
        <v>17707.57</v>
      </c>
      <c r="O34">
        <v>0</v>
      </c>
      <c r="P34">
        <v>664</v>
      </c>
      <c r="Q34">
        <v>380</v>
      </c>
      <c r="R34">
        <v>27119.32</v>
      </c>
      <c r="S34">
        <v>3541.22</v>
      </c>
      <c r="T34">
        <v>31955.81</v>
      </c>
      <c r="U34">
        <v>6350</v>
      </c>
      <c r="V34">
        <v>14884.740000000002</v>
      </c>
      <c r="W34">
        <v>4343.2700000000004</v>
      </c>
      <c r="X34" s="89">
        <v>438523.09199999995</v>
      </c>
      <c r="Y34"/>
      <c r="Z34"/>
      <c r="AA34"/>
      <c r="AB34"/>
      <c r="AC34"/>
      <c r="AD34"/>
      <c r="AE34"/>
      <c r="AF34"/>
      <c r="AG34"/>
    </row>
    <row r="35" spans="1:33" s="11" customFormat="1" x14ac:dyDescent="0.2">
      <c r="A35" s="90" t="s">
        <v>71</v>
      </c>
      <c r="B35" s="90">
        <v>35575.81</v>
      </c>
      <c r="C35" s="91">
        <v>10338.200000000001</v>
      </c>
      <c r="D35" s="91">
        <v>23354.99</v>
      </c>
      <c r="E35" s="91">
        <v>10329</v>
      </c>
      <c r="F35" s="91">
        <v>594</v>
      </c>
      <c r="G35" s="91">
        <v>1032</v>
      </c>
      <c r="H35" s="91">
        <v>14847.44</v>
      </c>
      <c r="I35" s="91">
        <v>30076.93</v>
      </c>
      <c r="J35" s="91">
        <v>183962.91999999995</v>
      </c>
      <c r="K35" s="91">
        <v>16453.989999999998</v>
      </c>
      <c r="L35" s="91">
        <v>21354.101999999995</v>
      </c>
      <c r="M35" s="91">
        <v>81.99</v>
      </c>
      <c r="N35" s="91">
        <v>23931.77</v>
      </c>
      <c r="O35" s="91">
        <v>0</v>
      </c>
      <c r="P35" s="91">
        <v>664</v>
      </c>
      <c r="Q35" s="91">
        <v>557</v>
      </c>
      <c r="R35" s="91">
        <v>27229.32</v>
      </c>
      <c r="S35" s="91">
        <v>3541.22</v>
      </c>
      <c r="T35" s="91">
        <v>43111.31</v>
      </c>
      <c r="U35" s="91">
        <v>6350</v>
      </c>
      <c r="V35" s="91">
        <v>24002.54</v>
      </c>
      <c r="W35" s="91">
        <v>4343.2700000000004</v>
      </c>
      <c r="X35" s="92">
        <v>481731.80199999991</v>
      </c>
      <c r="Y35"/>
      <c r="Z35"/>
      <c r="AA35"/>
      <c r="AB35"/>
      <c r="AC35"/>
      <c r="AD35"/>
      <c r="AE35"/>
      <c r="AF35"/>
      <c r="AG35"/>
    </row>
    <row r="36" spans="1:33" s="11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 spans="1:33" s="1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 spans="1:33" s="25" customFormat="1" ht="13.5" thickBot="1" x14ac:dyDescent="0.25">
      <c r="A38" s="24" t="s">
        <v>35</v>
      </c>
      <c r="B38" s="24">
        <f>B4+B6-GETPIVOTDATA("Valor",$A$28,"Pagto.",DATE(2021,9,1))</f>
        <v>-11416.669999999973</v>
      </c>
      <c r="C38" s="24">
        <f>C4+C6-GETPIVOTDATA("Valor",$A$28,"Pagto.",DATE(2021,9,2))</f>
        <v>-3181.9199999999728</v>
      </c>
      <c r="D38" s="24">
        <f>D4+D6-GETPIVOTDATA("Valor",$A$28,"Pagto.",DATE(2021,9,3))</f>
        <v>-8217.9899999999761</v>
      </c>
      <c r="E38" s="24">
        <f>E4+E6-GETPIVOTDATA("Valor",$A$28,"Pagto.",DATE(2021,9,6))</f>
        <v>-18546.989999999976</v>
      </c>
      <c r="F38" s="24">
        <f>F4+F6-GETPIVOTDATA("Valor",$A$28,"Pagto.",DATE(2021,9,7))</f>
        <v>-19140.989999999976</v>
      </c>
      <c r="G38" s="24">
        <f>G4+G6-GETPIVOTDATA("Valor",$A$28,"Pagto.",DATE(2021,9,8))</f>
        <v>-20172.989999999976</v>
      </c>
      <c r="H38" s="24">
        <f>H4+H6-GETPIVOTDATA("Valor",$A$28,"Pagto.",DATE(2021,9,9))</f>
        <v>-10020.429999999977</v>
      </c>
      <c r="I38" s="24">
        <f>I4+I6-GETPIVOTDATA("Valor",$A$28,"Pagto.",DATE(2021,9,10))</f>
        <v>-6850.1099999999788</v>
      </c>
      <c r="J38" s="24">
        <f>J4+J6-GETPIVOTDATA("Valor",$A$28,"Pagto.",DATE(2021,9,13))</f>
        <v>-7883.149999999936</v>
      </c>
      <c r="K38" s="24">
        <f>K4+K6-GETPIVOTDATA("Valor",$A$28,"Pagto.",DATE(2021,9,14))</f>
        <v>-16337.139999999934</v>
      </c>
      <c r="L38" s="24">
        <f>L4+L6-GETPIVOTDATA("Valor",$A$28,"Pagto.",DATE(2021,9,15))</f>
        <v>-17739.611999999932</v>
      </c>
      <c r="M38" s="24">
        <f>M4+M6-GETPIVOTDATA("Valor",$A$28,"Pagto.",DATE(2021,9,16))</f>
        <v>-17821.601999999933</v>
      </c>
      <c r="N38" s="24">
        <f>N4+N6-GETPIVOTDATA("Valor",$A$28,"Pagto.",DATE(2021,9,17))</f>
        <v>-21387.411999999935</v>
      </c>
      <c r="O38" s="24">
        <f>O4+O6-GETPIVOTDATA("Valor",$A$28,"Pagto.",DATE(2021,9,20))</f>
        <v>-21387.411999999935</v>
      </c>
      <c r="P38" s="24">
        <f>P4+P6-GETPIVOTDATA("Valor",$A$28,"Pagto.",DATE(2021,9,21))</f>
        <v>-22051.411999999935</v>
      </c>
      <c r="Q38" s="24">
        <f>Q4+Q6-GETPIVOTDATA("Valor",$A$28,"Pagto.",DATE(2021,9,22))</f>
        <v>-22608.411999999935</v>
      </c>
      <c r="R38" s="24">
        <f>R4+R6-GETPIVOTDATA("Valor",$A$28,"Pagto.",DATE(2021,9,23))</f>
        <v>-22837.731999999934</v>
      </c>
      <c r="S38" s="24">
        <f>S4+S6-GETPIVOTDATA("Valor",$A$28,"Pagto.",DATE(2021,9,24))</f>
        <v>-19378.951999999936</v>
      </c>
      <c r="T38" s="24">
        <f>T4+T6-GETPIVOTDATA("Valor",$A$28,"Pagto.",DATE(2021,9,27))</f>
        <v>-14553.021999999928</v>
      </c>
      <c r="U38" s="24">
        <f>U4+U6-GETPIVOTDATA("Valor",$A$28,"Pagto.",DATE(2021,9,28))</f>
        <v>-20903.021999999928</v>
      </c>
      <c r="V38" s="24">
        <f>V4+V6-GETPIVOTDATA("Valor",$A$28,"Pagto.",DATE(2021,9,29))</f>
        <v>-14905.561999999929</v>
      </c>
      <c r="W38" s="24">
        <f>W4+W6-GETPIVOTDATA("Valor",$A$28,"Pagto.",DATE(2021,9,30))</f>
        <v>-19248.831999999929</v>
      </c>
    </row>
    <row r="39" spans="1:33" ht="13.5" thickTop="1" x14ac:dyDescent="0.2">
      <c r="B39"/>
      <c r="C39"/>
      <c r="D39"/>
      <c r="E39"/>
      <c r="F39"/>
      <c r="G39"/>
      <c r="H39"/>
      <c r="I39"/>
      <c r="J39"/>
      <c r="K39"/>
      <c r="L39"/>
    </row>
    <row r="40" spans="1:33" x14ac:dyDescent="0.2">
      <c r="B40"/>
      <c r="C40"/>
      <c r="D40"/>
      <c r="E40"/>
      <c r="F40"/>
      <c r="G40"/>
      <c r="H40"/>
      <c r="I40"/>
    </row>
    <row r="41" spans="1:33" x14ac:dyDescent="0.2">
      <c r="B41"/>
      <c r="C41"/>
      <c r="D41"/>
      <c r="E41"/>
      <c r="F41"/>
      <c r="G41"/>
      <c r="H41"/>
      <c r="I41"/>
    </row>
    <row r="42" spans="1:33" x14ac:dyDescent="0.2">
      <c r="B42"/>
      <c r="C42"/>
      <c r="D42"/>
      <c r="E42"/>
      <c r="F42"/>
      <c r="G42"/>
      <c r="H42"/>
      <c r="I42"/>
    </row>
    <row r="43" spans="1:33" x14ac:dyDescent="0.2">
      <c r="B43"/>
      <c r="C43"/>
      <c r="D43"/>
      <c r="E43"/>
      <c r="F43"/>
      <c r="G43"/>
      <c r="H43"/>
      <c r="I43"/>
    </row>
    <row r="44" spans="1:33" x14ac:dyDescent="0.2">
      <c r="B44"/>
      <c r="C44"/>
      <c r="D44"/>
      <c r="E44" s="140"/>
      <c r="F44" s="139"/>
      <c r="G44" s="49"/>
      <c r="H44"/>
      <c r="I44"/>
    </row>
    <row r="45" spans="1:33" x14ac:dyDescent="0.2">
      <c r="B45"/>
      <c r="C45"/>
      <c r="D45"/>
      <c r="E45"/>
      <c r="F45" s="138"/>
      <c r="G45" s="49"/>
      <c r="H45"/>
      <c r="I45"/>
    </row>
    <row r="46" spans="1:33" x14ac:dyDescent="0.2">
      <c r="B46"/>
      <c r="C46"/>
      <c r="D46"/>
      <c r="E46"/>
      <c r="F46" s="138"/>
      <c r="G46" s="49"/>
      <c r="H46"/>
      <c r="I46"/>
    </row>
    <row r="47" spans="1:33" x14ac:dyDescent="0.2">
      <c r="B47"/>
      <c r="C47"/>
      <c r="D47"/>
      <c r="E47"/>
      <c r="F47" s="138"/>
      <c r="G47" s="49"/>
      <c r="H47"/>
      <c r="I47"/>
    </row>
    <row r="48" spans="1:33" x14ac:dyDescent="0.2">
      <c r="B48"/>
      <c r="C48"/>
      <c r="D48"/>
      <c r="E48"/>
      <c r="F48" s="138"/>
      <c r="G48" s="49"/>
      <c r="H48"/>
      <c r="I48"/>
    </row>
    <row r="49" spans="2:9" x14ac:dyDescent="0.2">
      <c r="B49"/>
      <c r="C49"/>
      <c r="D49"/>
      <c r="E49"/>
      <c r="F49" s="138"/>
      <c r="G49" s="49"/>
      <c r="H49"/>
      <c r="I49"/>
    </row>
    <row r="50" spans="2:9" x14ac:dyDescent="0.2">
      <c r="B50"/>
      <c r="C50"/>
      <c r="D50"/>
      <c r="E50"/>
      <c r="F50" s="138"/>
      <c r="G50" s="49"/>
      <c r="H50"/>
      <c r="I50"/>
    </row>
    <row r="51" spans="2:9" x14ac:dyDescent="0.2">
      <c r="E51"/>
      <c r="F51" s="138"/>
    </row>
    <row r="52" spans="2:9" x14ac:dyDescent="0.2">
      <c r="E52"/>
      <c r="F52" s="138"/>
    </row>
    <row r="53" spans="2:9" x14ac:dyDescent="0.2">
      <c r="E53"/>
      <c r="F53" s="138"/>
    </row>
    <row r="54" spans="2:9" x14ac:dyDescent="0.2">
      <c r="E54" s="141"/>
      <c r="F54" s="142"/>
    </row>
    <row r="55" spans="2:9" x14ac:dyDescent="0.2">
      <c r="F55" s="142"/>
    </row>
    <row r="56" spans="2:9" x14ac:dyDescent="0.2">
      <c r="F56" s="142"/>
    </row>
    <row r="57" spans="2:9" x14ac:dyDescent="0.2">
      <c r="F57" s="142"/>
    </row>
    <row r="58" spans="2:9" x14ac:dyDescent="0.2">
      <c r="F58" s="142"/>
    </row>
    <row r="59" spans="2:9" x14ac:dyDescent="0.2">
      <c r="F59" s="142"/>
    </row>
    <row r="60" spans="2:9" x14ac:dyDescent="0.2">
      <c r="F60" s="142"/>
    </row>
    <row r="61" spans="2:9" x14ac:dyDescent="0.2">
      <c r="F61" s="142"/>
    </row>
    <row r="63" spans="2:9" x14ac:dyDescent="0.2">
      <c r="F63" s="13"/>
    </row>
  </sheetData>
  <conditionalFormatting sqref="A36 A4:XFD4 A38:XFD38">
    <cfRule type="cellIs" dxfId="26" priority="3" stopIfTrue="1" operator="lessThan">
      <formula>0</formula>
    </cfRule>
  </conditionalFormatting>
  <conditionalFormatting sqref="A1:XFD1">
    <cfRule type="cellIs" dxfId="25" priority="1" stopIfTrue="1" operator="equal">
      <formula>"Sábado"</formula>
    </cfRule>
    <cfRule type="cellIs" dxfId="24" priority="2" stopIfTrue="1" operator="equal">
      <formula>"Domingo"</formula>
    </cfRule>
  </conditionalFormatting>
  <pageMargins left="0.74803149606299213" right="0.74803149606299213" top="0.98425196850393704" bottom="0.98425196850393704" header="0.51181102362204722" footer="0.51181102362204722"/>
  <pageSetup paperSize="9" firstPageNumber="0" orientation="portrait" horizontalDpi="300" verticalDpi="300" r:id="rId2"/>
  <headerFooter alignWithMargins="0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K2791"/>
  <sheetViews>
    <sheetView zoomScale="90" workbookViewId="0">
      <pane ySplit="1" topLeftCell="A26" activePane="bottomLeft" state="frozen"/>
      <selection activeCell="H2825" sqref="H2825"/>
      <selection pane="bottomLeft" activeCell="D29" sqref="D29"/>
    </sheetView>
  </sheetViews>
  <sheetFormatPr defaultRowHeight="12.75" x14ac:dyDescent="0.2"/>
  <cols>
    <col min="1" max="1" width="7.140625" customWidth="1"/>
    <col min="2" max="2" width="5.7109375" customWidth="1"/>
    <col min="3" max="3" width="16.7109375" bestFit="1" customWidth="1"/>
    <col min="4" max="4" width="87.28515625" bestFit="1" customWidth="1"/>
    <col min="5" max="5" width="12.5703125" style="49" customWidth="1"/>
    <col min="6" max="6" width="17.42578125" style="40" customWidth="1"/>
    <col min="7" max="7" width="24.85546875" customWidth="1"/>
    <col min="8" max="8" width="15.28515625" style="75" customWidth="1"/>
    <col min="9" max="9" width="38.28515625" bestFit="1" customWidth="1"/>
    <col min="10" max="10" width="34.85546875" bestFit="1" customWidth="1"/>
    <col min="11" max="11" width="18.28515625" style="1" customWidth="1"/>
    <col min="12" max="12" width="17.28515625" customWidth="1"/>
    <col min="13" max="13" width="14.140625" customWidth="1"/>
    <col min="14" max="14" width="19.140625" customWidth="1"/>
  </cols>
  <sheetData>
    <row r="1" spans="1:11" s="36" customFormat="1" x14ac:dyDescent="0.2">
      <c r="A1" s="36">
        <v>0</v>
      </c>
      <c r="B1" s="36" t="s">
        <v>5</v>
      </c>
      <c r="C1" s="36" t="s">
        <v>46</v>
      </c>
      <c r="D1" s="36" t="s">
        <v>47</v>
      </c>
      <c r="E1" s="36" t="s">
        <v>48</v>
      </c>
      <c r="F1" s="67" t="s">
        <v>49</v>
      </c>
      <c r="G1" s="36" t="s">
        <v>50</v>
      </c>
      <c r="H1" s="33" t="s">
        <v>42</v>
      </c>
      <c r="K1" s="37"/>
    </row>
    <row r="2" spans="1:11" s="35" customFormat="1" x14ac:dyDescent="0.2">
      <c r="C2" s="12" t="s">
        <v>199</v>
      </c>
      <c r="D2" s="57" t="s">
        <v>1298</v>
      </c>
      <c r="E2" s="60">
        <v>44409</v>
      </c>
      <c r="F2" s="58">
        <f>2821.88+125+950+200+144+200+250+153+150</f>
        <v>4993.88</v>
      </c>
      <c r="G2" s="12" t="s">
        <v>1676</v>
      </c>
      <c r="H2" s="61">
        <f t="shared" ref="H2:H16" si="0">VLOOKUP(E2,$E$2588:$H$2910,4,FALSE)</f>
        <v>44410</v>
      </c>
      <c r="K2" s="64"/>
    </row>
    <row r="3" spans="1:11" s="35" customFormat="1" x14ac:dyDescent="0.2">
      <c r="C3" s="12" t="s">
        <v>83</v>
      </c>
      <c r="D3" s="57" t="s">
        <v>535</v>
      </c>
      <c r="E3" s="60">
        <v>44409</v>
      </c>
      <c r="F3" s="58">
        <v>456</v>
      </c>
      <c r="G3" s="12" t="s">
        <v>1689</v>
      </c>
      <c r="H3" s="61">
        <f t="shared" si="0"/>
        <v>44410</v>
      </c>
      <c r="K3" s="64"/>
    </row>
    <row r="4" spans="1:11" s="35" customFormat="1" x14ac:dyDescent="0.2">
      <c r="C4" s="12" t="s">
        <v>80</v>
      </c>
      <c r="D4" s="57" t="s">
        <v>530</v>
      </c>
      <c r="E4" s="60">
        <v>44410</v>
      </c>
      <c r="F4" s="58">
        <v>150</v>
      </c>
      <c r="G4" s="12" t="s">
        <v>1689</v>
      </c>
      <c r="H4" s="61">
        <f t="shared" si="0"/>
        <v>44410</v>
      </c>
      <c r="K4" s="64"/>
    </row>
    <row r="5" spans="1:11" s="35" customFormat="1" x14ac:dyDescent="0.2">
      <c r="C5" s="12" t="s">
        <v>80</v>
      </c>
      <c r="D5" s="57" t="s">
        <v>532</v>
      </c>
      <c r="E5" s="60">
        <v>44410</v>
      </c>
      <c r="F5" s="58">
        <v>250</v>
      </c>
      <c r="G5" s="12" t="s">
        <v>1689</v>
      </c>
      <c r="H5" s="61">
        <f t="shared" si="0"/>
        <v>44410</v>
      </c>
      <c r="K5" s="64"/>
    </row>
    <row r="6" spans="1:11" s="35" customFormat="1" x14ac:dyDescent="0.2">
      <c r="C6" s="12" t="s">
        <v>216</v>
      </c>
      <c r="D6" s="57" t="s">
        <v>1064</v>
      </c>
      <c r="E6" s="60">
        <v>44410</v>
      </c>
      <c r="F6" s="58">
        <v>32</v>
      </c>
      <c r="G6" s="12" t="s">
        <v>1689</v>
      </c>
      <c r="H6" s="61">
        <f t="shared" si="0"/>
        <v>44410</v>
      </c>
      <c r="K6" s="64"/>
    </row>
    <row r="7" spans="1:11" s="35" customFormat="1" x14ac:dyDescent="0.2">
      <c r="C7" s="12" t="s">
        <v>216</v>
      </c>
      <c r="D7" s="57" t="s">
        <v>1297</v>
      </c>
      <c r="E7" s="60">
        <v>44410</v>
      </c>
      <c r="F7" s="58">
        <v>52</v>
      </c>
      <c r="G7" s="12" t="s">
        <v>1689</v>
      </c>
      <c r="H7" s="61">
        <f t="shared" si="0"/>
        <v>44410</v>
      </c>
      <c r="K7" s="64"/>
    </row>
    <row r="8" spans="1:11" s="35" customFormat="1" x14ac:dyDescent="0.2">
      <c r="C8" s="12" t="s">
        <v>164</v>
      </c>
      <c r="D8" s="57" t="s">
        <v>595</v>
      </c>
      <c r="E8" s="60">
        <v>44411</v>
      </c>
      <c r="F8" s="58">
        <v>70</v>
      </c>
      <c r="G8" s="12" t="s">
        <v>1689</v>
      </c>
      <c r="H8" s="61">
        <f t="shared" si="0"/>
        <v>44411</v>
      </c>
      <c r="K8" s="64"/>
    </row>
    <row r="9" spans="1:11" s="35" customFormat="1" x14ac:dyDescent="0.2">
      <c r="C9" s="12" t="s">
        <v>192</v>
      </c>
      <c r="D9" s="57" t="s">
        <v>1290</v>
      </c>
      <c r="E9" s="60">
        <v>44411</v>
      </c>
      <c r="F9" s="58">
        <v>22.3</v>
      </c>
      <c r="G9" s="12" t="s">
        <v>1689</v>
      </c>
      <c r="H9" s="61">
        <f t="shared" si="0"/>
        <v>44411</v>
      </c>
      <c r="K9" s="64"/>
    </row>
    <row r="10" spans="1:11" s="35" customFormat="1" x14ac:dyDescent="0.2">
      <c r="C10" s="12" t="s">
        <v>216</v>
      </c>
      <c r="D10" s="12" t="s">
        <v>1064</v>
      </c>
      <c r="E10" s="60">
        <v>44411</v>
      </c>
      <c r="F10" s="58">
        <v>243.67</v>
      </c>
      <c r="G10" s="12" t="s">
        <v>1689</v>
      </c>
      <c r="H10" s="61">
        <f t="shared" si="0"/>
        <v>44411</v>
      </c>
      <c r="K10" s="64"/>
    </row>
    <row r="11" spans="1:11" s="35" customFormat="1" x14ac:dyDescent="0.2">
      <c r="C11" s="12" t="s">
        <v>56</v>
      </c>
      <c r="D11" s="12" t="s">
        <v>1293</v>
      </c>
      <c r="E11" s="60">
        <v>44411</v>
      </c>
      <c r="F11" s="58">
        <v>90</v>
      </c>
      <c r="G11" s="12" t="s">
        <v>1689</v>
      </c>
      <c r="H11" s="61">
        <f t="shared" si="0"/>
        <v>44411</v>
      </c>
      <c r="K11" s="64"/>
    </row>
    <row r="12" spans="1:11" s="35" customFormat="1" x14ac:dyDescent="0.2">
      <c r="C12" s="12" t="s">
        <v>97</v>
      </c>
      <c r="D12" s="57" t="s">
        <v>253</v>
      </c>
      <c r="E12" s="60">
        <v>44412</v>
      </c>
      <c r="F12" s="58">
        <v>2277.79</v>
      </c>
      <c r="G12" s="12" t="s">
        <v>1689</v>
      </c>
      <c r="H12" s="61">
        <f t="shared" si="0"/>
        <v>44412</v>
      </c>
      <c r="K12" s="64"/>
    </row>
    <row r="13" spans="1:11" s="35" customFormat="1" x14ac:dyDescent="0.2">
      <c r="C13" s="12" t="s">
        <v>56</v>
      </c>
      <c r="D13" s="57" t="s">
        <v>1294</v>
      </c>
      <c r="E13" s="60">
        <v>44412</v>
      </c>
      <c r="F13" s="58">
        <f>12255-806-1609-200-1849-1843-429-1266-492-480-620-304-342-717-500-593</f>
        <v>205</v>
      </c>
      <c r="G13" s="12" t="s">
        <v>1689</v>
      </c>
      <c r="H13" s="61">
        <f t="shared" si="0"/>
        <v>44412</v>
      </c>
      <c r="K13" s="64"/>
    </row>
    <row r="14" spans="1:11" s="35" customFormat="1" x14ac:dyDescent="0.2">
      <c r="C14" s="12" t="s">
        <v>192</v>
      </c>
      <c r="D14" s="57" t="s">
        <v>1108</v>
      </c>
      <c r="E14" s="60">
        <v>44412</v>
      </c>
      <c r="F14" s="58">
        <f>219.15</f>
        <v>219.15</v>
      </c>
      <c r="G14" s="12" t="s">
        <v>1689</v>
      </c>
      <c r="H14" s="61">
        <f t="shared" si="0"/>
        <v>44412</v>
      </c>
      <c r="K14" s="64"/>
    </row>
    <row r="15" spans="1:11" s="35" customFormat="1" x14ac:dyDescent="0.2">
      <c r="C15" s="12" t="s">
        <v>84</v>
      </c>
      <c r="D15" s="57" t="s">
        <v>1272</v>
      </c>
      <c r="E15" s="60">
        <v>44413</v>
      </c>
      <c r="F15" s="58">
        <v>190</v>
      </c>
      <c r="G15" s="12" t="s">
        <v>1676</v>
      </c>
      <c r="H15" s="61">
        <f t="shared" si="0"/>
        <v>44413</v>
      </c>
      <c r="K15" s="64"/>
    </row>
    <row r="16" spans="1:11" s="35" customFormat="1" x14ac:dyDescent="0.2">
      <c r="C16" s="12" t="s">
        <v>77</v>
      </c>
      <c r="D16" s="57" t="s">
        <v>1304</v>
      </c>
      <c r="E16" s="60">
        <v>44413</v>
      </c>
      <c r="F16" s="58">
        <v>194.02</v>
      </c>
      <c r="G16" s="12" t="s">
        <v>1689</v>
      </c>
      <c r="H16" s="61">
        <f t="shared" si="0"/>
        <v>44413</v>
      </c>
      <c r="K16" s="64"/>
    </row>
    <row r="17" spans="3:8" ht="12.75" customHeight="1" x14ac:dyDescent="0.2">
      <c r="C17" s="12" t="s">
        <v>56</v>
      </c>
      <c r="D17" s="57" t="s">
        <v>220</v>
      </c>
      <c r="E17" s="60">
        <v>44413</v>
      </c>
      <c r="F17" s="58">
        <f>52272-3607-556</f>
        <v>48109</v>
      </c>
      <c r="G17" s="12" t="s">
        <v>1689</v>
      </c>
      <c r="H17" s="61">
        <f t="shared" ref="H17:H48" si="1">VLOOKUP(E17,$E$2588:$H$2802,4,FALSE)</f>
        <v>44413</v>
      </c>
    </row>
    <row r="18" spans="3:8" ht="12.75" customHeight="1" x14ac:dyDescent="0.2">
      <c r="C18" s="12" t="s">
        <v>56</v>
      </c>
      <c r="D18" s="57" t="s">
        <v>1299</v>
      </c>
      <c r="E18" s="60">
        <v>44413</v>
      </c>
      <c r="F18" s="58">
        <v>13730</v>
      </c>
      <c r="G18" s="12" t="s">
        <v>1689</v>
      </c>
      <c r="H18" s="61">
        <f t="shared" si="1"/>
        <v>44413</v>
      </c>
    </row>
    <row r="19" spans="3:8" ht="12.75" customHeight="1" x14ac:dyDescent="0.2">
      <c r="C19" s="12" t="s">
        <v>56</v>
      </c>
      <c r="D19" s="57" t="s">
        <v>1296</v>
      </c>
      <c r="E19" s="60">
        <v>44413</v>
      </c>
      <c r="F19" s="58">
        <v>851</v>
      </c>
      <c r="G19" s="12" t="s">
        <v>1689</v>
      </c>
      <c r="H19" s="61">
        <f t="shared" si="1"/>
        <v>44413</v>
      </c>
    </row>
    <row r="20" spans="3:8" ht="12.75" customHeight="1" x14ac:dyDescent="0.2">
      <c r="C20" s="12" t="s">
        <v>74</v>
      </c>
      <c r="D20" s="57" t="s">
        <v>66</v>
      </c>
      <c r="E20" s="60">
        <v>44414</v>
      </c>
      <c r="F20" s="58">
        <v>793.14</v>
      </c>
      <c r="G20" s="12" t="s">
        <v>1676</v>
      </c>
      <c r="H20" s="61">
        <f t="shared" si="1"/>
        <v>44414</v>
      </c>
    </row>
    <row r="21" spans="3:8" ht="12.75" customHeight="1" x14ac:dyDescent="0.2">
      <c r="C21" s="12" t="s">
        <v>56</v>
      </c>
      <c r="D21" s="57" t="s">
        <v>1295</v>
      </c>
      <c r="E21" s="60">
        <v>44414</v>
      </c>
      <c r="F21" s="58">
        <v>611</v>
      </c>
      <c r="G21" s="12" t="s">
        <v>1689</v>
      </c>
      <c r="H21" s="61">
        <f t="shared" si="1"/>
        <v>44414</v>
      </c>
    </row>
    <row r="22" spans="3:8" ht="12.75" customHeight="1" x14ac:dyDescent="0.2">
      <c r="C22" s="12" t="s">
        <v>97</v>
      </c>
      <c r="D22" s="57" t="s">
        <v>255</v>
      </c>
      <c r="E22" s="60">
        <v>44414</v>
      </c>
      <c r="F22" s="58">
        <v>2186.46</v>
      </c>
      <c r="G22" s="12" t="s">
        <v>1689</v>
      </c>
      <c r="H22" s="61">
        <f t="shared" si="1"/>
        <v>44414</v>
      </c>
    </row>
    <row r="23" spans="3:8" ht="12.75" customHeight="1" x14ac:dyDescent="0.2">
      <c r="C23" s="12" t="s">
        <v>80</v>
      </c>
      <c r="D23" s="57" t="s">
        <v>236</v>
      </c>
      <c r="E23" s="60">
        <v>44414</v>
      </c>
      <c r="F23" s="58">
        <v>150</v>
      </c>
      <c r="G23" s="12" t="s">
        <v>1689</v>
      </c>
      <c r="H23" s="61">
        <f t="shared" si="1"/>
        <v>44414</v>
      </c>
    </row>
    <row r="24" spans="3:8" ht="12.75" customHeight="1" x14ac:dyDescent="0.2">
      <c r="C24" s="12" t="s">
        <v>83</v>
      </c>
      <c r="D24" s="57" t="s">
        <v>235</v>
      </c>
      <c r="E24" s="60">
        <v>44414</v>
      </c>
      <c r="F24" s="58">
        <v>640.73</v>
      </c>
      <c r="G24" s="12" t="s">
        <v>1689</v>
      </c>
      <c r="H24" s="61">
        <f t="shared" si="1"/>
        <v>44414</v>
      </c>
    </row>
    <row r="25" spans="3:8" ht="12.75" customHeight="1" x14ac:dyDescent="0.2">
      <c r="C25" s="12" t="s">
        <v>187</v>
      </c>
      <c r="D25" s="57" t="s">
        <v>1386</v>
      </c>
      <c r="E25" s="60">
        <v>44414</v>
      </c>
      <c r="F25" s="58">
        <v>100</v>
      </c>
      <c r="G25" s="12" t="s">
        <v>1676</v>
      </c>
      <c r="H25" s="61">
        <f t="shared" si="1"/>
        <v>44414</v>
      </c>
    </row>
    <row r="26" spans="3:8" ht="12.75" customHeight="1" x14ac:dyDescent="0.2">
      <c r="C26" s="12" t="s">
        <v>56</v>
      </c>
      <c r="D26" s="57" t="s">
        <v>1792</v>
      </c>
      <c r="E26" s="60">
        <v>44414</v>
      </c>
      <c r="F26" s="58">
        <v>2848</v>
      </c>
      <c r="G26" s="12" t="s">
        <v>1689</v>
      </c>
      <c r="H26" s="61">
        <f t="shared" si="1"/>
        <v>44414</v>
      </c>
    </row>
    <row r="27" spans="3:8" ht="12.75" customHeight="1" x14ac:dyDescent="0.2">
      <c r="C27" s="12" t="s">
        <v>56</v>
      </c>
      <c r="D27" s="57" t="s">
        <v>1312</v>
      </c>
      <c r="E27" s="60">
        <v>44414</v>
      </c>
      <c r="F27" s="58">
        <v>179</v>
      </c>
      <c r="G27" s="12" t="s">
        <v>1689</v>
      </c>
      <c r="H27" s="61">
        <f t="shared" si="1"/>
        <v>44414</v>
      </c>
    </row>
    <row r="28" spans="3:8" ht="12.75" customHeight="1" x14ac:dyDescent="0.2">
      <c r="C28" s="12" t="s">
        <v>159</v>
      </c>
      <c r="D28" s="57" t="s">
        <v>1157</v>
      </c>
      <c r="E28" s="60">
        <v>44414</v>
      </c>
      <c r="F28" s="58">
        <v>575.36</v>
      </c>
      <c r="G28" s="12" t="s">
        <v>1689</v>
      </c>
      <c r="H28" s="61">
        <f t="shared" si="1"/>
        <v>44414</v>
      </c>
    </row>
    <row r="29" spans="3:8" ht="12.75" customHeight="1" x14ac:dyDescent="0.2">
      <c r="C29" s="12" t="s">
        <v>73</v>
      </c>
      <c r="D29" s="57" t="s">
        <v>1803</v>
      </c>
      <c r="E29" s="60">
        <v>44415</v>
      </c>
      <c r="F29" s="58">
        <v>88.78</v>
      </c>
      <c r="G29" s="12" t="s">
        <v>1676</v>
      </c>
      <c r="H29" s="61">
        <f t="shared" si="1"/>
        <v>44417</v>
      </c>
    </row>
    <row r="30" spans="3:8" ht="12.75" customHeight="1" x14ac:dyDescent="0.2">
      <c r="C30" s="12" t="s">
        <v>135</v>
      </c>
      <c r="D30" s="57" t="s">
        <v>1314</v>
      </c>
      <c r="E30" s="60">
        <v>44416</v>
      </c>
      <c r="F30" s="58">
        <v>247.05</v>
      </c>
      <c r="G30" s="12" t="s">
        <v>1689</v>
      </c>
      <c r="H30" s="61">
        <f t="shared" si="1"/>
        <v>44417</v>
      </c>
    </row>
    <row r="31" spans="3:8" ht="12.75" customHeight="1" x14ac:dyDescent="0.2">
      <c r="C31" s="12" t="s">
        <v>149</v>
      </c>
      <c r="D31" s="57" t="s">
        <v>327</v>
      </c>
      <c r="E31" s="60">
        <v>44417</v>
      </c>
      <c r="F31" s="58">
        <v>220</v>
      </c>
      <c r="G31" s="12" t="s">
        <v>1676</v>
      </c>
      <c r="H31" s="61">
        <f t="shared" si="1"/>
        <v>44417</v>
      </c>
    </row>
    <row r="32" spans="3:8" ht="12.75" customHeight="1" x14ac:dyDescent="0.2">
      <c r="C32" s="12" t="s">
        <v>159</v>
      </c>
      <c r="D32" s="57" t="s">
        <v>1315</v>
      </c>
      <c r="E32" s="60">
        <v>44417</v>
      </c>
      <c r="F32" s="58">
        <v>301.79000000000002</v>
      </c>
      <c r="G32" s="12" t="s">
        <v>1689</v>
      </c>
      <c r="H32" s="61">
        <f t="shared" si="1"/>
        <v>44417</v>
      </c>
    </row>
    <row r="33" spans="3:8" ht="12.75" customHeight="1" x14ac:dyDescent="0.2">
      <c r="C33" s="12" t="s">
        <v>159</v>
      </c>
      <c r="D33" s="57" t="s">
        <v>1316</v>
      </c>
      <c r="E33" s="60">
        <v>44417</v>
      </c>
      <c r="F33" s="58">
        <v>784.1</v>
      </c>
      <c r="G33" s="12" t="s">
        <v>1689</v>
      </c>
      <c r="H33" s="61">
        <f t="shared" si="1"/>
        <v>44417</v>
      </c>
    </row>
    <row r="34" spans="3:8" ht="12.75" customHeight="1" x14ac:dyDescent="0.2">
      <c r="C34" s="12" t="s">
        <v>56</v>
      </c>
      <c r="D34" s="57" t="s">
        <v>1140</v>
      </c>
      <c r="E34" s="60">
        <v>44417</v>
      </c>
      <c r="F34" s="58">
        <f>152+559+1811+564+991</f>
        <v>4077</v>
      </c>
      <c r="G34" s="12" t="s">
        <v>1689</v>
      </c>
      <c r="H34" s="61">
        <f t="shared" si="1"/>
        <v>44417</v>
      </c>
    </row>
    <row r="35" spans="3:8" ht="12.75" customHeight="1" x14ac:dyDescent="0.2">
      <c r="C35" s="12" t="s">
        <v>83</v>
      </c>
      <c r="D35" s="57" t="s">
        <v>1302</v>
      </c>
      <c r="E35" s="60">
        <v>44417</v>
      </c>
      <c r="F35" s="58">
        <v>3000</v>
      </c>
      <c r="G35" s="12" t="s">
        <v>1689</v>
      </c>
      <c r="H35" s="61">
        <f t="shared" si="1"/>
        <v>44417</v>
      </c>
    </row>
    <row r="36" spans="3:8" ht="13.5" customHeight="1" x14ac:dyDescent="0.2">
      <c r="C36" s="12" t="s">
        <v>159</v>
      </c>
      <c r="D36" s="57" t="s">
        <v>1176</v>
      </c>
      <c r="E36" s="60">
        <v>44417</v>
      </c>
      <c r="F36" s="58">
        <v>895.48</v>
      </c>
      <c r="G36" s="12" t="s">
        <v>1689</v>
      </c>
      <c r="H36" s="61">
        <f t="shared" si="1"/>
        <v>44417</v>
      </c>
    </row>
    <row r="37" spans="3:8" ht="13.5" customHeight="1" x14ac:dyDescent="0.2">
      <c r="C37" s="12" t="s">
        <v>76</v>
      </c>
      <c r="D37" s="57" t="s">
        <v>1317</v>
      </c>
      <c r="E37" s="60">
        <v>44418</v>
      </c>
      <c r="F37" s="58">
        <v>3025</v>
      </c>
      <c r="G37" s="12" t="s">
        <v>1689</v>
      </c>
      <c r="H37" s="61">
        <f t="shared" si="1"/>
        <v>44418</v>
      </c>
    </row>
    <row r="38" spans="3:8" ht="13.5" customHeight="1" x14ac:dyDescent="0.2">
      <c r="C38" s="12" t="s">
        <v>76</v>
      </c>
      <c r="D38" s="57" t="s">
        <v>1220</v>
      </c>
      <c r="E38" s="60">
        <v>44418</v>
      </c>
      <c r="F38" s="58">
        <v>1860.75</v>
      </c>
      <c r="G38" s="12" t="s">
        <v>1689</v>
      </c>
      <c r="H38" s="61">
        <f t="shared" si="1"/>
        <v>44418</v>
      </c>
    </row>
    <row r="39" spans="3:8" ht="13.5" customHeight="1" x14ac:dyDescent="0.2">
      <c r="C39" s="12" t="s">
        <v>56</v>
      </c>
      <c r="D39" s="57" t="s">
        <v>1140</v>
      </c>
      <c r="E39" s="60">
        <v>44418</v>
      </c>
      <c r="F39" s="58">
        <f>1300+468+556+152+265+374+525+435+158+333+333</f>
        <v>4899</v>
      </c>
      <c r="G39" s="12" t="s">
        <v>1689</v>
      </c>
      <c r="H39" s="61">
        <f t="shared" si="1"/>
        <v>44418</v>
      </c>
    </row>
    <row r="40" spans="3:8" ht="13.5" customHeight="1" x14ac:dyDescent="0.2">
      <c r="C40" s="12" t="s">
        <v>243</v>
      </c>
      <c r="D40" s="57" t="s">
        <v>1318</v>
      </c>
      <c r="E40" s="60">
        <v>44418</v>
      </c>
      <c r="F40" s="58">
        <v>500</v>
      </c>
      <c r="G40" s="12" t="s">
        <v>1689</v>
      </c>
      <c r="H40" s="61">
        <f t="shared" si="1"/>
        <v>44418</v>
      </c>
    </row>
    <row r="41" spans="3:8" ht="13.5" customHeight="1" x14ac:dyDescent="0.2">
      <c r="C41" s="12" t="s">
        <v>56</v>
      </c>
      <c r="D41" s="57" t="s">
        <v>1319</v>
      </c>
      <c r="E41" s="60">
        <v>44418</v>
      </c>
      <c r="F41" s="58">
        <v>500</v>
      </c>
      <c r="G41" s="12" t="s">
        <v>1689</v>
      </c>
      <c r="H41" s="61">
        <f t="shared" si="1"/>
        <v>44418</v>
      </c>
    </row>
    <row r="42" spans="3:8" ht="13.5" customHeight="1" x14ac:dyDescent="0.2">
      <c r="C42" s="12" t="s">
        <v>56</v>
      </c>
      <c r="D42" s="57" t="s">
        <v>1320</v>
      </c>
      <c r="E42" s="60">
        <v>44418</v>
      </c>
      <c r="F42" s="58">
        <v>3607</v>
      </c>
      <c r="G42" s="12" t="s">
        <v>1689</v>
      </c>
      <c r="H42" s="61">
        <f t="shared" si="1"/>
        <v>44418</v>
      </c>
    </row>
    <row r="43" spans="3:8" ht="13.5" customHeight="1" x14ac:dyDescent="0.2">
      <c r="C43" s="12" t="s">
        <v>56</v>
      </c>
      <c r="D43" s="57" t="s">
        <v>1140</v>
      </c>
      <c r="E43" s="60">
        <v>44419</v>
      </c>
      <c r="F43" s="58">
        <f>167+167+160+601+505</f>
        <v>1600</v>
      </c>
      <c r="G43" s="12" t="s">
        <v>1689</v>
      </c>
      <c r="H43" s="61">
        <f t="shared" si="1"/>
        <v>44419</v>
      </c>
    </row>
    <row r="44" spans="3:8" ht="13.5" customHeight="1" x14ac:dyDescent="0.2">
      <c r="C44" s="12" t="s">
        <v>216</v>
      </c>
      <c r="D44" s="12" t="s">
        <v>1310</v>
      </c>
      <c r="E44" s="60">
        <v>44419</v>
      </c>
      <c r="F44" s="58">
        <v>90</v>
      </c>
      <c r="G44" s="12" t="s">
        <v>1676</v>
      </c>
      <c r="H44" s="61">
        <f t="shared" si="1"/>
        <v>44419</v>
      </c>
    </row>
    <row r="45" spans="3:8" ht="13.5" customHeight="1" x14ac:dyDescent="0.2">
      <c r="C45" s="12" t="s">
        <v>159</v>
      </c>
      <c r="D45" s="57" t="s">
        <v>1285</v>
      </c>
      <c r="E45" s="60">
        <v>44420</v>
      </c>
      <c r="F45" s="58">
        <v>312.33999999999997</v>
      </c>
      <c r="G45" s="12" t="s">
        <v>1689</v>
      </c>
      <c r="H45" s="61">
        <f t="shared" si="1"/>
        <v>44420</v>
      </c>
    </row>
    <row r="46" spans="3:8" ht="13.5" customHeight="1" x14ac:dyDescent="0.2">
      <c r="C46" s="12" t="s">
        <v>852</v>
      </c>
      <c r="D46" s="57" t="s">
        <v>1169</v>
      </c>
      <c r="E46" s="60">
        <v>44420</v>
      </c>
      <c r="F46" s="58">
        <v>1243</v>
      </c>
      <c r="G46" s="12" t="s">
        <v>1689</v>
      </c>
      <c r="H46" s="61">
        <f t="shared" si="1"/>
        <v>44420</v>
      </c>
    </row>
    <row r="47" spans="3:8" ht="13.5" customHeight="1" x14ac:dyDescent="0.2">
      <c r="C47" s="12" t="s">
        <v>56</v>
      </c>
      <c r="D47" s="57" t="s">
        <v>1140</v>
      </c>
      <c r="E47" s="60">
        <v>44420</v>
      </c>
      <c r="F47" s="58">
        <f>497+597</f>
        <v>1094</v>
      </c>
      <c r="G47" s="12" t="s">
        <v>1689</v>
      </c>
      <c r="H47" s="61">
        <f t="shared" si="1"/>
        <v>44420</v>
      </c>
    </row>
    <row r="48" spans="3:8" ht="13.5" customHeight="1" x14ac:dyDescent="0.2">
      <c r="C48" s="12" t="s">
        <v>56</v>
      </c>
      <c r="D48" s="57" t="s">
        <v>1300</v>
      </c>
      <c r="E48" s="60">
        <v>44420</v>
      </c>
      <c r="F48" s="58">
        <v>26932.799999999999</v>
      </c>
      <c r="G48" s="12" t="s">
        <v>1689</v>
      </c>
      <c r="H48" s="61">
        <f t="shared" si="1"/>
        <v>44420</v>
      </c>
    </row>
    <row r="49" spans="3:9" ht="13.5" customHeight="1" x14ac:dyDescent="0.2">
      <c r="C49" s="12" t="s">
        <v>77</v>
      </c>
      <c r="D49" s="57" t="s">
        <v>1182</v>
      </c>
      <c r="E49" s="60">
        <v>44420</v>
      </c>
      <c r="F49" s="58">
        <f>189.22+42.93+1407.45</f>
        <v>1639.6000000000001</v>
      </c>
      <c r="G49" s="12" t="s">
        <v>1676</v>
      </c>
      <c r="H49" s="61">
        <f t="shared" ref="H49:H80" si="2">VLOOKUP(E49,$E$2588:$H$2802,4,FALSE)</f>
        <v>44420</v>
      </c>
    </row>
    <row r="50" spans="3:9" ht="13.5" customHeight="1" x14ac:dyDescent="0.2">
      <c r="C50" s="12" t="s">
        <v>732</v>
      </c>
      <c r="D50" s="12" t="s">
        <v>1271</v>
      </c>
      <c r="E50" s="60">
        <v>44420</v>
      </c>
      <c r="F50" s="58">
        <v>699.3</v>
      </c>
      <c r="G50" s="12" t="s">
        <v>1676</v>
      </c>
      <c r="H50" s="61">
        <f t="shared" si="2"/>
        <v>44420</v>
      </c>
    </row>
    <row r="51" spans="3:9" ht="13.5" customHeight="1" x14ac:dyDescent="0.2">
      <c r="C51" s="12" t="s">
        <v>56</v>
      </c>
      <c r="D51" s="57" t="s">
        <v>1313</v>
      </c>
      <c r="E51" s="60">
        <v>44420</v>
      </c>
      <c r="F51" s="58">
        <f>693.63+750.08+736.5</f>
        <v>2180.21</v>
      </c>
      <c r="G51" s="12" t="s">
        <v>1689</v>
      </c>
      <c r="H51" s="61">
        <f t="shared" si="2"/>
        <v>44420</v>
      </c>
    </row>
    <row r="52" spans="3:9" ht="13.5" customHeight="1" x14ac:dyDescent="0.2">
      <c r="C52" s="12" t="s">
        <v>159</v>
      </c>
      <c r="D52" s="57" t="s">
        <v>1301</v>
      </c>
      <c r="E52" s="60">
        <v>44420</v>
      </c>
      <c r="F52" s="58">
        <v>161.58000000000001</v>
      </c>
      <c r="G52" s="12" t="s">
        <v>1689</v>
      </c>
      <c r="H52" s="61">
        <f t="shared" si="2"/>
        <v>44420</v>
      </c>
    </row>
    <row r="53" spans="3:9" ht="13.5" customHeight="1" x14ac:dyDescent="0.2">
      <c r="C53" s="12" t="s">
        <v>80</v>
      </c>
      <c r="D53" s="57" t="s">
        <v>236</v>
      </c>
      <c r="E53" s="60">
        <v>44420</v>
      </c>
      <c r="F53" s="58">
        <v>150</v>
      </c>
      <c r="G53" s="12" t="s">
        <v>1689</v>
      </c>
      <c r="H53" s="61">
        <f t="shared" si="2"/>
        <v>44420</v>
      </c>
    </row>
    <row r="54" spans="3:9" ht="13.5" customHeight="1" x14ac:dyDescent="0.2">
      <c r="C54" s="12" t="s">
        <v>83</v>
      </c>
      <c r="D54" s="57" t="s">
        <v>235</v>
      </c>
      <c r="E54" s="60">
        <v>44420</v>
      </c>
      <c r="F54" s="58">
        <v>408.8</v>
      </c>
      <c r="G54" s="12" t="s">
        <v>1689</v>
      </c>
      <c r="H54" s="61">
        <f t="shared" si="2"/>
        <v>44420</v>
      </c>
    </row>
    <row r="55" spans="3:9" ht="13.5" customHeight="1" x14ac:dyDescent="0.2">
      <c r="C55" s="12" t="s">
        <v>83</v>
      </c>
      <c r="D55" s="57" t="s">
        <v>1324</v>
      </c>
      <c r="E55" s="60">
        <v>44420</v>
      </c>
      <c r="F55" s="113">
        <v>450</v>
      </c>
      <c r="G55" s="12" t="s">
        <v>1689</v>
      </c>
      <c r="H55" s="61">
        <f t="shared" si="2"/>
        <v>44420</v>
      </c>
      <c r="I55" s="143">
        <v>174.64</v>
      </c>
    </row>
    <row r="56" spans="3:9" ht="13.5" customHeight="1" x14ac:dyDescent="0.2">
      <c r="C56" s="12" t="s">
        <v>83</v>
      </c>
      <c r="D56" s="57" t="s">
        <v>1325</v>
      </c>
      <c r="E56" s="60">
        <v>44420</v>
      </c>
      <c r="F56" s="58">
        <f>465.05+165</f>
        <v>630.04999999999995</v>
      </c>
      <c r="G56" s="12" t="s">
        <v>1689</v>
      </c>
      <c r="H56" s="61">
        <f t="shared" si="2"/>
        <v>44420</v>
      </c>
    </row>
    <row r="57" spans="3:9" ht="13.5" customHeight="1" x14ac:dyDescent="0.2">
      <c r="C57" s="12" t="s">
        <v>159</v>
      </c>
      <c r="D57" s="57" t="s">
        <v>1205</v>
      </c>
      <c r="E57" s="60">
        <v>44420</v>
      </c>
      <c r="F57" s="58">
        <v>1129.25</v>
      </c>
      <c r="G57" s="12" t="s">
        <v>1689</v>
      </c>
      <c r="H57" s="61">
        <f t="shared" si="2"/>
        <v>44420</v>
      </c>
    </row>
    <row r="58" spans="3:9" ht="13.5" customHeight="1" x14ac:dyDescent="0.2">
      <c r="C58" s="12" t="s">
        <v>732</v>
      </c>
      <c r="D58" s="57" t="s">
        <v>1387</v>
      </c>
      <c r="E58" s="60">
        <v>44421</v>
      </c>
      <c r="F58" s="58">
        <v>240.86</v>
      </c>
      <c r="G58" s="12" t="s">
        <v>1689</v>
      </c>
      <c r="H58" s="61">
        <f t="shared" si="2"/>
        <v>44421</v>
      </c>
    </row>
    <row r="59" spans="3:9" ht="13.5" customHeight="1" x14ac:dyDescent="0.2">
      <c r="C59" s="12" t="s">
        <v>56</v>
      </c>
      <c r="D59" s="57" t="s">
        <v>1286</v>
      </c>
      <c r="E59" s="60">
        <v>44421</v>
      </c>
      <c r="F59" s="58">
        <f>2800+38.12</f>
        <v>2838.12</v>
      </c>
      <c r="G59" s="12" t="s">
        <v>1689</v>
      </c>
      <c r="H59" s="61">
        <f t="shared" si="2"/>
        <v>44421</v>
      </c>
    </row>
    <row r="60" spans="3:9" ht="13.5" customHeight="1" x14ac:dyDescent="0.2">
      <c r="C60" s="12" t="s">
        <v>72</v>
      </c>
      <c r="D60" s="57" t="s">
        <v>1711</v>
      </c>
      <c r="E60" s="60">
        <v>44421</v>
      </c>
      <c r="F60" s="58">
        <v>2000</v>
      </c>
      <c r="G60" s="12" t="s">
        <v>1688</v>
      </c>
      <c r="H60" s="61">
        <f t="shared" si="2"/>
        <v>44421</v>
      </c>
    </row>
    <row r="61" spans="3:9" ht="13.5" customHeight="1" x14ac:dyDescent="0.2">
      <c r="C61" s="12" t="s">
        <v>192</v>
      </c>
      <c r="D61" s="57" t="s">
        <v>1321</v>
      </c>
      <c r="E61" s="60">
        <v>44421</v>
      </c>
      <c r="F61" s="58">
        <v>727.95</v>
      </c>
      <c r="G61" s="12" t="s">
        <v>1689</v>
      </c>
      <c r="H61" s="61">
        <f t="shared" si="2"/>
        <v>44421</v>
      </c>
    </row>
    <row r="62" spans="3:9" ht="13.5" customHeight="1" x14ac:dyDescent="0.2">
      <c r="C62" s="12" t="s">
        <v>96</v>
      </c>
      <c r="D62" s="57" t="s">
        <v>1251</v>
      </c>
      <c r="E62" s="60">
        <v>44421</v>
      </c>
      <c r="F62" s="58">
        <v>1500</v>
      </c>
      <c r="G62" s="12" t="s">
        <v>1689</v>
      </c>
      <c r="H62" s="61">
        <f t="shared" si="2"/>
        <v>44421</v>
      </c>
    </row>
    <row r="63" spans="3:9" ht="13.5" customHeight="1" x14ac:dyDescent="0.2">
      <c r="C63" s="12" t="s">
        <v>96</v>
      </c>
      <c r="D63" s="57" t="s">
        <v>1252</v>
      </c>
      <c r="E63" s="60">
        <v>44421</v>
      </c>
      <c r="F63" s="58">
        <v>1500</v>
      </c>
      <c r="G63" s="12" t="s">
        <v>1689</v>
      </c>
      <c r="H63" s="61">
        <f t="shared" si="2"/>
        <v>44421</v>
      </c>
    </row>
    <row r="64" spans="3:9" ht="13.5" customHeight="1" x14ac:dyDescent="0.2">
      <c r="C64" s="12" t="s">
        <v>96</v>
      </c>
      <c r="D64" s="57" t="s">
        <v>1253</v>
      </c>
      <c r="E64" s="60">
        <v>44421</v>
      </c>
      <c r="F64" s="58">
        <v>1500</v>
      </c>
      <c r="G64" s="12" t="s">
        <v>1689</v>
      </c>
      <c r="H64" s="61">
        <f t="shared" si="2"/>
        <v>44421</v>
      </c>
    </row>
    <row r="65" spans="3:8" ht="13.5" customHeight="1" x14ac:dyDescent="0.2">
      <c r="C65" s="12" t="s">
        <v>584</v>
      </c>
      <c r="D65" s="57" t="s">
        <v>1233</v>
      </c>
      <c r="E65" s="60">
        <v>44421</v>
      </c>
      <c r="F65" s="58">
        <v>911.08</v>
      </c>
      <c r="G65" s="12" t="s">
        <v>1689</v>
      </c>
      <c r="H65" s="61">
        <f t="shared" si="2"/>
        <v>44421</v>
      </c>
    </row>
    <row r="66" spans="3:8" ht="13.5" customHeight="1" x14ac:dyDescent="0.2">
      <c r="C66" s="12" t="s">
        <v>170</v>
      </c>
      <c r="D66" s="57" t="s">
        <v>1283</v>
      </c>
      <c r="E66" s="60">
        <v>44421</v>
      </c>
      <c r="F66" s="58">
        <v>564.55999999999995</v>
      </c>
      <c r="G66" s="12" t="s">
        <v>1676</v>
      </c>
      <c r="H66" s="61">
        <f t="shared" si="2"/>
        <v>44421</v>
      </c>
    </row>
    <row r="67" spans="3:8" ht="13.5" customHeight="1" x14ac:dyDescent="0.2">
      <c r="C67" s="12" t="s">
        <v>80</v>
      </c>
      <c r="D67" s="57" t="s">
        <v>240</v>
      </c>
      <c r="E67" s="60">
        <v>44421</v>
      </c>
      <c r="F67" s="58">
        <v>300</v>
      </c>
      <c r="G67" s="12" t="s">
        <v>1688</v>
      </c>
      <c r="H67" s="61">
        <f t="shared" si="2"/>
        <v>44421</v>
      </c>
    </row>
    <row r="68" spans="3:8" ht="13.5" customHeight="1" x14ac:dyDescent="0.2">
      <c r="C68" s="12" t="s">
        <v>83</v>
      </c>
      <c r="D68" s="57" t="s">
        <v>1730</v>
      </c>
      <c r="E68" s="60">
        <v>44421</v>
      </c>
      <c r="F68" s="58">
        <v>1498.68</v>
      </c>
      <c r="G68" s="12" t="s">
        <v>1689</v>
      </c>
      <c r="H68" s="61">
        <f t="shared" si="2"/>
        <v>44421</v>
      </c>
    </row>
    <row r="69" spans="3:8" ht="13.5" customHeight="1" x14ac:dyDescent="0.2">
      <c r="C69" s="12" t="s">
        <v>56</v>
      </c>
      <c r="D69" s="57" t="s">
        <v>1140</v>
      </c>
      <c r="E69" s="60">
        <v>44421</v>
      </c>
      <c r="F69" s="58">
        <f>433+769</f>
        <v>1202</v>
      </c>
      <c r="G69" s="12" t="s">
        <v>1689</v>
      </c>
      <c r="H69" s="61">
        <f t="shared" si="2"/>
        <v>44421</v>
      </c>
    </row>
    <row r="70" spans="3:8" ht="13.5" customHeight="1" x14ac:dyDescent="0.2">
      <c r="C70" s="12" t="s">
        <v>159</v>
      </c>
      <c r="D70" s="57" t="s">
        <v>1206</v>
      </c>
      <c r="E70" s="60">
        <v>44421</v>
      </c>
      <c r="F70" s="58">
        <v>1125</v>
      </c>
      <c r="G70" s="12" t="s">
        <v>1689</v>
      </c>
      <c r="H70" s="61">
        <f t="shared" si="2"/>
        <v>44421</v>
      </c>
    </row>
    <row r="71" spans="3:8" ht="13.5" customHeight="1" x14ac:dyDescent="0.2">
      <c r="C71" s="12" t="s">
        <v>192</v>
      </c>
      <c r="D71" s="57" t="s">
        <v>1326</v>
      </c>
      <c r="E71" s="60">
        <v>44421</v>
      </c>
      <c r="F71" s="58">
        <v>84.18</v>
      </c>
      <c r="G71" s="12" t="s">
        <v>1689</v>
      </c>
      <c r="H71" s="61">
        <f t="shared" si="2"/>
        <v>44421</v>
      </c>
    </row>
    <row r="72" spans="3:8" ht="13.5" customHeight="1" x14ac:dyDescent="0.2">
      <c r="C72" s="12" t="s">
        <v>77</v>
      </c>
      <c r="D72" s="57" t="s">
        <v>1303</v>
      </c>
      <c r="E72" s="60">
        <v>44422</v>
      </c>
      <c r="F72" s="58">
        <v>534.69000000000005</v>
      </c>
      <c r="G72" s="12" t="s">
        <v>64</v>
      </c>
      <c r="H72" s="61">
        <f t="shared" si="2"/>
        <v>44424</v>
      </c>
    </row>
    <row r="73" spans="3:8" ht="13.5" customHeight="1" x14ac:dyDescent="0.2">
      <c r="C73" s="12" t="s">
        <v>164</v>
      </c>
      <c r="D73" s="57" t="s">
        <v>1696</v>
      </c>
      <c r="E73" s="60">
        <v>44423</v>
      </c>
      <c r="F73" s="58">
        <v>140</v>
      </c>
      <c r="G73" s="12" t="s">
        <v>1689</v>
      </c>
      <c r="H73" s="61">
        <f t="shared" si="2"/>
        <v>44424</v>
      </c>
    </row>
    <row r="74" spans="3:8" ht="13.5" customHeight="1" x14ac:dyDescent="0.2">
      <c r="C74" s="12" t="s">
        <v>80</v>
      </c>
      <c r="D74" s="57" t="s">
        <v>1328</v>
      </c>
      <c r="E74" s="60">
        <v>44424</v>
      </c>
      <c r="F74" s="58">
        <v>250</v>
      </c>
      <c r="G74" s="12" t="s">
        <v>1689</v>
      </c>
      <c r="H74" s="61">
        <f t="shared" si="2"/>
        <v>44424</v>
      </c>
    </row>
    <row r="75" spans="3:8" ht="13.5" customHeight="1" x14ac:dyDescent="0.2">
      <c r="C75" s="12" t="s">
        <v>56</v>
      </c>
      <c r="D75" s="57" t="s">
        <v>1329</v>
      </c>
      <c r="E75" s="60">
        <v>44424</v>
      </c>
      <c r="F75" s="58">
        <v>613</v>
      </c>
      <c r="G75" s="12" t="s">
        <v>1689</v>
      </c>
      <c r="H75" s="61">
        <f t="shared" si="2"/>
        <v>44424</v>
      </c>
    </row>
    <row r="76" spans="3:8" ht="13.5" customHeight="1" x14ac:dyDescent="0.2">
      <c r="C76" s="12" t="s">
        <v>89</v>
      </c>
      <c r="D76" s="57" t="s">
        <v>212</v>
      </c>
      <c r="E76" s="60">
        <v>44424</v>
      </c>
      <c r="F76" s="58">
        <v>92.25</v>
      </c>
      <c r="G76" s="12" t="s">
        <v>1676</v>
      </c>
      <c r="H76" s="61">
        <f t="shared" si="2"/>
        <v>44424</v>
      </c>
    </row>
    <row r="77" spans="3:8" ht="13.5" customHeight="1" x14ac:dyDescent="0.2">
      <c r="C77" s="12" t="s">
        <v>135</v>
      </c>
      <c r="D77" s="57" t="s">
        <v>1224</v>
      </c>
      <c r="E77" s="60">
        <v>44424</v>
      </c>
      <c r="F77" s="58">
        <v>1100</v>
      </c>
      <c r="G77" s="12" t="s">
        <v>1689</v>
      </c>
      <c r="H77" s="61">
        <f t="shared" si="2"/>
        <v>44424</v>
      </c>
    </row>
    <row r="78" spans="3:8" ht="13.5" customHeight="1" x14ac:dyDescent="0.2">
      <c r="C78" s="12" t="s">
        <v>86</v>
      </c>
      <c r="D78" s="57" t="s">
        <v>85</v>
      </c>
      <c r="E78" s="60">
        <v>44424</v>
      </c>
      <c r="F78" s="16">
        <v>84</v>
      </c>
      <c r="G78" s="12" t="s">
        <v>1689</v>
      </c>
      <c r="H78" s="61">
        <f t="shared" si="2"/>
        <v>44424</v>
      </c>
    </row>
    <row r="79" spans="3:8" ht="13.5" customHeight="1" x14ac:dyDescent="0.2">
      <c r="C79" s="12" t="s">
        <v>171</v>
      </c>
      <c r="D79" s="57" t="s">
        <v>172</v>
      </c>
      <c r="E79" s="60">
        <v>44424</v>
      </c>
      <c r="F79" s="58">
        <v>83.7</v>
      </c>
      <c r="G79" s="12" t="s">
        <v>1676</v>
      </c>
      <c r="H79" s="61">
        <f t="shared" si="2"/>
        <v>44424</v>
      </c>
    </row>
    <row r="80" spans="3:8" ht="13.5" customHeight="1" x14ac:dyDescent="0.2">
      <c r="C80" s="12" t="s">
        <v>88</v>
      </c>
      <c r="D80" s="57" t="s">
        <v>1793</v>
      </c>
      <c r="E80" s="60">
        <v>44424</v>
      </c>
      <c r="F80" s="58">
        <v>1000</v>
      </c>
      <c r="G80" s="12" t="s">
        <v>1689</v>
      </c>
      <c r="H80" s="61">
        <f t="shared" si="2"/>
        <v>44424</v>
      </c>
    </row>
    <row r="81" spans="2:8" ht="13.5" customHeight="1" x14ac:dyDescent="0.2">
      <c r="C81" s="12" t="s">
        <v>56</v>
      </c>
      <c r="D81" s="57" t="s">
        <v>1140</v>
      </c>
      <c r="E81" s="60">
        <v>44424</v>
      </c>
      <c r="F81" s="58">
        <f>1379+444</f>
        <v>1823</v>
      </c>
      <c r="G81" s="12" t="s">
        <v>1689</v>
      </c>
      <c r="H81" s="61">
        <f t="shared" ref="H81:H112" si="3">VLOOKUP(E81,$E$2588:$H$2802,4,FALSE)</f>
        <v>44424</v>
      </c>
    </row>
    <row r="82" spans="2:8" ht="13.5" customHeight="1" x14ac:dyDescent="0.2">
      <c r="C82" s="12" t="s">
        <v>149</v>
      </c>
      <c r="D82" s="57" t="s">
        <v>1687</v>
      </c>
      <c r="E82" s="60">
        <v>44425</v>
      </c>
      <c r="F82" s="58">
        <v>76</v>
      </c>
      <c r="G82" s="12" t="s">
        <v>1676</v>
      </c>
      <c r="H82" s="61">
        <f t="shared" si="3"/>
        <v>44425</v>
      </c>
    </row>
    <row r="83" spans="2:8" ht="13.5" customHeight="1" x14ac:dyDescent="0.2">
      <c r="C83" s="12" t="s">
        <v>74</v>
      </c>
      <c r="D83" s="57" t="s">
        <v>69</v>
      </c>
      <c r="E83" s="60">
        <v>44425</v>
      </c>
      <c r="F83" s="58">
        <v>326.38</v>
      </c>
      <c r="G83" s="12" t="s">
        <v>1676</v>
      </c>
      <c r="H83" s="61">
        <f t="shared" si="3"/>
        <v>44425</v>
      </c>
    </row>
    <row r="84" spans="2:8" ht="13.5" customHeight="1" x14ac:dyDescent="0.2">
      <c r="C84" s="12" t="s">
        <v>159</v>
      </c>
      <c r="D84" s="12" t="s">
        <v>1284</v>
      </c>
      <c r="E84" s="60">
        <v>44425</v>
      </c>
      <c r="F84" s="58">
        <v>389.65</v>
      </c>
      <c r="G84" s="12" t="s">
        <v>1689</v>
      </c>
      <c r="H84" s="61">
        <f t="shared" si="3"/>
        <v>44425</v>
      </c>
    </row>
    <row r="85" spans="2:8" ht="13.5" customHeight="1" x14ac:dyDescent="0.2">
      <c r="C85" s="12" t="s">
        <v>164</v>
      </c>
      <c r="D85" s="57" t="s">
        <v>1265</v>
      </c>
      <c r="E85" s="60">
        <v>44425</v>
      </c>
      <c r="F85" s="58">
        <v>77</v>
      </c>
      <c r="G85" s="12" t="s">
        <v>1676</v>
      </c>
      <c r="H85" s="61">
        <f t="shared" si="3"/>
        <v>44425</v>
      </c>
    </row>
    <row r="86" spans="2:8" ht="13.5" customHeight="1" x14ac:dyDescent="0.2">
      <c r="C86" s="12" t="s">
        <v>80</v>
      </c>
      <c r="D86" s="57" t="s">
        <v>1333</v>
      </c>
      <c r="E86" s="60">
        <v>44425</v>
      </c>
      <c r="F86" s="58">
        <v>50</v>
      </c>
      <c r="G86" s="12" t="s">
        <v>1689</v>
      </c>
      <c r="H86" s="61">
        <f t="shared" si="3"/>
        <v>44425</v>
      </c>
    </row>
    <row r="87" spans="2:8" ht="13.5" customHeight="1" x14ac:dyDescent="0.2">
      <c r="B87" s="12"/>
      <c r="C87" s="12" t="s">
        <v>243</v>
      </c>
      <c r="D87" s="57" t="s">
        <v>1322</v>
      </c>
      <c r="E87" s="60">
        <v>44425</v>
      </c>
      <c r="F87" s="58">
        <v>500</v>
      </c>
      <c r="G87" s="12" t="s">
        <v>1689</v>
      </c>
      <c r="H87" s="61">
        <f t="shared" si="3"/>
        <v>44425</v>
      </c>
    </row>
    <row r="88" spans="2:8" ht="13.5" customHeight="1" x14ac:dyDescent="0.2">
      <c r="B88" s="12"/>
      <c r="C88" s="12" t="s">
        <v>72</v>
      </c>
      <c r="D88" s="12" t="s">
        <v>1771</v>
      </c>
      <c r="E88" s="60">
        <v>44425</v>
      </c>
      <c r="F88" s="58">
        <v>2500</v>
      </c>
      <c r="G88" s="12" t="s">
        <v>1688</v>
      </c>
      <c r="H88" s="61">
        <f t="shared" si="3"/>
        <v>44425</v>
      </c>
    </row>
    <row r="89" spans="2:8" ht="13.5" customHeight="1" x14ac:dyDescent="0.2">
      <c r="B89" s="12"/>
      <c r="C89" s="12" t="s">
        <v>89</v>
      </c>
      <c r="D89" s="57" t="s">
        <v>1309</v>
      </c>
      <c r="E89" s="60">
        <v>44425</v>
      </c>
      <c r="F89" s="58">
        <v>949.71</v>
      </c>
      <c r="G89" s="12" t="s">
        <v>1689</v>
      </c>
      <c r="H89" s="61">
        <f t="shared" si="3"/>
        <v>44425</v>
      </c>
    </row>
    <row r="90" spans="2:8" ht="13.5" customHeight="1" x14ac:dyDescent="0.2">
      <c r="B90" s="12"/>
      <c r="C90" s="12" t="s">
        <v>84</v>
      </c>
      <c r="D90" s="57" t="s">
        <v>1323</v>
      </c>
      <c r="E90" s="60">
        <v>44425</v>
      </c>
      <c r="F90" s="58">
        <v>2000</v>
      </c>
      <c r="G90" s="12" t="s">
        <v>1689</v>
      </c>
      <c r="H90" s="61">
        <f t="shared" si="3"/>
        <v>44425</v>
      </c>
    </row>
    <row r="91" spans="2:8" ht="13.5" customHeight="1" x14ac:dyDescent="0.2">
      <c r="B91" s="12"/>
      <c r="C91" s="12" t="s">
        <v>159</v>
      </c>
      <c r="D91" s="57" t="s">
        <v>214</v>
      </c>
      <c r="E91" s="60">
        <v>44425</v>
      </c>
      <c r="F91" s="58">
        <v>209.9</v>
      </c>
      <c r="G91" s="12" t="s">
        <v>1689</v>
      </c>
      <c r="H91" s="61">
        <f t="shared" si="3"/>
        <v>44425</v>
      </c>
    </row>
    <row r="92" spans="2:8" ht="13.5" customHeight="1" x14ac:dyDescent="0.2">
      <c r="B92" s="12"/>
      <c r="C92" s="12" t="s">
        <v>83</v>
      </c>
      <c r="D92" s="57" t="s">
        <v>535</v>
      </c>
      <c r="E92" s="60">
        <v>44425</v>
      </c>
      <c r="F92" s="58">
        <f>456+460</f>
        <v>916</v>
      </c>
      <c r="G92" s="12" t="s">
        <v>1689</v>
      </c>
      <c r="H92" s="61">
        <f t="shared" si="3"/>
        <v>44425</v>
      </c>
    </row>
    <row r="93" spans="2:8" ht="13.5" customHeight="1" x14ac:dyDescent="0.2">
      <c r="B93" s="12"/>
      <c r="C93" s="12" t="s">
        <v>89</v>
      </c>
      <c r="D93" s="57" t="s">
        <v>1339</v>
      </c>
      <c r="E93" s="60">
        <v>44425</v>
      </c>
      <c r="F93" s="58">
        <v>2813.47</v>
      </c>
      <c r="G93" s="12" t="s">
        <v>1689</v>
      </c>
      <c r="H93" s="61">
        <f t="shared" si="3"/>
        <v>44425</v>
      </c>
    </row>
    <row r="94" spans="2:8" ht="13.5" customHeight="1" x14ac:dyDescent="0.2">
      <c r="B94" s="12"/>
      <c r="C94" s="12" t="s">
        <v>76</v>
      </c>
      <c r="D94" s="57" t="s">
        <v>1338</v>
      </c>
      <c r="E94" s="60">
        <v>44425</v>
      </c>
      <c r="F94" s="58">
        <v>1635</v>
      </c>
      <c r="G94" s="12" t="s">
        <v>1676</v>
      </c>
      <c r="H94" s="61">
        <f t="shared" si="3"/>
        <v>44425</v>
      </c>
    </row>
    <row r="95" spans="2:8" ht="13.5" customHeight="1" x14ac:dyDescent="0.2">
      <c r="B95" s="12"/>
      <c r="C95" s="12" t="s">
        <v>192</v>
      </c>
      <c r="D95" s="57" t="s">
        <v>1340</v>
      </c>
      <c r="E95" s="60">
        <v>44426</v>
      </c>
      <c r="F95" s="58">
        <v>42.65</v>
      </c>
      <c r="G95" s="12" t="s">
        <v>1689</v>
      </c>
      <c r="H95" s="61">
        <f t="shared" si="3"/>
        <v>44426</v>
      </c>
    </row>
    <row r="96" spans="2:8" ht="13.5" customHeight="1" x14ac:dyDescent="0.2">
      <c r="B96" s="12"/>
      <c r="C96" s="12" t="s">
        <v>76</v>
      </c>
      <c r="D96" s="57" t="s">
        <v>1254</v>
      </c>
      <c r="E96" s="60">
        <v>44427</v>
      </c>
      <c r="F96" s="58">
        <v>1000</v>
      </c>
      <c r="G96" s="12" t="s">
        <v>1689</v>
      </c>
      <c r="H96" s="61">
        <f t="shared" si="3"/>
        <v>44427</v>
      </c>
    </row>
    <row r="97" spans="2:8" ht="13.5" customHeight="1" x14ac:dyDescent="0.2">
      <c r="B97" s="12"/>
      <c r="C97" s="12" t="s">
        <v>84</v>
      </c>
      <c r="D97" s="57" t="s">
        <v>227</v>
      </c>
      <c r="E97" s="60">
        <v>44427</v>
      </c>
      <c r="F97" s="58">
        <v>380</v>
      </c>
      <c r="G97" s="12" t="s">
        <v>1689</v>
      </c>
      <c r="H97" s="61">
        <f t="shared" si="3"/>
        <v>44427</v>
      </c>
    </row>
    <row r="98" spans="2:8" ht="13.5" customHeight="1" x14ac:dyDescent="0.2">
      <c r="B98" s="12"/>
      <c r="C98" s="12" t="s">
        <v>192</v>
      </c>
      <c r="D98" s="57" t="s">
        <v>1344</v>
      </c>
      <c r="E98" s="60">
        <v>44428</v>
      </c>
      <c r="F98" s="58">
        <v>4.3</v>
      </c>
      <c r="G98" s="12" t="s">
        <v>1689</v>
      </c>
      <c r="H98" s="61">
        <f t="shared" si="3"/>
        <v>44428</v>
      </c>
    </row>
    <row r="99" spans="2:8" ht="13.5" customHeight="1" x14ac:dyDescent="0.2">
      <c r="B99" s="12"/>
      <c r="C99" s="12" t="s">
        <v>192</v>
      </c>
      <c r="D99" s="57" t="s">
        <v>1345</v>
      </c>
      <c r="E99" s="60">
        <v>44428</v>
      </c>
      <c r="F99" s="58">
        <v>5.53</v>
      </c>
      <c r="G99" s="12" t="s">
        <v>1689</v>
      </c>
      <c r="H99" s="61">
        <f t="shared" si="3"/>
        <v>44428</v>
      </c>
    </row>
    <row r="100" spans="2:8" ht="13.5" customHeight="1" x14ac:dyDescent="0.2">
      <c r="B100" s="12"/>
      <c r="C100" s="12" t="s">
        <v>80</v>
      </c>
      <c r="D100" s="57" t="s">
        <v>236</v>
      </c>
      <c r="E100" s="60">
        <v>44428</v>
      </c>
      <c r="F100" s="58">
        <v>150</v>
      </c>
      <c r="G100" s="12" t="s">
        <v>1689</v>
      </c>
      <c r="H100" s="61">
        <f t="shared" si="3"/>
        <v>44428</v>
      </c>
    </row>
    <row r="101" spans="2:8" ht="13.5" customHeight="1" x14ac:dyDescent="0.2">
      <c r="B101" s="12"/>
      <c r="C101" s="12" t="s">
        <v>83</v>
      </c>
      <c r="D101" s="57" t="s">
        <v>235</v>
      </c>
      <c r="E101" s="60">
        <v>44428</v>
      </c>
      <c r="F101" s="58">
        <v>378.8</v>
      </c>
      <c r="G101" s="12" t="s">
        <v>1689</v>
      </c>
      <c r="H101" s="61">
        <f t="shared" si="3"/>
        <v>44428</v>
      </c>
    </row>
    <row r="102" spans="2:8" ht="13.5" customHeight="1" x14ac:dyDescent="0.2">
      <c r="B102" s="12"/>
      <c r="C102" s="12" t="s">
        <v>732</v>
      </c>
      <c r="D102" s="57" t="s">
        <v>1349</v>
      </c>
      <c r="E102" s="60">
        <v>44428</v>
      </c>
      <c r="F102" s="58">
        <v>50</v>
      </c>
      <c r="G102" s="12" t="s">
        <v>1689</v>
      </c>
      <c r="H102" s="61">
        <f t="shared" si="3"/>
        <v>44428</v>
      </c>
    </row>
    <row r="103" spans="2:8" ht="13.5" customHeight="1" x14ac:dyDescent="0.2">
      <c r="C103" s="12" t="s">
        <v>159</v>
      </c>
      <c r="D103" s="57" t="s">
        <v>513</v>
      </c>
      <c r="E103" s="60">
        <v>44428</v>
      </c>
      <c r="F103" s="58">
        <v>75.34</v>
      </c>
      <c r="G103" s="12" t="s">
        <v>1689</v>
      </c>
      <c r="H103" s="61">
        <f t="shared" si="3"/>
        <v>44428</v>
      </c>
    </row>
    <row r="104" spans="2:8" ht="13.5" customHeight="1" x14ac:dyDescent="0.2">
      <c r="C104" s="12" t="s">
        <v>584</v>
      </c>
      <c r="D104" s="57" t="s">
        <v>1136</v>
      </c>
      <c r="E104" s="60">
        <v>44428</v>
      </c>
      <c r="F104" s="58">
        <v>3200</v>
      </c>
      <c r="G104" s="12" t="s">
        <v>1689</v>
      </c>
      <c r="H104" s="61">
        <f t="shared" si="3"/>
        <v>44428</v>
      </c>
    </row>
    <row r="105" spans="2:8" ht="13.5" customHeight="1" x14ac:dyDescent="0.2">
      <c r="C105" s="12" t="s">
        <v>74</v>
      </c>
      <c r="D105" s="57" t="s">
        <v>1305</v>
      </c>
      <c r="E105" s="60">
        <v>44428</v>
      </c>
      <c r="F105" s="58">
        <v>11212.45</v>
      </c>
      <c r="G105" s="12" t="s">
        <v>1689</v>
      </c>
      <c r="H105" s="61">
        <f t="shared" si="3"/>
        <v>44428</v>
      </c>
    </row>
    <row r="106" spans="2:8" ht="13.5" customHeight="1" x14ac:dyDescent="0.2">
      <c r="C106" s="12" t="s">
        <v>73</v>
      </c>
      <c r="D106" s="57" t="s">
        <v>1334</v>
      </c>
      <c r="E106" s="60">
        <v>44428</v>
      </c>
      <c r="F106" s="58">
        <f>46.92+123.35</f>
        <v>170.26999999999998</v>
      </c>
      <c r="G106" s="12" t="s">
        <v>1689</v>
      </c>
      <c r="H106" s="61">
        <f t="shared" si="3"/>
        <v>44428</v>
      </c>
    </row>
    <row r="107" spans="2:8" ht="13.5" customHeight="1" x14ac:dyDescent="0.2">
      <c r="C107" s="12" t="s">
        <v>159</v>
      </c>
      <c r="D107" s="57" t="s">
        <v>513</v>
      </c>
      <c r="E107" s="60">
        <v>44428</v>
      </c>
      <c r="F107" s="58">
        <v>148.38999999999999</v>
      </c>
      <c r="G107" s="12" t="s">
        <v>1689</v>
      </c>
      <c r="H107" s="61">
        <f t="shared" si="3"/>
        <v>44428</v>
      </c>
    </row>
    <row r="108" spans="2:8" ht="13.5" customHeight="1" x14ac:dyDescent="0.2">
      <c r="C108" s="12" t="s">
        <v>83</v>
      </c>
      <c r="D108" s="57" t="s">
        <v>1259</v>
      </c>
      <c r="E108" s="60">
        <v>44429</v>
      </c>
      <c r="F108" s="58">
        <v>684</v>
      </c>
      <c r="G108" s="12" t="s">
        <v>1689</v>
      </c>
      <c r="H108" s="61">
        <f t="shared" si="3"/>
        <v>44431</v>
      </c>
    </row>
    <row r="109" spans="2:8" ht="13.5" customHeight="1" x14ac:dyDescent="0.2">
      <c r="C109" s="12" t="s">
        <v>96</v>
      </c>
      <c r="D109" s="57" t="s">
        <v>1354</v>
      </c>
      <c r="E109" s="60">
        <v>44430</v>
      </c>
      <c r="F109" s="58">
        <v>1316.88</v>
      </c>
      <c r="G109" s="12" t="s">
        <v>1689</v>
      </c>
      <c r="H109" s="61">
        <f t="shared" si="3"/>
        <v>44431</v>
      </c>
    </row>
    <row r="110" spans="2:8" ht="13.5" customHeight="1" x14ac:dyDescent="0.2">
      <c r="C110" s="12" t="s">
        <v>216</v>
      </c>
      <c r="D110" s="57" t="s">
        <v>1064</v>
      </c>
      <c r="E110" s="60">
        <v>44431</v>
      </c>
      <c r="F110" s="58">
        <v>63.8</v>
      </c>
      <c r="G110" s="12" t="s">
        <v>1676</v>
      </c>
      <c r="H110" s="61">
        <f t="shared" si="3"/>
        <v>44431</v>
      </c>
    </row>
    <row r="111" spans="2:8" ht="13.5" customHeight="1" x14ac:dyDescent="0.2">
      <c r="C111" s="12" t="s">
        <v>97</v>
      </c>
      <c r="D111" s="57" t="s">
        <v>1350</v>
      </c>
      <c r="E111" s="60">
        <v>44432</v>
      </c>
      <c r="F111" s="58">
        <v>9821</v>
      </c>
      <c r="G111" s="12" t="s">
        <v>1676</v>
      </c>
      <c r="H111" s="61">
        <f t="shared" si="3"/>
        <v>44432</v>
      </c>
    </row>
    <row r="112" spans="2:8" ht="13.5" customHeight="1" x14ac:dyDescent="0.2">
      <c r="C112" s="12" t="s">
        <v>76</v>
      </c>
      <c r="D112" s="57" t="s">
        <v>1364</v>
      </c>
      <c r="E112" s="60">
        <v>44432</v>
      </c>
      <c r="F112" s="58">
        <v>125</v>
      </c>
      <c r="G112" s="12" t="s">
        <v>1689</v>
      </c>
      <c r="H112" s="61">
        <f t="shared" si="3"/>
        <v>44432</v>
      </c>
    </row>
    <row r="113" spans="3:11" ht="13.5" customHeight="1" x14ac:dyDescent="0.2">
      <c r="C113" s="12" t="s">
        <v>83</v>
      </c>
      <c r="D113" s="57" t="s">
        <v>1332</v>
      </c>
      <c r="E113" s="60">
        <v>44432</v>
      </c>
      <c r="F113" s="58">
        <v>3000</v>
      </c>
      <c r="G113" s="12" t="s">
        <v>1689</v>
      </c>
      <c r="H113" s="61">
        <f t="shared" ref="H113:H142" si="4">VLOOKUP(E113,$E$2588:$H$2802,4,FALSE)</f>
        <v>44432</v>
      </c>
    </row>
    <row r="114" spans="3:11" ht="13.5" customHeight="1" x14ac:dyDescent="0.2">
      <c r="C114" s="12" t="s">
        <v>56</v>
      </c>
      <c r="D114" s="57" t="s">
        <v>1140</v>
      </c>
      <c r="E114" s="60">
        <v>44432</v>
      </c>
      <c r="F114" s="58">
        <v>409</v>
      </c>
      <c r="G114" s="12" t="s">
        <v>1689</v>
      </c>
      <c r="H114" s="61">
        <f t="shared" si="4"/>
        <v>44432</v>
      </c>
    </row>
    <row r="115" spans="3:11" ht="13.5" customHeight="1" x14ac:dyDescent="0.2">
      <c r="C115" s="12" t="s">
        <v>74</v>
      </c>
      <c r="D115" s="57" t="s">
        <v>1351</v>
      </c>
      <c r="E115" s="60">
        <v>44433</v>
      </c>
      <c r="F115" s="58">
        <v>11319.75</v>
      </c>
      <c r="G115" s="12" t="s">
        <v>1689</v>
      </c>
      <c r="H115" s="61">
        <f t="shared" si="4"/>
        <v>44433</v>
      </c>
    </row>
    <row r="116" spans="3:11" ht="13.5" customHeight="1" x14ac:dyDescent="0.2">
      <c r="C116" s="12" t="s">
        <v>96</v>
      </c>
      <c r="D116" s="57" t="s">
        <v>1352</v>
      </c>
      <c r="E116" s="60">
        <v>44433</v>
      </c>
      <c r="F116" s="58">
        <v>2000</v>
      </c>
      <c r="G116" s="12" t="s">
        <v>1689</v>
      </c>
      <c r="H116" s="61">
        <f t="shared" si="4"/>
        <v>44433</v>
      </c>
    </row>
    <row r="117" spans="3:11" ht="13.5" customHeight="1" x14ac:dyDescent="0.2">
      <c r="C117" s="12" t="s">
        <v>83</v>
      </c>
      <c r="D117" s="57" t="s">
        <v>1260</v>
      </c>
      <c r="E117" s="60">
        <v>44433</v>
      </c>
      <c r="F117" s="58">
        <v>456</v>
      </c>
      <c r="G117" s="12" t="s">
        <v>1689</v>
      </c>
      <c r="H117" s="61">
        <f t="shared" si="4"/>
        <v>44433</v>
      </c>
    </row>
    <row r="118" spans="3:11" ht="13.5" customHeight="1" x14ac:dyDescent="0.2">
      <c r="C118" s="12" t="s">
        <v>84</v>
      </c>
      <c r="D118" s="57" t="s">
        <v>1323</v>
      </c>
      <c r="E118" s="60">
        <v>44434</v>
      </c>
      <c r="F118" s="58">
        <v>2000</v>
      </c>
      <c r="G118" s="12" t="s">
        <v>1689</v>
      </c>
      <c r="H118" s="61">
        <f t="shared" si="4"/>
        <v>44434</v>
      </c>
    </row>
    <row r="119" spans="3:11" ht="13.5" customHeight="1" x14ac:dyDescent="0.2">
      <c r="C119" s="12" t="s">
        <v>72</v>
      </c>
      <c r="D119" s="12" t="s">
        <v>1794</v>
      </c>
      <c r="E119" s="60">
        <v>44434</v>
      </c>
      <c r="F119" s="58">
        <v>3550</v>
      </c>
      <c r="G119" s="12" t="s">
        <v>1688</v>
      </c>
      <c r="H119" s="61">
        <f t="shared" si="4"/>
        <v>44434</v>
      </c>
    </row>
    <row r="120" spans="3:11" ht="13.5" customHeight="1" x14ac:dyDescent="0.2">
      <c r="C120" s="12" t="s">
        <v>88</v>
      </c>
      <c r="D120" s="57" t="s">
        <v>1194</v>
      </c>
      <c r="E120" s="60">
        <v>44434</v>
      </c>
      <c r="F120" s="58">
        <v>1380</v>
      </c>
      <c r="G120" s="12" t="s">
        <v>1689</v>
      </c>
      <c r="H120" s="61">
        <f t="shared" si="4"/>
        <v>44434</v>
      </c>
    </row>
    <row r="121" spans="3:11" ht="13.5" customHeight="1" x14ac:dyDescent="0.2">
      <c r="C121" s="12" t="s">
        <v>84</v>
      </c>
      <c r="D121" s="57" t="s">
        <v>284</v>
      </c>
      <c r="E121" s="60">
        <v>44434</v>
      </c>
      <c r="F121" s="58">
        <v>285</v>
      </c>
      <c r="G121" s="12" t="s">
        <v>1689</v>
      </c>
      <c r="H121" s="61">
        <f t="shared" si="4"/>
        <v>44434</v>
      </c>
    </row>
    <row r="122" spans="3:11" ht="13.5" customHeight="1" x14ac:dyDescent="0.2">
      <c r="C122" s="12" t="s">
        <v>192</v>
      </c>
      <c r="D122" s="57" t="s">
        <v>1359</v>
      </c>
      <c r="E122" s="60">
        <v>44434</v>
      </c>
      <c r="F122" s="58">
        <v>60.82</v>
      </c>
      <c r="G122" s="12" t="s">
        <v>1689</v>
      </c>
      <c r="H122" s="61">
        <f t="shared" si="4"/>
        <v>44434</v>
      </c>
    </row>
    <row r="123" spans="3:11" ht="13.5" customHeight="1" x14ac:dyDescent="0.2">
      <c r="C123" s="12" t="s">
        <v>192</v>
      </c>
      <c r="D123" s="57" t="s">
        <v>1234</v>
      </c>
      <c r="E123" s="60">
        <v>44434</v>
      </c>
      <c r="F123" s="58">
        <v>453.51</v>
      </c>
      <c r="G123" s="12" t="s">
        <v>1689</v>
      </c>
      <c r="H123" s="61">
        <f t="shared" si="4"/>
        <v>44434</v>
      </c>
    </row>
    <row r="124" spans="3:11" ht="13.5" customHeight="1" x14ac:dyDescent="0.2">
      <c r="C124" s="12" t="s">
        <v>80</v>
      </c>
      <c r="D124" s="57" t="s">
        <v>240</v>
      </c>
      <c r="E124" s="60">
        <v>44435</v>
      </c>
      <c r="F124" s="58">
        <v>100</v>
      </c>
      <c r="G124" s="12" t="s">
        <v>1688</v>
      </c>
      <c r="H124" s="61">
        <f t="shared" si="4"/>
        <v>44435</v>
      </c>
    </row>
    <row r="125" spans="3:11" ht="13.5" customHeight="1" x14ac:dyDescent="0.2">
      <c r="C125" s="12" t="s">
        <v>80</v>
      </c>
      <c r="D125" s="57" t="s">
        <v>236</v>
      </c>
      <c r="E125" s="60">
        <v>44435</v>
      </c>
      <c r="F125" s="58">
        <v>150</v>
      </c>
      <c r="G125" s="12" t="s">
        <v>1689</v>
      </c>
      <c r="H125" s="61">
        <f t="shared" si="4"/>
        <v>44435</v>
      </c>
    </row>
    <row r="126" spans="3:11" ht="13.5" customHeight="1" x14ac:dyDescent="0.2">
      <c r="C126" s="12" t="s">
        <v>83</v>
      </c>
      <c r="D126" s="57" t="s">
        <v>235</v>
      </c>
      <c r="E126" s="60">
        <v>44435</v>
      </c>
      <c r="F126" s="58">
        <v>422.63</v>
      </c>
      <c r="G126" s="12" t="s">
        <v>1689</v>
      </c>
      <c r="H126" s="61">
        <f t="shared" si="4"/>
        <v>44435</v>
      </c>
    </row>
    <row r="127" spans="3:11" ht="13.5" customHeight="1" x14ac:dyDescent="0.2">
      <c r="C127" s="12" t="s">
        <v>86</v>
      </c>
      <c r="D127" s="57" t="s">
        <v>1330</v>
      </c>
      <c r="E127" s="60">
        <v>44435</v>
      </c>
      <c r="F127" s="58">
        <v>1283.0899999999999</v>
      </c>
      <c r="G127" s="12" t="s">
        <v>68</v>
      </c>
      <c r="H127" s="61">
        <f t="shared" si="4"/>
        <v>44435</v>
      </c>
    </row>
    <row r="128" spans="3:11" ht="13.5" customHeight="1" x14ac:dyDescent="0.2">
      <c r="C128" s="12" t="s">
        <v>89</v>
      </c>
      <c r="D128" s="57" t="s">
        <v>1360</v>
      </c>
      <c r="E128" s="60">
        <v>44435</v>
      </c>
      <c r="F128" s="58">
        <v>3710.47</v>
      </c>
      <c r="G128" s="12" t="s">
        <v>64</v>
      </c>
      <c r="H128" s="61">
        <f t="shared" si="4"/>
        <v>44435</v>
      </c>
      <c r="K128"/>
    </row>
    <row r="129" spans="3:11" ht="13.5" customHeight="1" x14ac:dyDescent="0.2">
      <c r="C129" s="12" t="s">
        <v>84</v>
      </c>
      <c r="D129" s="57" t="s">
        <v>1323</v>
      </c>
      <c r="E129" s="60">
        <v>44435</v>
      </c>
      <c r="F129" s="58">
        <v>1000</v>
      </c>
      <c r="G129" s="12" t="s">
        <v>1689</v>
      </c>
      <c r="H129" s="61">
        <f t="shared" si="4"/>
        <v>44435</v>
      </c>
      <c r="K129"/>
    </row>
    <row r="130" spans="3:11" ht="13.5" customHeight="1" x14ac:dyDescent="0.2">
      <c r="C130" s="12" t="s">
        <v>72</v>
      </c>
      <c r="D130" s="57" t="s">
        <v>240</v>
      </c>
      <c r="E130" s="60">
        <v>44435</v>
      </c>
      <c r="F130" s="58">
        <v>2000</v>
      </c>
      <c r="G130" s="12" t="s">
        <v>1689</v>
      </c>
      <c r="H130" s="61">
        <f t="shared" si="4"/>
        <v>44435</v>
      </c>
      <c r="K130"/>
    </row>
    <row r="131" spans="3:11" ht="13.5" customHeight="1" x14ac:dyDescent="0.2">
      <c r="C131" s="12" t="s">
        <v>159</v>
      </c>
      <c r="D131" s="57" t="s">
        <v>214</v>
      </c>
      <c r="E131" s="60">
        <v>44435</v>
      </c>
      <c r="F131" s="58">
        <v>374.57</v>
      </c>
      <c r="G131" s="12" t="s">
        <v>1689</v>
      </c>
      <c r="H131" s="61">
        <f t="shared" si="4"/>
        <v>44435</v>
      </c>
      <c r="K131"/>
    </row>
    <row r="132" spans="3:11" ht="13.5" customHeight="1" x14ac:dyDescent="0.2">
      <c r="C132" s="12" t="s">
        <v>159</v>
      </c>
      <c r="D132" s="57" t="s">
        <v>1353</v>
      </c>
      <c r="E132" s="60">
        <v>44435</v>
      </c>
      <c r="F132" s="58">
        <v>1125</v>
      </c>
      <c r="G132" s="12" t="s">
        <v>1689</v>
      </c>
      <c r="H132" s="61">
        <f t="shared" si="4"/>
        <v>44435</v>
      </c>
      <c r="K132"/>
    </row>
    <row r="133" spans="3:11" ht="13.5" customHeight="1" x14ac:dyDescent="0.2">
      <c r="C133" s="12" t="s">
        <v>72</v>
      </c>
      <c r="D133" s="57" t="s">
        <v>1747</v>
      </c>
      <c r="E133" s="60">
        <v>44435</v>
      </c>
      <c r="F133" s="58">
        <v>1020</v>
      </c>
      <c r="G133" s="12" t="s">
        <v>1688</v>
      </c>
      <c r="H133" s="61">
        <f t="shared" si="4"/>
        <v>44435</v>
      </c>
      <c r="K133"/>
    </row>
    <row r="134" spans="3:11" ht="13.5" customHeight="1" x14ac:dyDescent="0.2">
      <c r="C134" s="12" t="s">
        <v>622</v>
      </c>
      <c r="D134" s="57" t="s">
        <v>1274</v>
      </c>
      <c r="E134" s="60">
        <v>44435</v>
      </c>
      <c r="F134" s="58">
        <v>1920</v>
      </c>
      <c r="G134" s="12" t="s">
        <v>1689</v>
      </c>
      <c r="H134" s="61">
        <f t="shared" si="4"/>
        <v>44435</v>
      </c>
      <c r="K134"/>
    </row>
    <row r="135" spans="3:11" ht="13.5" customHeight="1" x14ac:dyDescent="0.2">
      <c r="C135" s="12" t="s">
        <v>82</v>
      </c>
      <c r="D135" s="12" t="s">
        <v>1181</v>
      </c>
      <c r="E135" s="60">
        <v>44435</v>
      </c>
      <c r="F135" s="58">
        <v>1907.48</v>
      </c>
      <c r="G135" s="12" t="s">
        <v>1676</v>
      </c>
      <c r="H135" s="61">
        <f t="shared" si="4"/>
        <v>44435</v>
      </c>
      <c r="K135"/>
    </row>
    <row r="136" spans="3:11" ht="13.5" customHeight="1" x14ac:dyDescent="0.2">
      <c r="C136" s="12" t="s">
        <v>76</v>
      </c>
      <c r="D136" s="57" t="s">
        <v>1308</v>
      </c>
      <c r="E136" s="60">
        <v>44435</v>
      </c>
      <c r="F136" s="58">
        <v>2657.43</v>
      </c>
      <c r="G136" s="12" t="s">
        <v>1689</v>
      </c>
      <c r="H136" s="61">
        <f t="shared" si="4"/>
        <v>44435</v>
      </c>
      <c r="K136"/>
    </row>
    <row r="137" spans="3:11" ht="13.5" customHeight="1" x14ac:dyDescent="0.2">
      <c r="C137" s="12"/>
      <c r="D137" s="57"/>
      <c r="E137" s="60">
        <v>44436</v>
      </c>
      <c r="F137" s="58">
        <v>0</v>
      </c>
      <c r="G137" s="12" t="s">
        <v>1689</v>
      </c>
      <c r="H137" s="61">
        <f t="shared" si="4"/>
        <v>44438</v>
      </c>
      <c r="K137"/>
    </row>
    <row r="138" spans="3:11" ht="13.5" customHeight="1" x14ac:dyDescent="0.2">
      <c r="C138" s="12" t="s">
        <v>164</v>
      </c>
      <c r="D138" s="57" t="s">
        <v>1704</v>
      </c>
      <c r="E138" s="60">
        <v>44437</v>
      </c>
      <c r="F138" s="58">
        <v>140</v>
      </c>
      <c r="G138" s="12" t="s">
        <v>1689</v>
      </c>
      <c r="H138" s="61">
        <f t="shared" si="4"/>
        <v>44438</v>
      </c>
      <c r="K138"/>
    </row>
    <row r="139" spans="3:11" ht="13.5" customHeight="1" x14ac:dyDescent="0.2">
      <c r="C139" s="12" t="s">
        <v>72</v>
      </c>
      <c r="D139" s="57" t="s">
        <v>779</v>
      </c>
      <c r="E139" s="60">
        <v>44438</v>
      </c>
      <c r="F139" s="58">
        <v>240.75</v>
      </c>
      <c r="G139" s="12" t="s">
        <v>1689</v>
      </c>
      <c r="H139" s="61">
        <f t="shared" si="4"/>
        <v>44438</v>
      </c>
      <c r="K139"/>
    </row>
    <row r="140" spans="3:11" ht="13.5" customHeight="1" x14ac:dyDescent="0.2">
      <c r="C140" s="12" t="s">
        <v>56</v>
      </c>
      <c r="D140" s="57" t="s">
        <v>1140</v>
      </c>
      <c r="E140" s="60">
        <v>44438</v>
      </c>
      <c r="F140" s="58">
        <v>247.66</v>
      </c>
      <c r="G140" s="12" t="s">
        <v>1689</v>
      </c>
      <c r="H140" s="61">
        <f t="shared" si="4"/>
        <v>44438</v>
      </c>
      <c r="K140"/>
    </row>
    <row r="141" spans="3:11" ht="13.5" customHeight="1" x14ac:dyDescent="0.2">
      <c r="C141" s="12" t="s">
        <v>149</v>
      </c>
      <c r="D141" s="57" t="s">
        <v>1397</v>
      </c>
      <c r="E141" s="60">
        <v>44439</v>
      </c>
      <c r="F141" s="58">
        <v>650</v>
      </c>
      <c r="G141" s="12" t="s">
        <v>1689</v>
      </c>
      <c r="H141" s="61">
        <f t="shared" si="4"/>
        <v>44439</v>
      </c>
      <c r="K141"/>
    </row>
    <row r="142" spans="3:11" ht="13.5" customHeight="1" x14ac:dyDescent="0.2">
      <c r="C142" s="12" t="s">
        <v>97</v>
      </c>
      <c r="D142" s="57" t="s">
        <v>348</v>
      </c>
      <c r="E142" s="60">
        <v>44439</v>
      </c>
      <c r="F142" s="58">
        <v>530.37</v>
      </c>
      <c r="G142" s="12" t="s">
        <v>1689</v>
      </c>
      <c r="H142" s="61">
        <f t="shared" si="4"/>
        <v>44439</v>
      </c>
      <c r="K142"/>
    </row>
    <row r="143" spans="3:11" ht="13.5" customHeight="1" x14ac:dyDescent="0.2">
      <c r="C143" s="12"/>
      <c r="D143" s="57"/>
      <c r="E143" s="60"/>
      <c r="F143" s="58"/>
      <c r="G143" s="12"/>
      <c r="H143" s="61"/>
      <c r="K143"/>
    </row>
    <row r="144" spans="3:11" ht="13.5" customHeight="1" x14ac:dyDescent="0.2">
      <c r="E144" s="52"/>
      <c r="H144" s="61"/>
      <c r="K144"/>
    </row>
    <row r="145" spans="5:11" ht="13.5" customHeight="1" x14ac:dyDescent="0.2">
      <c r="E145" s="52"/>
      <c r="H145" s="61"/>
      <c r="K145"/>
    </row>
    <row r="146" spans="5:11" ht="13.5" customHeight="1" x14ac:dyDescent="0.2">
      <c r="E146" s="52"/>
      <c r="H146" s="61"/>
      <c r="K146"/>
    </row>
    <row r="147" spans="5:11" ht="13.5" customHeight="1" x14ac:dyDescent="0.2">
      <c r="E147" s="52"/>
      <c r="H147" s="61"/>
      <c r="K147"/>
    </row>
    <row r="148" spans="5:11" ht="13.5" customHeight="1" x14ac:dyDescent="0.2">
      <c r="E148" s="52"/>
      <c r="H148" s="61"/>
      <c r="K148"/>
    </row>
    <row r="149" spans="5:11" ht="13.5" customHeight="1" x14ac:dyDescent="0.2">
      <c r="E149" s="52"/>
      <c r="H149" s="61"/>
      <c r="K149"/>
    </row>
    <row r="150" spans="5:11" ht="13.5" customHeight="1" x14ac:dyDescent="0.2">
      <c r="E150" s="52"/>
      <c r="H150" s="61"/>
      <c r="K150"/>
    </row>
    <row r="151" spans="5:11" ht="13.5" customHeight="1" x14ac:dyDescent="0.2">
      <c r="E151" s="52"/>
      <c r="H151" s="61"/>
      <c r="K151"/>
    </row>
    <row r="152" spans="5:11" ht="13.5" customHeight="1" x14ac:dyDescent="0.2">
      <c r="E152" s="52"/>
      <c r="H152" s="61"/>
      <c r="K152"/>
    </row>
    <row r="153" spans="5:11" ht="13.5" customHeight="1" x14ac:dyDescent="0.2">
      <c r="E153" s="52"/>
      <c r="H153" s="61"/>
      <c r="K153"/>
    </row>
    <row r="154" spans="5:11" ht="13.5" customHeight="1" x14ac:dyDescent="0.2">
      <c r="E154" s="52"/>
      <c r="H154" s="61"/>
      <c r="K154"/>
    </row>
    <row r="155" spans="5:11" ht="13.5" customHeight="1" x14ac:dyDescent="0.2">
      <c r="E155" s="52"/>
      <c r="H155" s="61"/>
      <c r="K155"/>
    </row>
    <row r="156" spans="5:11" ht="13.5" customHeight="1" x14ac:dyDescent="0.2">
      <c r="E156" s="52"/>
      <c r="H156" s="61"/>
      <c r="K156"/>
    </row>
    <row r="157" spans="5:11" ht="13.5" customHeight="1" x14ac:dyDescent="0.2">
      <c r="E157" s="52"/>
      <c r="H157" s="61"/>
      <c r="K157"/>
    </row>
    <row r="158" spans="5:11" ht="13.5" customHeight="1" x14ac:dyDescent="0.2">
      <c r="E158" s="52"/>
      <c r="H158" s="61"/>
      <c r="K158"/>
    </row>
    <row r="159" spans="5:11" ht="13.5" customHeight="1" x14ac:dyDescent="0.2">
      <c r="E159" s="52"/>
      <c r="H159" s="61"/>
      <c r="K159"/>
    </row>
    <row r="160" spans="5:11" ht="13.5" customHeight="1" x14ac:dyDescent="0.2">
      <c r="E160" s="52"/>
      <c r="H160" s="61"/>
      <c r="K160"/>
    </row>
    <row r="161" spans="5:11" ht="13.5" customHeight="1" x14ac:dyDescent="0.2">
      <c r="E161" s="52"/>
      <c r="H161" s="61"/>
      <c r="K161"/>
    </row>
    <row r="162" spans="5:11" ht="13.5" customHeight="1" x14ac:dyDescent="0.2">
      <c r="E162" s="52"/>
      <c r="H162" s="61"/>
      <c r="K162"/>
    </row>
    <row r="163" spans="5:11" ht="13.5" customHeight="1" x14ac:dyDescent="0.2">
      <c r="E163" s="52"/>
      <c r="H163" s="61"/>
      <c r="K163"/>
    </row>
    <row r="164" spans="5:11" ht="13.5" customHeight="1" x14ac:dyDescent="0.2">
      <c r="E164" s="52"/>
      <c r="H164" s="61"/>
      <c r="K164"/>
    </row>
    <row r="165" spans="5:11" ht="13.5" customHeight="1" x14ac:dyDescent="0.2">
      <c r="E165" s="52"/>
      <c r="H165" s="61"/>
      <c r="K165"/>
    </row>
    <row r="166" spans="5:11" ht="13.5" customHeight="1" x14ac:dyDescent="0.2">
      <c r="E166" s="52"/>
      <c r="H166" s="61"/>
      <c r="K166"/>
    </row>
    <row r="167" spans="5:11" ht="13.5" customHeight="1" x14ac:dyDescent="0.2">
      <c r="E167" s="52"/>
      <c r="H167" s="61"/>
      <c r="K167"/>
    </row>
    <row r="168" spans="5:11" ht="13.5" customHeight="1" x14ac:dyDescent="0.2">
      <c r="E168" s="52"/>
      <c r="H168" s="61"/>
      <c r="K168"/>
    </row>
    <row r="169" spans="5:11" ht="13.5" customHeight="1" x14ac:dyDescent="0.2">
      <c r="E169" s="52"/>
      <c r="H169" s="61"/>
      <c r="K169"/>
    </row>
    <row r="170" spans="5:11" ht="13.5" customHeight="1" x14ac:dyDescent="0.2">
      <c r="E170" s="52"/>
      <c r="H170" s="61"/>
      <c r="K170"/>
    </row>
    <row r="171" spans="5:11" ht="13.5" customHeight="1" x14ac:dyDescent="0.2">
      <c r="E171" s="52"/>
      <c r="H171" s="61"/>
      <c r="K171"/>
    </row>
    <row r="172" spans="5:11" ht="13.5" customHeight="1" x14ac:dyDescent="0.2">
      <c r="E172" s="52"/>
      <c r="H172" s="61"/>
      <c r="K172"/>
    </row>
    <row r="173" spans="5:11" ht="13.5" customHeight="1" x14ac:dyDescent="0.2">
      <c r="E173" s="52"/>
      <c r="H173" s="61"/>
      <c r="K173"/>
    </row>
    <row r="174" spans="5:11" ht="13.5" customHeight="1" x14ac:dyDescent="0.2">
      <c r="E174" s="52"/>
      <c r="H174" s="61"/>
      <c r="K174"/>
    </row>
    <row r="175" spans="5:11" ht="13.5" customHeight="1" x14ac:dyDescent="0.2">
      <c r="E175" s="52"/>
      <c r="H175" s="61"/>
      <c r="K175"/>
    </row>
    <row r="176" spans="5:11" ht="13.5" customHeight="1" x14ac:dyDescent="0.2">
      <c r="E176" s="52"/>
      <c r="H176" s="61"/>
      <c r="K176"/>
    </row>
    <row r="177" spans="5:11" ht="13.5" customHeight="1" x14ac:dyDescent="0.2">
      <c r="E177" s="52"/>
      <c r="H177" s="61"/>
      <c r="K177"/>
    </row>
    <row r="178" spans="5:11" ht="13.5" customHeight="1" x14ac:dyDescent="0.2">
      <c r="E178" s="52"/>
      <c r="H178" s="61"/>
      <c r="K178"/>
    </row>
    <row r="179" spans="5:11" ht="13.5" customHeight="1" x14ac:dyDescent="0.2">
      <c r="E179" s="52"/>
      <c r="H179" s="61"/>
      <c r="K179"/>
    </row>
    <row r="180" spans="5:11" ht="13.5" customHeight="1" x14ac:dyDescent="0.2">
      <c r="E180" s="52"/>
      <c r="H180" s="61"/>
      <c r="K180"/>
    </row>
    <row r="181" spans="5:11" ht="13.5" customHeight="1" x14ac:dyDescent="0.2">
      <c r="E181" s="52"/>
      <c r="H181" s="61"/>
      <c r="K181"/>
    </row>
    <row r="182" spans="5:11" ht="13.5" customHeight="1" x14ac:dyDescent="0.2">
      <c r="E182" s="52"/>
      <c r="H182" s="61"/>
      <c r="K182"/>
    </row>
    <row r="183" spans="5:11" ht="13.5" customHeight="1" x14ac:dyDescent="0.2">
      <c r="E183" s="52"/>
      <c r="H183" s="61"/>
      <c r="K183"/>
    </row>
    <row r="184" spans="5:11" ht="13.5" customHeight="1" x14ac:dyDescent="0.2">
      <c r="E184" s="52"/>
      <c r="H184" s="61"/>
      <c r="K184"/>
    </row>
    <row r="185" spans="5:11" ht="13.5" customHeight="1" x14ac:dyDescent="0.2">
      <c r="E185" s="52"/>
      <c r="H185" s="61"/>
      <c r="K185"/>
    </row>
    <row r="186" spans="5:11" ht="13.5" customHeight="1" x14ac:dyDescent="0.2">
      <c r="E186" s="52"/>
      <c r="H186" s="61"/>
      <c r="K186"/>
    </row>
    <row r="187" spans="5:11" ht="13.5" customHeight="1" x14ac:dyDescent="0.2">
      <c r="E187" s="52"/>
      <c r="H187" s="61"/>
      <c r="K187"/>
    </row>
    <row r="188" spans="5:11" ht="13.5" customHeight="1" x14ac:dyDescent="0.2">
      <c r="E188" s="52"/>
      <c r="H188" s="61"/>
      <c r="K188"/>
    </row>
    <row r="189" spans="5:11" ht="13.5" customHeight="1" x14ac:dyDescent="0.2">
      <c r="E189" s="52"/>
      <c r="H189" s="61"/>
      <c r="K189"/>
    </row>
    <row r="190" spans="5:11" ht="13.5" customHeight="1" x14ac:dyDescent="0.2">
      <c r="E190" s="52"/>
      <c r="H190" s="61"/>
      <c r="K190"/>
    </row>
    <row r="191" spans="5:11" ht="13.5" customHeight="1" x14ac:dyDescent="0.2">
      <c r="E191" s="52"/>
      <c r="H191" s="61"/>
      <c r="K191"/>
    </row>
    <row r="192" spans="5:11" ht="13.5" customHeight="1" x14ac:dyDescent="0.2">
      <c r="E192" s="52"/>
      <c r="H192" s="61"/>
      <c r="K192"/>
    </row>
    <row r="193" spans="5:11" ht="13.5" customHeight="1" x14ac:dyDescent="0.2">
      <c r="E193" s="52"/>
      <c r="H193" s="61"/>
      <c r="K193"/>
    </row>
    <row r="194" spans="5:11" ht="13.5" customHeight="1" x14ac:dyDescent="0.2">
      <c r="E194" s="52"/>
      <c r="H194" s="61"/>
      <c r="K194"/>
    </row>
    <row r="195" spans="5:11" ht="13.5" customHeight="1" x14ac:dyDescent="0.2">
      <c r="E195" s="52"/>
      <c r="H195" s="61"/>
      <c r="K195"/>
    </row>
    <row r="196" spans="5:11" ht="13.5" customHeight="1" x14ac:dyDescent="0.2">
      <c r="E196" s="52"/>
      <c r="H196" s="61"/>
      <c r="K196"/>
    </row>
    <row r="197" spans="5:11" ht="13.5" customHeight="1" x14ac:dyDescent="0.2">
      <c r="E197" s="52"/>
      <c r="H197" s="61"/>
      <c r="K197"/>
    </row>
    <row r="198" spans="5:11" ht="14.25" customHeight="1" x14ac:dyDescent="0.2">
      <c r="E198" s="52"/>
      <c r="H198" s="61"/>
      <c r="K198"/>
    </row>
    <row r="199" spans="5:11" ht="14.25" customHeight="1" x14ac:dyDescent="0.2">
      <c r="E199" s="52"/>
      <c r="H199" s="61"/>
      <c r="K199"/>
    </row>
    <row r="200" spans="5:11" ht="14.25" customHeight="1" x14ac:dyDescent="0.2">
      <c r="E200" s="52"/>
      <c r="H200" s="61"/>
      <c r="K200"/>
    </row>
    <row r="201" spans="5:11" ht="14.25" customHeight="1" x14ac:dyDescent="0.2">
      <c r="E201" s="52"/>
      <c r="H201" s="61"/>
      <c r="K201"/>
    </row>
    <row r="202" spans="5:11" ht="14.25" customHeight="1" x14ac:dyDescent="0.2">
      <c r="E202" s="52"/>
      <c r="H202" s="61"/>
      <c r="K202"/>
    </row>
    <row r="203" spans="5:11" ht="14.25" customHeight="1" x14ac:dyDescent="0.2">
      <c r="E203" s="52"/>
      <c r="H203" s="61"/>
      <c r="K203"/>
    </row>
    <row r="204" spans="5:11" ht="14.25" customHeight="1" x14ac:dyDescent="0.2">
      <c r="E204" s="52"/>
      <c r="H204" s="61"/>
      <c r="K204"/>
    </row>
    <row r="205" spans="5:11" ht="14.25" customHeight="1" x14ac:dyDescent="0.2">
      <c r="E205" s="52"/>
      <c r="H205" s="61"/>
      <c r="K205"/>
    </row>
    <row r="206" spans="5:11" ht="14.25" customHeight="1" x14ac:dyDescent="0.2">
      <c r="E206" s="52"/>
      <c r="H206" s="61"/>
      <c r="K206"/>
    </row>
    <row r="207" spans="5:11" ht="14.25" customHeight="1" x14ac:dyDescent="0.2">
      <c r="E207" s="52"/>
      <c r="H207" s="61"/>
      <c r="K207"/>
    </row>
    <row r="208" spans="5:11" ht="14.25" customHeight="1" x14ac:dyDescent="0.2">
      <c r="E208" s="52"/>
      <c r="H208" s="61"/>
      <c r="K208"/>
    </row>
    <row r="209" spans="5:11" ht="14.25" customHeight="1" x14ac:dyDescent="0.2">
      <c r="E209" s="52"/>
      <c r="H209" s="61"/>
      <c r="K209"/>
    </row>
    <row r="210" spans="5:11" ht="14.25" customHeight="1" x14ac:dyDescent="0.2">
      <c r="E210" s="52"/>
      <c r="H210" s="61"/>
      <c r="K210"/>
    </row>
    <row r="211" spans="5:11" ht="14.25" customHeight="1" x14ac:dyDescent="0.2">
      <c r="E211" s="52"/>
      <c r="H211" s="61"/>
      <c r="K211"/>
    </row>
    <row r="212" spans="5:11" ht="14.25" customHeight="1" x14ac:dyDescent="0.2">
      <c r="E212" s="52"/>
      <c r="H212" s="61"/>
      <c r="K212"/>
    </row>
    <row r="213" spans="5:11" ht="14.25" customHeight="1" x14ac:dyDescent="0.2">
      <c r="E213" s="52"/>
      <c r="H213" s="61"/>
      <c r="K213"/>
    </row>
    <row r="214" spans="5:11" ht="14.25" customHeight="1" x14ac:dyDescent="0.2">
      <c r="E214" s="52"/>
      <c r="H214" s="61"/>
      <c r="K214"/>
    </row>
    <row r="215" spans="5:11" ht="14.25" customHeight="1" x14ac:dyDescent="0.2">
      <c r="E215" s="52"/>
      <c r="H215" s="61"/>
      <c r="K215"/>
    </row>
    <row r="216" spans="5:11" ht="14.25" customHeight="1" x14ac:dyDescent="0.2">
      <c r="E216" s="52"/>
      <c r="H216" s="61"/>
      <c r="K216"/>
    </row>
    <row r="217" spans="5:11" ht="14.25" customHeight="1" x14ac:dyDescent="0.2">
      <c r="E217" s="52"/>
      <c r="H217" s="61"/>
      <c r="K217"/>
    </row>
    <row r="218" spans="5:11" ht="14.25" customHeight="1" x14ac:dyDescent="0.2">
      <c r="E218" s="52"/>
      <c r="H218" s="61"/>
      <c r="K218"/>
    </row>
    <row r="219" spans="5:11" ht="14.25" customHeight="1" x14ac:dyDescent="0.2">
      <c r="E219" s="52"/>
      <c r="H219" s="61"/>
      <c r="K219"/>
    </row>
    <row r="220" spans="5:11" ht="14.25" customHeight="1" x14ac:dyDescent="0.2">
      <c r="E220" s="52"/>
      <c r="H220" s="61"/>
      <c r="K220"/>
    </row>
    <row r="221" spans="5:11" ht="14.25" customHeight="1" x14ac:dyDescent="0.2">
      <c r="E221" s="52"/>
      <c r="H221" s="61"/>
      <c r="K221"/>
    </row>
    <row r="222" spans="5:11" ht="14.25" customHeight="1" x14ac:dyDescent="0.2">
      <c r="E222" s="52"/>
      <c r="H222" s="61"/>
      <c r="K222"/>
    </row>
    <row r="223" spans="5:11" ht="14.25" customHeight="1" x14ac:dyDescent="0.2">
      <c r="E223" s="52"/>
      <c r="H223" s="61"/>
      <c r="K223"/>
    </row>
    <row r="224" spans="5:11" ht="14.25" customHeight="1" x14ac:dyDescent="0.2">
      <c r="E224" s="52"/>
      <c r="H224" s="61"/>
      <c r="K224"/>
    </row>
    <row r="225" spans="5:11" ht="14.25" customHeight="1" x14ac:dyDescent="0.2">
      <c r="E225" s="52"/>
      <c r="H225" s="61"/>
      <c r="K225"/>
    </row>
    <row r="226" spans="5:11" ht="14.25" customHeight="1" x14ac:dyDescent="0.2">
      <c r="E226" s="52"/>
      <c r="H226" s="61"/>
      <c r="K226"/>
    </row>
    <row r="227" spans="5:11" ht="14.25" customHeight="1" x14ac:dyDescent="0.2">
      <c r="E227" s="52"/>
      <c r="H227" s="61"/>
      <c r="K227"/>
    </row>
    <row r="228" spans="5:11" ht="14.25" customHeight="1" x14ac:dyDescent="0.2">
      <c r="E228" s="52"/>
      <c r="H228" s="61"/>
      <c r="K228"/>
    </row>
    <row r="229" spans="5:11" ht="14.25" customHeight="1" x14ac:dyDescent="0.2">
      <c r="E229" s="52"/>
      <c r="H229" s="61"/>
      <c r="K229"/>
    </row>
    <row r="230" spans="5:11" ht="14.25" customHeight="1" x14ac:dyDescent="0.2">
      <c r="E230" s="52"/>
      <c r="H230" s="61"/>
      <c r="K230"/>
    </row>
    <row r="231" spans="5:11" ht="14.25" customHeight="1" x14ac:dyDescent="0.2">
      <c r="E231" s="52"/>
      <c r="H231" s="61"/>
      <c r="K231"/>
    </row>
    <row r="232" spans="5:11" ht="14.25" customHeight="1" x14ac:dyDescent="0.2">
      <c r="E232" s="52"/>
      <c r="H232" s="61"/>
      <c r="K232"/>
    </row>
    <row r="233" spans="5:11" ht="14.25" customHeight="1" x14ac:dyDescent="0.2">
      <c r="E233" s="52"/>
      <c r="H233" s="61"/>
      <c r="K233"/>
    </row>
    <row r="234" spans="5:11" ht="14.25" customHeight="1" x14ac:dyDescent="0.2">
      <c r="E234" s="52"/>
      <c r="H234" s="61"/>
      <c r="K234"/>
    </row>
    <row r="235" spans="5:11" ht="14.25" customHeight="1" x14ac:dyDescent="0.2">
      <c r="E235" s="52"/>
      <c r="H235" s="61"/>
      <c r="K235"/>
    </row>
    <row r="236" spans="5:11" ht="14.25" customHeight="1" x14ac:dyDescent="0.2">
      <c r="E236" s="52"/>
      <c r="H236" s="61"/>
      <c r="K236"/>
    </row>
    <row r="237" spans="5:11" ht="14.25" customHeight="1" x14ac:dyDescent="0.2">
      <c r="E237" s="52"/>
      <c r="H237" s="61"/>
      <c r="K237"/>
    </row>
    <row r="238" spans="5:11" ht="14.25" customHeight="1" x14ac:dyDescent="0.2">
      <c r="E238" s="52"/>
      <c r="H238" s="61"/>
      <c r="K238"/>
    </row>
    <row r="239" spans="5:11" ht="14.25" customHeight="1" x14ac:dyDescent="0.2">
      <c r="E239" s="52"/>
      <c r="H239" s="61"/>
      <c r="K239"/>
    </row>
    <row r="240" spans="5:11" ht="14.25" customHeight="1" x14ac:dyDescent="0.2">
      <c r="E240" s="52"/>
      <c r="H240" s="61"/>
      <c r="K240"/>
    </row>
    <row r="241" spans="5:11" ht="14.25" customHeight="1" x14ac:dyDescent="0.2">
      <c r="E241" s="52"/>
      <c r="H241" s="61"/>
      <c r="K241"/>
    </row>
    <row r="242" spans="5:11" ht="14.25" customHeight="1" x14ac:dyDescent="0.2">
      <c r="E242" s="52"/>
      <c r="H242" s="61"/>
      <c r="K242"/>
    </row>
    <row r="243" spans="5:11" ht="14.25" customHeight="1" x14ac:dyDescent="0.2">
      <c r="E243" s="52"/>
      <c r="H243" s="61"/>
      <c r="K243"/>
    </row>
    <row r="244" spans="5:11" ht="14.25" customHeight="1" x14ac:dyDescent="0.2">
      <c r="E244" s="52"/>
      <c r="H244" s="61"/>
      <c r="K244"/>
    </row>
    <row r="245" spans="5:11" ht="14.25" customHeight="1" x14ac:dyDescent="0.2">
      <c r="E245" s="52"/>
      <c r="H245" s="61"/>
      <c r="K245"/>
    </row>
    <row r="246" spans="5:11" ht="14.25" customHeight="1" x14ac:dyDescent="0.2">
      <c r="E246" s="52"/>
      <c r="H246" s="61"/>
      <c r="K246"/>
    </row>
    <row r="247" spans="5:11" ht="14.25" customHeight="1" x14ac:dyDescent="0.2">
      <c r="E247" s="52"/>
      <c r="H247" s="61"/>
      <c r="K247"/>
    </row>
    <row r="248" spans="5:11" ht="14.25" customHeight="1" x14ac:dyDescent="0.2">
      <c r="E248" s="52"/>
      <c r="H248" s="61"/>
      <c r="K248"/>
    </row>
    <row r="249" spans="5:11" ht="14.25" customHeight="1" x14ac:dyDescent="0.2">
      <c r="E249" s="52"/>
      <c r="H249" s="61"/>
      <c r="K249"/>
    </row>
    <row r="250" spans="5:11" ht="14.25" customHeight="1" x14ac:dyDescent="0.2">
      <c r="E250" s="52"/>
      <c r="H250" s="61"/>
      <c r="K250"/>
    </row>
    <row r="251" spans="5:11" ht="14.25" customHeight="1" x14ac:dyDescent="0.2">
      <c r="E251" s="52"/>
      <c r="H251" s="61"/>
      <c r="K251"/>
    </row>
    <row r="252" spans="5:11" ht="14.25" customHeight="1" x14ac:dyDescent="0.2">
      <c r="E252" s="52"/>
      <c r="H252" s="61"/>
      <c r="K252"/>
    </row>
    <row r="253" spans="5:11" ht="14.25" customHeight="1" x14ac:dyDescent="0.2">
      <c r="E253" s="52"/>
      <c r="H253" s="61"/>
      <c r="K253"/>
    </row>
    <row r="254" spans="5:11" ht="14.25" customHeight="1" x14ac:dyDescent="0.2">
      <c r="E254" s="52"/>
      <c r="H254" s="61"/>
      <c r="K254"/>
    </row>
    <row r="255" spans="5:11" ht="14.25" customHeight="1" x14ac:dyDescent="0.2">
      <c r="E255" s="52"/>
      <c r="H255" s="61"/>
      <c r="K255"/>
    </row>
    <row r="256" spans="5:11" ht="14.25" customHeight="1" x14ac:dyDescent="0.2">
      <c r="E256" s="52"/>
      <c r="H256" s="61"/>
      <c r="K256"/>
    </row>
    <row r="257" spans="5:11" ht="14.25" customHeight="1" x14ac:dyDescent="0.2">
      <c r="E257" s="52"/>
      <c r="H257" s="61"/>
      <c r="K257"/>
    </row>
    <row r="258" spans="5:11" ht="14.25" customHeight="1" x14ac:dyDescent="0.2">
      <c r="E258" s="52"/>
      <c r="H258" s="61"/>
      <c r="K258"/>
    </row>
    <row r="259" spans="5:11" ht="14.25" customHeight="1" x14ac:dyDescent="0.2">
      <c r="E259" s="52"/>
      <c r="H259" s="61"/>
      <c r="K259"/>
    </row>
    <row r="260" spans="5:11" ht="14.25" customHeight="1" x14ac:dyDescent="0.2">
      <c r="E260" s="52"/>
      <c r="H260" s="61"/>
      <c r="K260"/>
    </row>
    <row r="261" spans="5:11" ht="14.25" customHeight="1" x14ac:dyDescent="0.2">
      <c r="E261" s="52"/>
      <c r="H261" s="61"/>
      <c r="K261"/>
    </row>
    <row r="262" spans="5:11" ht="14.25" customHeight="1" x14ac:dyDescent="0.2">
      <c r="E262" s="52"/>
      <c r="H262" s="61"/>
      <c r="K262"/>
    </row>
    <row r="263" spans="5:11" ht="14.25" customHeight="1" x14ac:dyDescent="0.2">
      <c r="E263" s="52"/>
      <c r="H263" s="61"/>
      <c r="K263"/>
    </row>
    <row r="264" spans="5:11" ht="14.25" customHeight="1" x14ac:dyDescent="0.2">
      <c r="E264" s="52"/>
      <c r="H264" s="61"/>
      <c r="K264"/>
    </row>
    <row r="265" spans="5:11" ht="14.25" customHeight="1" x14ac:dyDescent="0.2">
      <c r="E265" s="52"/>
      <c r="H265" s="61"/>
      <c r="K265"/>
    </row>
    <row r="266" spans="5:11" ht="14.25" customHeight="1" x14ac:dyDescent="0.2">
      <c r="E266" s="52"/>
      <c r="H266" s="61"/>
      <c r="K266"/>
    </row>
    <row r="267" spans="5:11" ht="14.25" customHeight="1" x14ac:dyDescent="0.2">
      <c r="E267" s="52"/>
      <c r="H267" s="61"/>
      <c r="K267"/>
    </row>
    <row r="268" spans="5:11" ht="14.25" customHeight="1" x14ac:dyDescent="0.2">
      <c r="E268" s="52"/>
      <c r="H268" s="61"/>
      <c r="K268"/>
    </row>
    <row r="269" spans="5:11" ht="14.25" customHeight="1" x14ac:dyDescent="0.2">
      <c r="E269" s="52"/>
      <c r="H269" s="61"/>
      <c r="K269"/>
    </row>
    <row r="270" spans="5:11" ht="14.25" customHeight="1" x14ac:dyDescent="0.2">
      <c r="E270" s="52"/>
      <c r="H270" s="61"/>
      <c r="K270"/>
    </row>
    <row r="271" spans="5:11" ht="14.25" customHeight="1" x14ac:dyDescent="0.2">
      <c r="E271" s="52"/>
      <c r="H271" s="61"/>
      <c r="K271"/>
    </row>
    <row r="272" spans="5:11" ht="14.25" customHeight="1" x14ac:dyDescent="0.2">
      <c r="E272" s="52"/>
      <c r="H272" s="61"/>
      <c r="K272"/>
    </row>
    <row r="273" spans="5:11" ht="14.25" customHeight="1" x14ac:dyDescent="0.2">
      <c r="E273" s="52"/>
      <c r="H273" s="61"/>
      <c r="K273"/>
    </row>
    <row r="274" spans="5:11" ht="14.25" customHeight="1" x14ac:dyDescent="0.2">
      <c r="E274" s="52"/>
      <c r="H274" s="61"/>
      <c r="K274"/>
    </row>
    <row r="275" spans="5:11" ht="14.25" customHeight="1" x14ac:dyDescent="0.2">
      <c r="E275" s="52"/>
      <c r="H275" s="61"/>
      <c r="K275"/>
    </row>
    <row r="276" spans="5:11" ht="14.25" customHeight="1" x14ac:dyDescent="0.2">
      <c r="E276" s="52"/>
      <c r="H276" s="61"/>
      <c r="K276"/>
    </row>
    <row r="277" spans="5:11" ht="14.25" customHeight="1" x14ac:dyDescent="0.2">
      <c r="E277" s="52"/>
      <c r="H277" s="61"/>
      <c r="K277"/>
    </row>
    <row r="278" spans="5:11" ht="14.25" customHeight="1" x14ac:dyDescent="0.2">
      <c r="E278" s="52"/>
      <c r="H278" s="61"/>
      <c r="K278"/>
    </row>
    <row r="279" spans="5:11" ht="14.25" customHeight="1" x14ac:dyDescent="0.2">
      <c r="E279" s="52"/>
      <c r="H279" s="61"/>
      <c r="K279"/>
    </row>
    <row r="280" spans="5:11" ht="14.25" customHeight="1" x14ac:dyDescent="0.2">
      <c r="E280" s="52"/>
      <c r="H280" s="61"/>
      <c r="K280"/>
    </row>
    <row r="281" spans="5:11" ht="14.25" customHeight="1" x14ac:dyDescent="0.2">
      <c r="E281" s="52"/>
      <c r="H281" s="61"/>
      <c r="K281"/>
    </row>
    <row r="282" spans="5:11" ht="14.25" customHeight="1" x14ac:dyDescent="0.2">
      <c r="E282" s="52"/>
      <c r="H282" s="61"/>
      <c r="K282"/>
    </row>
    <row r="283" spans="5:11" ht="14.25" customHeight="1" x14ac:dyDescent="0.2">
      <c r="E283" s="52"/>
      <c r="H283" s="61"/>
      <c r="K283"/>
    </row>
    <row r="284" spans="5:11" ht="14.25" customHeight="1" x14ac:dyDescent="0.2">
      <c r="E284" s="52"/>
      <c r="H284" s="61"/>
      <c r="K284"/>
    </row>
    <row r="285" spans="5:11" ht="14.25" customHeight="1" x14ac:dyDescent="0.2">
      <c r="E285" s="52"/>
      <c r="H285" s="61"/>
      <c r="K285"/>
    </row>
    <row r="286" spans="5:11" ht="14.25" customHeight="1" x14ac:dyDescent="0.2">
      <c r="E286" s="52"/>
      <c r="H286" s="61"/>
      <c r="K286"/>
    </row>
    <row r="287" spans="5:11" ht="14.25" customHeight="1" x14ac:dyDescent="0.2">
      <c r="E287" s="52"/>
      <c r="H287" s="61"/>
      <c r="K287"/>
    </row>
    <row r="288" spans="5:11" ht="14.25" customHeight="1" x14ac:dyDescent="0.2">
      <c r="E288" s="52"/>
      <c r="H288" s="61"/>
      <c r="K288"/>
    </row>
    <row r="289" spans="5:11" ht="14.25" customHeight="1" x14ac:dyDescent="0.2">
      <c r="E289" s="52"/>
      <c r="H289" s="61"/>
      <c r="K289"/>
    </row>
    <row r="290" spans="5:11" ht="14.25" customHeight="1" x14ac:dyDescent="0.2">
      <c r="E290" s="52"/>
      <c r="H290" s="61"/>
      <c r="K290"/>
    </row>
    <row r="291" spans="5:11" ht="14.25" customHeight="1" x14ac:dyDescent="0.2">
      <c r="E291" s="52"/>
      <c r="H291" s="61"/>
      <c r="K291"/>
    </row>
    <row r="292" spans="5:11" ht="14.25" customHeight="1" x14ac:dyDescent="0.2">
      <c r="E292" s="52"/>
      <c r="H292" s="61"/>
      <c r="K292"/>
    </row>
    <row r="293" spans="5:11" ht="14.25" customHeight="1" x14ac:dyDescent="0.2">
      <c r="E293" s="52"/>
      <c r="H293" s="61"/>
      <c r="K293"/>
    </row>
    <row r="294" spans="5:11" ht="14.25" customHeight="1" x14ac:dyDescent="0.2">
      <c r="E294" s="52"/>
      <c r="H294" s="61"/>
      <c r="K294"/>
    </row>
    <row r="295" spans="5:11" ht="14.25" customHeight="1" x14ac:dyDescent="0.2">
      <c r="E295" s="52"/>
      <c r="H295" s="61"/>
      <c r="K295"/>
    </row>
    <row r="296" spans="5:11" ht="14.25" customHeight="1" x14ac:dyDescent="0.2">
      <c r="E296" s="52"/>
      <c r="H296" s="61"/>
      <c r="K296"/>
    </row>
    <row r="297" spans="5:11" ht="14.25" customHeight="1" x14ac:dyDescent="0.2">
      <c r="E297" s="52"/>
      <c r="H297" s="61"/>
      <c r="K297"/>
    </row>
    <row r="298" spans="5:11" ht="14.25" customHeight="1" x14ac:dyDescent="0.2">
      <c r="E298" s="52"/>
      <c r="H298" s="61"/>
      <c r="K298"/>
    </row>
    <row r="299" spans="5:11" ht="14.25" customHeight="1" x14ac:dyDescent="0.2">
      <c r="E299" s="52"/>
      <c r="H299" s="61"/>
      <c r="K299"/>
    </row>
    <row r="300" spans="5:11" ht="14.25" customHeight="1" x14ac:dyDescent="0.2">
      <c r="E300" s="52"/>
      <c r="H300" s="61"/>
      <c r="K300"/>
    </row>
    <row r="301" spans="5:11" ht="14.25" customHeight="1" x14ac:dyDescent="0.2">
      <c r="E301" s="52"/>
      <c r="H301" s="61"/>
      <c r="K301"/>
    </row>
    <row r="302" spans="5:11" ht="14.25" customHeight="1" x14ac:dyDescent="0.2">
      <c r="E302" s="52"/>
      <c r="H302" s="61"/>
      <c r="K302"/>
    </row>
    <row r="303" spans="5:11" ht="14.25" customHeight="1" x14ac:dyDescent="0.2">
      <c r="E303" s="52"/>
      <c r="H303" s="61"/>
      <c r="K303"/>
    </row>
    <row r="304" spans="5:11" ht="14.25" customHeight="1" x14ac:dyDescent="0.2">
      <c r="E304" s="52"/>
      <c r="H304" s="61"/>
      <c r="K304"/>
    </row>
    <row r="305" spans="5:11" ht="14.25" customHeight="1" x14ac:dyDescent="0.2">
      <c r="E305" s="52"/>
      <c r="H305" s="61"/>
      <c r="K305"/>
    </row>
    <row r="306" spans="5:11" ht="14.25" customHeight="1" x14ac:dyDescent="0.2">
      <c r="E306" s="52"/>
      <c r="H306" s="61"/>
      <c r="K306"/>
    </row>
    <row r="307" spans="5:11" ht="14.25" customHeight="1" x14ac:dyDescent="0.2">
      <c r="E307" s="52"/>
      <c r="H307" s="61"/>
      <c r="K307"/>
    </row>
    <row r="308" spans="5:11" ht="14.25" customHeight="1" x14ac:dyDescent="0.2">
      <c r="E308" s="52"/>
      <c r="H308" s="61"/>
      <c r="K308"/>
    </row>
    <row r="309" spans="5:11" ht="14.25" customHeight="1" x14ac:dyDescent="0.2">
      <c r="E309" s="52"/>
      <c r="H309" s="61"/>
      <c r="K309"/>
    </row>
    <row r="310" spans="5:11" ht="14.25" customHeight="1" x14ac:dyDescent="0.2">
      <c r="E310" s="52"/>
      <c r="H310" s="61"/>
      <c r="K310"/>
    </row>
    <row r="311" spans="5:11" ht="14.25" customHeight="1" x14ac:dyDescent="0.2">
      <c r="E311" s="52"/>
      <c r="H311" s="61"/>
      <c r="K311"/>
    </row>
    <row r="312" spans="5:11" ht="14.25" customHeight="1" x14ac:dyDescent="0.2">
      <c r="E312" s="52"/>
      <c r="H312" s="61"/>
      <c r="K312"/>
    </row>
    <row r="313" spans="5:11" ht="14.25" customHeight="1" x14ac:dyDescent="0.2">
      <c r="E313" s="52"/>
      <c r="H313" s="61"/>
      <c r="K313"/>
    </row>
    <row r="314" spans="5:11" ht="14.25" customHeight="1" x14ac:dyDescent="0.2">
      <c r="E314" s="52"/>
      <c r="H314" s="61"/>
      <c r="K314"/>
    </row>
    <row r="315" spans="5:11" ht="14.25" customHeight="1" x14ac:dyDescent="0.2">
      <c r="E315" s="52"/>
      <c r="H315" s="61"/>
      <c r="K315"/>
    </row>
    <row r="316" spans="5:11" ht="14.25" customHeight="1" x14ac:dyDescent="0.2">
      <c r="E316" s="52"/>
      <c r="H316" s="61"/>
      <c r="K316"/>
    </row>
    <row r="317" spans="5:11" ht="14.25" customHeight="1" x14ac:dyDescent="0.2">
      <c r="E317" s="52"/>
      <c r="H317" s="61"/>
      <c r="K317"/>
    </row>
    <row r="318" spans="5:11" ht="14.25" customHeight="1" x14ac:dyDescent="0.2">
      <c r="E318" s="52"/>
      <c r="H318" s="61"/>
      <c r="K318"/>
    </row>
    <row r="319" spans="5:11" ht="14.25" customHeight="1" x14ac:dyDescent="0.2">
      <c r="E319" s="52"/>
      <c r="H319" s="61"/>
      <c r="K319"/>
    </row>
    <row r="320" spans="5:11" ht="14.25" customHeight="1" x14ac:dyDescent="0.2">
      <c r="E320" s="52"/>
      <c r="H320" s="61"/>
      <c r="K320"/>
    </row>
    <row r="321" spans="5:11" ht="14.25" customHeight="1" x14ac:dyDescent="0.2">
      <c r="E321" s="52"/>
      <c r="H321" s="61"/>
      <c r="K321"/>
    </row>
    <row r="322" spans="5:11" ht="14.25" customHeight="1" x14ac:dyDescent="0.2">
      <c r="E322" s="52"/>
      <c r="H322" s="61"/>
      <c r="K322"/>
    </row>
    <row r="323" spans="5:11" ht="14.25" customHeight="1" x14ac:dyDescent="0.2">
      <c r="E323" s="52"/>
      <c r="H323" s="61"/>
      <c r="K323"/>
    </row>
    <row r="324" spans="5:11" ht="14.25" customHeight="1" x14ac:dyDescent="0.2">
      <c r="E324" s="52"/>
      <c r="H324" s="61"/>
      <c r="K324"/>
    </row>
    <row r="325" spans="5:11" ht="14.25" customHeight="1" x14ac:dyDescent="0.2">
      <c r="E325" s="52"/>
      <c r="H325" s="61"/>
      <c r="K325"/>
    </row>
    <row r="326" spans="5:11" ht="14.25" customHeight="1" x14ac:dyDescent="0.2">
      <c r="E326" s="52"/>
      <c r="H326" s="61"/>
      <c r="K326"/>
    </row>
    <row r="327" spans="5:11" ht="14.25" customHeight="1" x14ac:dyDescent="0.2">
      <c r="E327" s="52"/>
      <c r="H327" s="61"/>
      <c r="K327"/>
    </row>
    <row r="328" spans="5:11" ht="14.25" customHeight="1" x14ac:dyDescent="0.2">
      <c r="E328" s="52"/>
      <c r="H328" s="61"/>
      <c r="K328"/>
    </row>
    <row r="329" spans="5:11" ht="14.25" customHeight="1" x14ac:dyDescent="0.2">
      <c r="E329" s="52"/>
      <c r="H329" s="61"/>
      <c r="K329"/>
    </row>
    <row r="330" spans="5:11" ht="14.25" customHeight="1" x14ac:dyDescent="0.2">
      <c r="E330" s="52"/>
      <c r="F330" s="41"/>
      <c r="H330" s="61"/>
      <c r="K330"/>
    </row>
    <row r="331" spans="5:11" ht="14.25" customHeight="1" x14ac:dyDescent="0.2">
      <c r="E331" s="52"/>
      <c r="F331" s="41"/>
      <c r="H331" s="61"/>
      <c r="K331"/>
    </row>
    <row r="332" spans="5:11" ht="14.25" customHeight="1" x14ac:dyDescent="0.2">
      <c r="E332" s="52"/>
      <c r="F332" s="41"/>
      <c r="H332" s="61"/>
      <c r="K332"/>
    </row>
    <row r="333" spans="5:11" ht="14.25" customHeight="1" x14ac:dyDescent="0.2">
      <c r="E333" s="52"/>
      <c r="F333" s="41"/>
      <c r="H333" s="61"/>
      <c r="K333"/>
    </row>
    <row r="334" spans="5:11" ht="14.25" customHeight="1" x14ac:dyDescent="0.2">
      <c r="E334" s="52"/>
      <c r="F334" s="41"/>
      <c r="H334" s="61"/>
      <c r="K334"/>
    </row>
    <row r="335" spans="5:11" ht="14.25" customHeight="1" x14ac:dyDescent="0.2">
      <c r="E335" s="52"/>
      <c r="F335" s="41"/>
      <c r="H335" s="61"/>
      <c r="K335"/>
    </row>
    <row r="336" spans="5:11" ht="14.25" customHeight="1" x14ac:dyDescent="0.2">
      <c r="E336" s="52"/>
      <c r="F336" s="41"/>
      <c r="H336" s="61"/>
      <c r="K336"/>
    </row>
    <row r="337" spans="5:11" ht="14.25" customHeight="1" x14ac:dyDescent="0.2">
      <c r="E337" s="52"/>
      <c r="F337" s="41"/>
      <c r="H337" s="61"/>
      <c r="K337"/>
    </row>
    <row r="338" spans="5:11" ht="14.25" customHeight="1" x14ac:dyDescent="0.2">
      <c r="E338" s="52"/>
      <c r="F338" s="41"/>
      <c r="H338" s="61"/>
      <c r="K338"/>
    </row>
    <row r="339" spans="5:11" ht="14.25" customHeight="1" x14ac:dyDescent="0.2">
      <c r="E339" s="52"/>
      <c r="F339" s="41"/>
      <c r="H339" s="61"/>
      <c r="K339"/>
    </row>
    <row r="340" spans="5:11" ht="14.25" customHeight="1" x14ac:dyDescent="0.2">
      <c r="E340" s="52"/>
      <c r="F340" s="41"/>
      <c r="H340" s="61"/>
      <c r="K340"/>
    </row>
    <row r="341" spans="5:11" ht="14.25" customHeight="1" x14ac:dyDescent="0.2">
      <c r="E341" s="52"/>
      <c r="F341" s="41"/>
      <c r="H341" s="61"/>
      <c r="K341"/>
    </row>
    <row r="342" spans="5:11" ht="13.5" customHeight="1" x14ac:dyDescent="0.2">
      <c r="E342" s="52"/>
      <c r="F342" s="41"/>
      <c r="H342" s="61"/>
      <c r="K342"/>
    </row>
    <row r="343" spans="5:11" ht="13.5" customHeight="1" x14ac:dyDescent="0.2">
      <c r="E343" s="52"/>
      <c r="F343" s="41"/>
      <c r="H343" s="61"/>
      <c r="K343"/>
    </row>
    <row r="344" spans="5:11" ht="13.5" customHeight="1" x14ac:dyDescent="0.2">
      <c r="E344" s="52"/>
      <c r="F344" s="41"/>
      <c r="H344" s="61"/>
      <c r="K344"/>
    </row>
    <row r="345" spans="5:11" ht="13.5" customHeight="1" x14ac:dyDescent="0.2">
      <c r="E345" s="52"/>
      <c r="F345" s="41"/>
      <c r="H345" s="61"/>
      <c r="K345"/>
    </row>
    <row r="346" spans="5:11" ht="13.5" customHeight="1" x14ac:dyDescent="0.2">
      <c r="E346" s="52"/>
      <c r="F346" s="41"/>
      <c r="H346" s="61"/>
      <c r="K346"/>
    </row>
    <row r="347" spans="5:11" ht="13.5" customHeight="1" x14ac:dyDescent="0.2">
      <c r="E347" s="52"/>
      <c r="F347" s="41"/>
      <c r="H347" s="61"/>
      <c r="K347"/>
    </row>
    <row r="348" spans="5:11" ht="13.5" customHeight="1" x14ac:dyDescent="0.2">
      <c r="E348" s="52"/>
      <c r="F348" s="41"/>
      <c r="H348" s="61"/>
      <c r="K348"/>
    </row>
    <row r="349" spans="5:11" ht="13.5" customHeight="1" x14ac:dyDescent="0.2">
      <c r="E349" s="52"/>
      <c r="F349" s="41"/>
      <c r="H349" s="61"/>
      <c r="K349"/>
    </row>
    <row r="350" spans="5:11" ht="13.5" customHeight="1" x14ac:dyDescent="0.2">
      <c r="E350" s="52"/>
      <c r="F350" s="41"/>
      <c r="H350" s="61"/>
      <c r="K350"/>
    </row>
    <row r="351" spans="5:11" ht="13.5" customHeight="1" x14ac:dyDescent="0.2">
      <c r="E351" s="52"/>
      <c r="F351" s="41"/>
      <c r="H351" s="61"/>
      <c r="K351"/>
    </row>
    <row r="352" spans="5:11" ht="13.5" customHeight="1" x14ac:dyDescent="0.2">
      <c r="E352" s="52"/>
      <c r="F352" s="41"/>
      <c r="H352" s="61"/>
      <c r="K352"/>
    </row>
    <row r="353" spans="5:11" ht="13.5" customHeight="1" x14ac:dyDescent="0.2">
      <c r="E353" s="52"/>
      <c r="F353" s="41"/>
      <c r="H353" s="61"/>
      <c r="K353"/>
    </row>
    <row r="354" spans="5:11" ht="13.5" customHeight="1" x14ac:dyDescent="0.2">
      <c r="E354" s="52"/>
      <c r="F354" s="41"/>
      <c r="H354" s="61"/>
      <c r="K354"/>
    </row>
    <row r="355" spans="5:11" ht="13.5" customHeight="1" x14ac:dyDescent="0.2">
      <c r="E355" s="52"/>
      <c r="F355" s="41"/>
      <c r="H355" s="61"/>
      <c r="K355"/>
    </row>
    <row r="356" spans="5:11" ht="13.5" customHeight="1" x14ac:dyDescent="0.2">
      <c r="E356" s="52"/>
      <c r="F356" s="41"/>
      <c r="H356" s="61"/>
      <c r="K356"/>
    </row>
    <row r="357" spans="5:11" ht="13.5" customHeight="1" x14ac:dyDescent="0.2">
      <c r="E357" s="52"/>
      <c r="F357" s="41"/>
      <c r="H357" s="61"/>
      <c r="K357"/>
    </row>
    <row r="358" spans="5:11" ht="13.5" customHeight="1" x14ac:dyDescent="0.2">
      <c r="E358" s="52"/>
      <c r="F358" s="41"/>
      <c r="H358" s="61"/>
      <c r="K358"/>
    </row>
    <row r="359" spans="5:11" ht="13.5" customHeight="1" x14ac:dyDescent="0.2">
      <c r="E359" s="52"/>
      <c r="F359" s="41"/>
      <c r="H359" s="61"/>
      <c r="K359"/>
    </row>
    <row r="360" spans="5:11" ht="13.5" customHeight="1" x14ac:dyDescent="0.2">
      <c r="E360" s="52"/>
      <c r="F360" s="41"/>
      <c r="H360" s="61"/>
      <c r="K360"/>
    </row>
    <row r="361" spans="5:11" ht="13.5" customHeight="1" x14ac:dyDescent="0.2">
      <c r="E361" s="52"/>
      <c r="F361" s="41"/>
      <c r="H361" s="61"/>
      <c r="K361"/>
    </row>
    <row r="362" spans="5:11" ht="13.5" customHeight="1" x14ac:dyDescent="0.2">
      <c r="E362" s="52"/>
      <c r="F362" s="41"/>
      <c r="H362" s="61"/>
      <c r="K362"/>
    </row>
    <row r="363" spans="5:11" ht="13.5" customHeight="1" x14ac:dyDescent="0.2">
      <c r="E363" s="52"/>
      <c r="F363" s="41"/>
      <c r="H363" s="61"/>
      <c r="K363"/>
    </row>
    <row r="364" spans="5:11" ht="13.5" customHeight="1" x14ac:dyDescent="0.2">
      <c r="E364" s="52"/>
      <c r="F364" s="41"/>
      <c r="H364" s="61"/>
      <c r="K364"/>
    </row>
    <row r="365" spans="5:11" ht="13.5" customHeight="1" x14ac:dyDescent="0.2">
      <c r="E365" s="52"/>
      <c r="F365" s="41"/>
      <c r="H365" s="61"/>
      <c r="K365"/>
    </row>
    <row r="366" spans="5:11" ht="13.5" customHeight="1" x14ac:dyDescent="0.2">
      <c r="E366" s="52"/>
      <c r="H366" s="61"/>
      <c r="K366"/>
    </row>
    <row r="367" spans="5:11" ht="13.5" customHeight="1" x14ac:dyDescent="0.2">
      <c r="E367" s="52"/>
      <c r="H367" s="61"/>
      <c r="K367"/>
    </row>
    <row r="368" spans="5:11" ht="13.5" customHeight="1" x14ac:dyDescent="0.2">
      <c r="E368" s="52"/>
      <c r="H368" s="61"/>
      <c r="K368"/>
    </row>
    <row r="369" spans="5:11" ht="13.5" customHeight="1" x14ac:dyDescent="0.2">
      <c r="E369" s="52"/>
      <c r="H369" s="61"/>
      <c r="K369"/>
    </row>
    <row r="370" spans="5:11" ht="13.5" customHeight="1" x14ac:dyDescent="0.2">
      <c r="E370" s="52"/>
      <c r="H370" s="61"/>
      <c r="K370"/>
    </row>
    <row r="371" spans="5:11" ht="13.5" customHeight="1" x14ac:dyDescent="0.2">
      <c r="E371" s="52"/>
      <c r="H371" s="61"/>
      <c r="K371"/>
    </row>
    <row r="372" spans="5:11" ht="13.5" customHeight="1" x14ac:dyDescent="0.2">
      <c r="E372" s="52"/>
      <c r="H372" s="61"/>
      <c r="K372"/>
    </row>
    <row r="373" spans="5:11" ht="13.5" customHeight="1" x14ac:dyDescent="0.2">
      <c r="E373" s="52"/>
      <c r="H373" s="61"/>
      <c r="K373"/>
    </row>
    <row r="374" spans="5:11" ht="13.5" customHeight="1" x14ac:dyDescent="0.2">
      <c r="E374" s="52"/>
      <c r="H374" s="61"/>
      <c r="K374"/>
    </row>
    <row r="375" spans="5:11" ht="13.5" customHeight="1" x14ac:dyDescent="0.2">
      <c r="E375" s="52"/>
      <c r="H375" s="61"/>
      <c r="K375"/>
    </row>
    <row r="376" spans="5:11" ht="13.5" customHeight="1" x14ac:dyDescent="0.2">
      <c r="E376" s="52"/>
      <c r="H376" s="61"/>
      <c r="K376"/>
    </row>
    <row r="377" spans="5:11" ht="13.5" customHeight="1" x14ac:dyDescent="0.2">
      <c r="E377" s="52"/>
      <c r="H377" s="61"/>
      <c r="K377"/>
    </row>
    <row r="378" spans="5:11" ht="13.5" customHeight="1" x14ac:dyDescent="0.2">
      <c r="E378" s="52"/>
      <c r="H378" s="61"/>
      <c r="K378"/>
    </row>
    <row r="379" spans="5:11" ht="13.5" customHeight="1" x14ac:dyDescent="0.2">
      <c r="E379" s="52"/>
      <c r="H379" s="61"/>
      <c r="K379"/>
    </row>
    <row r="380" spans="5:11" ht="13.5" customHeight="1" x14ac:dyDescent="0.2">
      <c r="E380" s="52"/>
      <c r="H380" s="61"/>
      <c r="K380"/>
    </row>
    <row r="381" spans="5:11" ht="13.5" customHeight="1" x14ac:dyDescent="0.2">
      <c r="E381" s="52"/>
      <c r="H381" s="61"/>
      <c r="K381"/>
    </row>
    <row r="382" spans="5:11" ht="13.5" customHeight="1" x14ac:dyDescent="0.2">
      <c r="E382" s="52"/>
      <c r="H382" s="61"/>
      <c r="K382"/>
    </row>
    <row r="383" spans="5:11" ht="13.5" customHeight="1" x14ac:dyDescent="0.2">
      <c r="E383" s="52"/>
      <c r="H383" s="61"/>
      <c r="K383"/>
    </row>
    <row r="384" spans="5:11" ht="13.5" customHeight="1" x14ac:dyDescent="0.2">
      <c r="E384" s="52"/>
      <c r="H384" s="61"/>
      <c r="K384"/>
    </row>
    <row r="385" spans="5:11" ht="13.5" customHeight="1" x14ac:dyDescent="0.2">
      <c r="E385" s="52"/>
      <c r="H385" s="61"/>
      <c r="K385"/>
    </row>
    <row r="386" spans="5:11" ht="13.5" customHeight="1" x14ac:dyDescent="0.2">
      <c r="E386" s="52"/>
      <c r="H386" s="61"/>
      <c r="K386"/>
    </row>
    <row r="387" spans="5:11" ht="13.5" customHeight="1" x14ac:dyDescent="0.2">
      <c r="E387" s="52"/>
      <c r="H387" s="61"/>
      <c r="K387"/>
    </row>
    <row r="388" spans="5:11" ht="13.5" customHeight="1" x14ac:dyDescent="0.2">
      <c r="E388" s="52"/>
      <c r="H388" s="61"/>
      <c r="K388"/>
    </row>
    <row r="389" spans="5:11" ht="13.5" customHeight="1" x14ac:dyDescent="0.2">
      <c r="E389" s="52"/>
      <c r="H389" s="61"/>
      <c r="K389"/>
    </row>
    <row r="390" spans="5:11" ht="13.5" customHeight="1" x14ac:dyDescent="0.2">
      <c r="E390" s="52"/>
      <c r="H390" s="61"/>
      <c r="K390"/>
    </row>
    <row r="391" spans="5:11" ht="13.5" customHeight="1" x14ac:dyDescent="0.2">
      <c r="E391" s="52"/>
      <c r="H391" s="61"/>
      <c r="K391"/>
    </row>
    <row r="392" spans="5:11" ht="13.5" customHeight="1" x14ac:dyDescent="0.2">
      <c r="E392" s="52"/>
      <c r="H392" s="61"/>
      <c r="K392"/>
    </row>
    <row r="393" spans="5:11" ht="13.5" customHeight="1" x14ac:dyDescent="0.2">
      <c r="E393" s="52"/>
      <c r="H393" s="61"/>
      <c r="K393"/>
    </row>
    <row r="394" spans="5:11" ht="13.5" customHeight="1" x14ac:dyDescent="0.2">
      <c r="E394" s="52"/>
      <c r="H394" s="61"/>
      <c r="K394"/>
    </row>
    <row r="395" spans="5:11" ht="13.5" customHeight="1" x14ac:dyDescent="0.2">
      <c r="E395" s="52"/>
      <c r="H395" s="61"/>
      <c r="K395"/>
    </row>
    <row r="396" spans="5:11" ht="13.5" customHeight="1" x14ac:dyDescent="0.2">
      <c r="E396" s="52"/>
      <c r="H396" s="61"/>
      <c r="K396"/>
    </row>
    <row r="397" spans="5:11" ht="13.5" customHeight="1" x14ac:dyDescent="0.2">
      <c r="E397" s="52"/>
      <c r="H397" s="61"/>
      <c r="K397"/>
    </row>
    <row r="398" spans="5:11" ht="13.5" customHeight="1" x14ac:dyDescent="0.2">
      <c r="E398" s="52"/>
      <c r="H398" s="61"/>
      <c r="K398"/>
    </row>
    <row r="399" spans="5:11" ht="13.5" customHeight="1" x14ac:dyDescent="0.2">
      <c r="E399" s="52"/>
      <c r="H399" s="61"/>
      <c r="K399"/>
    </row>
    <row r="400" spans="5:11" ht="13.5" customHeight="1" x14ac:dyDescent="0.2">
      <c r="E400" s="52"/>
      <c r="H400" s="61"/>
      <c r="K400"/>
    </row>
    <row r="401" spans="5:11" ht="13.5" customHeight="1" x14ac:dyDescent="0.2">
      <c r="E401" s="52"/>
      <c r="H401" s="61"/>
      <c r="K401"/>
    </row>
    <row r="402" spans="5:11" ht="13.5" customHeight="1" x14ac:dyDescent="0.2">
      <c r="E402" s="52"/>
      <c r="H402" s="61"/>
      <c r="K402"/>
    </row>
    <row r="403" spans="5:11" ht="13.5" customHeight="1" x14ac:dyDescent="0.2">
      <c r="E403" s="52"/>
      <c r="H403" s="61"/>
      <c r="K403"/>
    </row>
    <row r="404" spans="5:11" ht="13.5" customHeight="1" x14ac:dyDescent="0.2">
      <c r="E404" s="52"/>
      <c r="H404" s="61"/>
      <c r="K404"/>
    </row>
    <row r="405" spans="5:11" ht="13.5" customHeight="1" x14ac:dyDescent="0.2">
      <c r="E405" s="52"/>
      <c r="H405" s="61"/>
      <c r="K405"/>
    </row>
    <row r="406" spans="5:11" ht="13.5" customHeight="1" x14ac:dyDescent="0.2">
      <c r="E406" s="52"/>
      <c r="H406" s="61"/>
      <c r="K406"/>
    </row>
    <row r="407" spans="5:11" ht="13.5" customHeight="1" x14ac:dyDescent="0.2">
      <c r="E407" s="52"/>
      <c r="H407" s="61"/>
      <c r="K407"/>
    </row>
    <row r="408" spans="5:11" ht="13.5" customHeight="1" x14ac:dyDescent="0.2">
      <c r="E408" s="52"/>
      <c r="H408" s="61"/>
      <c r="K408"/>
    </row>
    <row r="409" spans="5:11" ht="13.5" customHeight="1" x14ac:dyDescent="0.2">
      <c r="E409" s="52"/>
      <c r="H409" s="61"/>
      <c r="K409"/>
    </row>
    <row r="410" spans="5:11" ht="13.5" customHeight="1" x14ac:dyDescent="0.2">
      <c r="E410" s="52"/>
      <c r="H410" s="61"/>
      <c r="K410"/>
    </row>
    <row r="411" spans="5:11" ht="13.5" customHeight="1" x14ac:dyDescent="0.2">
      <c r="E411" s="52"/>
      <c r="H411" s="61"/>
      <c r="K411"/>
    </row>
    <row r="412" spans="5:11" ht="13.5" customHeight="1" x14ac:dyDescent="0.2">
      <c r="E412" s="52"/>
      <c r="H412" s="61"/>
      <c r="K412"/>
    </row>
    <row r="413" spans="5:11" ht="13.5" customHeight="1" x14ac:dyDescent="0.2">
      <c r="E413" s="52"/>
      <c r="H413" s="61"/>
      <c r="K413"/>
    </row>
    <row r="414" spans="5:11" ht="13.5" customHeight="1" x14ac:dyDescent="0.2">
      <c r="E414" s="52"/>
      <c r="H414" s="61"/>
      <c r="K414"/>
    </row>
    <row r="415" spans="5:11" ht="13.5" customHeight="1" x14ac:dyDescent="0.2">
      <c r="E415" s="52"/>
      <c r="H415" s="61"/>
      <c r="K415"/>
    </row>
    <row r="416" spans="5:11" ht="13.5" customHeight="1" x14ac:dyDescent="0.2">
      <c r="E416" s="52"/>
      <c r="H416" s="61"/>
      <c r="K416"/>
    </row>
    <row r="417" spans="5:11" ht="13.5" customHeight="1" x14ac:dyDescent="0.2">
      <c r="E417" s="52"/>
      <c r="H417" s="61"/>
      <c r="K417"/>
    </row>
    <row r="418" spans="5:11" ht="13.5" customHeight="1" x14ac:dyDescent="0.2">
      <c r="E418" s="52"/>
      <c r="H418" s="61"/>
      <c r="K418"/>
    </row>
    <row r="419" spans="5:11" ht="13.5" customHeight="1" x14ac:dyDescent="0.2">
      <c r="E419" s="52"/>
      <c r="H419" s="61"/>
      <c r="K419"/>
    </row>
    <row r="420" spans="5:11" ht="13.5" customHeight="1" x14ac:dyDescent="0.2">
      <c r="E420" s="52"/>
      <c r="H420" s="61"/>
      <c r="K420"/>
    </row>
    <row r="421" spans="5:11" ht="13.5" customHeight="1" x14ac:dyDescent="0.2">
      <c r="E421" s="52"/>
      <c r="H421" s="61"/>
      <c r="K421"/>
    </row>
    <row r="422" spans="5:11" ht="13.5" customHeight="1" x14ac:dyDescent="0.2">
      <c r="E422" s="52"/>
      <c r="H422" s="61"/>
      <c r="K422"/>
    </row>
    <row r="423" spans="5:11" ht="13.5" customHeight="1" x14ac:dyDescent="0.2">
      <c r="E423" s="52"/>
      <c r="H423" s="61"/>
      <c r="K423"/>
    </row>
    <row r="424" spans="5:11" ht="13.5" customHeight="1" x14ac:dyDescent="0.2">
      <c r="E424" s="52"/>
      <c r="H424" s="61"/>
      <c r="K424"/>
    </row>
    <row r="425" spans="5:11" ht="13.5" customHeight="1" x14ac:dyDescent="0.2">
      <c r="E425" s="52"/>
      <c r="H425" s="61"/>
      <c r="K425"/>
    </row>
    <row r="426" spans="5:11" ht="13.5" customHeight="1" x14ac:dyDescent="0.2">
      <c r="E426" s="52"/>
      <c r="H426" s="61"/>
      <c r="K426"/>
    </row>
    <row r="427" spans="5:11" ht="13.5" customHeight="1" x14ac:dyDescent="0.2">
      <c r="E427" s="52"/>
      <c r="H427" s="61"/>
      <c r="K427"/>
    </row>
    <row r="428" spans="5:11" ht="13.5" customHeight="1" x14ac:dyDescent="0.2">
      <c r="E428" s="52"/>
      <c r="H428" s="61"/>
      <c r="K428"/>
    </row>
    <row r="429" spans="5:11" ht="13.5" customHeight="1" x14ac:dyDescent="0.2">
      <c r="E429" s="52"/>
      <c r="H429" s="61"/>
      <c r="K429"/>
    </row>
    <row r="430" spans="5:11" ht="13.5" customHeight="1" x14ac:dyDescent="0.2">
      <c r="E430" s="52"/>
      <c r="H430" s="61"/>
      <c r="K430"/>
    </row>
    <row r="431" spans="5:11" ht="13.5" customHeight="1" x14ac:dyDescent="0.2">
      <c r="E431" s="52"/>
      <c r="H431" s="61"/>
      <c r="K431"/>
    </row>
    <row r="432" spans="5:11" ht="13.5" customHeight="1" x14ac:dyDescent="0.2">
      <c r="E432" s="52"/>
      <c r="H432" s="61"/>
      <c r="K432"/>
    </row>
    <row r="433" spans="5:11" ht="13.5" customHeight="1" x14ac:dyDescent="0.2">
      <c r="E433" s="52"/>
      <c r="H433" s="61"/>
      <c r="K433"/>
    </row>
    <row r="434" spans="5:11" ht="13.5" customHeight="1" x14ac:dyDescent="0.2">
      <c r="E434" s="52"/>
      <c r="H434" s="61"/>
      <c r="K434"/>
    </row>
    <row r="435" spans="5:11" ht="13.5" customHeight="1" x14ac:dyDescent="0.2">
      <c r="E435" s="52"/>
      <c r="H435" s="61"/>
      <c r="K435"/>
    </row>
    <row r="436" spans="5:11" ht="13.5" customHeight="1" x14ac:dyDescent="0.2">
      <c r="E436" s="52"/>
      <c r="H436" s="61"/>
      <c r="K436"/>
    </row>
    <row r="437" spans="5:11" ht="13.5" customHeight="1" x14ac:dyDescent="0.2">
      <c r="E437" s="52"/>
      <c r="H437" s="61"/>
      <c r="K437"/>
    </row>
    <row r="438" spans="5:11" ht="13.5" customHeight="1" x14ac:dyDescent="0.2">
      <c r="E438" s="52"/>
      <c r="H438" s="61"/>
      <c r="K438"/>
    </row>
    <row r="439" spans="5:11" ht="13.5" customHeight="1" x14ac:dyDescent="0.2">
      <c r="E439" s="52"/>
      <c r="H439" s="61"/>
      <c r="K439"/>
    </row>
    <row r="440" spans="5:11" ht="13.5" customHeight="1" x14ac:dyDescent="0.2">
      <c r="E440" s="52"/>
      <c r="H440" s="61"/>
      <c r="K440"/>
    </row>
    <row r="441" spans="5:11" ht="13.5" customHeight="1" x14ac:dyDescent="0.2">
      <c r="E441" s="52"/>
      <c r="H441" s="61"/>
      <c r="K441"/>
    </row>
    <row r="442" spans="5:11" ht="13.5" customHeight="1" x14ac:dyDescent="0.2">
      <c r="E442" s="52"/>
      <c r="H442" s="61"/>
      <c r="K442"/>
    </row>
    <row r="443" spans="5:11" ht="13.5" customHeight="1" x14ac:dyDescent="0.2">
      <c r="E443" s="52"/>
      <c r="H443" s="61"/>
      <c r="K443"/>
    </row>
    <row r="444" spans="5:11" ht="13.5" customHeight="1" x14ac:dyDescent="0.2">
      <c r="E444" s="52"/>
      <c r="H444" s="61"/>
      <c r="K444"/>
    </row>
    <row r="445" spans="5:11" ht="13.5" customHeight="1" x14ac:dyDescent="0.2">
      <c r="E445" s="52"/>
      <c r="H445" s="61"/>
      <c r="K445"/>
    </row>
    <row r="446" spans="5:11" ht="13.5" customHeight="1" x14ac:dyDescent="0.2">
      <c r="E446" s="52"/>
      <c r="H446" s="61"/>
      <c r="K446"/>
    </row>
    <row r="447" spans="5:11" ht="13.5" customHeight="1" x14ac:dyDescent="0.2">
      <c r="E447" s="52"/>
      <c r="H447" s="61"/>
      <c r="K447"/>
    </row>
    <row r="448" spans="5:11" ht="13.5" customHeight="1" x14ac:dyDescent="0.2">
      <c r="E448" s="52"/>
      <c r="H448" s="61"/>
      <c r="K448"/>
    </row>
    <row r="449" spans="5:11" ht="13.5" customHeight="1" x14ac:dyDescent="0.2">
      <c r="E449" s="52"/>
      <c r="H449" s="61"/>
      <c r="K449"/>
    </row>
    <row r="450" spans="5:11" ht="13.5" customHeight="1" x14ac:dyDescent="0.2">
      <c r="E450" s="52"/>
      <c r="H450" s="61"/>
      <c r="K450"/>
    </row>
    <row r="451" spans="5:11" ht="13.5" customHeight="1" x14ac:dyDescent="0.2">
      <c r="E451" s="52"/>
      <c r="H451" s="61"/>
      <c r="K451"/>
    </row>
    <row r="452" spans="5:11" ht="13.5" customHeight="1" x14ac:dyDescent="0.2">
      <c r="E452" s="52"/>
      <c r="H452" s="61"/>
      <c r="K452"/>
    </row>
    <row r="453" spans="5:11" ht="13.5" customHeight="1" x14ac:dyDescent="0.2">
      <c r="E453" s="52"/>
      <c r="H453" s="61"/>
      <c r="K453"/>
    </row>
    <row r="454" spans="5:11" ht="13.5" customHeight="1" x14ac:dyDescent="0.2">
      <c r="E454" s="52"/>
      <c r="H454" s="61"/>
      <c r="K454"/>
    </row>
    <row r="455" spans="5:11" ht="13.5" customHeight="1" x14ac:dyDescent="0.2">
      <c r="E455" s="52"/>
      <c r="H455" s="61"/>
      <c r="K455"/>
    </row>
    <row r="456" spans="5:11" ht="13.5" customHeight="1" x14ac:dyDescent="0.2">
      <c r="E456" s="52"/>
      <c r="H456" s="61"/>
      <c r="K456"/>
    </row>
    <row r="457" spans="5:11" ht="13.5" customHeight="1" x14ac:dyDescent="0.2">
      <c r="E457" s="52"/>
      <c r="H457" s="61"/>
      <c r="K457"/>
    </row>
    <row r="458" spans="5:11" ht="13.5" customHeight="1" x14ac:dyDescent="0.2">
      <c r="E458" s="52"/>
      <c r="H458" s="61"/>
      <c r="K458"/>
    </row>
    <row r="459" spans="5:11" ht="13.5" customHeight="1" x14ac:dyDescent="0.2">
      <c r="E459" s="52"/>
      <c r="H459" s="61"/>
      <c r="K459"/>
    </row>
    <row r="460" spans="5:11" ht="13.5" customHeight="1" x14ac:dyDescent="0.2">
      <c r="E460" s="52"/>
      <c r="H460" s="61"/>
      <c r="K460"/>
    </row>
    <row r="461" spans="5:11" ht="13.5" customHeight="1" x14ac:dyDescent="0.2">
      <c r="E461" s="52"/>
      <c r="H461" s="61"/>
      <c r="K461"/>
    </row>
    <row r="462" spans="5:11" ht="13.5" customHeight="1" x14ac:dyDescent="0.2">
      <c r="E462" s="52"/>
      <c r="H462" s="61"/>
      <c r="K462"/>
    </row>
    <row r="463" spans="5:11" ht="13.5" customHeight="1" x14ac:dyDescent="0.2">
      <c r="E463" s="52"/>
      <c r="H463" s="61"/>
      <c r="K463"/>
    </row>
    <row r="464" spans="5:11" ht="13.5" customHeight="1" x14ac:dyDescent="0.2">
      <c r="E464" s="52"/>
      <c r="H464" s="61"/>
      <c r="K464"/>
    </row>
    <row r="465" spans="5:11" ht="13.5" customHeight="1" x14ac:dyDescent="0.2">
      <c r="E465" s="52"/>
      <c r="H465" s="61"/>
      <c r="K465"/>
    </row>
    <row r="466" spans="5:11" ht="13.5" customHeight="1" x14ac:dyDescent="0.2">
      <c r="E466" s="52"/>
      <c r="H466" s="61"/>
      <c r="K466"/>
    </row>
    <row r="467" spans="5:11" ht="13.5" customHeight="1" x14ac:dyDescent="0.2">
      <c r="E467" s="52"/>
      <c r="H467" s="61"/>
      <c r="K467"/>
    </row>
    <row r="468" spans="5:11" ht="13.5" customHeight="1" x14ac:dyDescent="0.2">
      <c r="E468" s="52"/>
      <c r="H468" s="61"/>
      <c r="K468"/>
    </row>
    <row r="469" spans="5:11" ht="13.5" customHeight="1" x14ac:dyDescent="0.2">
      <c r="E469" s="52"/>
      <c r="H469" s="61"/>
      <c r="K469"/>
    </row>
    <row r="470" spans="5:11" ht="13.5" customHeight="1" x14ac:dyDescent="0.2">
      <c r="E470" s="52"/>
      <c r="H470" s="61"/>
      <c r="K470"/>
    </row>
    <row r="471" spans="5:11" ht="13.5" customHeight="1" x14ac:dyDescent="0.2">
      <c r="E471" s="52"/>
      <c r="H471" s="61"/>
      <c r="K471"/>
    </row>
    <row r="472" spans="5:11" ht="13.5" customHeight="1" x14ac:dyDescent="0.2">
      <c r="E472" s="52"/>
      <c r="H472" s="61"/>
      <c r="K472"/>
    </row>
    <row r="473" spans="5:11" ht="13.5" customHeight="1" x14ac:dyDescent="0.2">
      <c r="E473" s="52"/>
      <c r="H473" s="61"/>
      <c r="K473"/>
    </row>
    <row r="474" spans="5:11" ht="13.5" customHeight="1" x14ac:dyDescent="0.2">
      <c r="E474" s="52"/>
      <c r="H474" s="61"/>
      <c r="K474"/>
    </row>
    <row r="475" spans="5:11" ht="13.5" customHeight="1" x14ac:dyDescent="0.2">
      <c r="E475" s="52"/>
      <c r="H475" s="61"/>
      <c r="K475"/>
    </row>
    <row r="476" spans="5:11" ht="13.5" customHeight="1" x14ac:dyDescent="0.2">
      <c r="E476" s="52"/>
      <c r="H476" s="61"/>
      <c r="K476"/>
    </row>
    <row r="477" spans="5:11" ht="13.5" customHeight="1" x14ac:dyDescent="0.2">
      <c r="E477" s="52"/>
      <c r="H477" s="61"/>
      <c r="K477"/>
    </row>
    <row r="478" spans="5:11" ht="13.5" customHeight="1" x14ac:dyDescent="0.2">
      <c r="E478" s="52"/>
      <c r="H478" s="61"/>
      <c r="K478"/>
    </row>
    <row r="479" spans="5:11" ht="13.5" customHeight="1" x14ac:dyDescent="0.2">
      <c r="E479" s="52"/>
      <c r="H479" s="61"/>
      <c r="K479"/>
    </row>
    <row r="480" spans="5:11" ht="13.5" customHeight="1" x14ac:dyDescent="0.2">
      <c r="E480" s="52"/>
      <c r="H480" s="61"/>
      <c r="K480"/>
    </row>
    <row r="481" spans="5:11" ht="13.5" customHeight="1" x14ac:dyDescent="0.2">
      <c r="E481" s="52"/>
      <c r="H481" s="61"/>
      <c r="K481"/>
    </row>
    <row r="482" spans="5:11" ht="13.5" customHeight="1" x14ac:dyDescent="0.2">
      <c r="E482" s="52"/>
      <c r="H482" s="61"/>
      <c r="K482"/>
    </row>
    <row r="483" spans="5:11" ht="13.5" customHeight="1" x14ac:dyDescent="0.2">
      <c r="E483" s="52"/>
      <c r="H483" s="61"/>
      <c r="K483"/>
    </row>
    <row r="484" spans="5:11" ht="13.5" customHeight="1" x14ac:dyDescent="0.2">
      <c r="E484" s="52"/>
      <c r="H484" s="61"/>
      <c r="K484"/>
    </row>
    <row r="485" spans="5:11" ht="13.5" customHeight="1" x14ac:dyDescent="0.2">
      <c r="E485" s="52"/>
      <c r="H485" s="61"/>
      <c r="K485"/>
    </row>
    <row r="486" spans="5:11" ht="13.5" customHeight="1" x14ac:dyDescent="0.2">
      <c r="E486" s="52"/>
      <c r="H486" s="61"/>
      <c r="K486"/>
    </row>
    <row r="487" spans="5:11" ht="13.5" customHeight="1" x14ac:dyDescent="0.2">
      <c r="E487" s="52"/>
      <c r="H487" s="61"/>
      <c r="K487"/>
    </row>
    <row r="488" spans="5:11" ht="13.5" customHeight="1" x14ac:dyDescent="0.2">
      <c r="E488" s="52"/>
      <c r="H488" s="61"/>
      <c r="K488"/>
    </row>
    <row r="489" spans="5:11" ht="13.5" customHeight="1" x14ac:dyDescent="0.2">
      <c r="E489" s="52"/>
      <c r="H489" s="61"/>
      <c r="K489"/>
    </row>
    <row r="490" spans="5:11" ht="13.5" customHeight="1" x14ac:dyDescent="0.2">
      <c r="E490" s="52"/>
      <c r="H490" s="61"/>
      <c r="K490"/>
    </row>
    <row r="491" spans="5:11" ht="13.5" customHeight="1" x14ac:dyDescent="0.2">
      <c r="E491" s="52"/>
      <c r="H491" s="61"/>
      <c r="K491"/>
    </row>
    <row r="492" spans="5:11" ht="13.5" customHeight="1" x14ac:dyDescent="0.2">
      <c r="E492" s="52"/>
      <c r="H492" s="61"/>
      <c r="K492"/>
    </row>
    <row r="493" spans="5:11" ht="13.5" customHeight="1" x14ac:dyDescent="0.2">
      <c r="E493" s="52"/>
      <c r="H493" s="61"/>
      <c r="K493"/>
    </row>
    <row r="494" spans="5:11" ht="13.5" customHeight="1" x14ac:dyDescent="0.2">
      <c r="E494" s="52"/>
      <c r="H494" s="61"/>
      <c r="K494"/>
    </row>
    <row r="495" spans="5:11" ht="13.5" customHeight="1" x14ac:dyDescent="0.2">
      <c r="E495" s="52"/>
      <c r="H495" s="61"/>
      <c r="K495"/>
    </row>
    <row r="496" spans="5:11" ht="13.5" customHeight="1" x14ac:dyDescent="0.2">
      <c r="E496" s="52"/>
      <c r="H496" s="61"/>
      <c r="K496"/>
    </row>
    <row r="497" spans="5:11" ht="13.5" customHeight="1" x14ac:dyDescent="0.2">
      <c r="E497" s="52"/>
      <c r="H497" s="61"/>
      <c r="K497"/>
    </row>
    <row r="498" spans="5:11" ht="13.5" customHeight="1" x14ac:dyDescent="0.2">
      <c r="E498" s="52"/>
      <c r="H498" s="61"/>
      <c r="K498"/>
    </row>
    <row r="499" spans="5:11" ht="13.5" customHeight="1" x14ac:dyDescent="0.2">
      <c r="E499" s="52"/>
      <c r="H499" s="61"/>
      <c r="K499"/>
    </row>
    <row r="500" spans="5:11" ht="13.5" customHeight="1" x14ac:dyDescent="0.2">
      <c r="E500" s="52"/>
      <c r="H500" s="61"/>
      <c r="K500"/>
    </row>
    <row r="501" spans="5:11" ht="13.5" customHeight="1" x14ac:dyDescent="0.2">
      <c r="E501" s="52"/>
      <c r="H501" s="61"/>
      <c r="K501"/>
    </row>
    <row r="502" spans="5:11" ht="13.5" customHeight="1" x14ac:dyDescent="0.2">
      <c r="E502" s="52"/>
      <c r="H502" s="61"/>
      <c r="K502"/>
    </row>
    <row r="503" spans="5:11" ht="13.5" customHeight="1" x14ac:dyDescent="0.2">
      <c r="E503" s="52"/>
      <c r="H503" s="61"/>
      <c r="K503"/>
    </row>
    <row r="504" spans="5:11" ht="13.5" customHeight="1" x14ac:dyDescent="0.2">
      <c r="E504" s="52"/>
      <c r="H504" s="61"/>
      <c r="K504"/>
    </row>
    <row r="505" spans="5:11" ht="13.5" customHeight="1" x14ac:dyDescent="0.2">
      <c r="E505" s="52"/>
      <c r="H505" s="61"/>
      <c r="K505"/>
    </row>
    <row r="506" spans="5:11" ht="13.5" customHeight="1" x14ac:dyDescent="0.2">
      <c r="E506" s="52"/>
      <c r="H506" s="61"/>
      <c r="K506"/>
    </row>
    <row r="507" spans="5:11" ht="13.5" customHeight="1" x14ac:dyDescent="0.2">
      <c r="E507" s="52"/>
      <c r="H507" s="61"/>
      <c r="K507"/>
    </row>
    <row r="508" spans="5:11" ht="13.5" customHeight="1" x14ac:dyDescent="0.2">
      <c r="E508" s="52"/>
      <c r="H508" s="61"/>
      <c r="K508"/>
    </row>
    <row r="509" spans="5:11" ht="13.5" customHeight="1" x14ac:dyDescent="0.2">
      <c r="E509" s="52"/>
      <c r="H509" s="61"/>
      <c r="K509"/>
    </row>
    <row r="510" spans="5:11" ht="13.5" customHeight="1" x14ac:dyDescent="0.2">
      <c r="E510" s="52"/>
      <c r="H510" s="61"/>
      <c r="K510"/>
    </row>
    <row r="511" spans="5:11" ht="13.5" customHeight="1" x14ac:dyDescent="0.2">
      <c r="E511" s="52"/>
      <c r="H511" s="61"/>
      <c r="K511"/>
    </row>
    <row r="512" spans="5:11" ht="13.5" customHeight="1" x14ac:dyDescent="0.2">
      <c r="E512" s="52"/>
      <c r="H512" s="61"/>
      <c r="K512"/>
    </row>
    <row r="513" spans="5:11" ht="13.5" customHeight="1" x14ac:dyDescent="0.2">
      <c r="E513" s="52"/>
      <c r="H513" s="61"/>
      <c r="K513"/>
    </row>
    <row r="514" spans="5:11" ht="13.5" customHeight="1" x14ac:dyDescent="0.2">
      <c r="E514" s="52"/>
      <c r="H514" s="61"/>
      <c r="K514"/>
    </row>
    <row r="515" spans="5:11" ht="13.5" customHeight="1" x14ac:dyDescent="0.2">
      <c r="E515" s="52"/>
      <c r="H515" s="61"/>
      <c r="K515"/>
    </row>
    <row r="516" spans="5:11" ht="13.5" customHeight="1" x14ac:dyDescent="0.2">
      <c r="E516" s="52"/>
      <c r="H516" s="61"/>
      <c r="K516"/>
    </row>
    <row r="517" spans="5:11" ht="13.5" customHeight="1" x14ac:dyDescent="0.2">
      <c r="E517" s="52"/>
      <c r="H517" s="61"/>
      <c r="K517"/>
    </row>
    <row r="518" spans="5:11" ht="13.5" customHeight="1" x14ac:dyDescent="0.2">
      <c r="E518" s="52"/>
      <c r="H518" s="61"/>
      <c r="K518"/>
    </row>
    <row r="519" spans="5:11" ht="13.5" customHeight="1" x14ac:dyDescent="0.2">
      <c r="E519" s="52"/>
      <c r="H519" s="61"/>
      <c r="K519"/>
    </row>
    <row r="520" spans="5:11" ht="13.5" customHeight="1" x14ac:dyDescent="0.2">
      <c r="E520" s="52"/>
      <c r="H520" s="61"/>
      <c r="K520"/>
    </row>
    <row r="521" spans="5:11" ht="13.5" customHeight="1" x14ac:dyDescent="0.2">
      <c r="E521" s="52"/>
      <c r="H521" s="61"/>
      <c r="K521"/>
    </row>
    <row r="522" spans="5:11" ht="13.5" customHeight="1" x14ac:dyDescent="0.2">
      <c r="E522" s="52"/>
      <c r="H522" s="61"/>
      <c r="K522"/>
    </row>
    <row r="523" spans="5:11" ht="13.5" customHeight="1" x14ac:dyDescent="0.2">
      <c r="E523" s="52"/>
      <c r="H523" s="61"/>
      <c r="K523"/>
    </row>
    <row r="524" spans="5:11" ht="13.5" customHeight="1" x14ac:dyDescent="0.2">
      <c r="E524" s="52"/>
      <c r="H524" s="61"/>
      <c r="K524"/>
    </row>
    <row r="525" spans="5:11" ht="13.5" customHeight="1" x14ac:dyDescent="0.2">
      <c r="E525" s="52"/>
      <c r="H525" s="61"/>
      <c r="K525"/>
    </row>
    <row r="526" spans="5:11" ht="13.5" customHeight="1" x14ac:dyDescent="0.2">
      <c r="E526" s="52"/>
      <c r="H526" s="61"/>
      <c r="K526"/>
    </row>
    <row r="527" spans="5:11" ht="13.5" customHeight="1" x14ac:dyDescent="0.2">
      <c r="E527" s="52"/>
      <c r="H527" s="61"/>
      <c r="K527"/>
    </row>
    <row r="528" spans="5:11" ht="13.5" customHeight="1" x14ac:dyDescent="0.2">
      <c r="E528" s="52"/>
      <c r="H528" s="61"/>
      <c r="K528"/>
    </row>
    <row r="529" spans="5:11" ht="13.5" customHeight="1" x14ac:dyDescent="0.2">
      <c r="E529" s="52"/>
      <c r="H529" s="61"/>
      <c r="K529"/>
    </row>
    <row r="530" spans="5:11" ht="13.5" customHeight="1" x14ac:dyDescent="0.2">
      <c r="E530" s="52"/>
      <c r="H530" s="61"/>
      <c r="K530"/>
    </row>
    <row r="531" spans="5:11" ht="13.5" customHeight="1" x14ac:dyDescent="0.2">
      <c r="E531" s="52"/>
      <c r="H531" s="61"/>
      <c r="K531"/>
    </row>
    <row r="532" spans="5:11" ht="13.5" customHeight="1" x14ac:dyDescent="0.2">
      <c r="E532" s="52"/>
      <c r="H532" s="61"/>
      <c r="K532"/>
    </row>
    <row r="533" spans="5:11" ht="13.5" customHeight="1" x14ac:dyDescent="0.2">
      <c r="E533" s="52"/>
      <c r="H533" s="61"/>
      <c r="K533"/>
    </row>
    <row r="534" spans="5:11" ht="13.5" customHeight="1" x14ac:dyDescent="0.2">
      <c r="E534" s="52"/>
      <c r="H534" s="61"/>
      <c r="K534"/>
    </row>
    <row r="535" spans="5:11" ht="13.5" customHeight="1" x14ac:dyDescent="0.2">
      <c r="E535" s="52"/>
      <c r="H535" s="61"/>
      <c r="K535"/>
    </row>
    <row r="536" spans="5:11" ht="13.5" customHeight="1" x14ac:dyDescent="0.2">
      <c r="E536" s="52"/>
      <c r="H536" s="61"/>
      <c r="K536"/>
    </row>
    <row r="537" spans="5:11" ht="13.5" customHeight="1" x14ac:dyDescent="0.2">
      <c r="E537" s="52"/>
      <c r="H537" s="61"/>
      <c r="K537"/>
    </row>
    <row r="538" spans="5:11" ht="13.5" customHeight="1" x14ac:dyDescent="0.2">
      <c r="E538" s="52"/>
      <c r="H538" s="61"/>
      <c r="K538"/>
    </row>
    <row r="539" spans="5:11" ht="13.5" customHeight="1" x14ac:dyDescent="0.2">
      <c r="E539" s="52"/>
      <c r="H539" s="61"/>
      <c r="K539"/>
    </row>
    <row r="540" spans="5:11" ht="13.5" customHeight="1" x14ac:dyDescent="0.2">
      <c r="E540" s="52"/>
      <c r="H540" s="61"/>
      <c r="K540"/>
    </row>
    <row r="541" spans="5:11" ht="13.5" customHeight="1" x14ac:dyDescent="0.2">
      <c r="E541" s="52"/>
      <c r="H541" s="61"/>
      <c r="K541"/>
    </row>
    <row r="542" spans="5:11" ht="13.5" customHeight="1" x14ac:dyDescent="0.2">
      <c r="E542" s="52"/>
      <c r="H542" s="61"/>
      <c r="K542"/>
    </row>
    <row r="543" spans="5:11" ht="13.5" customHeight="1" x14ac:dyDescent="0.2">
      <c r="E543" s="52"/>
      <c r="H543" s="61"/>
      <c r="K543"/>
    </row>
    <row r="544" spans="5:11" ht="13.5" customHeight="1" x14ac:dyDescent="0.2">
      <c r="E544" s="52"/>
      <c r="H544" s="61"/>
      <c r="K544"/>
    </row>
    <row r="545" spans="5:11" ht="13.5" customHeight="1" x14ac:dyDescent="0.2">
      <c r="E545" s="52"/>
      <c r="H545" s="61"/>
      <c r="K545"/>
    </row>
    <row r="546" spans="5:11" ht="13.5" customHeight="1" x14ac:dyDescent="0.2">
      <c r="E546" s="52"/>
      <c r="H546" s="61"/>
      <c r="K546"/>
    </row>
    <row r="547" spans="5:11" ht="13.5" customHeight="1" x14ac:dyDescent="0.2">
      <c r="E547" s="52"/>
      <c r="H547" s="61"/>
      <c r="K547"/>
    </row>
    <row r="548" spans="5:11" ht="13.5" customHeight="1" x14ac:dyDescent="0.2">
      <c r="E548" s="52"/>
      <c r="H548" s="61"/>
      <c r="K548"/>
    </row>
    <row r="549" spans="5:11" ht="13.5" customHeight="1" x14ac:dyDescent="0.2">
      <c r="E549" s="52"/>
      <c r="H549" s="61"/>
      <c r="K549"/>
    </row>
    <row r="550" spans="5:11" ht="13.5" customHeight="1" x14ac:dyDescent="0.2">
      <c r="E550" s="52"/>
      <c r="H550" s="61"/>
      <c r="K550"/>
    </row>
    <row r="551" spans="5:11" ht="13.5" customHeight="1" x14ac:dyDescent="0.2">
      <c r="E551" s="52"/>
      <c r="H551" s="61"/>
      <c r="K551"/>
    </row>
    <row r="552" spans="5:11" ht="13.5" customHeight="1" x14ac:dyDescent="0.2">
      <c r="E552" s="52"/>
      <c r="H552" s="61"/>
      <c r="K552"/>
    </row>
    <row r="553" spans="5:11" ht="13.5" customHeight="1" x14ac:dyDescent="0.2">
      <c r="E553" s="52"/>
      <c r="H553" s="61"/>
      <c r="K553"/>
    </row>
    <row r="554" spans="5:11" ht="13.5" customHeight="1" x14ac:dyDescent="0.2">
      <c r="E554" s="52"/>
      <c r="H554" s="61"/>
      <c r="K554"/>
    </row>
    <row r="555" spans="5:11" ht="13.5" customHeight="1" x14ac:dyDescent="0.2">
      <c r="E555" s="52"/>
      <c r="H555" s="61"/>
      <c r="K555"/>
    </row>
    <row r="556" spans="5:11" ht="13.5" customHeight="1" x14ac:dyDescent="0.2">
      <c r="E556" s="52"/>
      <c r="H556" s="61"/>
      <c r="K556"/>
    </row>
    <row r="557" spans="5:11" ht="13.5" customHeight="1" x14ac:dyDescent="0.2">
      <c r="E557" s="52"/>
      <c r="H557" s="61"/>
      <c r="K557"/>
    </row>
    <row r="558" spans="5:11" ht="13.5" customHeight="1" x14ac:dyDescent="0.2">
      <c r="E558" s="52"/>
      <c r="H558" s="61"/>
      <c r="K558"/>
    </row>
    <row r="559" spans="5:11" ht="13.5" customHeight="1" x14ac:dyDescent="0.2">
      <c r="E559" s="52"/>
      <c r="H559" s="61"/>
      <c r="K559"/>
    </row>
    <row r="560" spans="5:11" ht="13.5" customHeight="1" x14ac:dyDescent="0.2">
      <c r="E560" s="52"/>
      <c r="H560" s="61"/>
      <c r="K560"/>
    </row>
    <row r="561" spans="5:11" ht="13.5" customHeight="1" x14ac:dyDescent="0.2">
      <c r="E561" s="52"/>
      <c r="H561" s="61"/>
      <c r="K561"/>
    </row>
    <row r="562" spans="5:11" ht="13.5" customHeight="1" x14ac:dyDescent="0.2">
      <c r="E562" s="52"/>
      <c r="H562" s="61"/>
      <c r="K562"/>
    </row>
    <row r="563" spans="5:11" ht="13.5" customHeight="1" x14ac:dyDescent="0.2">
      <c r="E563" s="52"/>
      <c r="H563" s="61"/>
      <c r="K563"/>
    </row>
    <row r="564" spans="5:11" ht="13.5" customHeight="1" x14ac:dyDescent="0.2">
      <c r="E564" s="52"/>
      <c r="H564" s="61"/>
      <c r="K564"/>
    </row>
    <row r="565" spans="5:11" ht="13.5" customHeight="1" x14ac:dyDescent="0.2">
      <c r="E565" s="52"/>
      <c r="H565" s="61"/>
      <c r="K565"/>
    </row>
    <row r="566" spans="5:11" ht="13.5" customHeight="1" x14ac:dyDescent="0.2">
      <c r="E566" s="52"/>
      <c r="H566" s="61"/>
      <c r="K566"/>
    </row>
    <row r="567" spans="5:11" ht="13.5" customHeight="1" x14ac:dyDescent="0.2">
      <c r="E567" s="52"/>
      <c r="H567" s="61"/>
      <c r="K567"/>
    </row>
    <row r="568" spans="5:11" ht="13.5" customHeight="1" x14ac:dyDescent="0.2">
      <c r="E568" s="52"/>
      <c r="H568" s="61"/>
      <c r="K568"/>
    </row>
    <row r="569" spans="5:11" ht="13.5" customHeight="1" x14ac:dyDescent="0.2">
      <c r="E569" s="52"/>
      <c r="H569" s="61"/>
      <c r="K569"/>
    </row>
    <row r="570" spans="5:11" ht="13.5" customHeight="1" x14ac:dyDescent="0.2">
      <c r="E570" s="52"/>
      <c r="H570" s="61"/>
      <c r="K570"/>
    </row>
    <row r="571" spans="5:11" ht="13.5" customHeight="1" x14ac:dyDescent="0.2">
      <c r="E571" s="52"/>
      <c r="H571" s="61"/>
      <c r="K571"/>
    </row>
    <row r="572" spans="5:11" ht="13.5" customHeight="1" x14ac:dyDescent="0.2">
      <c r="E572" s="52"/>
      <c r="H572" s="61"/>
      <c r="K572"/>
    </row>
    <row r="573" spans="5:11" ht="13.5" customHeight="1" x14ac:dyDescent="0.2">
      <c r="E573" s="52"/>
      <c r="H573" s="61"/>
      <c r="K573"/>
    </row>
    <row r="574" spans="5:11" ht="13.5" customHeight="1" x14ac:dyDescent="0.2">
      <c r="E574" s="52"/>
      <c r="H574" s="61"/>
      <c r="K574"/>
    </row>
    <row r="575" spans="5:11" ht="13.5" customHeight="1" x14ac:dyDescent="0.2">
      <c r="E575" s="52"/>
      <c r="H575" s="61"/>
      <c r="K575"/>
    </row>
    <row r="576" spans="5:11" ht="13.5" customHeight="1" x14ac:dyDescent="0.2">
      <c r="E576" s="52"/>
      <c r="H576" s="61"/>
      <c r="K576"/>
    </row>
    <row r="577" spans="5:11" ht="13.5" customHeight="1" x14ac:dyDescent="0.2">
      <c r="E577" s="52"/>
      <c r="H577" s="61"/>
      <c r="K577"/>
    </row>
    <row r="578" spans="5:11" ht="13.5" customHeight="1" x14ac:dyDescent="0.2">
      <c r="E578" s="52"/>
      <c r="H578" s="61"/>
      <c r="K578"/>
    </row>
    <row r="579" spans="5:11" ht="13.5" customHeight="1" x14ac:dyDescent="0.2">
      <c r="E579" s="52"/>
      <c r="H579" s="61"/>
      <c r="K579"/>
    </row>
    <row r="580" spans="5:11" ht="13.5" customHeight="1" x14ac:dyDescent="0.2">
      <c r="E580" s="52"/>
      <c r="H580" s="61"/>
      <c r="K580"/>
    </row>
    <row r="581" spans="5:11" ht="13.5" customHeight="1" x14ac:dyDescent="0.2">
      <c r="E581" s="52"/>
      <c r="H581" s="61"/>
      <c r="K581"/>
    </row>
    <row r="582" spans="5:11" ht="13.5" customHeight="1" x14ac:dyDescent="0.2">
      <c r="E582" s="52"/>
      <c r="H582" s="61"/>
      <c r="K582"/>
    </row>
    <row r="583" spans="5:11" ht="13.5" customHeight="1" x14ac:dyDescent="0.2">
      <c r="E583" s="52"/>
      <c r="H583" s="61"/>
      <c r="K583"/>
    </row>
    <row r="584" spans="5:11" ht="13.5" customHeight="1" x14ac:dyDescent="0.2">
      <c r="E584" s="52"/>
      <c r="H584" s="61"/>
      <c r="K584"/>
    </row>
    <row r="585" spans="5:11" ht="13.5" customHeight="1" x14ac:dyDescent="0.2">
      <c r="E585" s="52"/>
      <c r="H585" s="61"/>
      <c r="K585"/>
    </row>
    <row r="586" spans="5:11" ht="13.5" customHeight="1" x14ac:dyDescent="0.2">
      <c r="E586" s="52"/>
      <c r="H586" s="61"/>
      <c r="K586"/>
    </row>
    <row r="587" spans="5:11" ht="13.5" customHeight="1" x14ac:dyDescent="0.2">
      <c r="E587" s="52"/>
      <c r="H587" s="61"/>
      <c r="K587"/>
    </row>
    <row r="588" spans="5:11" ht="13.5" customHeight="1" x14ac:dyDescent="0.2">
      <c r="E588" s="52"/>
      <c r="H588" s="61"/>
      <c r="K588"/>
    </row>
    <row r="589" spans="5:11" ht="13.5" customHeight="1" x14ac:dyDescent="0.2">
      <c r="E589" s="52"/>
      <c r="H589" s="61"/>
      <c r="K589"/>
    </row>
    <row r="590" spans="5:11" ht="13.5" customHeight="1" x14ac:dyDescent="0.2">
      <c r="E590" s="52"/>
      <c r="H590" s="61"/>
      <c r="K590"/>
    </row>
    <row r="591" spans="5:11" ht="13.5" customHeight="1" x14ac:dyDescent="0.2">
      <c r="E591" s="52"/>
      <c r="H591" s="61"/>
      <c r="K591"/>
    </row>
    <row r="592" spans="5:11" ht="13.5" customHeight="1" x14ac:dyDescent="0.2">
      <c r="E592" s="52"/>
      <c r="H592" s="61"/>
      <c r="K592"/>
    </row>
    <row r="593" spans="5:11" ht="13.5" customHeight="1" x14ac:dyDescent="0.2">
      <c r="E593" s="52"/>
      <c r="H593" s="61"/>
      <c r="K593"/>
    </row>
    <row r="594" spans="5:11" ht="13.5" customHeight="1" x14ac:dyDescent="0.2">
      <c r="E594" s="52"/>
      <c r="H594" s="61"/>
      <c r="K594"/>
    </row>
    <row r="595" spans="5:11" ht="13.5" customHeight="1" x14ac:dyDescent="0.2">
      <c r="E595" s="52"/>
      <c r="H595" s="61"/>
      <c r="K595"/>
    </row>
    <row r="596" spans="5:11" ht="13.5" customHeight="1" x14ac:dyDescent="0.2">
      <c r="E596" s="52"/>
      <c r="H596" s="61"/>
      <c r="K596"/>
    </row>
    <row r="597" spans="5:11" ht="13.5" customHeight="1" x14ac:dyDescent="0.2">
      <c r="E597" s="52"/>
      <c r="H597" s="61"/>
      <c r="K597"/>
    </row>
    <row r="598" spans="5:11" ht="13.5" customHeight="1" x14ac:dyDescent="0.2">
      <c r="E598" s="52"/>
      <c r="H598" s="61"/>
      <c r="K598"/>
    </row>
    <row r="599" spans="5:11" ht="13.5" customHeight="1" x14ac:dyDescent="0.2">
      <c r="E599" s="52"/>
      <c r="H599" s="61"/>
      <c r="K599"/>
    </row>
    <row r="600" spans="5:11" ht="13.5" customHeight="1" x14ac:dyDescent="0.2">
      <c r="E600" s="52"/>
      <c r="H600" s="61"/>
      <c r="K600"/>
    </row>
    <row r="601" spans="5:11" ht="13.5" customHeight="1" x14ac:dyDescent="0.2">
      <c r="E601" s="52"/>
      <c r="H601" s="61"/>
      <c r="K601"/>
    </row>
    <row r="602" spans="5:11" ht="13.5" customHeight="1" x14ac:dyDescent="0.2">
      <c r="E602" s="52"/>
      <c r="H602" s="61"/>
      <c r="K602"/>
    </row>
    <row r="603" spans="5:11" ht="13.5" customHeight="1" x14ac:dyDescent="0.2">
      <c r="E603" s="52"/>
      <c r="H603" s="61"/>
      <c r="K603"/>
    </row>
    <row r="604" spans="5:11" ht="13.5" customHeight="1" x14ac:dyDescent="0.2">
      <c r="E604" s="52"/>
      <c r="H604" s="61"/>
      <c r="K604"/>
    </row>
    <row r="605" spans="5:11" ht="13.5" customHeight="1" x14ac:dyDescent="0.2">
      <c r="E605" s="52"/>
      <c r="H605" s="61"/>
      <c r="K605"/>
    </row>
    <row r="606" spans="5:11" ht="13.5" customHeight="1" x14ac:dyDescent="0.2">
      <c r="E606" s="52"/>
      <c r="H606" s="61"/>
      <c r="K606"/>
    </row>
    <row r="607" spans="5:11" ht="13.5" customHeight="1" x14ac:dyDescent="0.2">
      <c r="E607" s="52"/>
      <c r="H607" s="61"/>
      <c r="K607"/>
    </row>
    <row r="608" spans="5:11" ht="13.5" customHeight="1" x14ac:dyDescent="0.2">
      <c r="E608" s="52"/>
      <c r="H608" s="61"/>
      <c r="K608"/>
    </row>
    <row r="609" spans="5:11" ht="13.5" customHeight="1" x14ac:dyDescent="0.2">
      <c r="E609" s="52"/>
      <c r="H609" s="61"/>
      <c r="K609"/>
    </row>
    <row r="610" spans="5:11" ht="13.5" customHeight="1" x14ac:dyDescent="0.2">
      <c r="E610" s="52"/>
      <c r="H610" s="61"/>
      <c r="K610"/>
    </row>
    <row r="611" spans="5:11" ht="13.5" customHeight="1" x14ac:dyDescent="0.2">
      <c r="E611" s="52"/>
      <c r="H611" s="61"/>
      <c r="K611"/>
    </row>
    <row r="612" spans="5:11" ht="13.5" customHeight="1" x14ac:dyDescent="0.2">
      <c r="E612" s="52"/>
      <c r="H612" s="61"/>
      <c r="K612"/>
    </row>
    <row r="613" spans="5:11" ht="13.5" customHeight="1" x14ac:dyDescent="0.2">
      <c r="E613" s="52"/>
      <c r="H613" s="61"/>
      <c r="K613"/>
    </row>
    <row r="614" spans="5:11" ht="13.5" customHeight="1" x14ac:dyDescent="0.2">
      <c r="E614" s="52"/>
      <c r="H614" s="61"/>
      <c r="K614"/>
    </row>
    <row r="615" spans="5:11" ht="13.5" customHeight="1" x14ac:dyDescent="0.2">
      <c r="E615" s="52"/>
      <c r="H615" s="61"/>
      <c r="K615"/>
    </row>
    <row r="616" spans="5:11" ht="13.5" customHeight="1" x14ac:dyDescent="0.2">
      <c r="E616" s="52"/>
      <c r="H616" s="61"/>
    </row>
    <row r="617" spans="5:11" ht="13.5" customHeight="1" x14ac:dyDescent="0.2">
      <c r="E617" s="52"/>
      <c r="H617" s="61"/>
    </row>
    <row r="618" spans="5:11" ht="13.5" customHeight="1" x14ac:dyDescent="0.2">
      <c r="E618" s="52"/>
      <c r="H618" s="61"/>
    </row>
    <row r="619" spans="5:11" ht="13.5" customHeight="1" x14ac:dyDescent="0.2">
      <c r="E619" s="52"/>
      <c r="H619" s="61"/>
    </row>
    <row r="620" spans="5:11" ht="13.5" customHeight="1" x14ac:dyDescent="0.2">
      <c r="E620" s="52"/>
      <c r="H620" s="61"/>
    </row>
    <row r="621" spans="5:11" ht="13.5" customHeight="1" x14ac:dyDescent="0.2">
      <c r="E621" s="52"/>
      <c r="H621" s="61"/>
    </row>
    <row r="622" spans="5:11" ht="13.5" customHeight="1" x14ac:dyDescent="0.2">
      <c r="E622" s="52"/>
      <c r="H622" s="61"/>
    </row>
    <row r="623" spans="5:11" ht="13.5" customHeight="1" x14ac:dyDescent="0.2">
      <c r="E623" s="52"/>
      <c r="H623" s="61"/>
    </row>
    <row r="624" spans="5:11" ht="13.5" customHeight="1" x14ac:dyDescent="0.2">
      <c r="E624" s="52"/>
      <c r="H624" s="61"/>
    </row>
    <row r="625" spans="5:11" ht="13.5" customHeight="1" x14ac:dyDescent="0.2">
      <c r="E625" s="52"/>
      <c r="H625" s="61"/>
    </row>
    <row r="626" spans="5:11" ht="13.5" customHeight="1" x14ac:dyDescent="0.2">
      <c r="E626" s="52"/>
      <c r="H626" s="61"/>
    </row>
    <row r="627" spans="5:11" ht="13.5" customHeight="1" x14ac:dyDescent="0.2">
      <c r="E627" s="52"/>
      <c r="H627" s="61"/>
    </row>
    <row r="628" spans="5:11" ht="13.5" customHeight="1" x14ac:dyDescent="0.2">
      <c r="E628" s="52"/>
      <c r="H628" s="61"/>
    </row>
    <row r="629" spans="5:11" ht="13.5" customHeight="1" x14ac:dyDescent="0.2">
      <c r="E629" s="52"/>
      <c r="H629" s="61"/>
    </row>
    <row r="630" spans="5:11" ht="13.5" customHeight="1" x14ac:dyDescent="0.2">
      <c r="E630" s="52"/>
      <c r="H630" s="61"/>
    </row>
    <row r="631" spans="5:11" ht="13.5" customHeight="1" x14ac:dyDescent="0.2">
      <c r="E631" s="52"/>
      <c r="H631" s="61"/>
      <c r="K631"/>
    </row>
    <row r="632" spans="5:11" ht="13.5" customHeight="1" x14ac:dyDescent="0.2">
      <c r="E632" s="52"/>
      <c r="H632" s="61"/>
      <c r="K632"/>
    </row>
    <row r="633" spans="5:11" ht="13.5" customHeight="1" x14ac:dyDescent="0.2">
      <c r="E633" s="52"/>
      <c r="H633" s="61"/>
      <c r="K633"/>
    </row>
    <row r="634" spans="5:11" ht="13.5" customHeight="1" x14ac:dyDescent="0.2">
      <c r="E634" s="52"/>
      <c r="H634" s="61"/>
      <c r="K634"/>
    </row>
    <row r="635" spans="5:11" ht="13.5" customHeight="1" x14ac:dyDescent="0.2">
      <c r="E635" s="52"/>
      <c r="H635" s="61"/>
      <c r="K635"/>
    </row>
    <row r="636" spans="5:11" ht="13.5" customHeight="1" x14ac:dyDescent="0.2">
      <c r="E636" s="52"/>
      <c r="H636" s="61"/>
      <c r="K636"/>
    </row>
    <row r="637" spans="5:11" ht="13.5" customHeight="1" x14ac:dyDescent="0.2">
      <c r="E637" s="52"/>
      <c r="H637" s="61"/>
      <c r="K637"/>
    </row>
    <row r="638" spans="5:11" ht="13.5" customHeight="1" x14ac:dyDescent="0.2">
      <c r="E638" s="52"/>
      <c r="H638" s="61"/>
      <c r="K638"/>
    </row>
    <row r="639" spans="5:11" ht="13.5" customHeight="1" x14ac:dyDescent="0.2">
      <c r="E639" s="52"/>
      <c r="H639" s="61"/>
      <c r="K639"/>
    </row>
    <row r="640" spans="5:11" ht="13.5" customHeight="1" x14ac:dyDescent="0.2">
      <c r="E640" s="52"/>
      <c r="H640" s="61"/>
      <c r="K640"/>
    </row>
    <row r="641" spans="5:11" ht="13.5" customHeight="1" x14ac:dyDescent="0.2">
      <c r="E641" s="52"/>
      <c r="H641" s="61"/>
      <c r="K641"/>
    </row>
    <row r="642" spans="5:11" ht="13.5" customHeight="1" x14ac:dyDescent="0.2">
      <c r="E642" s="52"/>
      <c r="H642" s="61"/>
      <c r="K642"/>
    </row>
    <row r="643" spans="5:11" ht="13.5" customHeight="1" x14ac:dyDescent="0.2">
      <c r="E643" s="52"/>
      <c r="H643" s="61"/>
      <c r="K643"/>
    </row>
    <row r="644" spans="5:11" ht="13.5" customHeight="1" x14ac:dyDescent="0.2">
      <c r="E644" s="52"/>
      <c r="H644" s="61"/>
      <c r="K644"/>
    </row>
    <row r="645" spans="5:11" ht="13.5" customHeight="1" x14ac:dyDescent="0.2">
      <c r="E645" s="52"/>
      <c r="H645" s="61"/>
      <c r="K645"/>
    </row>
    <row r="646" spans="5:11" ht="13.5" customHeight="1" x14ac:dyDescent="0.2">
      <c r="E646" s="52"/>
      <c r="H646" s="61"/>
      <c r="K646"/>
    </row>
    <row r="647" spans="5:11" ht="13.5" customHeight="1" x14ac:dyDescent="0.2">
      <c r="E647" s="52"/>
      <c r="H647" s="61"/>
      <c r="K647"/>
    </row>
    <row r="648" spans="5:11" ht="13.5" customHeight="1" x14ac:dyDescent="0.2">
      <c r="E648" s="50"/>
      <c r="H648" s="61"/>
      <c r="K648"/>
    </row>
    <row r="649" spans="5:11" ht="13.5" customHeight="1" x14ac:dyDescent="0.2">
      <c r="E649" s="50"/>
      <c r="H649" s="61"/>
      <c r="K649"/>
    </row>
    <row r="650" spans="5:11" ht="13.5" customHeight="1" x14ac:dyDescent="0.2">
      <c r="E650" s="50"/>
      <c r="H650" s="61"/>
      <c r="K650"/>
    </row>
    <row r="651" spans="5:11" ht="13.5" customHeight="1" x14ac:dyDescent="0.2">
      <c r="E651" s="50"/>
      <c r="H651" s="61"/>
      <c r="K651"/>
    </row>
    <row r="652" spans="5:11" ht="13.5" customHeight="1" x14ac:dyDescent="0.2">
      <c r="E652" s="50"/>
      <c r="H652" s="61"/>
      <c r="K652"/>
    </row>
    <row r="653" spans="5:11" ht="13.5" customHeight="1" x14ac:dyDescent="0.2">
      <c r="E653" s="50"/>
      <c r="H653" s="61"/>
      <c r="K653"/>
    </row>
    <row r="654" spans="5:11" ht="13.5" customHeight="1" x14ac:dyDescent="0.2">
      <c r="E654" s="50"/>
      <c r="H654" s="61"/>
      <c r="K654"/>
    </row>
    <row r="655" spans="5:11" ht="13.5" customHeight="1" x14ac:dyDescent="0.2">
      <c r="E655" s="50"/>
      <c r="H655" s="61"/>
      <c r="K655"/>
    </row>
    <row r="656" spans="5:11" ht="13.5" customHeight="1" x14ac:dyDescent="0.2">
      <c r="E656" s="50"/>
      <c r="H656" s="61"/>
      <c r="K656"/>
    </row>
    <row r="657" spans="5:11" ht="13.5" customHeight="1" x14ac:dyDescent="0.2">
      <c r="E657" s="50"/>
      <c r="H657" s="61"/>
      <c r="K657"/>
    </row>
    <row r="658" spans="5:11" ht="13.5" customHeight="1" x14ac:dyDescent="0.2">
      <c r="E658" s="50"/>
      <c r="H658" s="61"/>
      <c r="K658"/>
    </row>
    <row r="659" spans="5:11" ht="13.5" customHeight="1" x14ac:dyDescent="0.2">
      <c r="E659" s="50"/>
      <c r="H659" s="61"/>
      <c r="K659"/>
    </row>
    <row r="660" spans="5:11" ht="13.5" customHeight="1" x14ac:dyDescent="0.2">
      <c r="E660" s="50"/>
      <c r="H660" s="61"/>
      <c r="K660"/>
    </row>
    <row r="661" spans="5:11" ht="13.5" customHeight="1" x14ac:dyDescent="0.2">
      <c r="E661" s="50"/>
      <c r="H661" s="61"/>
      <c r="K661"/>
    </row>
    <row r="662" spans="5:11" ht="13.5" customHeight="1" x14ac:dyDescent="0.2">
      <c r="E662" s="50"/>
      <c r="H662" s="61"/>
      <c r="K662"/>
    </row>
    <row r="663" spans="5:11" ht="13.5" customHeight="1" x14ac:dyDescent="0.2">
      <c r="E663" s="50"/>
      <c r="H663" s="61"/>
      <c r="K663"/>
    </row>
    <row r="664" spans="5:11" ht="13.5" customHeight="1" x14ac:dyDescent="0.2">
      <c r="E664" s="50"/>
      <c r="H664" s="61"/>
      <c r="K664"/>
    </row>
    <row r="665" spans="5:11" ht="13.5" customHeight="1" x14ac:dyDescent="0.2">
      <c r="E665" s="50"/>
      <c r="H665" s="61"/>
      <c r="K665"/>
    </row>
    <row r="666" spans="5:11" ht="13.5" customHeight="1" x14ac:dyDescent="0.2">
      <c r="E666" s="50"/>
      <c r="H666" s="61"/>
      <c r="K666"/>
    </row>
    <row r="667" spans="5:11" ht="13.5" customHeight="1" x14ac:dyDescent="0.2">
      <c r="E667" s="50"/>
      <c r="H667" s="61"/>
      <c r="K667"/>
    </row>
    <row r="668" spans="5:11" ht="13.5" customHeight="1" x14ac:dyDescent="0.2">
      <c r="E668" s="50"/>
      <c r="H668" s="61"/>
      <c r="K668"/>
    </row>
    <row r="669" spans="5:11" ht="13.5" customHeight="1" x14ac:dyDescent="0.2">
      <c r="E669" s="50"/>
      <c r="H669" s="61"/>
      <c r="K669"/>
    </row>
    <row r="670" spans="5:11" ht="13.5" customHeight="1" x14ac:dyDescent="0.2">
      <c r="E670" s="50"/>
      <c r="H670" s="61"/>
      <c r="K670"/>
    </row>
    <row r="671" spans="5:11" ht="13.5" customHeight="1" x14ac:dyDescent="0.2">
      <c r="E671" s="50"/>
      <c r="H671" s="61"/>
      <c r="K671"/>
    </row>
    <row r="672" spans="5:11" ht="13.5" customHeight="1" x14ac:dyDescent="0.2">
      <c r="E672" s="50"/>
      <c r="H672" s="61"/>
      <c r="K672"/>
    </row>
    <row r="673" spans="5:11" ht="13.5" customHeight="1" x14ac:dyDescent="0.2">
      <c r="E673" s="50"/>
      <c r="H673" s="61"/>
      <c r="K673"/>
    </row>
    <row r="674" spans="5:11" ht="13.5" customHeight="1" x14ac:dyDescent="0.2">
      <c r="E674" s="50"/>
      <c r="H674" s="61"/>
      <c r="K674"/>
    </row>
    <row r="675" spans="5:11" ht="13.5" customHeight="1" x14ac:dyDescent="0.2">
      <c r="E675" s="50"/>
      <c r="H675" s="61"/>
      <c r="K675"/>
    </row>
    <row r="676" spans="5:11" ht="13.5" customHeight="1" x14ac:dyDescent="0.2">
      <c r="E676" s="50"/>
      <c r="H676" s="61"/>
      <c r="K676"/>
    </row>
    <row r="677" spans="5:11" ht="13.5" customHeight="1" x14ac:dyDescent="0.2">
      <c r="E677" s="50"/>
      <c r="H677" s="61"/>
      <c r="K677"/>
    </row>
    <row r="678" spans="5:11" ht="13.5" customHeight="1" x14ac:dyDescent="0.2">
      <c r="E678" s="50"/>
      <c r="H678" s="61"/>
      <c r="K678"/>
    </row>
    <row r="679" spans="5:11" ht="13.5" customHeight="1" x14ac:dyDescent="0.2">
      <c r="E679" s="50"/>
      <c r="H679" s="61"/>
      <c r="K679"/>
    </row>
    <row r="680" spans="5:11" ht="13.5" customHeight="1" x14ac:dyDescent="0.2">
      <c r="E680" s="50"/>
      <c r="H680" s="61"/>
      <c r="K680"/>
    </row>
    <row r="681" spans="5:11" ht="13.5" customHeight="1" x14ac:dyDescent="0.2">
      <c r="E681" s="50"/>
      <c r="H681" s="61"/>
      <c r="K681"/>
    </row>
    <row r="682" spans="5:11" ht="13.5" customHeight="1" x14ac:dyDescent="0.2">
      <c r="E682" s="50"/>
      <c r="H682" s="61"/>
      <c r="K682"/>
    </row>
    <row r="683" spans="5:11" ht="13.5" customHeight="1" x14ac:dyDescent="0.2">
      <c r="E683" s="50"/>
      <c r="H683" s="61"/>
      <c r="K683"/>
    </row>
    <row r="684" spans="5:11" ht="13.5" customHeight="1" x14ac:dyDescent="0.2">
      <c r="E684" s="50"/>
      <c r="H684" s="61"/>
      <c r="K684"/>
    </row>
    <row r="685" spans="5:11" ht="13.5" customHeight="1" x14ac:dyDescent="0.2">
      <c r="E685" s="50"/>
      <c r="H685" s="61"/>
      <c r="K685"/>
    </row>
    <row r="686" spans="5:11" ht="13.5" customHeight="1" x14ac:dyDescent="0.2">
      <c r="E686" s="50"/>
      <c r="H686" s="61"/>
      <c r="K686"/>
    </row>
    <row r="687" spans="5:11" ht="13.5" customHeight="1" x14ac:dyDescent="0.2">
      <c r="E687" s="50"/>
      <c r="H687" s="61"/>
      <c r="K687"/>
    </row>
    <row r="688" spans="5:11" ht="13.5" customHeight="1" x14ac:dyDescent="0.2">
      <c r="E688" s="50"/>
      <c r="H688" s="61"/>
      <c r="K688"/>
    </row>
    <row r="689" spans="5:11" ht="13.5" customHeight="1" x14ac:dyDescent="0.2">
      <c r="E689" s="50"/>
      <c r="H689" s="61"/>
      <c r="K689"/>
    </row>
    <row r="690" spans="5:11" ht="13.5" customHeight="1" x14ac:dyDescent="0.2">
      <c r="E690" s="50"/>
      <c r="H690" s="61"/>
      <c r="K690"/>
    </row>
    <row r="691" spans="5:11" ht="13.5" customHeight="1" x14ac:dyDescent="0.2">
      <c r="E691" s="50"/>
      <c r="H691" s="61"/>
      <c r="K691"/>
    </row>
    <row r="692" spans="5:11" ht="13.5" customHeight="1" x14ac:dyDescent="0.2">
      <c r="E692" s="50"/>
      <c r="H692" s="61"/>
      <c r="K692"/>
    </row>
    <row r="693" spans="5:11" ht="13.5" customHeight="1" x14ac:dyDescent="0.2">
      <c r="E693" s="50"/>
      <c r="H693" s="61"/>
      <c r="K693"/>
    </row>
    <row r="694" spans="5:11" ht="13.5" customHeight="1" x14ac:dyDescent="0.2">
      <c r="E694" s="50"/>
      <c r="H694" s="61"/>
      <c r="K694"/>
    </row>
    <row r="695" spans="5:11" ht="13.5" customHeight="1" x14ac:dyDescent="0.2">
      <c r="E695" s="50"/>
      <c r="H695" s="61"/>
      <c r="K695"/>
    </row>
    <row r="696" spans="5:11" ht="13.5" customHeight="1" x14ac:dyDescent="0.2">
      <c r="E696" s="50"/>
      <c r="H696" s="61"/>
      <c r="K696"/>
    </row>
    <row r="697" spans="5:11" ht="13.5" customHeight="1" x14ac:dyDescent="0.2">
      <c r="E697" s="50"/>
      <c r="H697" s="61"/>
      <c r="K697"/>
    </row>
    <row r="698" spans="5:11" ht="13.5" customHeight="1" x14ac:dyDescent="0.2">
      <c r="E698" s="50"/>
      <c r="H698" s="61"/>
      <c r="K698"/>
    </row>
    <row r="699" spans="5:11" ht="13.5" customHeight="1" x14ac:dyDescent="0.2">
      <c r="E699" s="50"/>
      <c r="H699" s="61"/>
      <c r="K699"/>
    </row>
    <row r="700" spans="5:11" ht="13.5" customHeight="1" x14ac:dyDescent="0.2">
      <c r="E700" s="50"/>
      <c r="H700" s="61"/>
      <c r="K700"/>
    </row>
    <row r="701" spans="5:11" ht="13.5" customHeight="1" x14ac:dyDescent="0.2">
      <c r="E701" s="50"/>
      <c r="H701" s="61"/>
      <c r="K701"/>
    </row>
    <row r="702" spans="5:11" ht="13.5" customHeight="1" x14ac:dyDescent="0.2">
      <c r="E702" s="50"/>
      <c r="H702" s="12"/>
      <c r="K702"/>
    </row>
    <row r="703" spans="5:11" ht="13.5" customHeight="1" x14ac:dyDescent="0.2">
      <c r="E703" s="50"/>
      <c r="H703" s="12"/>
      <c r="K703"/>
    </row>
    <row r="704" spans="5:11" ht="13.5" customHeight="1" x14ac:dyDescent="0.2">
      <c r="E704" s="50"/>
      <c r="H704" s="12"/>
      <c r="K704"/>
    </row>
    <row r="705" spans="5:11" ht="13.5" customHeight="1" x14ac:dyDescent="0.2">
      <c r="E705" s="50"/>
      <c r="H705" s="12"/>
      <c r="K705"/>
    </row>
    <row r="706" spans="5:11" ht="13.5" customHeight="1" x14ac:dyDescent="0.2">
      <c r="E706" s="50"/>
      <c r="H706" s="12"/>
      <c r="K706"/>
    </row>
    <row r="707" spans="5:11" ht="13.5" customHeight="1" x14ac:dyDescent="0.2">
      <c r="E707" s="50"/>
      <c r="H707" s="12"/>
      <c r="K707"/>
    </row>
    <row r="708" spans="5:11" ht="13.5" customHeight="1" x14ac:dyDescent="0.2">
      <c r="E708" s="50"/>
      <c r="H708" s="12"/>
      <c r="K708"/>
    </row>
    <row r="709" spans="5:11" ht="13.5" customHeight="1" x14ac:dyDescent="0.2">
      <c r="E709" s="50"/>
      <c r="H709" s="12"/>
      <c r="K709"/>
    </row>
    <row r="710" spans="5:11" ht="13.5" customHeight="1" x14ac:dyDescent="0.2">
      <c r="E710" s="50"/>
      <c r="H710" s="12"/>
      <c r="K710"/>
    </row>
    <row r="711" spans="5:11" ht="13.5" customHeight="1" x14ac:dyDescent="0.2">
      <c r="E711" s="50"/>
      <c r="H711" s="12"/>
      <c r="K711"/>
    </row>
    <row r="712" spans="5:11" ht="13.5" customHeight="1" x14ac:dyDescent="0.2">
      <c r="E712" s="50"/>
      <c r="H712" s="12"/>
      <c r="K712"/>
    </row>
    <row r="713" spans="5:11" ht="13.5" customHeight="1" x14ac:dyDescent="0.2">
      <c r="E713" s="50"/>
      <c r="H713" s="12"/>
      <c r="K713"/>
    </row>
    <row r="714" spans="5:11" ht="13.5" customHeight="1" x14ac:dyDescent="0.2">
      <c r="E714" s="50"/>
      <c r="H714" s="12"/>
      <c r="K714"/>
    </row>
    <row r="715" spans="5:11" ht="13.5" customHeight="1" x14ac:dyDescent="0.2">
      <c r="E715" s="50"/>
      <c r="H715" s="12"/>
      <c r="K715"/>
    </row>
    <row r="716" spans="5:11" ht="13.5" customHeight="1" x14ac:dyDescent="0.2">
      <c r="E716" s="50"/>
      <c r="H716" s="12"/>
      <c r="K716"/>
    </row>
    <row r="717" spans="5:11" ht="13.5" customHeight="1" x14ac:dyDescent="0.2">
      <c r="E717" s="50"/>
      <c r="H717" s="12"/>
      <c r="K717"/>
    </row>
    <row r="718" spans="5:11" ht="13.5" customHeight="1" x14ac:dyDescent="0.2">
      <c r="E718" s="50"/>
      <c r="H718" s="12"/>
      <c r="K718"/>
    </row>
    <row r="719" spans="5:11" ht="13.5" customHeight="1" x14ac:dyDescent="0.2">
      <c r="E719" s="50"/>
      <c r="H719" s="12"/>
      <c r="K719"/>
    </row>
    <row r="720" spans="5:11" ht="13.5" customHeight="1" x14ac:dyDescent="0.2">
      <c r="E720" s="50"/>
      <c r="H720" s="12"/>
      <c r="K720"/>
    </row>
    <row r="721" spans="5:11" ht="13.5" customHeight="1" x14ac:dyDescent="0.2">
      <c r="E721" s="50"/>
      <c r="H721" s="12"/>
      <c r="K721"/>
    </row>
    <row r="722" spans="5:11" ht="13.5" customHeight="1" x14ac:dyDescent="0.2">
      <c r="E722" s="50"/>
      <c r="H722" s="12"/>
      <c r="K722"/>
    </row>
    <row r="723" spans="5:11" ht="13.5" customHeight="1" x14ac:dyDescent="0.2">
      <c r="E723" s="50"/>
      <c r="H723" s="12"/>
      <c r="K723"/>
    </row>
    <row r="724" spans="5:11" ht="13.5" customHeight="1" x14ac:dyDescent="0.2">
      <c r="E724" s="50"/>
      <c r="H724" s="12"/>
      <c r="K724"/>
    </row>
    <row r="725" spans="5:11" ht="13.5" customHeight="1" x14ac:dyDescent="0.2">
      <c r="E725" s="50"/>
      <c r="H725" s="12"/>
      <c r="K725"/>
    </row>
    <row r="726" spans="5:11" ht="13.5" customHeight="1" x14ac:dyDescent="0.2">
      <c r="E726" s="50"/>
      <c r="H726" s="12"/>
      <c r="K726"/>
    </row>
    <row r="727" spans="5:11" ht="13.5" customHeight="1" x14ac:dyDescent="0.2">
      <c r="E727" s="50"/>
      <c r="H727" s="12"/>
      <c r="K727"/>
    </row>
    <row r="728" spans="5:11" ht="13.5" customHeight="1" x14ac:dyDescent="0.2">
      <c r="E728" s="50"/>
      <c r="H728" s="12"/>
      <c r="K728"/>
    </row>
    <row r="729" spans="5:11" ht="13.5" customHeight="1" x14ac:dyDescent="0.2">
      <c r="E729" s="50"/>
      <c r="H729" s="12"/>
      <c r="K729"/>
    </row>
    <row r="730" spans="5:11" ht="13.5" customHeight="1" x14ac:dyDescent="0.2">
      <c r="E730" s="50"/>
      <c r="H730" s="12"/>
      <c r="K730"/>
    </row>
    <row r="731" spans="5:11" ht="13.5" customHeight="1" x14ac:dyDescent="0.2">
      <c r="E731" s="50"/>
      <c r="H731" s="12"/>
      <c r="K731"/>
    </row>
    <row r="732" spans="5:11" ht="13.5" customHeight="1" x14ac:dyDescent="0.2">
      <c r="E732" s="50"/>
      <c r="H732" s="12"/>
      <c r="K732"/>
    </row>
    <row r="733" spans="5:11" ht="13.5" customHeight="1" x14ac:dyDescent="0.2">
      <c r="E733" s="50"/>
      <c r="H733" s="12"/>
      <c r="K733"/>
    </row>
    <row r="734" spans="5:11" ht="13.5" customHeight="1" x14ac:dyDescent="0.2">
      <c r="E734" s="50"/>
      <c r="H734" s="12"/>
      <c r="K734"/>
    </row>
    <row r="735" spans="5:11" ht="13.5" customHeight="1" x14ac:dyDescent="0.2">
      <c r="E735" s="50"/>
      <c r="H735" s="12"/>
      <c r="K735"/>
    </row>
    <row r="736" spans="5:11" ht="13.5" customHeight="1" x14ac:dyDescent="0.2">
      <c r="E736" s="50"/>
      <c r="H736" s="12"/>
      <c r="K736"/>
    </row>
    <row r="737" spans="5:11" ht="13.5" customHeight="1" x14ac:dyDescent="0.2">
      <c r="E737" s="50"/>
      <c r="H737" s="12"/>
      <c r="K737"/>
    </row>
    <row r="738" spans="5:11" ht="13.5" customHeight="1" x14ac:dyDescent="0.2">
      <c r="E738" s="50"/>
      <c r="H738" s="12"/>
      <c r="K738"/>
    </row>
    <row r="739" spans="5:11" ht="13.5" customHeight="1" x14ac:dyDescent="0.2">
      <c r="E739" s="50"/>
      <c r="H739" s="12"/>
      <c r="K739"/>
    </row>
    <row r="740" spans="5:11" ht="13.5" customHeight="1" x14ac:dyDescent="0.2">
      <c r="E740" s="50"/>
      <c r="H740" s="12"/>
      <c r="K740"/>
    </row>
    <row r="741" spans="5:11" ht="13.5" customHeight="1" x14ac:dyDescent="0.2">
      <c r="E741" s="50"/>
      <c r="H741" s="12"/>
      <c r="K741"/>
    </row>
    <row r="742" spans="5:11" ht="13.5" customHeight="1" x14ac:dyDescent="0.2">
      <c r="E742" s="50"/>
      <c r="H742" s="12"/>
      <c r="K742"/>
    </row>
    <row r="743" spans="5:11" ht="13.5" customHeight="1" x14ac:dyDescent="0.2">
      <c r="E743" s="50"/>
      <c r="H743" s="12"/>
      <c r="K743"/>
    </row>
    <row r="744" spans="5:11" ht="13.5" customHeight="1" x14ac:dyDescent="0.2">
      <c r="E744" s="50"/>
      <c r="H744" s="12"/>
      <c r="K744"/>
    </row>
    <row r="745" spans="5:11" ht="13.5" customHeight="1" x14ac:dyDescent="0.2">
      <c r="E745" s="50"/>
      <c r="H745" s="12"/>
      <c r="K745"/>
    </row>
    <row r="746" spans="5:11" ht="13.5" customHeight="1" x14ac:dyDescent="0.2">
      <c r="E746" s="50"/>
      <c r="H746" s="12"/>
      <c r="K746"/>
    </row>
    <row r="747" spans="5:11" ht="13.5" customHeight="1" x14ac:dyDescent="0.2">
      <c r="E747" s="50"/>
      <c r="H747" s="12"/>
      <c r="K747"/>
    </row>
    <row r="748" spans="5:11" ht="13.5" customHeight="1" x14ac:dyDescent="0.2">
      <c r="E748" s="50"/>
      <c r="H748" s="12"/>
      <c r="K748"/>
    </row>
    <row r="749" spans="5:11" ht="13.5" customHeight="1" x14ac:dyDescent="0.2">
      <c r="E749" s="50"/>
      <c r="H749" s="12"/>
      <c r="K749"/>
    </row>
    <row r="750" spans="5:11" ht="13.5" customHeight="1" x14ac:dyDescent="0.2">
      <c r="E750" s="50"/>
      <c r="H750" s="12"/>
      <c r="K750"/>
    </row>
    <row r="751" spans="5:11" ht="13.5" customHeight="1" x14ac:dyDescent="0.2">
      <c r="E751" s="50"/>
      <c r="H751" s="12"/>
      <c r="K751"/>
    </row>
    <row r="752" spans="5:11" ht="13.5" customHeight="1" x14ac:dyDescent="0.2">
      <c r="E752" s="50"/>
      <c r="H752" s="12"/>
      <c r="K752"/>
    </row>
    <row r="753" spans="5:11" ht="13.5" customHeight="1" x14ac:dyDescent="0.2">
      <c r="E753" s="50"/>
      <c r="H753" s="12"/>
      <c r="K753"/>
    </row>
    <row r="754" spans="5:11" ht="13.5" customHeight="1" x14ac:dyDescent="0.2">
      <c r="E754" s="50"/>
      <c r="H754" s="12"/>
      <c r="K754"/>
    </row>
    <row r="755" spans="5:11" ht="13.5" customHeight="1" x14ac:dyDescent="0.2">
      <c r="E755" s="50"/>
      <c r="H755" s="12"/>
      <c r="K755"/>
    </row>
    <row r="756" spans="5:11" ht="13.5" customHeight="1" x14ac:dyDescent="0.2">
      <c r="E756" s="50"/>
      <c r="H756" s="12"/>
      <c r="K756"/>
    </row>
    <row r="757" spans="5:11" ht="13.5" customHeight="1" x14ac:dyDescent="0.2">
      <c r="E757" s="50"/>
      <c r="H757" s="12"/>
      <c r="K757"/>
    </row>
    <row r="758" spans="5:11" ht="13.5" customHeight="1" x14ac:dyDescent="0.2">
      <c r="E758" s="50"/>
      <c r="H758" s="12"/>
      <c r="K758"/>
    </row>
    <row r="759" spans="5:11" ht="13.5" customHeight="1" x14ac:dyDescent="0.2">
      <c r="E759" s="50"/>
      <c r="H759" s="12"/>
      <c r="K759"/>
    </row>
    <row r="760" spans="5:11" ht="13.5" customHeight="1" x14ac:dyDescent="0.2">
      <c r="E760" s="50"/>
      <c r="H760" s="12"/>
      <c r="K760"/>
    </row>
    <row r="761" spans="5:11" ht="13.5" customHeight="1" x14ac:dyDescent="0.2">
      <c r="E761" s="50"/>
      <c r="H761" s="12"/>
      <c r="K761"/>
    </row>
    <row r="762" spans="5:11" ht="13.5" customHeight="1" x14ac:dyDescent="0.2">
      <c r="E762" s="50"/>
      <c r="H762" s="12"/>
      <c r="K762"/>
    </row>
    <row r="763" spans="5:11" ht="13.5" customHeight="1" x14ac:dyDescent="0.2">
      <c r="E763" s="50"/>
      <c r="H763" s="12"/>
      <c r="K763"/>
    </row>
    <row r="764" spans="5:11" ht="13.5" customHeight="1" x14ac:dyDescent="0.2">
      <c r="E764" s="50"/>
      <c r="H764" s="12"/>
      <c r="K764"/>
    </row>
    <row r="765" spans="5:11" ht="13.5" customHeight="1" x14ac:dyDescent="0.2">
      <c r="E765" s="50"/>
      <c r="H765" s="12"/>
      <c r="K765"/>
    </row>
    <row r="766" spans="5:11" ht="13.5" customHeight="1" x14ac:dyDescent="0.2">
      <c r="E766" s="50"/>
      <c r="H766" s="12"/>
      <c r="K766"/>
    </row>
    <row r="767" spans="5:11" ht="13.5" customHeight="1" x14ac:dyDescent="0.2">
      <c r="E767" s="50"/>
      <c r="H767" s="12"/>
      <c r="K767"/>
    </row>
    <row r="768" spans="5:11" ht="13.5" customHeight="1" x14ac:dyDescent="0.2">
      <c r="E768" s="50"/>
      <c r="H768" s="12"/>
      <c r="K768"/>
    </row>
    <row r="769" spans="5:11" ht="13.5" customHeight="1" x14ac:dyDescent="0.2">
      <c r="E769" s="50"/>
      <c r="H769" s="12"/>
      <c r="K769"/>
    </row>
    <row r="770" spans="5:11" ht="13.5" customHeight="1" x14ac:dyDescent="0.2">
      <c r="E770" s="50"/>
      <c r="H770" s="12"/>
      <c r="K770"/>
    </row>
    <row r="771" spans="5:11" ht="13.5" customHeight="1" x14ac:dyDescent="0.2">
      <c r="E771" s="50"/>
      <c r="H771" s="12"/>
      <c r="K771"/>
    </row>
    <row r="772" spans="5:11" ht="13.5" customHeight="1" x14ac:dyDescent="0.2">
      <c r="E772" s="50"/>
      <c r="H772" s="12"/>
      <c r="K772"/>
    </row>
    <row r="773" spans="5:11" ht="13.5" customHeight="1" x14ac:dyDescent="0.2">
      <c r="E773" s="50"/>
      <c r="H773" s="12"/>
      <c r="K773"/>
    </row>
    <row r="774" spans="5:11" ht="13.5" customHeight="1" x14ac:dyDescent="0.2">
      <c r="E774" s="50"/>
      <c r="H774" s="12"/>
      <c r="K774"/>
    </row>
    <row r="775" spans="5:11" ht="13.5" customHeight="1" x14ac:dyDescent="0.2">
      <c r="E775" s="50"/>
      <c r="H775" s="12"/>
      <c r="K775"/>
    </row>
    <row r="776" spans="5:11" ht="13.5" customHeight="1" x14ac:dyDescent="0.2">
      <c r="E776" s="50"/>
      <c r="H776" s="12"/>
      <c r="K776"/>
    </row>
    <row r="777" spans="5:11" ht="13.5" customHeight="1" x14ac:dyDescent="0.2">
      <c r="E777" s="50"/>
      <c r="H777" s="12"/>
      <c r="K777"/>
    </row>
    <row r="778" spans="5:11" ht="13.5" customHeight="1" x14ac:dyDescent="0.2">
      <c r="E778" s="50"/>
      <c r="H778" s="12"/>
      <c r="K778"/>
    </row>
    <row r="779" spans="5:11" ht="13.5" customHeight="1" x14ac:dyDescent="0.2">
      <c r="E779" s="50"/>
      <c r="H779" s="12"/>
      <c r="K779"/>
    </row>
    <row r="780" spans="5:11" ht="13.5" customHeight="1" x14ac:dyDescent="0.2">
      <c r="E780" s="50"/>
      <c r="H780" s="12"/>
      <c r="K780"/>
    </row>
    <row r="781" spans="5:11" ht="13.5" customHeight="1" x14ac:dyDescent="0.2">
      <c r="E781" s="50"/>
      <c r="H781" s="12"/>
      <c r="K781"/>
    </row>
    <row r="782" spans="5:11" ht="13.5" customHeight="1" x14ac:dyDescent="0.2">
      <c r="E782" s="50"/>
      <c r="H782" s="12"/>
      <c r="K782"/>
    </row>
    <row r="783" spans="5:11" ht="13.5" customHeight="1" x14ac:dyDescent="0.2">
      <c r="E783" s="50"/>
      <c r="H783" s="12"/>
      <c r="K783"/>
    </row>
    <row r="784" spans="5:11" ht="13.5" customHeight="1" x14ac:dyDescent="0.2">
      <c r="E784" s="50"/>
      <c r="H784" s="12"/>
      <c r="K784"/>
    </row>
    <row r="785" spans="5:11" ht="13.5" customHeight="1" x14ac:dyDescent="0.2">
      <c r="E785" s="50"/>
      <c r="H785" s="12"/>
      <c r="K785"/>
    </row>
    <row r="786" spans="5:11" ht="13.5" customHeight="1" x14ac:dyDescent="0.2">
      <c r="E786" s="50"/>
      <c r="H786" s="12"/>
      <c r="K786"/>
    </row>
    <row r="787" spans="5:11" ht="13.5" customHeight="1" x14ac:dyDescent="0.2">
      <c r="E787" s="50"/>
      <c r="H787" s="12"/>
      <c r="K787"/>
    </row>
    <row r="788" spans="5:11" ht="13.5" customHeight="1" x14ac:dyDescent="0.2">
      <c r="E788" s="50"/>
      <c r="H788" s="12"/>
      <c r="K788"/>
    </row>
    <row r="789" spans="5:11" ht="13.5" customHeight="1" x14ac:dyDescent="0.2">
      <c r="E789" s="50"/>
      <c r="H789" s="12"/>
      <c r="K789"/>
    </row>
    <row r="790" spans="5:11" ht="13.5" customHeight="1" x14ac:dyDescent="0.2">
      <c r="E790" s="50"/>
      <c r="H790" s="12"/>
      <c r="K790"/>
    </row>
    <row r="791" spans="5:11" ht="13.5" customHeight="1" x14ac:dyDescent="0.2">
      <c r="E791" s="50"/>
      <c r="H791" s="12"/>
      <c r="K791"/>
    </row>
    <row r="792" spans="5:11" ht="13.5" customHeight="1" x14ac:dyDescent="0.2">
      <c r="E792" s="50"/>
      <c r="H792" s="12"/>
      <c r="K792"/>
    </row>
    <row r="793" spans="5:11" ht="13.5" customHeight="1" x14ac:dyDescent="0.2">
      <c r="E793" s="50"/>
      <c r="H793" s="12"/>
      <c r="K793"/>
    </row>
    <row r="794" spans="5:11" ht="13.5" customHeight="1" x14ac:dyDescent="0.2">
      <c r="E794" s="50"/>
      <c r="H794" s="12"/>
      <c r="K794"/>
    </row>
    <row r="795" spans="5:11" ht="13.5" customHeight="1" x14ac:dyDescent="0.2">
      <c r="E795" s="50"/>
      <c r="H795" s="12"/>
      <c r="K795"/>
    </row>
    <row r="796" spans="5:11" ht="13.5" customHeight="1" x14ac:dyDescent="0.2">
      <c r="E796" s="50"/>
      <c r="H796" s="12"/>
      <c r="K796"/>
    </row>
    <row r="797" spans="5:11" ht="13.5" customHeight="1" x14ac:dyDescent="0.2">
      <c r="E797" s="50"/>
      <c r="H797" s="12"/>
      <c r="K797"/>
    </row>
    <row r="798" spans="5:11" ht="13.5" customHeight="1" x14ac:dyDescent="0.2">
      <c r="E798" s="50"/>
      <c r="H798" s="12"/>
      <c r="K798"/>
    </row>
    <row r="799" spans="5:11" ht="13.5" customHeight="1" x14ac:dyDescent="0.2">
      <c r="E799" s="50"/>
      <c r="H799" s="12"/>
      <c r="K799"/>
    </row>
    <row r="800" spans="5:11" ht="13.5" customHeight="1" x14ac:dyDescent="0.2">
      <c r="E800" s="50"/>
      <c r="H800" s="12"/>
      <c r="K800"/>
    </row>
    <row r="801" spans="5:11" ht="13.5" customHeight="1" x14ac:dyDescent="0.2">
      <c r="E801" s="50"/>
      <c r="H801" s="12"/>
      <c r="K801"/>
    </row>
    <row r="802" spans="5:11" ht="13.5" customHeight="1" x14ac:dyDescent="0.2">
      <c r="E802" s="50"/>
      <c r="H802" s="12"/>
      <c r="K802"/>
    </row>
    <row r="803" spans="5:11" ht="14.25" customHeight="1" x14ac:dyDescent="0.2">
      <c r="E803" s="50"/>
      <c r="H803" s="12"/>
      <c r="K803"/>
    </row>
    <row r="804" spans="5:11" ht="13.5" customHeight="1" x14ac:dyDescent="0.2">
      <c r="E804" s="50"/>
      <c r="H804" s="12"/>
      <c r="K804"/>
    </row>
    <row r="805" spans="5:11" ht="13.5" customHeight="1" x14ac:dyDescent="0.2">
      <c r="E805" s="50"/>
      <c r="H805" s="12"/>
      <c r="K805"/>
    </row>
    <row r="806" spans="5:11" ht="13.5" customHeight="1" x14ac:dyDescent="0.2">
      <c r="E806" s="50"/>
      <c r="H806" s="12"/>
      <c r="K806"/>
    </row>
    <row r="807" spans="5:11" ht="13.5" customHeight="1" x14ac:dyDescent="0.2">
      <c r="E807" s="50"/>
      <c r="H807" s="12"/>
      <c r="K807"/>
    </row>
    <row r="808" spans="5:11" ht="13.5" customHeight="1" x14ac:dyDescent="0.2">
      <c r="E808" s="50"/>
      <c r="H808" s="12"/>
      <c r="K808"/>
    </row>
    <row r="809" spans="5:11" ht="13.5" customHeight="1" x14ac:dyDescent="0.2">
      <c r="E809" s="50"/>
      <c r="H809" s="12"/>
      <c r="K809"/>
    </row>
    <row r="810" spans="5:11" ht="13.5" customHeight="1" x14ac:dyDescent="0.2">
      <c r="E810" s="50"/>
      <c r="H810" s="12"/>
      <c r="K810"/>
    </row>
    <row r="811" spans="5:11" ht="13.5" customHeight="1" x14ac:dyDescent="0.2">
      <c r="E811" s="50"/>
      <c r="H811" s="12"/>
      <c r="K811"/>
    </row>
    <row r="812" spans="5:11" ht="13.5" customHeight="1" x14ac:dyDescent="0.2">
      <c r="E812" s="50"/>
      <c r="H812" s="12"/>
      <c r="K812"/>
    </row>
    <row r="813" spans="5:11" ht="13.5" customHeight="1" x14ac:dyDescent="0.2">
      <c r="E813" s="50"/>
      <c r="H813" s="12"/>
      <c r="K813"/>
    </row>
    <row r="814" spans="5:11" ht="13.5" customHeight="1" x14ac:dyDescent="0.2">
      <c r="E814" s="50"/>
      <c r="H814" s="12"/>
      <c r="K814"/>
    </row>
    <row r="815" spans="5:11" ht="13.5" customHeight="1" x14ac:dyDescent="0.2">
      <c r="E815" s="50"/>
      <c r="H815" s="12"/>
      <c r="K815"/>
    </row>
    <row r="816" spans="5:11" ht="13.5" customHeight="1" x14ac:dyDescent="0.2">
      <c r="E816" s="50"/>
      <c r="H816" s="12"/>
      <c r="K816"/>
    </row>
    <row r="817" spans="5:11" ht="13.5" customHeight="1" x14ac:dyDescent="0.2">
      <c r="E817" s="50"/>
      <c r="H817" s="12"/>
      <c r="K817"/>
    </row>
    <row r="818" spans="5:11" ht="13.5" customHeight="1" x14ac:dyDescent="0.2">
      <c r="E818" s="50"/>
      <c r="H818" s="12"/>
      <c r="K818"/>
    </row>
    <row r="819" spans="5:11" ht="13.5" customHeight="1" x14ac:dyDescent="0.2">
      <c r="E819" s="50"/>
      <c r="H819" s="12"/>
      <c r="K819"/>
    </row>
    <row r="820" spans="5:11" ht="13.5" customHeight="1" x14ac:dyDescent="0.2">
      <c r="E820" s="50"/>
      <c r="H820" s="12"/>
      <c r="K820"/>
    </row>
    <row r="821" spans="5:11" ht="13.5" customHeight="1" x14ac:dyDescent="0.2">
      <c r="E821" s="50"/>
      <c r="H821" s="12"/>
      <c r="K821"/>
    </row>
    <row r="822" spans="5:11" ht="13.5" customHeight="1" x14ac:dyDescent="0.2">
      <c r="E822" s="50"/>
      <c r="H822" s="12"/>
      <c r="K822"/>
    </row>
    <row r="823" spans="5:11" ht="13.5" customHeight="1" x14ac:dyDescent="0.2">
      <c r="E823" s="50"/>
      <c r="H823" s="12"/>
      <c r="K823"/>
    </row>
    <row r="824" spans="5:11" ht="13.5" customHeight="1" x14ac:dyDescent="0.2">
      <c r="E824" s="50"/>
      <c r="H824" s="12"/>
      <c r="K824"/>
    </row>
    <row r="825" spans="5:11" ht="13.5" customHeight="1" x14ac:dyDescent="0.2">
      <c r="E825" s="50"/>
      <c r="H825" s="12"/>
      <c r="K825"/>
    </row>
    <row r="826" spans="5:11" ht="13.5" customHeight="1" x14ac:dyDescent="0.2">
      <c r="E826" s="50"/>
      <c r="H826" s="12"/>
      <c r="K826"/>
    </row>
    <row r="827" spans="5:11" ht="13.5" customHeight="1" x14ac:dyDescent="0.2">
      <c r="E827" s="50"/>
      <c r="H827" s="12"/>
      <c r="K827"/>
    </row>
    <row r="828" spans="5:11" ht="13.5" customHeight="1" x14ac:dyDescent="0.2">
      <c r="E828" s="50"/>
      <c r="H828" s="12"/>
      <c r="K828"/>
    </row>
    <row r="829" spans="5:11" ht="13.5" customHeight="1" x14ac:dyDescent="0.2">
      <c r="E829" s="50"/>
      <c r="H829" s="12"/>
      <c r="K829"/>
    </row>
    <row r="830" spans="5:11" ht="13.5" customHeight="1" x14ac:dyDescent="0.2">
      <c r="E830" s="50"/>
      <c r="H830" s="12"/>
      <c r="K830"/>
    </row>
    <row r="831" spans="5:11" ht="13.5" customHeight="1" x14ac:dyDescent="0.2">
      <c r="E831" s="50"/>
      <c r="H831" s="12"/>
      <c r="K831"/>
    </row>
    <row r="832" spans="5:11" ht="13.5" customHeight="1" x14ac:dyDescent="0.2">
      <c r="E832" s="50"/>
      <c r="H832" s="12"/>
      <c r="K832"/>
    </row>
    <row r="833" spans="5:11" ht="13.5" customHeight="1" x14ac:dyDescent="0.2">
      <c r="E833" s="50"/>
      <c r="H833" s="12"/>
      <c r="K833"/>
    </row>
    <row r="834" spans="5:11" ht="13.5" customHeight="1" x14ac:dyDescent="0.2">
      <c r="E834" s="50"/>
      <c r="H834" s="12"/>
      <c r="K834"/>
    </row>
    <row r="835" spans="5:11" ht="13.5" customHeight="1" x14ac:dyDescent="0.2">
      <c r="E835" s="50"/>
      <c r="H835" s="12"/>
      <c r="K835"/>
    </row>
    <row r="836" spans="5:11" ht="13.5" customHeight="1" x14ac:dyDescent="0.2">
      <c r="E836" s="50"/>
      <c r="H836" s="12"/>
      <c r="K836"/>
    </row>
    <row r="837" spans="5:11" ht="13.5" customHeight="1" x14ac:dyDescent="0.2">
      <c r="E837" s="50"/>
      <c r="H837" s="12"/>
      <c r="K837"/>
    </row>
    <row r="838" spans="5:11" ht="13.5" customHeight="1" x14ac:dyDescent="0.2">
      <c r="E838" s="50"/>
      <c r="H838" s="12"/>
      <c r="K838"/>
    </row>
    <row r="839" spans="5:11" ht="13.5" customHeight="1" x14ac:dyDescent="0.2">
      <c r="E839" s="50"/>
      <c r="H839" s="12"/>
      <c r="K839"/>
    </row>
    <row r="840" spans="5:11" ht="13.5" customHeight="1" x14ac:dyDescent="0.2">
      <c r="E840" s="50"/>
      <c r="H840" s="12"/>
      <c r="K840"/>
    </row>
    <row r="841" spans="5:11" ht="13.5" customHeight="1" x14ac:dyDescent="0.2">
      <c r="E841" s="50"/>
      <c r="H841" s="12"/>
      <c r="K841"/>
    </row>
    <row r="842" spans="5:11" ht="13.5" customHeight="1" x14ac:dyDescent="0.2">
      <c r="E842" s="50"/>
      <c r="H842" s="12"/>
      <c r="K842"/>
    </row>
    <row r="843" spans="5:11" ht="13.5" customHeight="1" x14ac:dyDescent="0.2">
      <c r="E843" s="50"/>
      <c r="H843" s="12"/>
      <c r="K843"/>
    </row>
    <row r="844" spans="5:11" ht="13.5" customHeight="1" x14ac:dyDescent="0.2">
      <c r="E844" s="50"/>
      <c r="H844" s="12"/>
      <c r="K844"/>
    </row>
    <row r="845" spans="5:11" ht="13.5" customHeight="1" x14ac:dyDescent="0.2">
      <c r="E845" s="50"/>
      <c r="H845" s="12"/>
      <c r="K845"/>
    </row>
    <row r="846" spans="5:11" ht="13.5" customHeight="1" x14ac:dyDescent="0.2">
      <c r="E846" s="50"/>
      <c r="H846" s="12"/>
      <c r="K846"/>
    </row>
    <row r="847" spans="5:11" ht="13.5" customHeight="1" x14ac:dyDescent="0.2">
      <c r="E847" s="50"/>
      <c r="H847" s="12"/>
      <c r="K847"/>
    </row>
    <row r="848" spans="5:11" ht="13.5" customHeight="1" x14ac:dyDescent="0.2">
      <c r="E848" s="50"/>
      <c r="H848" s="12"/>
      <c r="K848"/>
    </row>
    <row r="849" spans="5:11" ht="13.5" customHeight="1" x14ac:dyDescent="0.2">
      <c r="E849" s="50"/>
      <c r="H849" s="12"/>
      <c r="K849"/>
    </row>
    <row r="850" spans="5:11" ht="13.5" customHeight="1" x14ac:dyDescent="0.2">
      <c r="E850" s="50"/>
      <c r="H850" s="12"/>
      <c r="K850"/>
    </row>
    <row r="851" spans="5:11" ht="13.5" customHeight="1" x14ac:dyDescent="0.2">
      <c r="E851" s="50"/>
      <c r="H851" s="12"/>
      <c r="K851"/>
    </row>
    <row r="852" spans="5:11" ht="13.5" customHeight="1" x14ac:dyDescent="0.2">
      <c r="E852" s="50"/>
      <c r="H852" s="12"/>
      <c r="K852"/>
    </row>
    <row r="853" spans="5:11" ht="13.5" customHeight="1" x14ac:dyDescent="0.2">
      <c r="E853" s="50"/>
      <c r="H853" s="12"/>
      <c r="K853"/>
    </row>
    <row r="854" spans="5:11" ht="13.5" customHeight="1" x14ac:dyDescent="0.2">
      <c r="E854" s="50"/>
      <c r="H854" s="12"/>
      <c r="K854"/>
    </row>
    <row r="855" spans="5:11" ht="13.5" customHeight="1" x14ac:dyDescent="0.2">
      <c r="E855" s="50"/>
      <c r="H855" s="12"/>
      <c r="K855"/>
    </row>
    <row r="856" spans="5:11" ht="13.5" customHeight="1" x14ac:dyDescent="0.2">
      <c r="E856" s="50"/>
      <c r="H856" s="12"/>
      <c r="K856"/>
    </row>
    <row r="857" spans="5:11" ht="13.5" customHeight="1" x14ac:dyDescent="0.2">
      <c r="E857" s="50"/>
      <c r="H857" s="12"/>
      <c r="K857"/>
    </row>
    <row r="858" spans="5:11" ht="13.5" customHeight="1" x14ac:dyDescent="0.2">
      <c r="E858" s="50"/>
      <c r="H858" s="12"/>
      <c r="K858"/>
    </row>
    <row r="859" spans="5:11" ht="13.5" customHeight="1" x14ac:dyDescent="0.2">
      <c r="E859" s="50"/>
      <c r="H859" s="12"/>
      <c r="K859"/>
    </row>
    <row r="860" spans="5:11" ht="13.5" customHeight="1" x14ac:dyDescent="0.2">
      <c r="E860" s="50"/>
      <c r="H860" s="12"/>
      <c r="K860"/>
    </row>
    <row r="861" spans="5:11" ht="13.5" customHeight="1" x14ac:dyDescent="0.2">
      <c r="E861" s="50"/>
      <c r="H861" s="12"/>
      <c r="K861"/>
    </row>
    <row r="862" spans="5:11" ht="13.5" customHeight="1" x14ac:dyDescent="0.2">
      <c r="E862" s="50"/>
      <c r="H862" s="12"/>
      <c r="K862"/>
    </row>
    <row r="863" spans="5:11" ht="13.5" customHeight="1" x14ac:dyDescent="0.2">
      <c r="E863" s="50"/>
      <c r="H863" s="12"/>
      <c r="K863"/>
    </row>
    <row r="864" spans="5:11" ht="13.5" customHeight="1" x14ac:dyDescent="0.2">
      <c r="E864" s="50"/>
      <c r="H864" s="12"/>
      <c r="K864"/>
    </row>
    <row r="865" spans="5:11" ht="13.5" customHeight="1" x14ac:dyDescent="0.2">
      <c r="E865" s="50"/>
      <c r="H865" s="12"/>
      <c r="K865"/>
    </row>
    <row r="866" spans="5:11" ht="13.5" customHeight="1" x14ac:dyDescent="0.2">
      <c r="E866" s="50"/>
      <c r="H866" s="12"/>
      <c r="K866"/>
    </row>
    <row r="867" spans="5:11" ht="13.5" customHeight="1" x14ac:dyDescent="0.2">
      <c r="E867" s="50"/>
      <c r="H867" s="12"/>
      <c r="K867"/>
    </row>
    <row r="868" spans="5:11" ht="13.5" customHeight="1" x14ac:dyDescent="0.2">
      <c r="E868" s="50"/>
      <c r="H868" s="12"/>
      <c r="K868"/>
    </row>
    <row r="869" spans="5:11" ht="13.5" customHeight="1" x14ac:dyDescent="0.2">
      <c r="E869" s="50"/>
      <c r="H869" s="12"/>
      <c r="K869"/>
    </row>
    <row r="870" spans="5:11" ht="13.5" customHeight="1" x14ac:dyDescent="0.2">
      <c r="E870" s="50"/>
      <c r="H870" s="12"/>
      <c r="K870"/>
    </row>
    <row r="871" spans="5:11" ht="13.5" customHeight="1" x14ac:dyDescent="0.2">
      <c r="E871" s="50"/>
      <c r="H871" s="12"/>
      <c r="K871"/>
    </row>
    <row r="872" spans="5:11" ht="13.5" customHeight="1" x14ac:dyDescent="0.2">
      <c r="E872" s="50"/>
      <c r="H872" s="12"/>
      <c r="K872"/>
    </row>
    <row r="873" spans="5:11" ht="12.75" customHeight="1" x14ac:dyDescent="0.2">
      <c r="E873" s="50"/>
      <c r="H873" s="12"/>
      <c r="K873"/>
    </row>
    <row r="874" spans="5:11" ht="12.75" customHeight="1" x14ac:dyDescent="0.2">
      <c r="E874" s="50"/>
      <c r="H874" s="12"/>
      <c r="K874"/>
    </row>
    <row r="875" spans="5:11" ht="12.75" customHeight="1" x14ac:dyDescent="0.2">
      <c r="E875" s="50"/>
      <c r="H875" s="12"/>
      <c r="K875"/>
    </row>
    <row r="876" spans="5:11" ht="12.75" customHeight="1" x14ac:dyDescent="0.2">
      <c r="E876" s="50"/>
      <c r="H876" s="12"/>
      <c r="K876"/>
    </row>
    <row r="877" spans="5:11" ht="12.75" customHeight="1" x14ac:dyDescent="0.2">
      <c r="E877" s="50"/>
      <c r="H877" s="12"/>
      <c r="K877"/>
    </row>
    <row r="878" spans="5:11" ht="12.75" customHeight="1" x14ac:dyDescent="0.2">
      <c r="E878" s="50"/>
      <c r="H878" s="12"/>
      <c r="K878"/>
    </row>
    <row r="879" spans="5:11" ht="12.75" customHeight="1" x14ac:dyDescent="0.2">
      <c r="E879" s="50"/>
      <c r="H879" s="12"/>
      <c r="K879"/>
    </row>
    <row r="880" spans="5:11" ht="12.75" customHeight="1" x14ac:dyDescent="0.2">
      <c r="E880" s="50"/>
      <c r="H880" s="12"/>
      <c r="K880"/>
    </row>
    <row r="881" spans="5:11" ht="12.75" customHeight="1" x14ac:dyDescent="0.2">
      <c r="E881" s="50"/>
      <c r="H881" s="12"/>
      <c r="K881"/>
    </row>
    <row r="882" spans="5:11" ht="12.75" customHeight="1" x14ac:dyDescent="0.2">
      <c r="E882" s="50"/>
      <c r="H882" s="12"/>
      <c r="K882"/>
    </row>
    <row r="883" spans="5:11" ht="12.75" customHeight="1" x14ac:dyDescent="0.2">
      <c r="E883" s="50"/>
      <c r="H883" s="12"/>
      <c r="K883"/>
    </row>
    <row r="884" spans="5:11" ht="12.75" customHeight="1" x14ac:dyDescent="0.2">
      <c r="E884" s="50"/>
      <c r="H884" s="12"/>
      <c r="K884"/>
    </row>
    <row r="885" spans="5:11" ht="12.75" customHeight="1" x14ac:dyDescent="0.2">
      <c r="E885" s="50"/>
      <c r="H885" s="12"/>
      <c r="K885"/>
    </row>
    <row r="886" spans="5:11" ht="12.75" customHeight="1" x14ac:dyDescent="0.2">
      <c r="E886" s="50"/>
      <c r="H886" s="12"/>
      <c r="K886"/>
    </row>
    <row r="887" spans="5:11" ht="12.75" customHeight="1" x14ac:dyDescent="0.2">
      <c r="E887" s="50"/>
      <c r="H887" s="12"/>
      <c r="K887"/>
    </row>
    <row r="888" spans="5:11" ht="12.75" customHeight="1" x14ac:dyDescent="0.2">
      <c r="E888" s="50"/>
      <c r="H888" s="12"/>
      <c r="K888"/>
    </row>
    <row r="889" spans="5:11" ht="12.75" customHeight="1" x14ac:dyDescent="0.2">
      <c r="E889" s="50"/>
      <c r="H889" s="12"/>
      <c r="K889"/>
    </row>
    <row r="890" spans="5:11" ht="12.75" customHeight="1" x14ac:dyDescent="0.2">
      <c r="E890" s="50"/>
      <c r="H890" s="12"/>
      <c r="K890"/>
    </row>
    <row r="891" spans="5:11" ht="12.75" customHeight="1" x14ac:dyDescent="0.2">
      <c r="E891" s="50"/>
      <c r="H891" s="12"/>
      <c r="K891"/>
    </row>
    <row r="892" spans="5:11" ht="12.75" customHeight="1" x14ac:dyDescent="0.2">
      <c r="E892" s="50"/>
      <c r="H892" s="12"/>
      <c r="K892"/>
    </row>
    <row r="893" spans="5:11" ht="12.75" customHeight="1" x14ac:dyDescent="0.2">
      <c r="E893" s="50"/>
      <c r="H893" s="12"/>
      <c r="K893"/>
    </row>
    <row r="894" spans="5:11" ht="12.75" customHeight="1" x14ac:dyDescent="0.2">
      <c r="E894" s="50"/>
      <c r="H894" s="12"/>
      <c r="K894"/>
    </row>
    <row r="895" spans="5:11" ht="12.75" customHeight="1" x14ac:dyDescent="0.2">
      <c r="E895" s="50"/>
      <c r="H895" s="12"/>
      <c r="K895"/>
    </row>
    <row r="896" spans="5:11" ht="12.75" customHeight="1" x14ac:dyDescent="0.2">
      <c r="E896" s="50"/>
      <c r="H896" s="12"/>
      <c r="K896"/>
    </row>
    <row r="897" spans="5:11" ht="12.75" customHeight="1" x14ac:dyDescent="0.2">
      <c r="E897" s="50"/>
      <c r="H897" s="12"/>
      <c r="K897"/>
    </row>
    <row r="898" spans="5:11" ht="12.75" customHeight="1" x14ac:dyDescent="0.2">
      <c r="E898" s="50"/>
      <c r="H898" s="12"/>
      <c r="K898"/>
    </row>
    <row r="899" spans="5:11" ht="12.75" customHeight="1" x14ac:dyDescent="0.2">
      <c r="E899" s="50"/>
      <c r="H899" s="12"/>
      <c r="K899"/>
    </row>
    <row r="900" spans="5:11" ht="12.75" customHeight="1" x14ac:dyDescent="0.2">
      <c r="E900" s="50"/>
      <c r="H900" s="12"/>
      <c r="K900"/>
    </row>
    <row r="901" spans="5:11" ht="12.75" customHeight="1" x14ac:dyDescent="0.2">
      <c r="E901" s="50"/>
      <c r="H901" s="12"/>
      <c r="K901"/>
    </row>
    <row r="902" spans="5:11" ht="12.75" customHeight="1" x14ac:dyDescent="0.2">
      <c r="E902" s="50"/>
      <c r="H902" s="12"/>
      <c r="K902"/>
    </row>
    <row r="903" spans="5:11" ht="12.75" customHeight="1" x14ac:dyDescent="0.2">
      <c r="E903" s="50"/>
      <c r="H903" s="12"/>
      <c r="K903"/>
    </row>
    <row r="904" spans="5:11" ht="12.75" customHeight="1" x14ac:dyDescent="0.2">
      <c r="E904" s="50"/>
      <c r="H904" s="12"/>
      <c r="K904"/>
    </row>
    <row r="905" spans="5:11" ht="12.75" customHeight="1" x14ac:dyDescent="0.2">
      <c r="E905" s="50"/>
      <c r="H905" s="12"/>
      <c r="K905"/>
    </row>
    <row r="906" spans="5:11" ht="12.75" customHeight="1" x14ac:dyDescent="0.2">
      <c r="E906" s="50"/>
      <c r="H906" s="12"/>
      <c r="K906"/>
    </row>
    <row r="907" spans="5:11" ht="12.75" customHeight="1" x14ac:dyDescent="0.2">
      <c r="E907" s="50"/>
      <c r="H907" s="12"/>
      <c r="K907"/>
    </row>
    <row r="908" spans="5:11" ht="12.75" customHeight="1" x14ac:dyDescent="0.2">
      <c r="E908" s="50"/>
      <c r="H908" s="12"/>
      <c r="K908"/>
    </row>
    <row r="909" spans="5:11" ht="12.75" customHeight="1" x14ac:dyDescent="0.2">
      <c r="E909" s="50"/>
      <c r="H909" s="12"/>
      <c r="K909"/>
    </row>
    <row r="910" spans="5:11" ht="12.75" customHeight="1" x14ac:dyDescent="0.2">
      <c r="E910" s="50"/>
      <c r="H910" s="12"/>
      <c r="K910"/>
    </row>
    <row r="911" spans="5:11" ht="12.75" customHeight="1" x14ac:dyDescent="0.2">
      <c r="E911" s="50"/>
      <c r="H911" s="12"/>
      <c r="K911"/>
    </row>
    <row r="912" spans="5:11" ht="12.75" customHeight="1" x14ac:dyDescent="0.2">
      <c r="E912" s="50"/>
      <c r="H912" s="12"/>
      <c r="K912"/>
    </row>
    <row r="913" spans="5:11" ht="12.75" customHeight="1" x14ac:dyDescent="0.2">
      <c r="E913" s="50"/>
      <c r="H913" s="12"/>
      <c r="K913"/>
    </row>
    <row r="914" spans="5:11" ht="12.75" customHeight="1" x14ac:dyDescent="0.2">
      <c r="E914" s="50"/>
      <c r="H914" s="12"/>
      <c r="K914"/>
    </row>
    <row r="915" spans="5:11" ht="12.75" customHeight="1" x14ac:dyDescent="0.2">
      <c r="E915" s="50"/>
      <c r="H915" s="12"/>
      <c r="K915"/>
    </row>
    <row r="916" spans="5:11" ht="12.75" customHeight="1" x14ac:dyDescent="0.2">
      <c r="E916" s="50"/>
      <c r="H916" s="12"/>
      <c r="K916"/>
    </row>
    <row r="917" spans="5:11" ht="12.75" customHeight="1" x14ac:dyDescent="0.2">
      <c r="E917" s="50"/>
      <c r="H917" s="12"/>
      <c r="K917"/>
    </row>
    <row r="918" spans="5:11" ht="12.75" customHeight="1" x14ac:dyDescent="0.2">
      <c r="E918" s="50"/>
      <c r="H918" s="12"/>
      <c r="K918"/>
    </row>
    <row r="919" spans="5:11" ht="12.75" customHeight="1" x14ac:dyDescent="0.2">
      <c r="E919" s="50"/>
      <c r="H919" s="12"/>
      <c r="K919"/>
    </row>
    <row r="920" spans="5:11" ht="12.75" customHeight="1" x14ac:dyDescent="0.2">
      <c r="E920" s="50"/>
      <c r="H920" s="12"/>
      <c r="K920"/>
    </row>
    <row r="921" spans="5:11" ht="12.75" customHeight="1" x14ac:dyDescent="0.2">
      <c r="E921" s="50"/>
      <c r="H921" s="12"/>
      <c r="K921"/>
    </row>
    <row r="922" spans="5:11" ht="12.75" customHeight="1" x14ac:dyDescent="0.2">
      <c r="E922" s="50"/>
      <c r="H922" s="12"/>
      <c r="K922"/>
    </row>
    <row r="923" spans="5:11" ht="12.75" customHeight="1" x14ac:dyDescent="0.2">
      <c r="E923" s="50"/>
      <c r="H923" s="12"/>
      <c r="K923"/>
    </row>
    <row r="924" spans="5:11" ht="12.75" customHeight="1" x14ac:dyDescent="0.2">
      <c r="E924" s="50"/>
      <c r="H924" s="12"/>
      <c r="K924"/>
    </row>
    <row r="925" spans="5:11" ht="12.75" customHeight="1" x14ac:dyDescent="0.2">
      <c r="E925" s="50"/>
      <c r="H925" s="12"/>
      <c r="K925"/>
    </row>
    <row r="926" spans="5:11" ht="12.75" customHeight="1" x14ac:dyDescent="0.2">
      <c r="E926" s="50"/>
      <c r="H926" s="12"/>
      <c r="K926"/>
    </row>
    <row r="927" spans="5:11" ht="12.75" customHeight="1" x14ac:dyDescent="0.2">
      <c r="E927" s="50"/>
      <c r="H927" s="12"/>
      <c r="K927"/>
    </row>
    <row r="928" spans="5:11" ht="12.75" customHeight="1" x14ac:dyDescent="0.2">
      <c r="E928" s="50"/>
      <c r="H928" s="12"/>
      <c r="K928"/>
    </row>
    <row r="929" spans="5:11" ht="12.75" customHeight="1" x14ac:dyDescent="0.2">
      <c r="E929" s="50"/>
      <c r="H929" s="12"/>
      <c r="K929"/>
    </row>
    <row r="930" spans="5:11" ht="12.75" customHeight="1" x14ac:dyDescent="0.2">
      <c r="E930" s="50"/>
      <c r="H930" s="12"/>
      <c r="K930"/>
    </row>
    <row r="931" spans="5:11" ht="12.75" customHeight="1" x14ac:dyDescent="0.2">
      <c r="E931" s="50"/>
      <c r="H931" s="12"/>
      <c r="K931"/>
    </row>
    <row r="932" spans="5:11" ht="12.75" customHeight="1" x14ac:dyDescent="0.2">
      <c r="E932" s="50"/>
      <c r="H932" s="12"/>
      <c r="K932"/>
    </row>
    <row r="933" spans="5:11" ht="12.75" customHeight="1" x14ac:dyDescent="0.2">
      <c r="E933" s="50"/>
      <c r="H933" s="12"/>
      <c r="K933"/>
    </row>
    <row r="934" spans="5:11" ht="12.75" customHeight="1" x14ac:dyDescent="0.2">
      <c r="E934" s="50"/>
      <c r="H934" s="12"/>
      <c r="K934"/>
    </row>
    <row r="935" spans="5:11" ht="12.75" customHeight="1" x14ac:dyDescent="0.2">
      <c r="E935" s="50"/>
      <c r="H935" s="12"/>
      <c r="K935"/>
    </row>
    <row r="936" spans="5:11" ht="12.75" customHeight="1" x14ac:dyDescent="0.2">
      <c r="E936" s="50"/>
      <c r="H936" s="12"/>
      <c r="K936"/>
    </row>
    <row r="937" spans="5:11" ht="12.75" customHeight="1" x14ac:dyDescent="0.2">
      <c r="E937" s="50"/>
      <c r="H937" s="12"/>
      <c r="K937"/>
    </row>
    <row r="938" spans="5:11" ht="12.75" customHeight="1" x14ac:dyDescent="0.2">
      <c r="E938" s="50"/>
      <c r="H938" s="12"/>
      <c r="K938"/>
    </row>
    <row r="939" spans="5:11" ht="12.75" customHeight="1" x14ac:dyDescent="0.2">
      <c r="E939" s="50"/>
      <c r="H939" s="12"/>
      <c r="K939"/>
    </row>
    <row r="940" spans="5:11" ht="12.75" customHeight="1" x14ac:dyDescent="0.2">
      <c r="E940" s="50"/>
      <c r="H940" s="12"/>
      <c r="K940"/>
    </row>
    <row r="941" spans="5:11" ht="12.75" customHeight="1" x14ac:dyDescent="0.2">
      <c r="E941" s="50"/>
      <c r="H941" s="12"/>
      <c r="K941"/>
    </row>
    <row r="942" spans="5:11" ht="12.75" customHeight="1" x14ac:dyDescent="0.2">
      <c r="E942" s="50"/>
      <c r="H942" s="12"/>
      <c r="K942"/>
    </row>
    <row r="943" spans="5:11" ht="12.75" customHeight="1" x14ac:dyDescent="0.2">
      <c r="E943" s="50"/>
      <c r="H943" s="12"/>
      <c r="K943"/>
    </row>
    <row r="944" spans="5:11" ht="12.75" customHeight="1" x14ac:dyDescent="0.2">
      <c r="E944" s="50"/>
      <c r="H944" s="12"/>
      <c r="K944"/>
    </row>
    <row r="945" spans="5:11" ht="12.75" customHeight="1" x14ac:dyDescent="0.2">
      <c r="E945" s="50"/>
      <c r="H945" s="12"/>
      <c r="K945"/>
    </row>
    <row r="946" spans="5:11" ht="12.75" customHeight="1" x14ac:dyDescent="0.2">
      <c r="E946" s="50"/>
      <c r="H946" s="12"/>
      <c r="K946"/>
    </row>
    <row r="947" spans="5:11" ht="12.75" customHeight="1" x14ac:dyDescent="0.2">
      <c r="E947" s="50"/>
      <c r="H947" s="12"/>
      <c r="K947"/>
    </row>
    <row r="948" spans="5:11" ht="12.75" customHeight="1" x14ac:dyDescent="0.2">
      <c r="E948" s="50"/>
      <c r="H948" s="12"/>
      <c r="K948"/>
    </row>
    <row r="949" spans="5:11" ht="12.75" customHeight="1" x14ac:dyDescent="0.2">
      <c r="E949" s="50"/>
      <c r="H949" s="12"/>
      <c r="K949"/>
    </row>
    <row r="950" spans="5:11" ht="12.75" customHeight="1" x14ac:dyDescent="0.2">
      <c r="E950" s="50"/>
      <c r="H950" s="12"/>
      <c r="K950"/>
    </row>
    <row r="951" spans="5:11" ht="12.75" customHeight="1" x14ac:dyDescent="0.2">
      <c r="E951" s="50"/>
      <c r="H951" s="12"/>
      <c r="K951"/>
    </row>
    <row r="952" spans="5:11" ht="12.75" customHeight="1" x14ac:dyDescent="0.2">
      <c r="E952" s="50"/>
      <c r="H952" s="12"/>
      <c r="K952"/>
    </row>
    <row r="953" spans="5:11" ht="12.75" customHeight="1" x14ac:dyDescent="0.2">
      <c r="E953" s="50"/>
      <c r="H953" s="12"/>
      <c r="K953"/>
    </row>
    <row r="954" spans="5:11" ht="12.75" customHeight="1" x14ac:dyDescent="0.2">
      <c r="E954" s="50"/>
      <c r="H954" s="12"/>
      <c r="K954"/>
    </row>
    <row r="955" spans="5:11" ht="12.75" customHeight="1" x14ac:dyDescent="0.2">
      <c r="E955" s="50"/>
      <c r="H955" s="12"/>
      <c r="K955"/>
    </row>
    <row r="956" spans="5:11" ht="12.75" customHeight="1" x14ac:dyDescent="0.2">
      <c r="E956" s="50"/>
      <c r="H956" s="12"/>
      <c r="K956"/>
    </row>
    <row r="957" spans="5:11" ht="12.75" customHeight="1" x14ac:dyDescent="0.2">
      <c r="E957" s="50"/>
      <c r="H957" s="12"/>
      <c r="K957"/>
    </row>
    <row r="958" spans="5:11" ht="12.75" customHeight="1" x14ac:dyDescent="0.2">
      <c r="E958" s="50"/>
      <c r="H958" s="12"/>
      <c r="K958"/>
    </row>
    <row r="959" spans="5:11" ht="12.75" customHeight="1" x14ac:dyDescent="0.2">
      <c r="E959" s="50"/>
      <c r="H959" s="12"/>
      <c r="K959"/>
    </row>
    <row r="960" spans="5:11" ht="12.75" customHeight="1" x14ac:dyDescent="0.2">
      <c r="E960" s="50"/>
      <c r="H960" s="12"/>
      <c r="K960"/>
    </row>
    <row r="961" spans="5:11" ht="12.75" customHeight="1" x14ac:dyDescent="0.2">
      <c r="E961" s="50"/>
      <c r="H961" s="12"/>
      <c r="K961"/>
    </row>
    <row r="962" spans="5:11" ht="12.75" customHeight="1" x14ac:dyDescent="0.2">
      <c r="E962" s="50"/>
      <c r="H962" s="12"/>
      <c r="K962"/>
    </row>
    <row r="963" spans="5:11" ht="12.75" customHeight="1" x14ac:dyDescent="0.2">
      <c r="E963" s="50"/>
      <c r="H963" s="12"/>
      <c r="K963"/>
    </row>
    <row r="964" spans="5:11" ht="12.75" customHeight="1" x14ac:dyDescent="0.2">
      <c r="E964" s="50"/>
      <c r="H964" s="12"/>
      <c r="K964"/>
    </row>
    <row r="965" spans="5:11" ht="12.75" customHeight="1" x14ac:dyDescent="0.2">
      <c r="E965" s="50"/>
      <c r="H965" s="12"/>
      <c r="K965"/>
    </row>
    <row r="966" spans="5:11" ht="12.75" customHeight="1" x14ac:dyDescent="0.2">
      <c r="E966" s="50"/>
      <c r="H966" s="12"/>
      <c r="K966"/>
    </row>
    <row r="967" spans="5:11" ht="12.75" customHeight="1" x14ac:dyDescent="0.2">
      <c r="E967" s="50"/>
      <c r="H967" s="12"/>
      <c r="K967"/>
    </row>
    <row r="968" spans="5:11" ht="12.75" customHeight="1" x14ac:dyDescent="0.2">
      <c r="E968" s="50"/>
      <c r="H968" s="12"/>
      <c r="K968"/>
    </row>
    <row r="969" spans="5:11" ht="12.75" customHeight="1" x14ac:dyDescent="0.2">
      <c r="E969" s="50"/>
      <c r="H969" s="12"/>
      <c r="K969"/>
    </row>
    <row r="970" spans="5:11" ht="12.75" customHeight="1" x14ac:dyDescent="0.2">
      <c r="E970" s="50"/>
      <c r="H970" s="12"/>
      <c r="K970"/>
    </row>
    <row r="971" spans="5:11" ht="12.75" customHeight="1" x14ac:dyDescent="0.2">
      <c r="E971" s="50"/>
      <c r="H971" s="12"/>
      <c r="K971"/>
    </row>
    <row r="972" spans="5:11" ht="12.75" customHeight="1" x14ac:dyDescent="0.2">
      <c r="E972" s="50"/>
      <c r="H972" s="12"/>
      <c r="K972"/>
    </row>
    <row r="973" spans="5:11" ht="12.75" customHeight="1" x14ac:dyDescent="0.2">
      <c r="E973" s="50"/>
      <c r="H973" s="12"/>
      <c r="K973"/>
    </row>
    <row r="974" spans="5:11" ht="12.75" customHeight="1" x14ac:dyDescent="0.2">
      <c r="E974" s="50"/>
      <c r="H974" s="12"/>
      <c r="K974"/>
    </row>
    <row r="975" spans="5:11" ht="12.75" customHeight="1" x14ac:dyDescent="0.2">
      <c r="E975" s="50"/>
      <c r="H975" s="12"/>
      <c r="K975"/>
    </row>
    <row r="976" spans="5:11" ht="12.75" customHeight="1" x14ac:dyDescent="0.2">
      <c r="E976" s="50"/>
      <c r="H976" s="12"/>
      <c r="K976"/>
    </row>
    <row r="977" spans="5:11" ht="12.75" customHeight="1" x14ac:dyDescent="0.2">
      <c r="E977" s="50"/>
      <c r="H977" s="12"/>
      <c r="K977"/>
    </row>
    <row r="978" spans="5:11" ht="12.75" customHeight="1" x14ac:dyDescent="0.2">
      <c r="E978" s="50"/>
      <c r="H978" s="12"/>
      <c r="K978"/>
    </row>
    <row r="979" spans="5:11" ht="12.75" customHeight="1" x14ac:dyDescent="0.2">
      <c r="E979" s="50"/>
      <c r="H979" s="12"/>
      <c r="K979"/>
    </row>
    <row r="980" spans="5:11" ht="12.75" customHeight="1" x14ac:dyDescent="0.2">
      <c r="E980" s="50"/>
      <c r="H980" s="12"/>
      <c r="K980"/>
    </row>
    <row r="981" spans="5:11" ht="12.75" customHeight="1" x14ac:dyDescent="0.2">
      <c r="E981" s="50"/>
      <c r="H981" s="12"/>
      <c r="K981"/>
    </row>
    <row r="982" spans="5:11" ht="12.75" customHeight="1" x14ac:dyDescent="0.2">
      <c r="E982" s="50"/>
      <c r="H982" s="12"/>
      <c r="K982"/>
    </row>
    <row r="983" spans="5:11" ht="12.75" customHeight="1" x14ac:dyDescent="0.2">
      <c r="E983" s="50"/>
      <c r="H983" s="12"/>
      <c r="K983"/>
    </row>
    <row r="984" spans="5:11" ht="12.75" customHeight="1" x14ac:dyDescent="0.2">
      <c r="E984" s="50"/>
      <c r="H984" s="12"/>
      <c r="K984"/>
    </row>
    <row r="985" spans="5:11" ht="12.75" customHeight="1" x14ac:dyDescent="0.2">
      <c r="E985" s="50"/>
      <c r="H985" s="12"/>
      <c r="K985"/>
    </row>
    <row r="986" spans="5:11" ht="12.75" customHeight="1" x14ac:dyDescent="0.2">
      <c r="E986" s="50"/>
      <c r="H986" s="12"/>
      <c r="K986"/>
    </row>
    <row r="987" spans="5:11" ht="12.75" customHeight="1" x14ac:dyDescent="0.2">
      <c r="E987" s="50"/>
      <c r="H987" s="12"/>
      <c r="K987"/>
    </row>
    <row r="988" spans="5:11" ht="12.75" customHeight="1" x14ac:dyDescent="0.2">
      <c r="E988" s="50"/>
      <c r="H988" s="12"/>
      <c r="K988"/>
    </row>
    <row r="989" spans="5:11" ht="12.75" customHeight="1" x14ac:dyDescent="0.2">
      <c r="E989" s="50"/>
      <c r="H989" s="12"/>
      <c r="K989"/>
    </row>
    <row r="990" spans="5:11" ht="12.75" customHeight="1" x14ac:dyDescent="0.2">
      <c r="E990" s="50"/>
      <c r="H990" s="12"/>
      <c r="K990"/>
    </row>
    <row r="991" spans="5:11" ht="12.75" customHeight="1" x14ac:dyDescent="0.2">
      <c r="E991" s="50"/>
      <c r="H991" s="12"/>
      <c r="K991"/>
    </row>
    <row r="992" spans="5:11" ht="12.75" customHeight="1" x14ac:dyDescent="0.2">
      <c r="E992" s="50"/>
      <c r="H992" s="12"/>
      <c r="K992"/>
    </row>
    <row r="993" spans="5:11" ht="12.75" customHeight="1" x14ac:dyDescent="0.2">
      <c r="E993" s="50"/>
      <c r="H993" s="12"/>
      <c r="K993"/>
    </row>
    <row r="994" spans="5:11" ht="12.75" customHeight="1" x14ac:dyDescent="0.2">
      <c r="E994" s="50"/>
      <c r="H994" s="12"/>
      <c r="K994"/>
    </row>
    <row r="995" spans="5:11" ht="12.75" customHeight="1" x14ac:dyDescent="0.2">
      <c r="E995" s="50"/>
      <c r="H995" s="12"/>
      <c r="K995"/>
    </row>
    <row r="996" spans="5:11" ht="12.75" customHeight="1" x14ac:dyDescent="0.2">
      <c r="E996" s="50"/>
      <c r="H996" s="12"/>
      <c r="K996"/>
    </row>
    <row r="997" spans="5:11" ht="12.75" customHeight="1" x14ac:dyDescent="0.2">
      <c r="E997" s="50"/>
      <c r="H997" s="12"/>
      <c r="K997"/>
    </row>
    <row r="998" spans="5:11" ht="12.75" customHeight="1" x14ac:dyDescent="0.2">
      <c r="E998" s="50"/>
      <c r="H998" s="12"/>
      <c r="K998"/>
    </row>
    <row r="999" spans="5:11" ht="12.75" customHeight="1" x14ac:dyDescent="0.2">
      <c r="E999" s="50"/>
      <c r="H999" s="12"/>
      <c r="K999"/>
    </row>
    <row r="1000" spans="5:11" ht="12.75" customHeight="1" x14ac:dyDescent="0.2">
      <c r="E1000" s="50"/>
      <c r="H1000" s="12"/>
      <c r="K1000"/>
    </row>
    <row r="1001" spans="5:11" ht="12.75" customHeight="1" x14ac:dyDescent="0.2">
      <c r="E1001" s="50"/>
      <c r="H1001" s="12"/>
      <c r="K1001"/>
    </row>
    <row r="1002" spans="5:11" ht="12.75" customHeight="1" x14ac:dyDescent="0.2">
      <c r="E1002" s="50"/>
      <c r="H1002" s="12"/>
      <c r="K1002"/>
    </row>
    <row r="1003" spans="5:11" ht="12.75" customHeight="1" x14ac:dyDescent="0.2">
      <c r="E1003" s="50"/>
      <c r="H1003" s="12"/>
      <c r="K1003"/>
    </row>
    <row r="1004" spans="5:11" ht="12.75" customHeight="1" x14ac:dyDescent="0.2">
      <c r="E1004" s="50"/>
      <c r="H1004" s="12"/>
      <c r="K1004"/>
    </row>
    <row r="1005" spans="5:11" ht="12.75" customHeight="1" x14ac:dyDescent="0.2">
      <c r="E1005" s="50"/>
      <c r="H1005" s="12"/>
      <c r="K1005"/>
    </row>
    <row r="1006" spans="5:11" ht="12.75" customHeight="1" x14ac:dyDescent="0.2">
      <c r="E1006" s="50"/>
      <c r="H1006" s="12"/>
      <c r="K1006"/>
    </row>
    <row r="1007" spans="5:11" ht="12.75" customHeight="1" x14ac:dyDescent="0.2">
      <c r="E1007" s="50"/>
      <c r="H1007" s="12"/>
      <c r="K1007"/>
    </row>
    <row r="1008" spans="5:11" ht="12.75" customHeight="1" x14ac:dyDescent="0.2">
      <c r="E1008" s="50"/>
      <c r="H1008" s="12"/>
      <c r="K1008"/>
    </row>
    <row r="1009" spans="5:11" ht="12.75" customHeight="1" x14ac:dyDescent="0.2">
      <c r="E1009" s="50"/>
      <c r="H1009" s="12"/>
      <c r="K1009"/>
    </row>
    <row r="1010" spans="5:11" ht="12.75" customHeight="1" x14ac:dyDescent="0.2">
      <c r="E1010" s="50"/>
      <c r="H1010" s="12"/>
      <c r="K1010"/>
    </row>
    <row r="1011" spans="5:11" ht="12.75" customHeight="1" x14ac:dyDescent="0.2">
      <c r="E1011" s="50"/>
      <c r="H1011" s="12"/>
      <c r="K1011"/>
    </row>
    <row r="1012" spans="5:11" ht="12.75" customHeight="1" x14ac:dyDescent="0.2">
      <c r="E1012" s="50"/>
      <c r="H1012" s="12"/>
      <c r="K1012"/>
    </row>
    <row r="1013" spans="5:11" ht="12.75" customHeight="1" x14ac:dyDescent="0.2">
      <c r="E1013" s="50"/>
      <c r="H1013" s="12"/>
      <c r="K1013"/>
    </row>
    <row r="1014" spans="5:11" ht="12.75" customHeight="1" x14ac:dyDescent="0.2">
      <c r="E1014" s="50"/>
      <c r="H1014" s="12"/>
      <c r="K1014"/>
    </row>
    <row r="1015" spans="5:11" ht="12.75" customHeight="1" x14ac:dyDescent="0.2">
      <c r="E1015" s="50"/>
      <c r="H1015" s="12"/>
      <c r="K1015"/>
    </row>
    <row r="1016" spans="5:11" ht="12.75" customHeight="1" x14ac:dyDescent="0.2">
      <c r="E1016" s="50"/>
      <c r="H1016" s="12"/>
      <c r="K1016"/>
    </row>
    <row r="1017" spans="5:11" ht="12.75" customHeight="1" x14ac:dyDescent="0.2">
      <c r="E1017" s="50"/>
      <c r="H1017" s="12"/>
      <c r="K1017"/>
    </row>
    <row r="1018" spans="5:11" ht="12.75" customHeight="1" x14ac:dyDescent="0.2">
      <c r="E1018" s="50"/>
      <c r="H1018" s="12"/>
      <c r="K1018"/>
    </row>
    <row r="1019" spans="5:11" ht="12.75" customHeight="1" x14ac:dyDescent="0.2">
      <c r="E1019" s="50"/>
      <c r="H1019" s="12"/>
      <c r="K1019"/>
    </row>
    <row r="1020" spans="5:11" ht="12.75" customHeight="1" x14ac:dyDescent="0.2">
      <c r="E1020" s="50"/>
      <c r="H1020" s="12"/>
      <c r="K1020"/>
    </row>
    <row r="1021" spans="5:11" ht="12.75" customHeight="1" x14ac:dyDescent="0.2">
      <c r="E1021" s="50"/>
      <c r="H1021" s="12"/>
      <c r="K1021"/>
    </row>
    <row r="1022" spans="5:11" ht="12.75" customHeight="1" x14ac:dyDescent="0.2">
      <c r="E1022" s="50"/>
      <c r="H1022" s="12"/>
      <c r="K1022"/>
    </row>
    <row r="1023" spans="5:11" ht="12.75" customHeight="1" x14ac:dyDescent="0.2">
      <c r="E1023" s="50"/>
      <c r="H1023" s="12"/>
      <c r="K1023"/>
    </row>
    <row r="1024" spans="5:11" ht="12.75" customHeight="1" x14ac:dyDescent="0.2">
      <c r="E1024" s="50"/>
      <c r="H1024" s="12"/>
      <c r="K1024"/>
    </row>
    <row r="1025" spans="5:11" ht="12.75" customHeight="1" x14ac:dyDescent="0.2">
      <c r="E1025" s="50"/>
      <c r="H1025" s="12"/>
      <c r="K1025"/>
    </row>
    <row r="1026" spans="5:11" ht="12.75" customHeight="1" x14ac:dyDescent="0.2">
      <c r="E1026" s="50"/>
      <c r="H1026" s="12"/>
      <c r="K1026"/>
    </row>
    <row r="1027" spans="5:11" ht="12.75" customHeight="1" x14ac:dyDescent="0.2">
      <c r="E1027" s="50"/>
      <c r="H1027" s="12"/>
      <c r="K1027"/>
    </row>
    <row r="1028" spans="5:11" ht="12.75" customHeight="1" x14ac:dyDescent="0.2">
      <c r="E1028" s="50"/>
      <c r="H1028" s="12"/>
      <c r="K1028"/>
    </row>
    <row r="1029" spans="5:11" ht="12.75" customHeight="1" x14ac:dyDescent="0.2">
      <c r="E1029" s="50"/>
      <c r="H1029" s="12"/>
      <c r="K1029"/>
    </row>
    <row r="1030" spans="5:11" ht="12.75" customHeight="1" x14ac:dyDescent="0.2">
      <c r="E1030" s="50"/>
      <c r="H1030" s="12"/>
      <c r="K1030"/>
    </row>
    <row r="1031" spans="5:11" ht="12.75" customHeight="1" x14ac:dyDescent="0.2">
      <c r="E1031" s="50"/>
      <c r="H1031" s="12"/>
      <c r="K1031"/>
    </row>
    <row r="1032" spans="5:11" ht="12.75" customHeight="1" x14ac:dyDescent="0.2">
      <c r="E1032" s="50"/>
      <c r="H1032" s="12"/>
      <c r="K1032"/>
    </row>
    <row r="1033" spans="5:11" ht="12.75" customHeight="1" x14ac:dyDescent="0.2">
      <c r="E1033" s="50"/>
      <c r="H1033" s="12"/>
      <c r="K1033"/>
    </row>
    <row r="1034" spans="5:11" ht="12.75" customHeight="1" x14ac:dyDescent="0.2">
      <c r="E1034" s="50"/>
      <c r="H1034" s="12"/>
      <c r="K1034"/>
    </row>
    <row r="1035" spans="5:11" ht="12.75" customHeight="1" x14ac:dyDescent="0.2">
      <c r="E1035" s="50"/>
      <c r="H1035" s="12"/>
      <c r="K1035"/>
    </row>
    <row r="1036" spans="5:11" ht="12.75" customHeight="1" x14ac:dyDescent="0.2">
      <c r="E1036" s="50"/>
      <c r="H1036" s="12"/>
      <c r="K1036"/>
    </row>
    <row r="1037" spans="5:11" ht="12.75" customHeight="1" x14ac:dyDescent="0.2">
      <c r="E1037" s="50"/>
      <c r="H1037" s="12"/>
      <c r="K1037"/>
    </row>
    <row r="1038" spans="5:11" ht="12.75" customHeight="1" x14ac:dyDescent="0.2">
      <c r="E1038" s="50"/>
      <c r="H1038" s="12"/>
      <c r="K1038"/>
    </row>
    <row r="1039" spans="5:11" ht="12.75" customHeight="1" x14ac:dyDescent="0.2">
      <c r="E1039" s="50"/>
      <c r="H1039" s="12"/>
      <c r="K1039"/>
    </row>
    <row r="1040" spans="5:11" ht="12.75" customHeight="1" x14ac:dyDescent="0.2">
      <c r="E1040" s="50"/>
      <c r="H1040" s="12"/>
      <c r="K1040"/>
    </row>
    <row r="1041" spans="5:11" ht="12.75" customHeight="1" x14ac:dyDescent="0.2">
      <c r="E1041" s="50"/>
      <c r="H1041" s="12"/>
      <c r="K1041"/>
    </row>
    <row r="1042" spans="5:11" ht="12.75" customHeight="1" x14ac:dyDescent="0.2">
      <c r="E1042" s="50"/>
      <c r="H1042" s="12"/>
      <c r="K1042"/>
    </row>
    <row r="1043" spans="5:11" ht="12.75" customHeight="1" x14ac:dyDescent="0.2">
      <c r="E1043" s="50"/>
      <c r="H1043" s="12"/>
      <c r="K1043"/>
    </row>
    <row r="1044" spans="5:11" ht="12.75" customHeight="1" x14ac:dyDescent="0.2">
      <c r="E1044" s="50"/>
      <c r="H1044" s="12"/>
      <c r="K1044"/>
    </row>
    <row r="1045" spans="5:11" ht="12.75" customHeight="1" x14ac:dyDescent="0.2">
      <c r="E1045" s="50"/>
      <c r="H1045" s="12"/>
      <c r="K1045"/>
    </row>
    <row r="1046" spans="5:11" ht="12.75" customHeight="1" x14ac:dyDescent="0.2">
      <c r="E1046" s="50"/>
      <c r="H1046" s="12"/>
      <c r="K1046"/>
    </row>
    <row r="1047" spans="5:11" ht="12.75" customHeight="1" x14ac:dyDescent="0.2">
      <c r="E1047" s="50"/>
      <c r="H1047" s="12"/>
      <c r="K1047"/>
    </row>
    <row r="1048" spans="5:11" ht="12.75" customHeight="1" x14ac:dyDescent="0.2">
      <c r="E1048" s="50"/>
      <c r="H1048" s="12"/>
      <c r="K1048"/>
    </row>
    <row r="1049" spans="5:11" ht="12.75" customHeight="1" x14ac:dyDescent="0.2">
      <c r="E1049" s="50"/>
      <c r="H1049" s="12"/>
      <c r="K1049"/>
    </row>
    <row r="1050" spans="5:11" ht="12.75" customHeight="1" x14ac:dyDescent="0.2">
      <c r="E1050" s="50"/>
      <c r="H1050" s="12"/>
      <c r="K1050"/>
    </row>
    <row r="1051" spans="5:11" ht="12.75" customHeight="1" x14ac:dyDescent="0.2">
      <c r="E1051" s="50"/>
      <c r="H1051" s="12"/>
      <c r="K1051"/>
    </row>
    <row r="1052" spans="5:11" ht="12.75" customHeight="1" x14ac:dyDescent="0.2">
      <c r="E1052" s="50"/>
      <c r="H1052" s="12"/>
      <c r="K1052"/>
    </row>
    <row r="1053" spans="5:11" ht="12.75" customHeight="1" x14ac:dyDescent="0.2">
      <c r="E1053" s="50"/>
      <c r="H1053" s="12"/>
      <c r="K1053"/>
    </row>
    <row r="1054" spans="5:11" ht="12.75" customHeight="1" x14ac:dyDescent="0.2">
      <c r="E1054" s="50"/>
      <c r="H1054" s="12"/>
      <c r="K1054"/>
    </row>
    <row r="1055" spans="5:11" ht="12.75" customHeight="1" x14ac:dyDescent="0.2">
      <c r="E1055" s="50"/>
      <c r="H1055" s="12"/>
      <c r="K1055"/>
    </row>
    <row r="1056" spans="5:11" ht="12.75" customHeight="1" x14ac:dyDescent="0.2">
      <c r="E1056" s="50"/>
      <c r="H1056" s="12"/>
      <c r="K1056"/>
    </row>
    <row r="1057" spans="5:11" ht="12.75" customHeight="1" x14ac:dyDescent="0.2">
      <c r="E1057" s="50"/>
      <c r="H1057" s="12"/>
      <c r="K1057"/>
    </row>
    <row r="1058" spans="5:11" ht="12.75" customHeight="1" x14ac:dyDescent="0.2">
      <c r="E1058" s="50"/>
      <c r="H1058" s="12"/>
      <c r="K1058"/>
    </row>
    <row r="1059" spans="5:11" ht="12.75" customHeight="1" x14ac:dyDescent="0.2">
      <c r="E1059" s="50"/>
      <c r="H1059" s="12"/>
      <c r="K1059"/>
    </row>
    <row r="1060" spans="5:11" ht="12.75" customHeight="1" x14ac:dyDescent="0.2">
      <c r="E1060" s="50"/>
      <c r="H1060" s="12"/>
      <c r="K1060"/>
    </row>
    <row r="1061" spans="5:11" ht="12.75" customHeight="1" x14ac:dyDescent="0.2">
      <c r="E1061" s="50"/>
      <c r="H1061" s="12"/>
      <c r="K1061"/>
    </row>
    <row r="1062" spans="5:11" ht="12.75" customHeight="1" x14ac:dyDescent="0.2">
      <c r="E1062" s="50"/>
      <c r="H1062" s="12"/>
      <c r="K1062"/>
    </row>
    <row r="1063" spans="5:11" ht="12.75" customHeight="1" x14ac:dyDescent="0.2">
      <c r="E1063" s="50"/>
      <c r="H1063" s="12"/>
      <c r="K1063"/>
    </row>
    <row r="1064" spans="5:11" ht="12.75" customHeight="1" x14ac:dyDescent="0.2">
      <c r="E1064" s="50"/>
      <c r="H1064" s="12"/>
      <c r="K1064"/>
    </row>
    <row r="1065" spans="5:11" ht="12.75" customHeight="1" x14ac:dyDescent="0.2">
      <c r="E1065" s="50"/>
      <c r="H1065" s="12"/>
      <c r="K1065"/>
    </row>
    <row r="1066" spans="5:11" ht="12.75" customHeight="1" x14ac:dyDescent="0.2">
      <c r="E1066" s="50"/>
      <c r="H1066" s="12"/>
      <c r="K1066"/>
    </row>
    <row r="1067" spans="5:11" ht="12.75" customHeight="1" x14ac:dyDescent="0.2">
      <c r="E1067" s="50"/>
      <c r="H1067" s="12"/>
      <c r="K1067"/>
    </row>
    <row r="1068" spans="5:11" ht="12.75" customHeight="1" x14ac:dyDescent="0.2">
      <c r="E1068" s="50"/>
      <c r="H1068" s="12"/>
      <c r="K1068"/>
    </row>
    <row r="1069" spans="5:11" ht="12.75" customHeight="1" x14ac:dyDescent="0.2">
      <c r="E1069" s="50"/>
      <c r="H1069" s="12"/>
      <c r="K1069"/>
    </row>
    <row r="1070" spans="5:11" ht="12.75" customHeight="1" x14ac:dyDescent="0.2">
      <c r="E1070" s="50"/>
      <c r="H1070" s="12"/>
      <c r="K1070"/>
    </row>
    <row r="1071" spans="5:11" ht="12.75" customHeight="1" x14ac:dyDescent="0.2">
      <c r="E1071" s="50"/>
      <c r="H1071" s="12"/>
      <c r="K1071"/>
    </row>
    <row r="1072" spans="5:11" ht="12.75" customHeight="1" x14ac:dyDescent="0.2">
      <c r="E1072" s="50"/>
      <c r="H1072" s="12"/>
      <c r="K1072"/>
    </row>
    <row r="1073" spans="5:11" ht="12.75" customHeight="1" x14ac:dyDescent="0.2">
      <c r="E1073" s="50"/>
      <c r="H1073" s="12"/>
      <c r="K1073"/>
    </row>
    <row r="1074" spans="5:11" ht="12.75" customHeight="1" x14ac:dyDescent="0.2">
      <c r="E1074" s="50"/>
      <c r="H1074" s="12"/>
      <c r="K1074"/>
    </row>
    <row r="1075" spans="5:11" ht="12.75" customHeight="1" x14ac:dyDescent="0.2">
      <c r="E1075" s="50"/>
      <c r="H1075" s="12"/>
      <c r="K1075"/>
    </row>
    <row r="1076" spans="5:11" ht="12.75" customHeight="1" x14ac:dyDescent="0.2">
      <c r="E1076" s="50"/>
      <c r="H1076" s="12"/>
      <c r="K1076"/>
    </row>
    <row r="1077" spans="5:11" ht="12.75" customHeight="1" x14ac:dyDescent="0.2">
      <c r="E1077" s="50"/>
      <c r="H1077" s="12"/>
      <c r="K1077"/>
    </row>
    <row r="1078" spans="5:11" ht="12.75" customHeight="1" x14ac:dyDescent="0.2">
      <c r="E1078" s="50"/>
      <c r="H1078" s="12"/>
      <c r="K1078"/>
    </row>
    <row r="1079" spans="5:11" ht="12.75" customHeight="1" x14ac:dyDescent="0.2">
      <c r="E1079" s="50"/>
      <c r="H1079" s="12"/>
      <c r="K1079"/>
    </row>
    <row r="1080" spans="5:11" ht="12.75" customHeight="1" x14ac:dyDescent="0.2">
      <c r="E1080" s="50"/>
      <c r="H1080" s="12"/>
      <c r="K1080"/>
    </row>
    <row r="1081" spans="5:11" ht="12.75" customHeight="1" x14ac:dyDescent="0.2">
      <c r="E1081" s="50"/>
      <c r="H1081" s="12"/>
      <c r="K1081"/>
    </row>
    <row r="1082" spans="5:11" ht="12.75" customHeight="1" x14ac:dyDescent="0.2">
      <c r="E1082" s="50"/>
      <c r="H1082" s="12"/>
      <c r="K1082"/>
    </row>
    <row r="1083" spans="5:11" ht="12.75" customHeight="1" x14ac:dyDescent="0.2">
      <c r="E1083" s="50"/>
      <c r="H1083" s="12"/>
      <c r="K1083"/>
    </row>
    <row r="1084" spans="5:11" ht="12.75" customHeight="1" x14ac:dyDescent="0.2">
      <c r="E1084" s="50"/>
      <c r="H1084" s="12"/>
      <c r="K1084"/>
    </row>
    <row r="1085" spans="5:11" ht="12.75" customHeight="1" x14ac:dyDescent="0.2">
      <c r="E1085" s="50"/>
      <c r="H1085" s="12"/>
      <c r="K1085"/>
    </row>
    <row r="1086" spans="5:11" ht="12.75" customHeight="1" x14ac:dyDescent="0.2">
      <c r="E1086" s="50"/>
      <c r="H1086" s="12"/>
      <c r="K1086"/>
    </row>
    <row r="1087" spans="5:11" ht="12.75" customHeight="1" x14ac:dyDescent="0.2">
      <c r="E1087" s="50"/>
      <c r="H1087" s="12"/>
      <c r="K1087"/>
    </row>
    <row r="1088" spans="5:11" ht="12.75" customHeight="1" x14ac:dyDescent="0.2">
      <c r="E1088" s="50"/>
      <c r="H1088" s="12"/>
      <c r="K1088"/>
    </row>
    <row r="1089" spans="5:11" ht="12.75" customHeight="1" x14ac:dyDescent="0.2">
      <c r="E1089" s="50"/>
      <c r="H1089" s="12"/>
      <c r="K1089"/>
    </row>
    <row r="1090" spans="5:11" ht="12.75" customHeight="1" x14ac:dyDescent="0.2">
      <c r="E1090" s="50"/>
      <c r="H1090" s="12"/>
      <c r="K1090"/>
    </row>
    <row r="1091" spans="5:11" ht="12.75" customHeight="1" x14ac:dyDescent="0.2">
      <c r="E1091" s="50"/>
      <c r="H1091" s="12"/>
      <c r="K1091"/>
    </row>
    <row r="1092" spans="5:11" ht="12.75" customHeight="1" x14ac:dyDescent="0.2">
      <c r="E1092" s="50"/>
      <c r="H1092" s="12"/>
      <c r="K1092"/>
    </row>
    <row r="1093" spans="5:11" ht="12.75" customHeight="1" x14ac:dyDescent="0.2">
      <c r="E1093" s="50"/>
      <c r="H1093" s="12"/>
      <c r="K1093"/>
    </row>
    <row r="1094" spans="5:11" ht="12.75" customHeight="1" x14ac:dyDescent="0.2">
      <c r="E1094" s="50"/>
      <c r="H1094" s="12"/>
      <c r="K1094"/>
    </row>
    <row r="1095" spans="5:11" ht="12.75" customHeight="1" x14ac:dyDescent="0.2">
      <c r="E1095" s="50"/>
      <c r="H1095" s="12"/>
      <c r="K1095"/>
    </row>
    <row r="1096" spans="5:11" ht="12.75" customHeight="1" x14ac:dyDescent="0.2">
      <c r="E1096" s="50"/>
      <c r="H1096" s="12"/>
      <c r="K1096"/>
    </row>
    <row r="1097" spans="5:11" ht="12.75" customHeight="1" x14ac:dyDescent="0.2">
      <c r="E1097" s="50"/>
      <c r="H1097" s="12"/>
      <c r="K1097"/>
    </row>
    <row r="1098" spans="5:11" ht="12.75" customHeight="1" x14ac:dyDescent="0.2">
      <c r="E1098" s="50"/>
      <c r="H1098" s="12"/>
      <c r="K1098"/>
    </row>
    <row r="1099" spans="5:11" ht="12.75" customHeight="1" x14ac:dyDescent="0.2">
      <c r="E1099" s="50"/>
      <c r="H1099" s="12"/>
      <c r="K1099"/>
    </row>
    <row r="1100" spans="5:11" ht="12.75" customHeight="1" x14ac:dyDescent="0.2">
      <c r="E1100" s="50"/>
      <c r="H1100" s="12"/>
      <c r="K1100"/>
    </row>
    <row r="1101" spans="5:11" ht="12.75" customHeight="1" x14ac:dyDescent="0.2">
      <c r="E1101" s="50"/>
      <c r="H1101" s="12"/>
      <c r="K1101"/>
    </row>
    <row r="1102" spans="5:11" ht="12.75" customHeight="1" x14ac:dyDescent="0.2">
      <c r="E1102" s="50"/>
      <c r="H1102" s="12"/>
      <c r="K1102"/>
    </row>
    <row r="1103" spans="5:11" ht="12.75" customHeight="1" x14ac:dyDescent="0.2">
      <c r="E1103" s="50"/>
      <c r="H1103" s="12"/>
      <c r="K1103"/>
    </row>
    <row r="1104" spans="5:11" ht="12.75" customHeight="1" x14ac:dyDescent="0.2">
      <c r="E1104" s="50"/>
      <c r="H1104" s="12"/>
      <c r="K1104"/>
    </row>
    <row r="1105" spans="5:11" ht="12.75" customHeight="1" x14ac:dyDescent="0.2">
      <c r="E1105" s="50"/>
      <c r="H1105" s="12"/>
      <c r="K1105"/>
    </row>
    <row r="1106" spans="5:11" ht="12.75" customHeight="1" x14ac:dyDescent="0.2">
      <c r="E1106" s="50"/>
      <c r="H1106" s="12"/>
      <c r="K1106"/>
    </row>
    <row r="1107" spans="5:11" ht="12.75" customHeight="1" x14ac:dyDescent="0.2">
      <c r="E1107" s="50"/>
      <c r="H1107" s="12"/>
      <c r="K1107"/>
    </row>
    <row r="1108" spans="5:11" ht="12.75" customHeight="1" x14ac:dyDescent="0.2">
      <c r="E1108" s="50"/>
      <c r="H1108" s="12"/>
      <c r="K1108"/>
    </row>
    <row r="1109" spans="5:11" ht="12.75" customHeight="1" x14ac:dyDescent="0.2">
      <c r="E1109" s="50"/>
      <c r="H1109" s="12"/>
      <c r="K1109"/>
    </row>
    <row r="1110" spans="5:11" ht="12.75" customHeight="1" x14ac:dyDescent="0.2">
      <c r="E1110" s="50"/>
      <c r="H1110" s="12"/>
      <c r="K1110"/>
    </row>
    <row r="1111" spans="5:11" ht="12.75" customHeight="1" x14ac:dyDescent="0.2">
      <c r="E1111" s="50"/>
      <c r="H1111" s="12"/>
      <c r="K1111"/>
    </row>
    <row r="1112" spans="5:11" ht="12.75" customHeight="1" x14ac:dyDescent="0.2">
      <c r="E1112" s="50"/>
      <c r="H1112" s="12"/>
      <c r="K1112"/>
    </row>
    <row r="1113" spans="5:11" ht="12.75" customHeight="1" x14ac:dyDescent="0.2">
      <c r="E1113" s="50"/>
      <c r="H1113" s="12"/>
      <c r="K1113"/>
    </row>
    <row r="1114" spans="5:11" ht="12.75" customHeight="1" x14ac:dyDescent="0.2">
      <c r="E1114" s="50"/>
      <c r="H1114" s="12"/>
      <c r="K1114"/>
    </row>
    <row r="1115" spans="5:11" ht="12.75" customHeight="1" x14ac:dyDescent="0.2">
      <c r="E1115" s="50"/>
      <c r="H1115" s="12"/>
      <c r="K1115"/>
    </row>
    <row r="1116" spans="5:11" ht="12.75" customHeight="1" x14ac:dyDescent="0.2">
      <c r="E1116" s="50"/>
      <c r="H1116" s="12"/>
      <c r="K1116"/>
    </row>
    <row r="1117" spans="5:11" ht="12.75" customHeight="1" x14ac:dyDescent="0.2">
      <c r="E1117" s="50"/>
      <c r="H1117" s="12"/>
      <c r="K1117"/>
    </row>
    <row r="1118" spans="5:11" ht="12.75" customHeight="1" x14ac:dyDescent="0.2">
      <c r="E1118" s="50"/>
      <c r="H1118" s="12"/>
      <c r="K1118"/>
    </row>
    <row r="1119" spans="5:11" ht="12.75" customHeight="1" x14ac:dyDescent="0.2">
      <c r="E1119" s="50"/>
      <c r="H1119" s="12"/>
      <c r="K1119"/>
    </row>
    <row r="1120" spans="5:11" ht="12.75" customHeight="1" x14ac:dyDescent="0.2">
      <c r="E1120" s="50"/>
      <c r="H1120" s="12"/>
      <c r="K1120"/>
    </row>
    <row r="1121" spans="5:11" ht="12.75" customHeight="1" x14ac:dyDescent="0.2">
      <c r="E1121" s="50"/>
      <c r="H1121" s="12"/>
      <c r="K1121"/>
    </row>
    <row r="1122" spans="5:11" ht="12.75" customHeight="1" x14ac:dyDescent="0.2">
      <c r="E1122" s="50"/>
      <c r="H1122" s="12"/>
      <c r="K1122"/>
    </row>
    <row r="1123" spans="5:11" ht="12.75" customHeight="1" x14ac:dyDescent="0.2">
      <c r="E1123" s="50"/>
      <c r="H1123" s="12"/>
      <c r="K1123"/>
    </row>
    <row r="1124" spans="5:11" ht="12.75" customHeight="1" x14ac:dyDescent="0.2">
      <c r="E1124" s="50"/>
      <c r="H1124" s="12"/>
      <c r="K1124"/>
    </row>
    <row r="1125" spans="5:11" ht="12.75" customHeight="1" x14ac:dyDescent="0.2">
      <c r="E1125" s="50"/>
      <c r="H1125" s="12"/>
      <c r="K1125"/>
    </row>
    <row r="1126" spans="5:11" ht="12.75" customHeight="1" x14ac:dyDescent="0.2">
      <c r="E1126" s="50"/>
      <c r="H1126" s="12"/>
      <c r="K1126"/>
    </row>
    <row r="1127" spans="5:11" ht="12.75" customHeight="1" x14ac:dyDescent="0.2">
      <c r="E1127" s="50"/>
      <c r="H1127" s="12"/>
      <c r="K1127"/>
    </row>
    <row r="1128" spans="5:11" ht="12.75" customHeight="1" x14ac:dyDescent="0.2">
      <c r="E1128" s="50"/>
      <c r="H1128" s="12"/>
      <c r="K1128"/>
    </row>
    <row r="1129" spans="5:11" ht="12.75" customHeight="1" x14ac:dyDescent="0.2">
      <c r="E1129" s="50"/>
      <c r="H1129" s="12"/>
      <c r="K1129"/>
    </row>
    <row r="1130" spans="5:11" ht="12.75" customHeight="1" x14ac:dyDescent="0.2">
      <c r="E1130" s="50"/>
      <c r="H1130" s="12"/>
      <c r="K1130"/>
    </row>
    <row r="1131" spans="5:11" ht="12.75" customHeight="1" x14ac:dyDescent="0.2">
      <c r="E1131" s="50"/>
      <c r="H1131" s="12"/>
      <c r="K1131"/>
    </row>
    <row r="1132" spans="5:11" ht="12.75" customHeight="1" x14ac:dyDescent="0.2">
      <c r="E1132" s="50"/>
      <c r="H1132" s="12"/>
      <c r="K1132"/>
    </row>
    <row r="1133" spans="5:11" ht="12.75" customHeight="1" x14ac:dyDescent="0.2">
      <c r="E1133" s="50"/>
      <c r="H1133" s="12"/>
      <c r="K1133"/>
    </row>
    <row r="1134" spans="5:11" ht="12.75" customHeight="1" x14ac:dyDescent="0.2">
      <c r="E1134" s="50"/>
      <c r="H1134" s="12"/>
      <c r="K1134"/>
    </row>
    <row r="1135" spans="5:11" ht="12.75" customHeight="1" x14ac:dyDescent="0.2">
      <c r="E1135" s="50"/>
      <c r="H1135" s="12"/>
      <c r="K1135"/>
    </row>
    <row r="1136" spans="5:11" ht="12.75" customHeight="1" x14ac:dyDescent="0.2">
      <c r="E1136" s="50"/>
      <c r="H1136" s="12"/>
      <c r="K1136"/>
    </row>
    <row r="1137" spans="5:11" ht="12.75" customHeight="1" x14ac:dyDescent="0.2">
      <c r="E1137" s="50"/>
      <c r="H1137" s="12"/>
      <c r="K1137"/>
    </row>
    <row r="1138" spans="5:11" ht="12.75" customHeight="1" x14ac:dyDescent="0.2">
      <c r="E1138" s="50"/>
      <c r="H1138" s="12"/>
      <c r="K1138"/>
    </row>
    <row r="1139" spans="5:11" ht="12.75" customHeight="1" x14ac:dyDescent="0.2">
      <c r="E1139" s="50"/>
      <c r="H1139" s="12"/>
      <c r="K1139"/>
    </row>
    <row r="1140" spans="5:11" ht="12.75" customHeight="1" x14ac:dyDescent="0.2">
      <c r="E1140" s="50"/>
      <c r="H1140" s="12"/>
      <c r="K1140"/>
    </row>
    <row r="1141" spans="5:11" ht="12.75" customHeight="1" x14ac:dyDescent="0.2">
      <c r="E1141" s="50"/>
      <c r="H1141" s="12"/>
      <c r="K1141"/>
    </row>
    <row r="1142" spans="5:11" ht="12.75" customHeight="1" x14ac:dyDescent="0.2">
      <c r="E1142" s="50"/>
      <c r="H1142" s="12"/>
      <c r="K1142"/>
    </row>
    <row r="1143" spans="5:11" ht="12.75" customHeight="1" x14ac:dyDescent="0.2">
      <c r="E1143" s="50"/>
      <c r="H1143" s="12"/>
      <c r="K1143"/>
    </row>
    <row r="1144" spans="5:11" ht="12.75" customHeight="1" x14ac:dyDescent="0.2">
      <c r="E1144" s="50"/>
      <c r="H1144" s="12"/>
      <c r="K1144"/>
    </row>
    <row r="1145" spans="5:11" ht="12.75" customHeight="1" x14ac:dyDescent="0.2">
      <c r="E1145" s="50"/>
      <c r="H1145" s="12"/>
      <c r="K1145"/>
    </row>
    <row r="1146" spans="5:11" ht="12.75" customHeight="1" x14ac:dyDescent="0.2">
      <c r="E1146" s="50"/>
      <c r="H1146" s="12"/>
      <c r="K1146"/>
    </row>
    <row r="1147" spans="5:11" ht="12.75" customHeight="1" x14ac:dyDescent="0.2">
      <c r="E1147" s="50"/>
      <c r="H1147" s="12"/>
      <c r="K1147"/>
    </row>
    <row r="1148" spans="5:11" ht="12.75" customHeight="1" x14ac:dyDescent="0.2">
      <c r="E1148" s="50"/>
      <c r="H1148" s="12"/>
      <c r="K1148"/>
    </row>
    <row r="1149" spans="5:11" ht="14.25" customHeight="1" x14ac:dyDescent="0.2">
      <c r="E1149" s="50"/>
      <c r="H1149" s="12"/>
      <c r="K1149"/>
    </row>
    <row r="1150" spans="5:11" ht="13.5" customHeight="1" x14ac:dyDescent="0.2">
      <c r="E1150" s="50"/>
      <c r="H1150" s="12"/>
      <c r="K1150"/>
    </row>
    <row r="1151" spans="5:11" ht="13.5" customHeight="1" x14ac:dyDescent="0.2">
      <c r="E1151" s="50"/>
      <c r="H1151" s="12"/>
      <c r="K1151"/>
    </row>
    <row r="1152" spans="5:11" ht="13.5" customHeight="1" x14ac:dyDescent="0.2">
      <c r="E1152" s="50"/>
      <c r="H1152" s="12"/>
      <c r="K1152"/>
    </row>
    <row r="1153" spans="5:11" ht="13.5" customHeight="1" x14ac:dyDescent="0.2">
      <c r="E1153" s="50"/>
      <c r="H1153" s="12"/>
      <c r="K1153"/>
    </row>
    <row r="1154" spans="5:11" ht="13.5" customHeight="1" x14ac:dyDescent="0.2">
      <c r="E1154" s="50"/>
      <c r="H1154" s="12"/>
      <c r="K1154"/>
    </row>
    <row r="1155" spans="5:11" ht="13.5" customHeight="1" x14ac:dyDescent="0.2">
      <c r="E1155" s="50"/>
      <c r="H1155" s="12"/>
      <c r="K1155"/>
    </row>
    <row r="1156" spans="5:11" ht="13.5" customHeight="1" x14ac:dyDescent="0.2">
      <c r="E1156" s="50"/>
      <c r="H1156" s="12"/>
      <c r="K1156"/>
    </row>
    <row r="1157" spans="5:11" ht="13.5" customHeight="1" x14ac:dyDescent="0.2">
      <c r="E1157" s="50"/>
      <c r="H1157" s="12"/>
      <c r="K1157"/>
    </row>
    <row r="1158" spans="5:11" ht="13.5" customHeight="1" x14ac:dyDescent="0.2">
      <c r="E1158" s="50"/>
      <c r="H1158" s="12"/>
      <c r="K1158"/>
    </row>
    <row r="1159" spans="5:11" ht="13.5" customHeight="1" x14ac:dyDescent="0.2">
      <c r="E1159" s="50"/>
      <c r="H1159" s="12"/>
      <c r="K1159"/>
    </row>
    <row r="1160" spans="5:11" ht="13.5" customHeight="1" x14ac:dyDescent="0.2">
      <c r="E1160" s="50"/>
      <c r="H1160" s="12"/>
      <c r="K1160"/>
    </row>
    <row r="1161" spans="5:11" ht="13.5" customHeight="1" x14ac:dyDescent="0.2">
      <c r="E1161" s="50"/>
      <c r="H1161" s="12"/>
      <c r="K1161"/>
    </row>
    <row r="1162" spans="5:11" ht="13.5" customHeight="1" x14ac:dyDescent="0.2">
      <c r="E1162" s="50"/>
      <c r="H1162" s="12"/>
      <c r="K1162"/>
    </row>
    <row r="1163" spans="5:11" ht="13.5" customHeight="1" x14ac:dyDescent="0.2">
      <c r="E1163" s="50"/>
      <c r="H1163" s="12"/>
      <c r="K1163"/>
    </row>
    <row r="1164" spans="5:11" ht="13.5" customHeight="1" x14ac:dyDescent="0.2">
      <c r="E1164" s="50"/>
      <c r="H1164" s="12"/>
      <c r="K1164"/>
    </row>
    <row r="1165" spans="5:11" ht="13.5" customHeight="1" x14ac:dyDescent="0.2">
      <c r="E1165" s="50"/>
      <c r="H1165" s="12"/>
      <c r="K1165"/>
    </row>
    <row r="1166" spans="5:11" ht="13.5" customHeight="1" x14ac:dyDescent="0.2">
      <c r="E1166" s="50"/>
      <c r="H1166" s="12"/>
      <c r="K1166"/>
    </row>
    <row r="1167" spans="5:11" ht="13.5" customHeight="1" x14ac:dyDescent="0.2">
      <c r="E1167" s="50"/>
      <c r="H1167" s="12"/>
      <c r="K1167"/>
    </row>
    <row r="1168" spans="5:11" ht="13.5" customHeight="1" x14ac:dyDescent="0.2">
      <c r="E1168" s="50"/>
      <c r="H1168" s="12"/>
      <c r="K1168"/>
    </row>
    <row r="1169" spans="5:11" ht="13.5" customHeight="1" x14ac:dyDescent="0.2">
      <c r="E1169" s="50"/>
      <c r="H1169" s="12"/>
      <c r="K1169"/>
    </row>
    <row r="1170" spans="5:11" ht="13.5" customHeight="1" x14ac:dyDescent="0.2">
      <c r="E1170" s="50"/>
      <c r="H1170" s="12"/>
      <c r="K1170"/>
    </row>
    <row r="1171" spans="5:11" ht="13.5" customHeight="1" x14ac:dyDescent="0.2">
      <c r="E1171" s="50"/>
      <c r="H1171" s="12"/>
      <c r="K1171"/>
    </row>
    <row r="1172" spans="5:11" ht="13.5" customHeight="1" x14ac:dyDescent="0.2">
      <c r="E1172" s="50"/>
      <c r="H1172" s="12"/>
      <c r="K1172"/>
    </row>
    <row r="1173" spans="5:11" ht="13.5" customHeight="1" x14ac:dyDescent="0.2">
      <c r="E1173" s="50"/>
      <c r="H1173" s="12"/>
      <c r="K1173"/>
    </row>
    <row r="1174" spans="5:11" ht="13.5" customHeight="1" x14ac:dyDescent="0.2">
      <c r="E1174" s="50"/>
      <c r="H1174" s="12"/>
      <c r="K1174"/>
    </row>
    <row r="1175" spans="5:11" ht="13.5" customHeight="1" x14ac:dyDescent="0.2">
      <c r="E1175" s="50"/>
      <c r="H1175" s="12"/>
      <c r="K1175"/>
    </row>
    <row r="1176" spans="5:11" ht="13.5" customHeight="1" x14ac:dyDescent="0.2">
      <c r="E1176" s="50"/>
      <c r="H1176" s="12"/>
      <c r="K1176"/>
    </row>
    <row r="1177" spans="5:11" ht="13.5" customHeight="1" x14ac:dyDescent="0.2">
      <c r="E1177" s="50"/>
      <c r="H1177" s="12"/>
      <c r="K1177"/>
    </row>
    <row r="1178" spans="5:11" ht="13.5" customHeight="1" x14ac:dyDescent="0.2">
      <c r="E1178" s="50"/>
      <c r="H1178" s="12"/>
      <c r="K1178"/>
    </row>
    <row r="1179" spans="5:11" ht="13.5" customHeight="1" x14ac:dyDescent="0.2">
      <c r="E1179" s="50"/>
      <c r="H1179" s="12"/>
      <c r="K1179"/>
    </row>
    <row r="1180" spans="5:11" ht="13.5" customHeight="1" x14ac:dyDescent="0.2">
      <c r="E1180" s="50"/>
      <c r="H1180" s="12"/>
      <c r="K1180"/>
    </row>
    <row r="1181" spans="5:11" ht="13.5" customHeight="1" x14ac:dyDescent="0.2">
      <c r="E1181" s="50"/>
      <c r="H1181" s="12"/>
      <c r="K1181"/>
    </row>
    <row r="1182" spans="5:11" ht="13.5" customHeight="1" x14ac:dyDescent="0.2">
      <c r="E1182" s="50"/>
      <c r="H1182" s="12"/>
      <c r="K1182"/>
    </row>
    <row r="1183" spans="5:11" ht="13.5" customHeight="1" x14ac:dyDescent="0.2">
      <c r="E1183" s="50"/>
      <c r="H1183" s="12"/>
      <c r="K1183"/>
    </row>
    <row r="1184" spans="5:11" ht="13.5" customHeight="1" x14ac:dyDescent="0.2">
      <c r="E1184" s="50"/>
      <c r="H1184" s="12"/>
      <c r="K1184"/>
    </row>
    <row r="1185" spans="5:11" ht="13.5" customHeight="1" x14ac:dyDescent="0.2">
      <c r="E1185" s="50"/>
      <c r="H1185" s="12"/>
      <c r="K1185"/>
    </row>
    <row r="1186" spans="5:11" ht="13.5" customHeight="1" x14ac:dyDescent="0.2">
      <c r="E1186" s="50"/>
      <c r="H1186" s="12"/>
      <c r="K1186"/>
    </row>
    <row r="1187" spans="5:11" ht="13.5" customHeight="1" x14ac:dyDescent="0.2">
      <c r="E1187" s="50"/>
      <c r="H1187" s="12"/>
      <c r="K1187"/>
    </row>
    <row r="1188" spans="5:11" ht="13.5" customHeight="1" x14ac:dyDescent="0.2">
      <c r="E1188" s="50"/>
      <c r="H1188" s="12"/>
      <c r="K1188"/>
    </row>
    <row r="1189" spans="5:11" ht="13.5" customHeight="1" x14ac:dyDescent="0.2">
      <c r="E1189" s="50"/>
      <c r="H1189" s="12"/>
      <c r="K1189"/>
    </row>
    <row r="1190" spans="5:11" ht="13.5" customHeight="1" x14ac:dyDescent="0.2">
      <c r="E1190" s="50"/>
      <c r="H1190" s="12"/>
      <c r="K1190"/>
    </row>
    <row r="1191" spans="5:11" ht="13.5" customHeight="1" x14ac:dyDescent="0.2">
      <c r="E1191" s="50"/>
      <c r="H1191" s="12"/>
      <c r="K1191"/>
    </row>
    <row r="1192" spans="5:11" ht="13.5" customHeight="1" x14ac:dyDescent="0.2">
      <c r="E1192" s="50"/>
      <c r="H1192" s="12"/>
      <c r="K1192"/>
    </row>
    <row r="1193" spans="5:11" ht="13.5" customHeight="1" x14ac:dyDescent="0.2">
      <c r="E1193" s="50"/>
      <c r="H1193" s="12"/>
      <c r="K1193"/>
    </row>
    <row r="1194" spans="5:11" ht="13.5" customHeight="1" x14ac:dyDescent="0.2">
      <c r="E1194" s="50"/>
      <c r="H1194" s="12"/>
      <c r="K1194"/>
    </row>
    <row r="1195" spans="5:11" ht="13.5" customHeight="1" x14ac:dyDescent="0.2">
      <c r="E1195" s="50"/>
      <c r="H1195" s="12"/>
      <c r="K1195"/>
    </row>
    <row r="1196" spans="5:11" ht="13.5" customHeight="1" x14ac:dyDescent="0.2">
      <c r="E1196" s="50"/>
      <c r="H1196" s="12"/>
      <c r="K1196"/>
    </row>
    <row r="1197" spans="5:11" ht="13.5" customHeight="1" x14ac:dyDescent="0.2">
      <c r="E1197" s="50"/>
      <c r="H1197" s="12"/>
      <c r="K1197"/>
    </row>
    <row r="1198" spans="5:11" ht="13.5" customHeight="1" x14ac:dyDescent="0.2">
      <c r="E1198" s="50"/>
      <c r="H1198" s="12"/>
      <c r="K1198"/>
    </row>
    <row r="1199" spans="5:11" ht="13.5" customHeight="1" x14ac:dyDescent="0.2">
      <c r="E1199" s="50"/>
      <c r="H1199" s="12"/>
      <c r="K1199"/>
    </row>
    <row r="1200" spans="5:11" ht="13.5" customHeight="1" x14ac:dyDescent="0.2">
      <c r="E1200" s="50"/>
      <c r="H1200" s="12"/>
      <c r="K1200"/>
    </row>
    <row r="1201" spans="5:11" ht="13.5" customHeight="1" x14ac:dyDescent="0.2">
      <c r="E1201" s="50"/>
      <c r="H1201" s="12"/>
      <c r="K1201"/>
    </row>
    <row r="1202" spans="5:11" ht="13.5" customHeight="1" x14ac:dyDescent="0.2">
      <c r="E1202" s="50"/>
      <c r="H1202" s="12"/>
      <c r="K1202"/>
    </row>
    <row r="1203" spans="5:11" ht="13.5" customHeight="1" x14ac:dyDescent="0.2">
      <c r="E1203" s="50"/>
      <c r="H1203" s="12"/>
      <c r="K1203"/>
    </row>
    <row r="1204" spans="5:11" ht="13.5" customHeight="1" x14ac:dyDescent="0.2">
      <c r="E1204" s="50"/>
      <c r="H1204" s="12"/>
      <c r="K1204"/>
    </row>
    <row r="1205" spans="5:11" ht="13.5" customHeight="1" x14ac:dyDescent="0.2">
      <c r="E1205" s="50"/>
      <c r="H1205" s="12"/>
      <c r="K1205"/>
    </row>
    <row r="1206" spans="5:11" ht="13.5" customHeight="1" x14ac:dyDescent="0.2">
      <c r="E1206" s="50"/>
      <c r="H1206" s="12"/>
      <c r="K1206"/>
    </row>
    <row r="1207" spans="5:11" x14ac:dyDescent="0.2">
      <c r="E1207" s="50"/>
      <c r="H1207" s="12"/>
      <c r="K1207"/>
    </row>
    <row r="1208" spans="5:11" x14ac:dyDescent="0.2">
      <c r="E1208" s="50"/>
      <c r="H1208" s="12"/>
      <c r="K1208"/>
    </row>
    <row r="1209" spans="5:11" x14ac:dyDescent="0.2">
      <c r="E1209" s="50"/>
      <c r="H1209" s="12"/>
      <c r="K1209"/>
    </row>
    <row r="1210" spans="5:11" x14ac:dyDescent="0.2">
      <c r="E1210" s="50"/>
      <c r="H1210" s="12"/>
      <c r="K1210"/>
    </row>
    <row r="1211" spans="5:11" x14ac:dyDescent="0.2">
      <c r="E1211" s="50"/>
      <c r="H1211" s="12"/>
      <c r="K1211"/>
    </row>
    <row r="1212" spans="5:11" x14ac:dyDescent="0.2">
      <c r="E1212" s="50"/>
      <c r="H1212" s="12"/>
      <c r="K1212"/>
    </row>
    <row r="1213" spans="5:11" x14ac:dyDescent="0.2">
      <c r="E1213" s="50"/>
      <c r="H1213" s="12"/>
      <c r="K1213"/>
    </row>
    <row r="1214" spans="5:11" x14ac:dyDescent="0.2">
      <c r="E1214" s="50"/>
      <c r="H1214" s="12"/>
      <c r="K1214"/>
    </row>
    <row r="1215" spans="5:11" x14ac:dyDescent="0.2">
      <c r="E1215" s="50"/>
      <c r="H1215" s="12"/>
      <c r="K1215"/>
    </row>
    <row r="1216" spans="5:11" x14ac:dyDescent="0.2">
      <c r="E1216" s="50"/>
      <c r="H1216" s="12"/>
      <c r="K1216"/>
    </row>
    <row r="1217" spans="5:11" x14ac:dyDescent="0.2">
      <c r="E1217" s="50"/>
      <c r="H1217" s="12"/>
      <c r="K1217"/>
    </row>
    <row r="1218" spans="5:11" x14ac:dyDescent="0.2">
      <c r="E1218" s="50"/>
      <c r="H1218" s="12"/>
      <c r="K1218"/>
    </row>
    <row r="1219" spans="5:11" x14ac:dyDescent="0.2">
      <c r="E1219" s="50"/>
      <c r="H1219" s="12"/>
      <c r="K1219"/>
    </row>
    <row r="1220" spans="5:11" x14ac:dyDescent="0.2">
      <c r="E1220" s="50"/>
      <c r="H1220" s="12"/>
      <c r="K1220"/>
    </row>
    <row r="1221" spans="5:11" x14ac:dyDescent="0.2">
      <c r="E1221" s="50"/>
      <c r="H1221" s="12"/>
      <c r="K1221"/>
    </row>
    <row r="1222" spans="5:11" x14ac:dyDescent="0.2">
      <c r="E1222" s="50"/>
      <c r="H1222" s="12"/>
      <c r="K1222"/>
    </row>
    <row r="1223" spans="5:11" x14ac:dyDescent="0.2">
      <c r="E1223" s="50"/>
      <c r="H1223" s="12"/>
      <c r="K1223"/>
    </row>
    <row r="1224" spans="5:11" x14ac:dyDescent="0.2">
      <c r="E1224" s="50"/>
      <c r="H1224" s="12"/>
      <c r="K1224"/>
    </row>
    <row r="1225" spans="5:11" x14ac:dyDescent="0.2">
      <c r="E1225" s="50"/>
      <c r="H1225" s="12"/>
      <c r="K1225"/>
    </row>
    <row r="1226" spans="5:11" x14ac:dyDescent="0.2">
      <c r="E1226" s="50"/>
      <c r="H1226" s="12"/>
      <c r="K1226"/>
    </row>
    <row r="1227" spans="5:11" x14ac:dyDescent="0.2">
      <c r="E1227" s="50"/>
      <c r="H1227" s="12"/>
      <c r="K1227"/>
    </row>
    <row r="1228" spans="5:11" x14ac:dyDescent="0.2">
      <c r="E1228" s="50"/>
      <c r="H1228" s="12"/>
      <c r="K1228"/>
    </row>
    <row r="1229" spans="5:11" x14ac:dyDescent="0.2">
      <c r="E1229" s="50"/>
      <c r="H1229" s="12"/>
      <c r="K1229"/>
    </row>
    <row r="1230" spans="5:11" x14ac:dyDescent="0.2">
      <c r="E1230" s="50"/>
      <c r="H1230" s="12"/>
      <c r="K1230"/>
    </row>
    <row r="1231" spans="5:11" x14ac:dyDescent="0.2">
      <c r="E1231" s="50"/>
      <c r="H1231" s="12"/>
      <c r="K1231"/>
    </row>
    <row r="1232" spans="5:11" x14ac:dyDescent="0.2">
      <c r="E1232" s="50"/>
      <c r="H1232" s="12"/>
      <c r="K1232"/>
    </row>
    <row r="1233" spans="5:11" x14ac:dyDescent="0.2">
      <c r="E1233" s="50"/>
      <c r="H1233" s="12"/>
      <c r="K1233"/>
    </row>
    <row r="1234" spans="5:11" x14ac:dyDescent="0.2">
      <c r="E1234" s="50"/>
      <c r="H1234" s="12"/>
      <c r="K1234"/>
    </row>
    <row r="1235" spans="5:11" x14ac:dyDescent="0.2">
      <c r="E1235" s="50"/>
      <c r="H1235" s="12"/>
      <c r="K1235"/>
    </row>
    <row r="1236" spans="5:11" x14ac:dyDescent="0.2">
      <c r="E1236" s="50"/>
      <c r="H1236" s="12"/>
      <c r="K1236"/>
    </row>
    <row r="1237" spans="5:11" x14ac:dyDescent="0.2">
      <c r="E1237" s="50"/>
      <c r="H1237" s="12"/>
      <c r="K1237"/>
    </row>
    <row r="1238" spans="5:11" x14ac:dyDescent="0.2">
      <c r="E1238" s="50"/>
      <c r="H1238" s="12"/>
      <c r="K1238"/>
    </row>
    <row r="1239" spans="5:11" x14ac:dyDescent="0.2">
      <c r="E1239" s="50"/>
      <c r="H1239" s="12"/>
      <c r="K1239"/>
    </row>
    <row r="1240" spans="5:11" x14ac:dyDescent="0.2">
      <c r="E1240" s="50"/>
      <c r="H1240" s="12"/>
      <c r="K1240"/>
    </row>
    <row r="1241" spans="5:11" x14ac:dyDescent="0.2">
      <c r="E1241" s="50"/>
      <c r="H1241" s="12"/>
      <c r="K1241"/>
    </row>
    <row r="1242" spans="5:11" x14ac:dyDescent="0.2">
      <c r="E1242" s="50"/>
      <c r="H1242" s="12"/>
      <c r="K1242"/>
    </row>
    <row r="1243" spans="5:11" x14ac:dyDescent="0.2">
      <c r="E1243" s="50"/>
      <c r="H1243" s="12"/>
      <c r="K1243"/>
    </row>
    <row r="1244" spans="5:11" x14ac:dyDescent="0.2">
      <c r="E1244" s="50"/>
      <c r="H1244" s="12"/>
      <c r="K1244"/>
    </row>
    <row r="1245" spans="5:11" x14ac:dyDescent="0.2">
      <c r="E1245" s="50"/>
      <c r="H1245" s="12"/>
      <c r="K1245"/>
    </row>
    <row r="1246" spans="5:11" x14ac:dyDescent="0.2">
      <c r="E1246" s="50"/>
      <c r="H1246" s="12"/>
      <c r="K1246"/>
    </row>
    <row r="1247" spans="5:11" x14ac:dyDescent="0.2">
      <c r="E1247" s="50"/>
      <c r="H1247" s="12"/>
      <c r="K1247"/>
    </row>
    <row r="1248" spans="5:11" x14ac:dyDescent="0.2">
      <c r="E1248" s="50"/>
      <c r="H1248" s="12"/>
      <c r="K1248"/>
    </row>
    <row r="1249" spans="5:11" x14ac:dyDescent="0.2">
      <c r="E1249" s="50"/>
      <c r="H1249" s="12"/>
      <c r="K1249"/>
    </row>
    <row r="1250" spans="5:11" x14ac:dyDescent="0.2">
      <c r="E1250" s="50"/>
      <c r="H1250" s="12"/>
      <c r="K1250"/>
    </row>
    <row r="1251" spans="5:11" x14ac:dyDescent="0.2">
      <c r="E1251" s="50"/>
      <c r="H1251" s="12"/>
      <c r="K1251"/>
    </row>
    <row r="1252" spans="5:11" x14ac:dyDescent="0.2">
      <c r="E1252" s="50"/>
      <c r="H1252" s="12"/>
      <c r="K1252"/>
    </row>
    <row r="1253" spans="5:11" x14ac:dyDescent="0.2">
      <c r="E1253" s="50"/>
      <c r="H1253" s="12"/>
      <c r="K1253"/>
    </row>
    <row r="1254" spans="5:11" x14ac:dyDescent="0.2">
      <c r="E1254" s="50"/>
      <c r="H1254" s="12"/>
      <c r="K1254"/>
    </row>
    <row r="1255" spans="5:11" x14ac:dyDescent="0.2">
      <c r="E1255" s="50"/>
      <c r="H1255" s="12"/>
      <c r="K1255"/>
    </row>
    <row r="1256" spans="5:11" x14ac:dyDescent="0.2">
      <c r="E1256" s="50"/>
      <c r="H1256" s="12"/>
      <c r="K1256"/>
    </row>
    <row r="1257" spans="5:11" x14ac:dyDescent="0.2">
      <c r="E1257" s="50"/>
      <c r="H1257" s="12"/>
      <c r="K1257"/>
    </row>
    <row r="1258" spans="5:11" x14ac:dyDescent="0.2">
      <c r="E1258" s="50"/>
      <c r="H1258" s="12"/>
      <c r="K1258"/>
    </row>
    <row r="1259" spans="5:11" x14ac:dyDescent="0.2">
      <c r="E1259" s="50"/>
      <c r="H1259" s="12"/>
      <c r="K1259"/>
    </row>
    <row r="1260" spans="5:11" x14ac:dyDescent="0.2">
      <c r="E1260" s="50"/>
      <c r="H1260" s="12"/>
      <c r="K1260"/>
    </row>
    <row r="1261" spans="5:11" x14ac:dyDescent="0.2">
      <c r="E1261" s="50"/>
      <c r="H1261" s="12"/>
      <c r="K1261"/>
    </row>
    <row r="1262" spans="5:11" x14ac:dyDescent="0.2">
      <c r="E1262" s="50"/>
      <c r="H1262" s="12"/>
      <c r="K1262"/>
    </row>
    <row r="1263" spans="5:11" x14ac:dyDescent="0.2">
      <c r="E1263" s="50"/>
      <c r="H1263" s="12"/>
      <c r="K1263"/>
    </row>
    <row r="1264" spans="5:11" x14ac:dyDescent="0.2">
      <c r="E1264" s="50"/>
      <c r="H1264" s="12"/>
      <c r="K1264"/>
    </row>
    <row r="1265" spans="5:11" x14ac:dyDescent="0.2">
      <c r="E1265" s="50"/>
      <c r="H1265" s="12"/>
      <c r="K1265"/>
    </row>
    <row r="1266" spans="5:11" x14ac:dyDescent="0.2">
      <c r="E1266" s="50"/>
      <c r="H1266" s="12"/>
      <c r="K1266"/>
    </row>
    <row r="1267" spans="5:11" x14ac:dyDescent="0.2">
      <c r="E1267" s="50"/>
      <c r="H1267" s="12"/>
      <c r="K1267"/>
    </row>
    <row r="1268" spans="5:11" x14ac:dyDescent="0.2">
      <c r="E1268" s="50"/>
      <c r="H1268" s="12"/>
      <c r="K1268"/>
    </row>
    <row r="1269" spans="5:11" x14ac:dyDescent="0.2">
      <c r="E1269" s="50"/>
      <c r="H1269" s="12"/>
      <c r="K1269"/>
    </row>
    <row r="1270" spans="5:11" x14ac:dyDescent="0.2">
      <c r="E1270" s="50"/>
      <c r="H1270" s="12"/>
      <c r="K1270"/>
    </row>
    <row r="1271" spans="5:11" x14ac:dyDescent="0.2">
      <c r="E1271" s="50"/>
      <c r="H1271" s="12"/>
      <c r="K1271"/>
    </row>
    <row r="1272" spans="5:11" x14ac:dyDescent="0.2">
      <c r="E1272" s="50"/>
      <c r="H1272" s="12"/>
      <c r="K1272"/>
    </row>
    <row r="1273" spans="5:11" x14ac:dyDescent="0.2">
      <c r="E1273" s="50"/>
      <c r="H1273" s="12"/>
      <c r="K1273"/>
    </row>
    <row r="1274" spans="5:11" x14ac:dyDescent="0.2">
      <c r="E1274" s="50"/>
      <c r="H1274" s="12"/>
      <c r="K1274"/>
    </row>
    <row r="1275" spans="5:11" x14ac:dyDescent="0.2">
      <c r="E1275" s="50"/>
      <c r="H1275" s="12"/>
      <c r="K1275"/>
    </row>
    <row r="1276" spans="5:11" x14ac:dyDescent="0.2">
      <c r="E1276" s="50"/>
      <c r="H1276" s="12"/>
      <c r="K1276"/>
    </row>
    <row r="1277" spans="5:11" x14ac:dyDescent="0.2">
      <c r="E1277" s="50"/>
      <c r="H1277" s="12"/>
      <c r="K1277"/>
    </row>
    <row r="1278" spans="5:11" x14ac:dyDescent="0.2">
      <c r="E1278" s="50"/>
      <c r="H1278" s="12"/>
      <c r="K1278"/>
    </row>
    <row r="1279" spans="5:11" x14ac:dyDescent="0.2">
      <c r="E1279" s="50"/>
      <c r="H1279" s="12"/>
      <c r="K1279"/>
    </row>
    <row r="1280" spans="5:11" x14ac:dyDescent="0.2">
      <c r="E1280" s="50"/>
      <c r="H1280" s="12"/>
      <c r="K1280"/>
    </row>
    <row r="1281" spans="5:11" x14ac:dyDescent="0.2">
      <c r="E1281" s="50"/>
      <c r="H1281" s="12"/>
      <c r="K1281"/>
    </row>
    <row r="1282" spans="5:11" x14ac:dyDescent="0.2">
      <c r="E1282" s="50"/>
      <c r="H1282" s="12"/>
      <c r="K1282"/>
    </row>
    <row r="1283" spans="5:11" x14ac:dyDescent="0.2">
      <c r="E1283" s="50"/>
      <c r="H1283" s="12"/>
      <c r="K1283"/>
    </row>
    <row r="1284" spans="5:11" x14ac:dyDescent="0.2">
      <c r="E1284" s="50"/>
      <c r="H1284" s="12"/>
      <c r="K1284"/>
    </row>
    <row r="1285" spans="5:11" x14ac:dyDescent="0.2">
      <c r="E1285" s="50"/>
      <c r="H1285" s="12"/>
      <c r="K1285"/>
    </row>
    <row r="1286" spans="5:11" x14ac:dyDescent="0.2">
      <c r="E1286" s="50"/>
      <c r="H1286" s="12"/>
      <c r="K1286"/>
    </row>
    <row r="1287" spans="5:11" x14ac:dyDescent="0.2">
      <c r="E1287" s="50"/>
      <c r="H1287" s="12"/>
      <c r="K1287"/>
    </row>
    <row r="1288" spans="5:11" x14ac:dyDescent="0.2">
      <c r="E1288" s="50"/>
      <c r="H1288" s="12"/>
      <c r="K1288"/>
    </row>
    <row r="1289" spans="5:11" x14ac:dyDescent="0.2">
      <c r="E1289" s="50"/>
      <c r="H1289" s="12"/>
      <c r="K1289"/>
    </row>
    <row r="1290" spans="5:11" x14ac:dyDescent="0.2">
      <c r="E1290" s="50"/>
      <c r="H1290" s="12"/>
      <c r="K1290"/>
    </row>
    <row r="1291" spans="5:11" x14ac:dyDescent="0.2">
      <c r="E1291" s="50"/>
      <c r="H1291" s="12"/>
      <c r="K1291"/>
    </row>
    <row r="1292" spans="5:11" x14ac:dyDescent="0.2">
      <c r="E1292" s="50"/>
      <c r="H1292" s="12"/>
      <c r="K1292"/>
    </row>
    <row r="1293" spans="5:11" x14ac:dyDescent="0.2">
      <c r="E1293" s="50"/>
      <c r="H1293" s="12"/>
      <c r="K1293"/>
    </row>
    <row r="1294" spans="5:11" x14ac:dyDescent="0.2">
      <c r="E1294" s="50"/>
      <c r="H1294" s="12"/>
      <c r="K1294"/>
    </row>
    <row r="1295" spans="5:11" x14ac:dyDescent="0.2">
      <c r="E1295" s="50"/>
      <c r="H1295" s="12"/>
      <c r="K1295"/>
    </row>
    <row r="1296" spans="5:11" x14ac:dyDescent="0.2">
      <c r="E1296" s="50"/>
      <c r="H1296" s="12"/>
      <c r="K1296"/>
    </row>
    <row r="1297" spans="5:11" x14ac:dyDescent="0.2">
      <c r="E1297" s="50"/>
      <c r="H1297" s="12"/>
      <c r="K1297"/>
    </row>
    <row r="1298" spans="5:11" x14ac:dyDescent="0.2">
      <c r="E1298" s="50"/>
      <c r="H1298" s="12"/>
      <c r="K1298"/>
    </row>
    <row r="1299" spans="5:11" x14ac:dyDescent="0.2">
      <c r="E1299" s="50"/>
      <c r="H1299" s="12"/>
      <c r="K1299"/>
    </row>
    <row r="1300" spans="5:11" x14ac:dyDescent="0.2">
      <c r="E1300" s="50"/>
      <c r="H1300" s="12"/>
      <c r="K1300"/>
    </row>
    <row r="1301" spans="5:11" x14ac:dyDescent="0.2">
      <c r="E1301" s="50"/>
      <c r="H1301" s="12"/>
      <c r="K1301"/>
    </row>
    <row r="1302" spans="5:11" x14ac:dyDescent="0.2">
      <c r="E1302" s="50"/>
      <c r="H1302" s="12"/>
      <c r="K1302"/>
    </row>
    <row r="1303" spans="5:11" x14ac:dyDescent="0.2">
      <c r="E1303" s="50"/>
      <c r="H1303" s="12"/>
      <c r="K1303"/>
    </row>
    <row r="1304" spans="5:11" x14ac:dyDescent="0.2">
      <c r="E1304" s="50"/>
      <c r="H1304" s="12"/>
      <c r="K1304"/>
    </row>
    <row r="1305" spans="5:11" x14ac:dyDescent="0.2">
      <c r="E1305" s="50"/>
      <c r="H1305" s="12"/>
      <c r="K1305"/>
    </row>
    <row r="1306" spans="5:11" x14ac:dyDescent="0.2">
      <c r="E1306" s="50"/>
      <c r="H1306" s="12"/>
      <c r="K1306"/>
    </row>
    <row r="1307" spans="5:11" x14ac:dyDescent="0.2">
      <c r="E1307" s="50"/>
      <c r="H1307" s="12"/>
      <c r="K1307"/>
    </row>
    <row r="1308" spans="5:11" x14ac:dyDescent="0.2">
      <c r="E1308" s="50"/>
      <c r="H1308" s="12"/>
      <c r="K1308"/>
    </row>
    <row r="1309" spans="5:11" x14ac:dyDescent="0.2">
      <c r="E1309" s="50"/>
      <c r="H1309" s="12"/>
      <c r="K1309"/>
    </row>
    <row r="1310" spans="5:11" x14ac:dyDescent="0.2">
      <c r="E1310" s="50"/>
      <c r="H1310" s="12"/>
      <c r="K1310"/>
    </row>
    <row r="1311" spans="5:11" x14ac:dyDescent="0.2">
      <c r="E1311" s="50"/>
      <c r="H1311" s="12"/>
      <c r="K1311"/>
    </row>
    <row r="1312" spans="5:11" x14ac:dyDescent="0.2">
      <c r="E1312" s="50"/>
      <c r="H1312" s="12"/>
      <c r="K1312"/>
    </row>
    <row r="1313" spans="5:11" x14ac:dyDescent="0.2">
      <c r="E1313" s="50"/>
      <c r="H1313" s="12"/>
      <c r="K1313"/>
    </row>
    <row r="1314" spans="5:11" x14ac:dyDescent="0.2">
      <c r="E1314" s="50"/>
      <c r="H1314" s="12"/>
      <c r="K1314"/>
    </row>
    <row r="1315" spans="5:11" x14ac:dyDescent="0.2">
      <c r="E1315" s="50"/>
      <c r="H1315" s="12"/>
      <c r="K1315"/>
    </row>
    <row r="1316" spans="5:11" x14ac:dyDescent="0.2">
      <c r="E1316" s="50"/>
      <c r="H1316" s="12"/>
      <c r="K1316"/>
    </row>
    <row r="1317" spans="5:11" x14ac:dyDescent="0.2">
      <c r="E1317" s="50"/>
      <c r="H1317" s="12"/>
      <c r="K1317"/>
    </row>
    <row r="1318" spans="5:11" x14ac:dyDescent="0.2">
      <c r="E1318" s="50"/>
      <c r="H1318" s="12"/>
      <c r="K1318"/>
    </row>
    <row r="1319" spans="5:11" x14ac:dyDescent="0.2">
      <c r="E1319" s="50"/>
      <c r="H1319" s="12"/>
      <c r="K1319"/>
    </row>
    <row r="1320" spans="5:11" x14ac:dyDescent="0.2">
      <c r="E1320" s="50"/>
      <c r="H1320" s="12"/>
      <c r="K1320"/>
    </row>
    <row r="1321" spans="5:11" x14ac:dyDescent="0.2">
      <c r="E1321" s="50"/>
      <c r="H1321" s="12"/>
      <c r="K1321"/>
    </row>
    <row r="1322" spans="5:11" x14ac:dyDescent="0.2">
      <c r="E1322" s="50"/>
      <c r="H1322" s="12"/>
      <c r="K1322"/>
    </row>
    <row r="1323" spans="5:11" x14ac:dyDescent="0.2">
      <c r="E1323" s="50"/>
      <c r="H1323" s="12"/>
      <c r="K1323"/>
    </row>
    <row r="1324" spans="5:11" x14ac:dyDescent="0.2">
      <c r="E1324" s="50"/>
      <c r="H1324" s="12"/>
      <c r="K1324"/>
    </row>
    <row r="1325" spans="5:11" x14ac:dyDescent="0.2">
      <c r="E1325" s="50"/>
      <c r="H1325" s="12"/>
      <c r="K1325"/>
    </row>
    <row r="1326" spans="5:11" x14ac:dyDescent="0.2">
      <c r="E1326" s="50"/>
      <c r="H1326" s="12"/>
      <c r="K1326"/>
    </row>
    <row r="1327" spans="5:11" x14ac:dyDescent="0.2">
      <c r="E1327" s="50"/>
      <c r="H1327" s="12"/>
      <c r="K1327"/>
    </row>
    <row r="1328" spans="5:11" x14ac:dyDescent="0.2">
      <c r="E1328" s="50"/>
      <c r="H1328" s="12"/>
      <c r="K1328"/>
    </row>
    <row r="1329" spans="5:11" x14ac:dyDescent="0.2">
      <c r="E1329" s="50"/>
      <c r="H1329" s="12"/>
      <c r="K1329"/>
    </row>
    <row r="1330" spans="5:11" x14ac:dyDescent="0.2">
      <c r="E1330" s="50"/>
      <c r="H1330" s="12"/>
      <c r="K1330"/>
    </row>
    <row r="1331" spans="5:11" x14ac:dyDescent="0.2">
      <c r="E1331" s="50"/>
      <c r="H1331" s="12"/>
      <c r="K1331"/>
    </row>
    <row r="1332" spans="5:11" x14ac:dyDescent="0.2">
      <c r="E1332" s="50"/>
      <c r="H1332" s="12"/>
      <c r="K1332"/>
    </row>
    <row r="1333" spans="5:11" x14ac:dyDescent="0.2">
      <c r="E1333" s="50"/>
      <c r="H1333" s="12"/>
      <c r="K1333"/>
    </row>
    <row r="1334" spans="5:11" x14ac:dyDescent="0.2">
      <c r="E1334" s="50"/>
      <c r="H1334" s="12"/>
      <c r="K1334"/>
    </row>
    <row r="1335" spans="5:11" x14ac:dyDescent="0.2">
      <c r="E1335" s="50"/>
      <c r="H1335" s="12"/>
      <c r="K1335"/>
    </row>
    <row r="1336" spans="5:11" x14ac:dyDescent="0.2">
      <c r="E1336" s="50"/>
      <c r="H1336" s="12"/>
      <c r="K1336"/>
    </row>
    <row r="1337" spans="5:11" x14ac:dyDescent="0.2">
      <c r="E1337" s="50"/>
      <c r="H1337" s="12"/>
      <c r="K1337"/>
    </row>
    <row r="1338" spans="5:11" x14ac:dyDescent="0.2">
      <c r="E1338" s="50"/>
      <c r="H1338" s="12"/>
      <c r="K1338"/>
    </row>
    <row r="1339" spans="5:11" x14ac:dyDescent="0.2">
      <c r="E1339" s="50"/>
      <c r="H1339" s="12"/>
      <c r="K1339"/>
    </row>
    <row r="1340" spans="5:11" x14ac:dyDescent="0.2">
      <c r="E1340" s="50"/>
      <c r="H1340" s="12"/>
      <c r="K1340"/>
    </row>
    <row r="1341" spans="5:11" x14ac:dyDescent="0.2">
      <c r="E1341" s="50"/>
      <c r="H1341" s="12"/>
      <c r="K1341"/>
    </row>
    <row r="1342" spans="5:11" x14ac:dyDescent="0.2">
      <c r="E1342" s="50"/>
      <c r="H1342" s="12"/>
      <c r="K1342"/>
    </row>
    <row r="1343" spans="5:11" x14ac:dyDescent="0.2">
      <c r="E1343" s="50"/>
      <c r="H1343" s="12"/>
      <c r="K1343"/>
    </row>
    <row r="1344" spans="5:11" x14ac:dyDescent="0.2">
      <c r="E1344" s="50"/>
      <c r="H1344" s="12"/>
      <c r="K1344"/>
    </row>
    <row r="1345" spans="5:11" x14ac:dyDescent="0.2">
      <c r="E1345" s="50"/>
      <c r="H1345" s="12"/>
      <c r="K1345"/>
    </row>
    <row r="1346" spans="5:11" x14ac:dyDescent="0.2">
      <c r="E1346" s="50"/>
      <c r="H1346" s="12"/>
      <c r="K1346"/>
    </row>
    <row r="1347" spans="5:11" x14ac:dyDescent="0.2">
      <c r="E1347" s="50"/>
      <c r="H1347" s="12"/>
      <c r="K1347"/>
    </row>
    <row r="1348" spans="5:11" x14ac:dyDescent="0.2">
      <c r="E1348" s="50"/>
      <c r="H1348" s="12"/>
      <c r="K1348"/>
    </row>
    <row r="1349" spans="5:11" x14ac:dyDescent="0.2">
      <c r="E1349" s="50"/>
      <c r="H1349" s="12"/>
      <c r="K1349"/>
    </row>
    <row r="1350" spans="5:11" x14ac:dyDescent="0.2">
      <c r="E1350" s="50"/>
      <c r="H1350" s="12"/>
      <c r="K1350"/>
    </row>
    <row r="1351" spans="5:11" x14ac:dyDescent="0.2">
      <c r="E1351" s="50"/>
      <c r="H1351" s="12"/>
      <c r="K1351"/>
    </row>
    <row r="1352" spans="5:11" x14ac:dyDescent="0.2">
      <c r="E1352" s="50"/>
      <c r="H1352" s="12"/>
      <c r="K1352"/>
    </row>
    <row r="1353" spans="5:11" x14ac:dyDescent="0.2">
      <c r="E1353" s="50"/>
      <c r="H1353" s="12"/>
      <c r="K1353"/>
    </row>
    <row r="1354" spans="5:11" x14ac:dyDescent="0.2">
      <c r="E1354" s="50"/>
      <c r="H1354" s="12"/>
      <c r="K1354"/>
    </row>
    <row r="1355" spans="5:11" x14ac:dyDescent="0.2">
      <c r="E1355" s="50"/>
      <c r="H1355" s="12"/>
      <c r="K1355"/>
    </row>
    <row r="1356" spans="5:11" x14ac:dyDescent="0.2">
      <c r="E1356" s="50"/>
      <c r="H1356" s="12"/>
      <c r="K1356"/>
    </row>
    <row r="1357" spans="5:11" x14ac:dyDescent="0.2">
      <c r="E1357" s="50"/>
      <c r="H1357" s="12"/>
      <c r="K1357"/>
    </row>
    <row r="1358" spans="5:11" x14ac:dyDescent="0.2">
      <c r="E1358" s="50"/>
      <c r="H1358" s="12"/>
      <c r="K1358"/>
    </row>
    <row r="1359" spans="5:11" x14ac:dyDescent="0.2">
      <c r="E1359" s="50"/>
      <c r="H1359" s="12"/>
      <c r="K1359"/>
    </row>
    <row r="1360" spans="5:11" x14ac:dyDescent="0.2">
      <c r="E1360" s="50"/>
      <c r="H1360" s="12"/>
      <c r="K1360"/>
    </row>
    <row r="1361" spans="5:11" x14ac:dyDescent="0.2">
      <c r="E1361" s="50"/>
      <c r="H1361" s="12"/>
      <c r="K1361"/>
    </row>
    <row r="1362" spans="5:11" x14ac:dyDescent="0.2">
      <c r="E1362" s="50"/>
      <c r="H1362" s="12"/>
      <c r="K1362"/>
    </row>
    <row r="1363" spans="5:11" x14ac:dyDescent="0.2">
      <c r="E1363" s="50"/>
      <c r="H1363" s="12"/>
      <c r="K1363"/>
    </row>
    <row r="1364" spans="5:11" x14ac:dyDescent="0.2">
      <c r="E1364" s="50"/>
      <c r="H1364" s="12"/>
      <c r="K1364"/>
    </row>
    <row r="1365" spans="5:11" x14ac:dyDescent="0.2">
      <c r="E1365" s="50"/>
      <c r="H1365" s="12"/>
      <c r="K1365"/>
    </row>
    <row r="1366" spans="5:11" x14ac:dyDescent="0.2">
      <c r="E1366" s="50"/>
      <c r="H1366" s="12"/>
      <c r="K1366"/>
    </row>
    <row r="1367" spans="5:11" x14ac:dyDescent="0.2">
      <c r="E1367" s="50"/>
      <c r="H1367" s="12"/>
      <c r="K1367"/>
    </row>
    <row r="1368" spans="5:11" x14ac:dyDescent="0.2">
      <c r="E1368" s="50"/>
      <c r="H1368" s="12"/>
      <c r="K1368"/>
    </row>
    <row r="1369" spans="5:11" x14ac:dyDescent="0.2">
      <c r="E1369" s="50"/>
      <c r="H1369" s="12"/>
      <c r="K1369"/>
    </row>
    <row r="1370" spans="5:11" x14ac:dyDescent="0.2">
      <c r="E1370" s="50"/>
      <c r="H1370" s="12"/>
      <c r="K1370"/>
    </row>
    <row r="1371" spans="5:11" x14ac:dyDescent="0.2">
      <c r="E1371" s="50"/>
      <c r="H1371" s="12"/>
      <c r="K1371"/>
    </row>
    <row r="1372" spans="5:11" x14ac:dyDescent="0.2">
      <c r="E1372" s="50"/>
      <c r="H1372" s="12"/>
      <c r="K1372"/>
    </row>
    <row r="1373" spans="5:11" x14ac:dyDescent="0.2">
      <c r="E1373" s="50"/>
      <c r="H1373" s="12"/>
      <c r="K1373"/>
    </row>
    <row r="1374" spans="5:11" x14ac:dyDescent="0.2">
      <c r="E1374" s="50"/>
      <c r="H1374" s="12"/>
      <c r="K1374"/>
    </row>
    <row r="1375" spans="5:11" x14ac:dyDescent="0.2">
      <c r="E1375" s="50"/>
      <c r="H1375" s="12"/>
      <c r="K1375"/>
    </row>
    <row r="1376" spans="5:11" x14ac:dyDescent="0.2">
      <c r="E1376" s="50"/>
      <c r="H1376" s="12"/>
      <c r="K1376"/>
    </row>
    <row r="1377" spans="5:11" x14ac:dyDescent="0.2">
      <c r="E1377" s="50"/>
      <c r="H1377" s="12"/>
      <c r="K1377"/>
    </row>
    <row r="1378" spans="5:11" x14ac:dyDescent="0.2">
      <c r="E1378" s="50"/>
      <c r="H1378" s="12"/>
      <c r="K1378"/>
    </row>
    <row r="1379" spans="5:11" x14ac:dyDescent="0.2">
      <c r="E1379" s="50"/>
      <c r="H1379" s="12"/>
      <c r="K1379"/>
    </row>
    <row r="1380" spans="5:11" x14ac:dyDescent="0.2">
      <c r="E1380" s="50"/>
      <c r="H1380" s="12"/>
      <c r="K1380"/>
    </row>
    <row r="1381" spans="5:11" x14ac:dyDescent="0.2">
      <c r="E1381" s="50"/>
      <c r="H1381" s="12"/>
      <c r="K1381"/>
    </row>
    <row r="1382" spans="5:11" x14ac:dyDescent="0.2">
      <c r="E1382" s="50"/>
      <c r="H1382" s="12"/>
      <c r="K1382"/>
    </row>
    <row r="1383" spans="5:11" x14ac:dyDescent="0.2">
      <c r="E1383" s="50"/>
      <c r="H1383" s="12"/>
      <c r="K1383"/>
    </row>
    <row r="1384" spans="5:11" x14ac:dyDescent="0.2">
      <c r="E1384" s="50"/>
      <c r="H1384" s="12"/>
      <c r="K1384"/>
    </row>
    <row r="1385" spans="5:11" x14ac:dyDescent="0.2">
      <c r="E1385" s="50"/>
      <c r="H1385" s="12"/>
      <c r="K1385"/>
    </row>
    <row r="1386" spans="5:11" x14ac:dyDescent="0.2">
      <c r="E1386" s="50"/>
      <c r="H1386" s="12"/>
      <c r="K1386"/>
    </row>
    <row r="1387" spans="5:11" x14ac:dyDescent="0.2">
      <c r="E1387" s="50"/>
      <c r="H1387" s="12"/>
      <c r="K1387"/>
    </row>
    <row r="1388" spans="5:11" x14ac:dyDescent="0.2">
      <c r="E1388" s="50"/>
      <c r="H1388" s="12"/>
      <c r="K1388"/>
    </row>
    <row r="1389" spans="5:11" x14ac:dyDescent="0.2">
      <c r="E1389" s="50"/>
      <c r="H1389" s="12"/>
      <c r="K1389"/>
    </row>
    <row r="1390" spans="5:11" x14ac:dyDescent="0.2">
      <c r="E1390" s="50"/>
      <c r="H1390" s="12"/>
      <c r="K1390"/>
    </row>
    <row r="1391" spans="5:11" x14ac:dyDescent="0.2">
      <c r="E1391" s="50"/>
      <c r="H1391" s="12"/>
      <c r="K1391"/>
    </row>
    <row r="1392" spans="5:11" x14ac:dyDescent="0.2">
      <c r="E1392" s="50"/>
      <c r="H1392" s="12"/>
      <c r="K1392"/>
    </row>
    <row r="1393" spans="5:11" x14ac:dyDescent="0.2">
      <c r="E1393" s="50"/>
      <c r="H1393" s="12"/>
      <c r="K1393"/>
    </row>
    <row r="1394" spans="5:11" x14ac:dyDescent="0.2">
      <c r="E1394" s="50"/>
      <c r="H1394" s="12"/>
      <c r="K1394"/>
    </row>
    <row r="1395" spans="5:11" x14ac:dyDescent="0.2">
      <c r="E1395" s="50"/>
      <c r="H1395" s="12"/>
      <c r="K1395"/>
    </row>
    <row r="1396" spans="5:11" x14ac:dyDescent="0.2">
      <c r="E1396" s="50"/>
      <c r="H1396" s="12"/>
      <c r="K1396"/>
    </row>
    <row r="1397" spans="5:11" x14ac:dyDescent="0.2">
      <c r="E1397" s="50"/>
      <c r="H1397" s="12"/>
      <c r="K1397"/>
    </row>
    <row r="1398" spans="5:11" x14ac:dyDescent="0.2">
      <c r="E1398" s="50"/>
      <c r="H1398" s="12"/>
      <c r="K1398"/>
    </row>
    <row r="1399" spans="5:11" x14ac:dyDescent="0.2">
      <c r="E1399" s="50"/>
      <c r="H1399" s="12"/>
      <c r="K1399"/>
    </row>
    <row r="1400" spans="5:11" x14ac:dyDescent="0.2">
      <c r="E1400" s="50"/>
      <c r="H1400" s="12"/>
      <c r="K1400"/>
    </row>
    <row r="1401" spans="5:11" x14ac:dyDescent="0.2">
      <c r="E1401" s="50"/>
      <c r="H1401" s="12"/>
      <c r="K1401"/>
    </row>
    <row r="1402" spans="5:11" x14ac:dyDescent="0.2">
      <c r="E1402" s="50"/>
      <c r="H1402" s="12"/>
      <c r="K1402"/>
    </row>
    <row r="1403" spans="5:11" x14ac:dyDescent="0.2">
      <c r="E1403" s="50"/>
      <c r="H1403" s="12"/>
      <c r="K1403"/>
    </row>
    <row r="1404" spans="5:11" x14ac:dyDescent="0.2">
      <c r="E1404" s="50"/>
      <c r="H1404" s="12"/>
      <c r="K1404"/>
    </row>
    <row r="1405" spans="5:11" x14ac:dyDescent="0.2">
      <c r="E1405" s="50"/>
      <c r="H1405" s="12"/>
      <c r="K1405"/>
    </row>
    <row r="1406" spans="5:11" x14ac:dyDescent="0.2">
      <c r="E1406" s="50"/>
      <c r="H1406" s="12"/>
      <c r="K1406"/>
    </row>
    <row r="1407" spans="5:11" x14ac:dyDescent="0.2">
      <c r="E1407" s="50"/>
      <c r="H1407" s="12"/>
      <c r="K1407"/>
    </row>
    <row r="1408" spans="5:11" x14ac:dyDescent="0.2">
      <c r="E1408" s="50"/>
      <c r="H1408" s="12"/>
      <c r="K1408"/>
    </row>
    <row r="1409" spans="5:11" x14ac:dyDescent="0.2">
      <c r="E1409" s="50"/>
      <c r="H1409" s="12"/>
      <c r="K1409"/>
    </row>
    <row r="1410" spans="5:11" x14ac:dyDescent="0.2">
      <c r="E1410" s="50"/>
      <c r="H1410" s="12"/>
      <c r="K1410"/>
    </row>
    <row r="1411" spans="5:11" x14ac:dyDescent="0.2">
      <c r="E1411" s="50"/>
      <c r="H1411" s="12"/>
      <c r="K1411"/>
    </row>
    <row r="1412" spans="5:11" x14ac:dyDescent="0.2">
      <c r="E1412" s="50"/>
      <c r="H1412" s="12"/>
      <c r="K1412"/>
    </row>
    <row r="1413" spans="5:11" x14ac:dyDescent="0.2">
      <c r="E1413" s="50"/>
      <c r="H1413" s="12"/>
      <c r="K1413"/>
    </row>
    <row r="1414" spans="5:11" x14ac:dyDescent="0.2">
      <c r="E1414" s="50"/>
      <c r="H1414" s="12"/>
      <c r="K1414"/>
    </row>
    <row r="1415" spans="5:11" x14ac:dyDescent="0.2">
      <c r="E1415" s="50"/>
      <c r="H1415" s="12"/>
      <c r="K1415"/>
    </row>
    <row r="1416" spans="5:11" x14ac:dyDescent="0.2">
      <c r="E1416" s="50"/>
      <c r="H1416" s="12"/>
      <c r="K1416"/>
    </row>
    <row r="1417" spans="5:11" x14ac:dyDescent="0.2">
      <c r="E1417" s="50"/>
      <c r="H1417" s="12"/>
      <c r="K1417"/>
    </row>
    <row r="1418" spans="5:11" x14ac:dyDescent="0.2">
      <c r="E1418" s="50"/>
      <c r="H1418" s="12"/>
      <c r="K1418"/>
    </row>
    <row r="1419" spans="5:11" x14ac:dyDescent="0.2">
      <c r="E1419" s="50"/>
      <c r="H1419" s="12"/>
      <c r="K1419"/>
    </row>
    <row r="1420" spans="5:11" x14ac:dyDescent="0.2">
      <c r="E1420" s="50"/>
      <c r="H1420" s="12"/>
      <c r="K1420"/>
    </row>
    <row r="1421" spans="5:11" x14ac:dyDescent="0.2">
      <c r="E1421" s="50"/>
      <c r="H1421" s="12"/>
      <c r="K1421"/>
    </row>
    <row r="1422" spans="5:11" x14ac:dyDescent="0.2">
      <c r="E1422" s="50"/>
      <c r="H1422" s="12"/>
      <c r="K1422"/>
    </row>
    <row r="1423" spans="5:11" x14ac:dyDescent="0.2">
      <c r="E1423" s="50"/>
      <c r="H1423" s="12"/>
      <c r="K1423"/>
    </row>
    <row r="1424" spans="5:11" x14ac:dyDescent="0.2">
      <c r="E1424" s="50"/>
      <c r="H1424" s="12"/>
      <c r="K1424"/>
    </row>
    <row r="1425" spans="5:11" x14ac:dyDescent="0.2">
      <c r="E1425" s="50"/>
      <c r="H1425" s="12"/>
      <c r="K1425"/>
    </row>
    <row r="1426" spans="5:11" x14ac:dyDescent="0.2">
      <c r="E1426" s="50"/>
      <c r="H1426" s="12"/>
      <c r="K1426"/>
    </row>
    <row r="1427" spans="5:11" x14ac:dyDescent="0.2">
      <c r="E1427" s="50"/>
      <c r="H1427" s="12"/>
      <c r="K1427"/>
    </row>
    <row r="1428" spans="5:11" x14ac:dyDescent="0.2">
      <c r="E1428" s="50"/>
      <c r="H1428" s="12"/>
      <c r="K1428"/>
    </row>
    <row r="1429" spans="5:11" x14ac:dyDescent="0.2">
      <c r="E1429" s="50"/>
      <c r="H1429" s="12"/>
      <c r="K1429"/>
    </row>
    <row r="1430" spans="5:11" x14ac:dyDescent="0.2">
      <c r="E1430" s="50"/>
      <c r="H1430" s="12"/>
      <c r="K1430"/>
    </row>
    <row r="1431" spans="5:11" x14ac:dyDescent="0.2">
      <c r="E1431" s="50"/>
      <c r="H1431" s="12"/>
      <c r="K1431"/>
    </row>
    <row r="1432" spans="5:11" x14ac:dyDescent="0.2">
      <c r="E1432" s="50"/>
      <c r="H1432" s="12"/>
      <c r="K1432"/>
    </row>
    <row r="1433" spans="5:11" x14ac:dyDescent="0.2">
      <c r="E1433" s="50"/>
      <c r="H1433" s="12"/>
      <c r="K1433"/>
    </row>
    <row r="1434" spans="5:11" x14ac:dyDescent="0.2">
      <c r="E1434" s="50"/>
      <c r="H1434" s="12"/>
      <c r="K1434"/>
    </row>
    <row r="1435" spans="5:11" x14ac:dyDescent="0.2">
      <c r="E1435" s="50"/>
      <c r="H1435" s="12"/>
      <c r="K1435"/>
    </row>
    <row r="1436" spans="5:11" x14ac:dyDescent="0.2">
      <c r="E1436" s="50"/>
      <c r="H1436" s="12"/>
      <c r="K1436"/>
    </row>
    <row r="1437" spans="5:11" x14ac:dyDescent="0.2">
      <c r="E1437" s="50"/>
      <c r="H1437" s="12"/>
      <c r="K1437"/>
    </row>
    <row r="1438" spans="5:11" x14ac:dyDescent="0.2">
      <c r="E1438" s="50"/>
      <c r="H1438" s="12"/>
      <c r="K1438"/>
    </row>
    <row r="1439" spans="5:11" x14ac:dyDescent="0.2">
      <c r="E1439" s="50"/>
      <c r="H1439" s="12"/>
      <c r="K1439"/>
    </row>
    <row r="1440" spans="5:11" x14ac:dyDescent="0.2">
      <c r="E1440" s="50"/>
      <c r="H1440" s="12"/>
      <c r="K1440"/>
    </row>
    <row r="1441" spans="5:11" x14ac:dyDescent="0.2">
      <c r="E1441" s="50"/>
      <c r="H1441" s="12"/>
      <c r="K1441"/>
    </row>
    <row r="1442" spans="5:11" x14ac:dyDescent="0.2">
      <c r="E1442" s="50"/>
      <c r="H1442" s="12"/>
      <c r="K1442"/>
    </row>
    <row r="1443" spans="5:11" x14ac:dyDescent="0.2">
      <c r="E1443" s="50"/>
      <c r="H1443" s="12"/>
      <c r="K1443"/>
    </row>
    <row r="1444" spans="5:11" x14ac:dyDescent="0.2">
      <c r="E1444" s="50"/>
      <c r="H1444" s="12"/>
      <c r="K1444"/>
    </row>
    <row r="1445" spans="5:11" x14ac:dyDescent="0.2">
      <c r="E1445" s="50"/>
      <c r="H1445" s="12"/>
      <c r="K1445"/>
    </row>
    <row r="1446" spans="5:11" x14ac:dyDescent="0.2">
      <c r="E1446" s="50"/>
      <c r="H1446" s="12"/>
      <c r="K1446"/>
    </row>
    <row r="1447" spans="5:11" x14ac:dyDescent="0.2">
      <c r="E1447" s="50"/>
      <c r="H1447" s="12"/>
      <c r="K1447"/>
    </row>
    <row r="1448" spans="5:11" x14ac:dyDescent="0.2">
      <c r="E1448" s="50"/>
      <c r="H1448" s="12"/>
      <c r="K1448"/>
    </row>
    <row r="1449" spans="5:11" x14ac:dyDescent="0.2">
      <c r="E1449" s="50"/>
      <c r="H1449" s="12"/>
      <c r="K1449"/>
    </row>
    <row r="1450" spans="5:11" x14ac:dyDescent="0.2">
      <c r="E1450" s="50"/>
      <c r="H1450" s="12"/>
      <c r="K1450"/>
    </row>
    <row r="1451" spans="5:11" x14ac:dyDescent="0.2">
      <c r="E1451" s="50"/>
      <c r="H1451" s="12"/>
      <c r="K1451"/>
    </row>
    <row r="1452" spans="5:11" x14ac:dyDescent="0.2">
      <c r="E1452" s="50"/>
      <c r="H1452" s="12"/>
      <c r="K1452"/>
    </row>
    <row r="1453" spans="5:11" x14ac:dyDescent="0.2">
      <c r="E1453" s="50"/>
      <c r="H1453" s="12"/>
      <c r="K1453"/>
    </row>
    <row r="1454" spans="5:11" x14ac:dyDescent="0.2">
      <c r="E1454" s="50"/>
      <c r="H1454" s="12"/>
      <c r="K1454"/>
    </row>
    <row r="1455" spans="5:11" x14ac:dyDescent="0.2">
      <c r="E1455" s="50"/>
      <c r="H1455" s="12"/>
      <c r="K1455"/>
    </row>
    <row r="1456" spans="5:11" x14ac:dyDescent="0.2">
      <c r="E1456" s="50"/>
      <c r="H1456" s="12"/>
      <c r="K1456"/>
    </row>
    <row r="1457" spans="5:11" x14ac:dyDescent="0.2">
      <c r="E1457" s="50"/>
      <c r="H1457" s="12"/>
      <c r="K1457"/>
    </row>
    <row r="1458" spans="5:11" x14ac:dyDescent="0.2">
      <c r="E1458" s="50"/>
      <c r="H1458" s="12"/>
      <c r="K1458"/>
    </row>
    <row r="1459" spans="5:11" x14ac:dyDescent="0.2">
      <c r="E1459" s="50"/>
      <c r="H1459" s="12"/>
      <c r="K1459"/>
    </row>
    <row r="1460" spans="5:11" x14ac:dyDescent="0.2">
      <c r="E1460" s="50"/>
      <c r="H1460" s="12"/>
      <c r="K1460"/>
    </row>
    <row r="1461" spans="5:11" x14ac:dyDescent="0.2">
      <c r="E1461" s="50"/>
      <c r="H1461" s="12"/>
      <c r="K1461"/>
    </row>
    <row r="1462" spans="5:11" x14ac:dyDescent="0.2">
      <c r="E1462" s="50"/>
      <c r="H1462" s="12"/>
      <c r="K1462"/>
    </row>
    <row r="1463" spans="5:11" x14ac:dyDescent="0.2">
      <c r="E1463" s="50"/>
      <c r="H1463" s="12"/>
      <c r="K1463"/>
    </row>
    <row r="1464" spans="5:11" x14ac:dyDescent="0.2">
      <c r="E1464" s="50"/>
      <c r="H1464" s="12"/>
      <c r="K1464"/>
    </row>
    <row r="1465" spans="5:11" x14ac:dyDescent="0.2">
      <c r="E1465" s="50"/>
      <c r="H1465" s="12"/>
      <c r="K1465"/>
    </row>
    <row r="1466" spans="5:11" x14ac:dyDescent="0.2">
      <c r="E1466" s="50"/>
      <c r="H1466" s="12"/>
      <c r="K1466"/>
    </row>
    <row r="1467" spans="5:11" x14ac:dyDescent="0.2">
      <c r="E1467" s="50"/>
      <c r="H1467" s="12"/>
      <c r="K1467"/>
    </row>
    <row r="1468" spans="5:11" x14ac:dyDescent="0.2">
      <c r="E1468" s="50"/>
      <c r="H1468" s="12"/>
      <c r="K1468"/>
    </row>
    <row r="1469" spans="5:11" x14ac:dyDescent="0.2">
      <c r="E1469" s="50"/>
      <c r="H1469" s="12"/>
      <c r="K1469"/>
    </row>
    <row r="1470" spans="5:11" x14ac:dyDescent="0.2">
      <c r="E1470" s="50"/>
      <c r="H1470" s="12"/>
      <c r="K1470"/>
    </row>
    <row r="1471" spans="5:11" x14ac:dyDescent="0.2">
      <c r="E1471" s="50"/>
      <c r="H1471" s="12"/>
      <c r="K1471"/>
    </row>
    <row r="1472" spans="5:11" x14ac:dyDescent="0.2">
      <c r="E1472" s="50"/>
      <c r="H1472" s="12"/>
      <c r="K1472"/>
    </row>
    <row r="1473" spans="5:11" x14ac:dyDescent="0.2">
      <c r="E1473" s="50"/>
      <c r="H1473" s="12"/>
      <c r="K1473"/>
    </row>
    <row r="1474" spans="5:11" x14ac:dyDescent="0.2">
      <c r="E1474" s="50"/>
      <c r="H1474" s="12"/>
      <c r="K1474"/>
    </row>
    <row r="1475" spans="5:11" x14ac:dyDescent="0.2">
      <c r="E1475" s="50"/>
      <c r="H1475" s="12"/>
      <c r="K1475"/>
    </row>
    <row r="1476" spans="5:11" x14ac:dyDescent="0.2">
      <c r="E1476" s="50"/>
      <c r="H1476" s="12"/>
      <c r="K1476"/>
    </row>
    <row r="1477" spans="5:11" x14ac:dyDescent="0.2">
      <c r="E1477" s="50"/>
      <c r="H1477" s="12"/>
      <c r="K1477"/>
    </row>
    <row r="1478" spans="5:11" x14ac:dyDescent="0.2">
      <c r="E1478" s="50"/>
      <c r="H1478" s="12"/>
      <c r="K1478"/>
    </row>
    <row r="1479" spans="5:11" x14ac:dyDescent="0.2">
      <c r="E1479" s="50"/>
      <c r="H1479" s="12"/>
      <c r="K1479"/>
    </row>
    <row r="1480" spans="5:11" x14ac:dyDescent="0.2">
      <c r="E1480" s="50"/>
      <c r="H1480" s="12"/>
      <c r="K1480"/>
    </row>
    <row r="1481" spans="5:11" x14ac:dyDescent="0.2">
      <c r="E1481" s="50"/>
      <c r="H1481" s="12"/>
      <c r="K1481"/>
    </row>
    <row r="1482" spans="5:11" x14ac:dyDescent="0.2">
      <c r="E1482" s="50"/>
      <c r="H1482" s="12"/>
      <c r="K1482"/>
    </row>
    <row r="1483" spans="5:11" x14ac:dyDescent="0.2">
      <c r="E1483" s="50"/>
      <c r="H1483" s="12"/>
      <c r="K1483"/>
    </row>
    <row r="1484" spans="5:11" x14ac:dyDescent="0.2">
      <c r="E1484" s="50"/>
      <c r="H1484" s="12"/>
      <c r="K1484"/>
    </row>
    <row r="1485" spans="5:11" x14ac:dyDescent="0.2">
      <c r="E1485" s="50"/>
      <c r="H1485" s="12"/>
      <c r="K1485"/>
    </row>
    <row r="1486" spans="5:11" x14ac:dyDescent="0.2">
      <c r="E1486" s="50"/>
      <c r="H1486" s="12"/>
      <c r="K1486"/>
    </row>
    <row r="1487" spans="5:11" x14ac:dyDescent="0.2">
      <c r="E1487" s="50"/>
      <c r="H1487" s="12"/>
      <c r="K1487"/>
    </row>
    <row r="1488" spans="5:11" x14ac:dyDescent="0.2">
      <c r="E1488" s="50"/>
      <c r="H1488" s="12"/>
      <c r="K1488"/>
    </row>
    <row r="1489" spans="5:11" x14ac:dyDescent="0.2">
      <c r="E1489" s="50"/>
      <c r="H1489" s="12"/>
      <c r="K1489"/>
    </row>
    <row r="1490" spans="5:11" x14ac:dyDescent="0.2">
      <c r="E1490" s="50"/>
      <c r="H1490" s="12"/>
      <c r="K1490"/>
    </row>
    <row r="1491" spans="5:11" x14ac:dyDescent="0.2">
      <c r="E1491" s="50"/>
      <c r="H1491" s="12"/>
      <c r="K1491"/>
    </row>
    <row r="1492" spans="5:11" x14ac:dyDescent="0.2">
      <c r="E1492" s="50"/>
      <c r="H1492" s="12"/>
      <c r="K1492"/>
    </row>
    <row r="1493" spans="5:11" x14ac:dyDescent="0.2">
      <c r="E1493" s="50"/>
      <c r="H1493" s="12"/>
      <c r="K1493"/>
    </row>
    <row r="1494" spans="5:11" x14ac:dyDescent="0.2">
      <c r="E1494" s="50"/>
      <c r="H1494" s="12"/>
      <c r="K1494"/>
    </row>
    <row r="1495" spans="5:11" x14ac:dyDescent="0.2">
      <c r="E1495" s="50"/>
      <c r="H1495" s="12"/>
      <c r="K1495"/>
    </row>
    <row r="1496" spans="5:11" x14ac:dyDescent="0.2">
      <c r="E1496" s="50"/>
      <c r="H1496" s="12"/>
      <c r="K1496"/>
    </row>
    <row r="1497" spans="5:11" x14ac:dyDescent="0.2">
      <c r="E1497" s="50"/>
      <c r="H1497" s="12"/>
      <c r="K1497"/>
    </row>
    <row r="1498" spans="5:11" x14ac:dyDescent="0.2">
      <c r="E1498" s="50"/>
      <c r="H1498" s="12"/>
      <c r="K1498"/>
    </row>
    <row r="1499" spans="5:11" x14ac:dyDescent="0.2">
      <c r="E1499" s="50"/>
      <c r="H1499" s="12"/>
      <c r="K1499"/>
    </row>
    <row r="1500" spans="5:11" x14ac:dyDescent="0.2">
      <c r="E1500" s="50"/>
      <c r="H1500" s="12"/>
      <c r="K1500"/>
    </row>
    <row r="1501" spans="5:11" x14ac:dyDescent="0.2">
      <c r="E1501" s="50"/>
      <c r="H1501" s="12"/>
      <c r="K1501"/>
    </row>
    <row r="1502" spans="5:11" x14ac:dyDescent="0.2">
      <c r="E1502" s="50"/>
      <c r="H1502" s="12"/>
      <c r="K1502"/>
    </row>
    <row r="1503" spans="5:11" x14ac:dyDescent="0.2">
      <c r="E1503" s="50"/>
      <c r="H1503" s="12"/>
      <c r="K1503"/>
    </row>
    <row r="1504" spans="5:11" x14ac:dyDescent="0.2">
      <c r="E1504" s="50"/>
      <c r="H1504" s="12"/>
      <c r="K1504"/>
    </row>
    <row r="1505" spans="5:11" x14ac:dyDescent="0.2">
      <c r="E1505" s="50"/>
      <c r="H1505" s="12"/>
      <c r="K1505"/>
    </row>
    <row r="1506" spans="5:11" x14ac:dyDescent="0.2">
      <c r="E1506" s="50"/>
      <c r="H1506" s="12"/>
      <c r="K1506"/>
    </row>
    <row r="1507" spans="5:11" x14ac:dyDescent="0.2">
      <c r="E1507" s="50"/>
      <c r="H1507" s="12"/>
      <c r="K1507"/>
    </row>
    <row r="1508" spans="5:11" x14ac:dyDescent="0.2">
      <c r="E1508" s="50"/>
      <c r="H1508" s="12"/>
      <c r="K1508"/>
    </row>
    <row r="1509" spans="5:11" x14ac:dyDescent="0.2">
      <c r="E1509" s="50"/>
      <c r="H1509" s="12"/>
      <c r="K1509"/>
    </row>
    <row r="1510" spans="5:11" x14ac:dyDescent="0.2">
      <c r="E1510" s="50"/>
      <c r="H1510" s="12"/>
      <c r="K1510"/>
    </row>
    <row r="1511" spans="5:11" x14ac:dyDescent="0.2">
      <c r="E1511" s="50"/>
      <c r="H1511" s="12"/>
      <c r="K1511"/>
    </row>
    <row r="1512" spans="5:11" x14ac:dyDescent="0.2">
      <c r="E1512" s="50"/>
      <c r="H1512" s="12"/>
      <c r="K1512"/>
    </row>
    <row r="1513" spans="5:11" x14ac:dyDescent="0.2">
      <c r="E1513" s="50"/>
      <c r="H1513" s="12"/>
      <c r="K1513"/>
    </row>
    <row r="1514" spans="5:11" x14ac:dyDescent="0.2">
      <c r="E1514" s="50"/>
      <c r="H1514" s="12"/>
      <c r="K1514"/>
    </row>
    <row r="1515" spans="5:11" x14ac:dyDescent="0.2">
      <c r="E1515" s="50"/>
      <c r="H1515" s="12"/>
      <c r="K1515"/>
    </row>
    <row r="1516" spans="5:11" x14ac:dyDescent="0.2">
      <c r="E1516" s="50"/>
      <c r="H1516" s="12"/>
      <c r="K1516"/>
    </row>
    <row r="1517" spans="5:11" x14ac:dyDescent="0.2">
      <c r="E1517" s="50"/>
      <c r="H1517" s="12"/>
      <c r="K1517"/>
    </row>
    <row r="1518" spans="5:11" x14ac:dyDescent="0.2">
      <c r="E1518" s="50"/>
      <c r="H1518" s="12"/>
      <c r="K1518"/>
    </row>
    <row r="1519" spans="5:11" x14ac:dyDescent="0.2">
      <c r="E1519" s="50"/>
      <c r="H1519" s="12"/>
      <c r="K1519"/>
    </row>
    <row r="1520" spans="5:11" x14ac:dyDescent="0.2">
      <c r="E1520" s="50"/>
      <c r="H1520" s="12"/>
      <c r="K1520"/>
    </row>
    <row r="1521" spans="5:11" x14ac:dyDescent="0.2">
      <c r="E1521" s="50"/>
      <c r="H1521" s="12"/>
      <c r="K1521"/>
    </row>
    <row r="1522" spans="5:11" x14ac:dyDescent="0.2">
      <c r="E1522" s="50"/>
      <c r="H1522" s="12"/>
      <c r="K1522"/>
    </row>
    <row r="1523" spans="5:11" x14ac:dyDescent="0.2">
      <c r="E1523" s="50"/>
      <c r="H1523" s="12"/>
      <c r="K1523"/>
    </row>
    <row r="1524" spans="5:11" x14ac:dyDescent="0.2">
      <c r="E1524" s="50"/>
      <c r="H1524" s="12"/>
      <c r="K1524"/>
    </row>
    <row r="1525" spans="5:11" x14ac:dyDescent="0.2">
      <c r="E1525" s="50"/>
      <c r="H1525" s="12"/>
      <c r="K1525"/>
    </row>
    <row r="1526" spans="5:11" x14ac:dyDescent="0.2">
      <c r="E1526" s="50"/>
      <c r="H1526" s="12"/>
      <c r="K1526"/>
    </row>
    <row r="1527" spans="5:11" x14ac:dyDescent="0.2">
      <c r="E1527" s="50"/>
      <c r="H1527" s="12"/>
      <c r="K1527"/>
    </row>
    <row r="1528" spans="5:11" x14ac:dyDescent="0.2">
      <c r="E1528" s="50"/>
      <c r="H1528" s="12"/>
      <c r="K1528"/>
    </row>
    <row r="1529" spans="5:11" x14ac:dyDescent="0.2">
      <c r="E1529" s="50"/>
      <c r="H1529" s="12"/>
      <c r="K1529"/>
    </row>
    <row r="1530" spans="5:11" x14ac:dyDescent="0.2">
      <c r="E1530" s="50"/>
      <c r="H1530" s="12"/>
      <c r="K1530"/>
    </row>
    <row r="1531" spans="5:11" x14ac:dyDescent="0.2">
      <c r="E1531" s="50"/>
      <c r="H1531" s="12"/>
      <c r="K1531"/>
    </row>
    <row r="1532" spans="5:11" x14ac:dyDescent="0.2">
      <c r="E1532" s="50"/>
      <c r="H1532" s="12"/>
      <c r="K1532"/>
    </row>
    <row r="1533" spans="5:11" x14ac:dyDescent="0.2">
      <c r="E1533" s="50"/>
      <c r="H1533" s="12"/>
      <c r="K1533"/>
    </row>
    <row r="1534" spans="5:11" x14ac:dyDescent="0.2">
      <c r="E1534" s="50"/>
      <c r="H1534" s="12"/>
      <c r="K1534"/>
    </row>
    <row r="1535" spans="5:11" x14ac:dyDescent="0.2">
      <c r="E1535" s="50"/>
      <c r="H1535" s="12"/>
      <c r="K1535"/>
    </row>
    <row r="1536" spans="5:11" x14ac:dyDescent="0.2">
      <c r="E1536" s="50"/>
      <c r="H1536" s="12"/>
      <c r="K1536"/>
    </row>
    <row r="1537" spans="5:11" x14ac:dyDescent="0.2">
      <c r="E1537" s="50"/>
      <c r="H1537" s="12"/>
      <c r="K1537"/>
    </row>
    <row r="1538" spans="5:11" x14ac:dyDescent="0.2">
      <c r="E1538" s="50"/>
      <c r="H1538" s="12"/>
      <c r="K1538"/>
    </row>
    <row r="1539" spans="5:11" x14ac:dyDescent="0.2">
      <c r="E1539" s="50"/>
      <c r="H1539" s="12"/>
      <c r="K1539"/>
    </row>
    <row r="1540" spans="5:11" x14ac:dyDescent="0.2">
      <c r="E1540" s="50"/>
      <c r="H1540" s="12"/>
      <c r="K1540"/>
    </row>
    <row r="1541" spans="5:11" x14ac:dyDescent="0.2">
      <c r="E1541" s="50"/>
      <c r="H1541" s="12"/>
      <c r="K1541"/>
    </row>
    <row r="1542" spans="5:11" x14ac:dyDescent="0.2">
      <c r="E1542" s="50"/>
      <c r="H1542" s="12"/>
      <c r="K1542"/>
    </row>
    <row r="1543" spans="5:11" x14ac:dyDescent="0.2">
      <c r="E1543" s="50"/>
      <c r="H1543" s="12"/>
      <c r="K1543"/>
    </row>
    <row r="1544" spans="5:11" x14ac:dyDescent="0.2">
      <c r="E1544" s="50"/>
      <c r="H1544" s="12"/>
      <c r="K1544"/>
    </row>
    <row r="1545" spans="5:11" x14ac:dyDescent="0.2">
      <c r="E1545" s="50"/>
      <c r="H1545" s="12"/>
      <c r="K1545"/>
    </row>
    <row r="1546" spans="5:11" x14ac:dyDescent="0.2">
      <c r="E1546" s="50"/>
      <c r="H1546" s="12"/>
      <c r="K1546"/>
    </row>
    <row r="1547" spans="5:11" x14ac:dyDescent="0.2">
      <c r="E1547" s="50"/>
      <c r="H1547" s="12"/>
      <c r="K1547"/>
    </row>
    <row r="1548" spans="5:11" x14ac:dyDescent="0.2">
      <c r="E1548" s="50"/>
      <c r="H1548" s="12"/>
      <c r="K1548"/>
    </row>
    <row r="1549" spans="5:11" x14ac:dyDescent="0.2">
      <c r="E1549" s="50"/>
      <c r="H1549" s="12"/>
      <c r="K1549"/>
    </row>
    <row r="1550" spans="5:11" x14ac:dyDescent="0.2">
      <c r="E1550" s="50"/>
      <c r="H1550" s="12"/>
      <c r="K1550"/>
    </row>
    <row r="1551" spans="5:11" x14ac:dyDescent="0.2">
      <c r="E1551" s="50"/>
      <c r="H1551" s="12"/>
      <c r="K1551"/>
    </row>
    <row r="1552" spans="5:11" x14ac:dyDescent="0.2">
      <c r="E1552" s="50"/>
      <c r="H1552" s="12"/>
      <c r="K1552"/>
    </row>
    <row r="1553" spans="5:11" x14ac:dyDescent="0.2">
      <c r="E1553" s="50"/>
      <c r="H1553" s="12"/>
      <c r="K1553"/>
    </row>
    <row r="1554" spans="5:11" x14ac:dyDescent="0.2">
      <c r="E1554" s="50"/>
      <c r="H1554" s="12"/>
      <c r="K1554"/>
    </row>
    <row r="1555" spans="5:11" x14ac:dyDescent="0.2">
      <c r="E1555" s="50"/>
      <c r="H1555" s="12"/>
      <c r="K1555"/>
    </row>
    <row r="1556" spans="5:11" x14ac:dyDescent="0.2">
      <c r="E1556" s="50"/>
      <c r="H1556" s="12"/>
      <c r="K1556"/>
    </row>
    <row r="1557" spans="5:11" x14ac:dyDescent="0.2">
      <c r="E1557" s="50"/>
      <c r="H1557" s="12"/>
      <c r="K1557"/>
    </row>
    <row r="1558" spans="5:11" x14ac:dyDescent="0.2">
      <c r="E1558" s="50"/>
      <c r="H1558" s="12"/>
      <c r="K1558"/>
    </row>
    <row r="1559" spans="5:11" x14ac:dyDescent="0.2">
      <c r="E1559" s="50"/>
      <c r="H1559" s="12"/>
      <c r="K1559"/>
    </row>
    <row r="1560" spans="5:11" x14ac:dyDescent="0.2">
      <c r="E1560" s="50"/>
      <c r="H1560" s="12"/>
      <c r="K1560"/>
    </row>
    <row r="1561" spans="5:11" x14ac:dyDescent="0.2">
      <c r="E1561" s="50"/>
      <c r="H1561" s="12"/>
      <c r="K1561"/>
    </row>
    <row r="1562" spans="5:11" x14ac:dyDescent="0.2">
      <c r="E1562" s="50"/>
      <c r="H1562" s="12"/>
      <c r="K1562"/>
    </row>
    <row r="1563" spans="5:11" x14ac:dyDescent="0.2">
      <c r="E1563" s="50"/>
      <c r="H1563" s="12"/>
      <c r="K1563"/>
    </row>
    <row r="1564" spans="5:11" x14ac:dyDescent="0.2">
      <c r="E1564" s="50"/>
      <c r="H1564" s="12"/>
      <c r="K1564"/>
    </row>
    <row r="1565" spans="5:11" x14ac:dyDescent="0.2">
      <c r="E1565" s="50"/>
      <c r="H1565" s="12"/>
      <c r="K1565"/>
    </row>
    <row r="1566" spans="5:11" x14ac:dyDescent="0.2">
      <c r="E1566" s="50"/>
      <c r="H1566" s="12"/>
      <c r="K1566"/>
    </row>
    <row r="1567" spans="5:11" x14ac:dyDescent="0.2">
      <c r="E1567" s="50"/>
      <c r="H1567" s="12"/>
      <c r="K1567"/>
    </row>
    <row r="1568" spans="5:11" x14ac:dyDescent="0.2">
      <c r="E1568" s="50"/>
      <c r="H1568" s="12"/>
      <c r="K1568"/>
    </row>
    <row r="1569" spans="5:11" x14ac:dyDescent="0.2">
      <c r="E1569" s="50"/>
      <c r="H1569" s="12"/>
      <c r="K1569"/>
    </row>
    <row r="1570" spans="5:11" x14ac:dyDescent="0.2">
      <c r="E1570" s="50"/>
      <c r="H1570" s="12"/>
      <c r="K1570"/>
    </row>
    <row r="1571" spans="5:11" x14ac:dyDescent="0.2">
      <c r="E1571" s="50"/>
      <c r="H1571" s="12"/>
      <c r="K1571"/>
    </row>
    <row r="1572" spans="5:11" x14ac:dyDescent="0.2">
      <c r="E1572" s="50"/>
      <c r="H1572" s="12"/>
      <c r="K1572"/>
    </row>
    <row r="1573" spans="5:11" x14ac:dyDescent="0.2">
      <c r="E1573" s="50"/>
      <c r="H1573" s="12"/>
      <c r="K1573"/>
    </row>
    <row r="1574" spans="5:11" x14ac:dyDescent="0.2">
      <c r="E1574" s="50"/>
      <c r="H1574" s="12"/>
      <c r="K1574"/>
    </row>
    <row r="1575" spans="5:11" x14ac:dyDescent="0.2">
      <c r="E1575" s="50"/>
      <c r="H1575" s="12"/>
      <c r="K1575"/>
    </row>
    <row r="1576" spans="5:11" x14ac:dyDescent="0.2">
      <c r="E1576" s="50"/>
      <c r="H1576" s="12"/>
      <c r="K1576"/>
    </row>
    <row r="1577" spans="5:11" x14ac:dyDescent="0.2">
      <c r="E1577" s="50"/>
      <c r="H1577" s="12"/>
      <c r="K1577"/>
    </row>
    <row r="1578" spans="5:11" x14ac:dyDescent="0.2">
      <c r="E1578" s="50"/>
      <c r="H1578" s="12"/>
      <c r="K1578"/>
    </row>
    <row r="1579" spans="5:11" x14ac:dyDescent="0.2">
      <c r="E1579" s="50"/>
      <c r="H1579" s="12"/>
      <c r="K1579"/>
    </row>
    <row r="1580" spans="5:11" x14ac:dyDescent="0.2">
      <c r="E1580" s="50"/>
      <c r="H1580" s="12"/>
      <c r="K1580"/>
    </row>
    <row r="1581" spans="5:11" x14ac:dyDescent="0.2">
      <c r="E1581" s="50"/>
      <c r="H1581" s="12"/>
      <c r="K1581"/>
    </row>
    <row r="1582" spans="5:11" x14ac:dyDescent="0.2">
      <c r="E1582" s="50"/>
      <c r="H1582" s="12"/>
      <c r="K1582"/>
    </row>
    <row r="1583" spans="5:11" x14ac:dyDescent="0.2">
      <c r="E1583" s="50"/>
      <c r="H1583" s="12"/>
      <c r="K1583"/>
    </row>
    <row r="1584" spans="5:11" x14ac:dyDescent="0.2">
      <c r="E1584" s="50"/>
      <c r="H1584" s="12"/>
      <c r="K1584"/>
    </row>
    <row r="1585" spans="5:11" x14ac:dyDescent="0.2">
      <c r="E1585" s="50"/>
      <c r="H1585" s="12"/>
      <c r="K1585"/>
    </row>
    <row r="1586" spans="5:11" x14ac:dyDescent="0.2">
      <c r="E1586" s="50"/>
      <c r="H1586" s="12"/>
      <c r="K1586"/>
    </row>
    <row r="1587" spans="5:11" x14ac:dyDescent="0.2">
      <c r="E1587" s="50"/>
      <c r="H1587" s="12"/>
      <c r="K1587"/>
    </row>
    <row r="1588" spans="5:11" x14ac:dyDescent="0.2">
      <c r="E1588" s="50"/>
      <c r="H1588" s="12"/>
      <c r="K1588"/>
    </row>
    <row r="1589" spans="5:11" x14ac:dyDescent="0.2">
      <c r="E1589" s="50"/>
      <c r="H1589" s="12"/>
      <c r="K1589"/>
    </row>
    <row r="1590" spans="5:11" x14ac:dyDescent="0.2">
      <c r="E1590" s="50"/>
      <c r="H1590" s="12"/>
      <c r="K1590"/>
    </row>
    <row r="1591" spans="5:11" x14ac:dyDescent="0.2">
      <c r="E1591" s="50"/>
      <c r="H1591" s="12"/>
      <c r="K1591"/>
    </row>
    <row r="1592" spans="5:11" x14ac:dyDescent="0.2">
      <c r="E1592" s="50"/>
      <c r="H1592" s="12"/>
      <c r="K1592"/>
    </row>
    <row r="1593" spans="5:11" x14ac:dyDescent="0.2">
      <c r="E1593" s="50"/>
      <c r="H1593" s="12"/>
      <c r="K1593"/>
    </row>
    <row r="1594" spans="5:11" x14ac:dyDescent="0.2">
      <c r="E1594" s="50"/>
      <c r="H1594" s="12"/>
      <c r="K1594"/>
    </row>
    <row r="1595" spans="5:11" x14ac:dyDescent="0.2">
      <c r="E1595" s="50"/>
      <c r="H1595" s="12"/>
      <c r="K1595"/>
    </row>
    <row r="1596" spans="5:11" x14ac:dyDescent="0.2">
      <c r="E1596" s="50"/>
      <c r="H1596" s="12"/>
      <c r="K1596"/>
    </row>
    <row r="1597" spans="5:11" x14ac:dyDescent="0.2">
      <c r="E1597" s="50"/>
      <c r="H1597" s="12"/>
      <c r="K1597"/>
    </row>
    <row r="1598" spans="5:11" x14ac:dyDescent="0.2">
      <c r="E1598" s="50"/>
      <c r="H1598" s="12"/>
      <c r="K1598"/>
    </row>
    <row r="1599" spans="5:11" x14ac:dyDescent="0.2">
      <c r="E1599" s="50"/>
      <c r="H1599" s="12"/>
      <c r="K1599"/>
    </row>
    <row r="1600" spans="5:11" x14ac:dyDescent="0.2">
      <c r="E1600" s="50"/>
      <c r="H1600" s="12"/>
      <c r="K1600"/>
    </row>
    <row r="1601" spans="5:11" x14ac:dyDescent="0.2">
      <c r="E1601" s="50"/>
      <c r="H1601" s="12"/>
      <c r="K1601"/>
    </row>
    <row r="1602" spans="5:11" x14ac:dyDescent="0.2">
      <c r="E1602" s="50"/>
      <c r="H1602" s="12"/>
      <c r="K1602"/>
    </row>
    <row r="1603" spans="5:11" x14ac:dyDescent="0.2">
      <c r="E1603" s="50"/>
      <c r="H1603" s="12"/>
      <c r="K1603"/>
    </row>
    <row r="1604" spans="5:11" x14ac:dyDescent="0.2">
      <c r="E1604" s="50"/>
      <c r="H1604" s="12"/>
      <c r="K1604"/>
    </row>
    <row r="1605" spans="5:11" x14ac:dyDescent="0.2">
      <c r="E1605" s="50"/>
      <c r="H1605" s="12"/>
      <c r="K1605"/>
    </row>
    <row r="1606" spans="5:11" x14ac:dyDescent="0.2">
      <c r="E1606" s="50"/>
      <c r="H1606" s="12"/>
      <c r="K1606"/>
    </row>
    <row r="1607" spans="5:11" x14ac:dyDescent="0.2">
      <c r="E1607" s="50"/>
      <c r="H1607" s="12"/>
      <c r="K1607"/>
    </row>
    <row r="1608" spans="5:11" x14ac:dyDescent="0.2">
      <c r="E1608" s="50"/>
      <c r="H1608" s="12"/>
      <c r="K1608"/>
    </row>
    <row r="1609" spans="5:11" x14ac:dyDescent="0.2">
      <c r="E1609" s="50"/>
      <c r="H1609" s="12"/>
      <c r="K1609"/>
    </row>
    <row r="1610" spans="5:11" x14ac:dyDescent="0.2">
      <c r="E1610" s="50"/>
      <c r="H1610" s="12"/>
      <c r="K1610"/>
    </row>
    <row r="1611" spans="5:11" x14ac:dyDescent="0.2">
      <c r="E1611" s="50"/>
      <c r="H1611" s="12"/>
      <c r="K1611"/>
    </row>
    <row r="1612" spans="5:11" x14ac:dyDescent="0.2">
      <c r="E1612" s="50"/>
      <c r="H1612" s="12"/>
      <c r="K1612"/>
    </row>
    <row r="1613" spans="5:11" x14ac:dyDescent="0.2">
      <c r="E1613" s="50"/>
      <c r="H1613" s="12"/>
      <c r="K1613"/>
    </row>
    <row r="1614" spans="5:11" x14ac:dyDescent="0.2">
      <c r="E1614" s="50"/>
      <c r="H1614" s="12"/>
      <c r="K1614"/>
    </row>
    <row r="1615" spans="5:11" x14ac:dyDescent="0.2">
      <c r="E1615" s="50"/>
      <c r="H1615" s="12"/>
      <c r="K1615"/>
    </row>
    <row r="1616" spans="5:11" x14ac:dyDescent="0.2">
      <c r="E1616" s="50"/>
      <c r="H1616" s="12"/>
      <c r="K1616"/>
    </row>
    <row r="1617" spans="5:11" x14ac:dyDescent="0.2">
      <c r="E1617" s="50"/>
      <c r="H1617" s="12"/>
      <c r="K1617"/>
    </row>
    <row r="1618" spans="5:11" x14ac:dyDescent="0.2">
      <c r="E1618" s="50"/>
      <c r="H1618" s="12"/>
      <c r="K1618"/>
    </row>
    <row r="1619" spans="5:11" x14ac:dyDescent="0.2">
      <c r="E1619" s="50"/>
      <c r="H1619" s="12"/>
      <c r="K1619"/>
    </row>
    <row r="1620" spans="5:11" x14ac:dyDescent="0.2">
      <c r="E1620" s="50"/>
      <c r="H1620" s="12"/>
      <c r="K1620"/>
    </row>
    <row r="1621" spans="5:11" x14ac:dyDescent="0.2">
      <c r="E1621" s="50"/>
      <c r="H1621" s="12"/>
      <c r="K1621"/>
    </row>
    <row r="1622" spans="5:11" x14ac:dyDescent="0.2">
      <c r="E1622" s="50"/>
      <c r="H1622" s="12"/>
      <c r="K1622"/>
    </row>
    <row r="1623" spans="5:11" x14ac:dyDescent="0.2">
      <c r="E1623" s="50"/>
      <c r="H1623" s="12"/>
      <c r="K1623"/>
    </row>
    <row r="1624" spans="5:11" x14ac:dyDescent="0.2">
      <c r="E1624" s="50"/>
      <c r="H1624" s="12"/>
      <c r="K1624"/>
    </row>
    <row r="1625" spans="5:11" x14ac:dyDescent="0.2">
      <c r="E1625" s="50"/>
      <c r="H1625" s="12"/>
      <c r="K1625"/>
    </row>
    <row r="1626" spans="5:11" x14ac:dyDescent="0.2">
      <c r="E1626" s="50"/>
      <c r="H1626" s="12"/>
      <c r="K1626"/>
    </row>
    <row r="1627" spans="5:11" x14ac:dyDescent="0.2">
      <c r="E1627" s="50"/>
      <c r="H1627" s="12"/>
      <c r="K1627"/>
    </row>
    <row r="1628" spans="5:11" x14ac:dyDescent="0.2">
      <c r="E1628" s="50"/>
      <c r="H1628" s="12"/>
      <c r="K1628"/>
    </row>
    <row r="1629" spans="5:11" x14ac:dyDescent="0.2">
      <c r="E1629" s="50"/>
      <c r="H1629" s="12"/>
      <c r="K1629"/>
    </row>
    <row r="1630" spans="5:11" x14ac:dyDescent="0.2">
      <c r="E1630" s="50"/>
      <c r="H1630" s="12"/>
      <c r="K1630"/>
    </row>
    <row r="1631" spans="5:11" x14ac:dyDescent="0.2">
      <c r="E1631" s="50"/>
      <c r="H1631" s="12"/>
      <c r="K1631"/>
    </row>
    <row r="1632" spans="5:11" x14ac:dyDescent="0.2">
      <c r="E1632" s="50"/>
      <c r="H1632" s="12"/>
      <c r="K1632"/>
    </row>
    <row r="1633" spans="5:11" x14ac:dyDescent="0.2">
      <c r="E1633" s="50"/>
      <c r="H1633" s="12"/>
      <c r="K1633"/>
    </row>
    <row r="1634" spans="5:11" x14ac:dyDescent="0.2">
      <c r="E1634" s="50"/>
      <c r="H1634" s="12"/>
      <c r="K1634"/>
    </row>
    <row r="1635" spans="5:11" x14ac:dyDescent="0.2">
      <c r="E1635" s="50"/>
      <c r="H1635" s="12"/>
      <c r="K1635"/>
    </row>
    <row r="1636" spans="5:11" x14ac:dyDescent="0.2">
      <c r="E1636" s="50"/>
      <c r="H1636" s="12"/>
      <c r="K1636"/>
    </row>
    <row r="1637" spans="5:11" x14ac:dyDescent="0.2">
      <c r="E1637" s="50"/>
      <c r="H1637" s="12"/>
      <c r="K1637"/>
    </row>
    <row r="1638" spans="5:11" x14ac:dyDescent="0.2">
      <c r="E1638" s="50"/>
      <c r="H1638" s="12"/>
      <c r="K1638"/>
    </row>
    <row r="1639" spans="5:11" x14ac:dyDescent="0.2">
      <c r="E1639" s="50"/>
      <c r="H1639" s="12"/>
      <c r="K1639"/>
    </row>
    <row r="1640" spans="5:11" x14ac:dyDescent="0.2">
      <c r="E1640" s="50"/>
      <c r="H1640" s="12"/>
      <c r="K1640"/>
    </row>
    <row r="1641" spans="5:11" x14ac:dyDescent="0.2">
      <c r="E1641" s="50"/>
      <c r="H1641" s="12"/>
      <c r="K1641"/>
    </row>
    <row r="1642" spans="5:11" x14ac:dyDescent="0.2">
      <c r="E1642" s="50"/>
      <c r="H1642" s="12"/>
      <c r="K1642"/>
    </row>
    <row r="1643" spans="5:11" x14ac:dyDescent="0.2">
      <c r="E1643" s="50"/>
      <c r="H1643" s="12"/>
      <c r="K1643"/>
    </row>
    <row r="1644" spans="5:11" x14ac:dyDescent="0.2">
      <c r="E1644" s="50"/>
      <c r="H1644" s="12"/>
      <c r="K1644"/>
    </row>
    <row r="1645" spans="5:11" x14ac:dyDescent="0.2">
      <c r="E1645" s="50"/>
      <c r="H1645" s="12"/>
      <c r="K1645"/>
    </row>
    <row r="1646" spans="5:11" x14ac:dyDescent="0.2">
      <c r="E1646" s="50"/>
      <c r="H1646" s="12"/>
      <c r="K1646"/>
    </row>
    <row r="1647" spans="5:11" x14ac:dyDescent="0.2">
      <c r="E1647" s="50"/>
      <c r="H1647" s="12"/>
      <c r="K1647"/>
    </row>
    <row r="1648" spans="5:11" x14ac:dyDescent="0.2">
      <c r="E1648" s="50"/>
      <c r="H1648" s="12"/>
      <c r="K1648"/>
    </row>
    <row r="1649" spans="5:11" x14ac:dyDescent="0.2">
      <c r="E1649" s="50"/>
      <c r="H1649" s="12"/>
      <c r="K1649"/>
    </row>
    <row r="1650" spans="5:11" x14ac:dyDescent="0.2">
      <c r="E1650" s="50"/>
      <c r="H1650" s="12"/>
      <c r="K1650"/>
    </row>
    <row r="1651" spans="5:11" x14ac:dyDescent="0.2">
      <c r="E1651" s="50"/>
      <c r="H1651" s="12"/>
      <c r="K1651"/>
    </row>
    <row r="1652" spans="5:11" x14ac:dyDescent="0.2">
      <c r="E1652" s="50"/>
      <c r="H1652" s="12"/>
      <c r="K1652"/>
    </row>
    <row r="1653" spans="5:11" x14ac:dyDescent="0.2">
      <c r="E1653" s="50"/>
      <c r="H1653" s="12"/>
      <c r="K1653"/>
    </row>
    <row r="1654" spans="5:11" x14ac:dyDescent="0.2">
      <c r="E1654" s="50"/>
      <c r="H1654" s="12"/>
      <c r="K1654"/>
    </row>
    <row r="1655" spans="5:11" x14ac:dyDescent="0.2">
      <c r="E1655" s="50"/>
      <c r="H1655" s="12"/>
      <c r="K1655"/>
    </row>
    <row r="1656" spans="5:11" x14ac:dyDescent="0.2">
      <c r="E1656" s="50"/>
      <c r="H1656" s="12"/>
      <c r="K1656"/>
    </row>
    <row r="1657" spans="5:11" x14ac:dyDescent="0.2">
      <c r="E1657" s="50"/>
      <c r="H1657" s="12"/>
      <c r="K1657"/>
    </row>
    <row r="1658" spans="5:11" x14ac:dyDescent="0.2">
      <c r="E1658" s="50"/>
      <c r="H1658" s="12"/>
      <c r="K1658"/>
    </row>
    <row r="1659" spans="5:11" x14ac:dyDescent="0.2">
      <c r="E1659" s="50"/>
      <c r="H1659" s="12"/>
      <c r="K1659"/>
    </row>
    <row r="1660" spans="5:11" x14ac:dyDescent="0.2">
      <c r="E1660" s="50"/>
      <c r="H1660" s="12"/>
      <c r="K1660"/>
    </row>
    <row r="1661" spans="5:11" x14ac:dyDescent="0.2">
      <c r="E1661" s="50"/>
      <c r="H1661" s="12"/>
      <c r="K1661"/>
    </row>
    <row r="1662" spans="5:11" x14ac:dyDescent="0.2">
      <c r="E1662" s="50"/>
      <c r="H1662" s="12"/>
      <c r="K1662"/>
    </row>
    <row r="1663" spans="5:11" x14ac:dyDescent="0.2">
      <c r="E1663" s="50"/>
      <c r="H1663" s="12"/>
      <c r="K1663"/>
    </row>
    <row r="1664" spans="5:11" x14ac:dyDescent="0.2">
      <c r="E1664" s="50"/>
      <c r="H1664" s="12"/>
      <c r="K1664"/>
    </row>
    <row r="1665" spans="5:11" x14ac:dyDescent="0.2">
      <c r="E1665" s="50"/>
      <c r="H1665" s="12"/>
      <c r="K1665"/>
    </row>
    <row r="1666" spans="5:11" x14ac:dyDescent="0.2">
      <c r="E1666" s="50"/>
      <c r="H1666" s="12"/>
      <c r="K1666"/>
    </row>
    <row r="1667" spans="5:11" x14ac:dyDescent="0.2">
      <c r="E1667" s="50"/>
      <c r="H1667" s="12"/>
      <c r="K1667"/>
    </row>
    <row r="1668" spans="5:11" x14ac:dyDescent="0.2">
      <c r="E1668" s="50"/>
      <c r="H1668" s="12"/>
      <c r="K1668"/>
    </row>
    <row r="1669" spans="5:11" x14ac:dyDescent="0.2">
      <c r="E1669" s="50"/>
      <c r="H1669" s="12"/>
      <c r="K1669"/>
    </row>
    <row r="1670" spans="5:11" x14ac:dyDescent="0.2">
      <c r="E1670" s="50"/>
      <c r="H1670" s="12"/>
      <c r="K1670"/>
    </row>
    <row r="1671" spans="5:11" x14ac:dyDescent="0.2">
      <c r="E1671" s="50"/>
      <c r="H1671" s="12"/>
      <c r="K1671"/>
    </row>
    <row r="1672" spans="5:11" x14ac:dyDescent="0.2">
      <c r="E1672" s="50"/>
      <c r="H1672" s="12"/>
      <c r="K1672"/>
    </row>
    <row r="1673" spans="5:11" x14ac:dyDescent="0.2">
      <c r="E1673" s="50"/>
      <c r="H1673" s="12"/>
      <c r="K1673"/>
    </row>
    <row r="1674" spans="5:11" x14ac:dyDescent="0.2">
      <c r="E1674" s="50"/>
      <c r="H1674" s="12"/>
      <c r="K1674"/>
    </row>
    <row r="1675" spans="5:11" x14ac:dyDescent="0.2">
      <c r="E1675" s="50"/>
      <c r="H1675" s="12"/>
      <c r="K1675"/>
    </row>
    <row r="1676" spans="5:11" x14ac:dyDescent="0.2">
      <c r="E1676" s="50"/>
      <c r="H1676" s="12"/>
      <c r="K1676"/>
    </row>
    <row r="1677" spans="5:11" x14ac:dyDescent="0.2">
      <c r="E1677" s="50"/>
      <c r="H1677" s="12"/>
      <c r="K1677"/>
    </row>
    <row r="1678" spans="5:11" x14ac:dyDescent="0.2">
      <c r="E1678" s="50"/>
      <c r="H1678" s="12"/>
      <c r="K1678"/>
    </row>
    <row r="1679" spans="5:11" x14ac:dyDescent="0.2">
      <c r="E1679" s="50"/>
      <c r="H1679" s="12"/>
      <c r="K1679"/>
    </row>
    <row r="1680" spans="5:11" x14ac:dyDescent="0.2">
      <c r="E1680" s="50"/>
      <c r="H1680" s="12"/>
      <c r="K1680"/>
    </row>
    <row r="1681" spans="5:11" x14ac:dyDescent="0.2">
      <c r="E1681" s="50"/>
      <c r="H1681" s="12"/>
      <c r="K1681"/>
    </row>
    <row r="1682" spans="5:11" x14ac:dyDescent="0.2">
      <c r="E1682" s="50"/>
      <c r="H1682" s="12"/>
      <c r="K1682"/>
    </row>
    <row r="1683" spans="5:11" x14ac:dyDescent="0.2">
      <c r="E1683" s="50"/>
      <c r="H1683" s="12"/>
      <c r="K1683"/>
    </row>
    <row r="1684" spans="5:11" x14ac:dyDescent="0.2">
      <c r="E1684" s="50"/>
      <c r="H1684" s="12"/>
      <c r="K1684"/>
    </row>
    <row r="1685" spans="5:11" x14ac:dyDescent="0.2">
      <c r="E1685" s="50"/>
      <c r="H1685" s="12"/>
      <c r="K1685"/>
    </row>
    <row r="1686" spans="5:11" x14ac:dyDescent="0.2">
      <c r="E1686" s="50"/>
      <c r="H1686" s="12"/>
      <c r="K1686"/>
    </row>
    <row r="1687" spans="5:11" x14ac:dyDescent="0.2">
      <c r="E1687" s="50"/>
      <c r="H1687" s="12"/>
      <c r="K1687"/>
    </row>
    <row r="1688" spans="5:11" x14ac:dyDescent="0.2">
      <c r="E1688" s="50"/>
      <c r="H1688" s="12"/>
      <c r="K1688"/>
    </row>
    <row r="1689" spans="5:11" x14ac:dyDescent="0.2">
      <c r="E1689" s="50"/>
      <c r="H1689" s="12"/>
      <c r="K1689"/>
    </row>
    <row r="1690" spans="5:11" x14ac:dyDescent="0.2">
      <c r="E1690" s="50"/>
      <c r="H1690" s="12"/>
      <c r="K1690"/>
    </row>
    <row r="1691" spans="5:11" x14ac:dyDescent="0.2">
      <c r="E1691" s="50"/>
      <c r="H1691" s="12"/>
      <c r="K1691"/>
    </row>
    <row r="1692" spans="5:11" x14ac:dyDescent="0.2">
      <c r="E1692" s="50"/>
      <c r="H1692" s="12"/>
      <c r="K1692"/>
    </row>
    <row r="1693" spans="5:11" x14ac:dyDescent="0.2">
      <c r="E1693" s="50"/>
      <c r="H1693" s="12"/>
      <c r="K1693"/>
    </row>
    <row r="1694" spans="5:11" x14ac:dyDescent="0.2">
      <c r="E1694" s="50"/>
      <c r="H1694" s="12"/>
      <c r="K1694"/>
    </row>
    <row r="1695" spans="5:11" x14ac:dyDescent="0.2">
      <c r="E1695" s="50"/>
      <c r="H1695" s="12"/>
      <c r="K1695"/>
    </row>
    <row r="1696" spans="5:11" x14ac:dyDescent="0.2">
      <c r="E1696" s="50"/>
      <c r="H1696" s="12"/>
      <c r="K1696"/>
    </row>
    <row r="1697" spans="5:11" x14ac:dyDescent="0.2">
      <c r="E1697" s="50"/>
      <c r="H1697" s="12"/>
      <c r="K1697"/>
    </row>
    <row r="1698" spans="5:11" x14ac:dyDescent="0.2">
      <c r="E1698" s="50"/>
      <c r="H1698" s="12"/>
      <c r="K1698"/>
    </row>
    <row r="1699" spans="5:11" x14ac:dyDescent="0.2">
      <c r="E1699" s="50"/>
      <c r="H1699" s="12"/>
      <c r="K1699"/>
    </row>
    <row r="1700" spans="5:11" x14ac:dyDescent="0.2">
      <c r="E1700" s="50"/>
      <c r="H1700" s="12"/>
      <c r="K1700"/>
    </row>
    <row r="1701" spans="5:11" x14ac:dyDescent="0.2">
      <c r="E1701" s="50"/>
      <c r="H1701" s="12"/>
      <c r="K1701"/>
    </row>
    <row r="1702" spans="5:11" x14ac:dyDescent="0.2">
      <c r="E1702" s="50"/>
      <c r="H1702" s="12"/>
      <c r="K1702"/>
    </row>
    <row r="1703" spans="5:11" x14ac:dyDescent="0.2">
      <c r="E1703" s="50"/>
      <c r="H1703" s="12"/>
      <c r="K1703"/>
    </row>
    <row r="1704" spans="5:11" x14ac:dyDescent="0.2">
      <c r="E1704" s="50"/>
      <c r="H1704" s="12"/>
      <c r="K1704"/>
    </row>
    <row r="1705" spans="5:11" x14ac:dyDescent="0.2">
      <c r="E1705" s="50"/>
      <c r="H1705" s="12"/>
      <c r="K1705"/>
    </row>
    <row r="1706" spans="5:11" x14ac:dyDescent="0.2">
      <c r="E1706" s="50"/>
      <c r="H1706" s="12"/>
      <c r="K1706"/>
    </row>
    <row r="1707" spans="5:11" x14ac:dyDescent="0.2">
      <c r="E1707" s="50"/>
      <c r="H1707" s="12"/>
      <c r="K1707"/>
    </row>
    <row r="1708" spans="5:11" x14ac:dyDescent="0.2">
      <c r="E1708" s="50"/>
      <c r="H1708" s="12"/>
      <c r="K1708"/>
    </row>
    <row r="1709" spans="5:11" x14ac:dyDescent="0.2">
      <c r="E1709" s="50"/>
      <c r="H1709" s="12"/>
      <c r="K1709"/>
    </row>
    <row r="1710" spans="5:11" x14ac:dyDescent="0.2">
      <c r="E1710" s="50"/>
      <c r="H1710" s="12"/>
      <c r="K1710"/>
    </row>
    <row r="1711" spans="5:11" x14ac:dyDescent="0.2">
      <c r="E1711" s="50"/>
      <c r="H1711" s="12"/>
      <c r="K1711"/>
    </row>
    <row r="1712" spans="5:11" x14ac:dyDescent="0.2">
      <c r="E1712" s="50"/>
      <c r="H1712" s="12"/>
      <c r="K1712"/>
    </row>
    <row r="1713" spans="5:11" x14ac:dyDescent="0.2">
      <c r="E1713" s="50"/>
      <c r="H1713" s="12"/>
      <c r="K1713"/>
    </row>
    <row r="1714" spans="5:11" x14ac:dyDescent="0.2">
      <c r="E1714" s="50"/>
      <c r="H1714" s="12"/>
      <c r="K1714"/>
    </row>
    <row r="1715" spans="5:11" x14ac:dyDescent="0.2">
      <c r="E1715" s="50"/>
      <c r="H1715" s="12"/>
      <c r="K1715"/>
    </row>
    <row r="1716" spans="5:11" x14ac:dyDescent="0.2">
      <c r="E1716" s="50"/>
      <c r="H1716" s="12"/>
      <c r="K1716"/>
    </row>
    <row r="1717" spans="5:11" x14ac:dyDescent="0.2">
      <c r="E1717" s="50"/>
      <c r="H1717" s="12"/>
      <c r="K1717"/>
    </row>
    <row r="1718" spans="5:11" x14ac:dyDescent="0.2">
      <c r="E1718" s="50"/>
      <c r="H1718" s="12"/>
      <c r="K1718"/>
    </row>
    <row r="1719" spans="5:11" x14ac:dyDescent="0.2">
      <c r="E1719" s="50"/>
      <c r="H1719" s="12"/>
      <c r="K1719"/>
    </row>
    <row r="1720" spans="5:11" x14ac:dyDescent="0.2">
      <c r="E1720" s="50"/>
      <c r="H1720" s="12"/>
      <c r="K1720"/>
    </row>
    <row r="1721" spans="5:11" x14ac:dyDescent="0.2">
      <c r="E1721" s="50"/>
      <c r="H1721" s="12"/>
      <c r="K1721"/>
    </row>
    <row r="1722" spans="5:11" x14ac:dyDescent="0.2">
      <c r="E1722" s="50"/>
      <c r="H1722" s="12"/>
      <c r="K1722"/>
    </row>
    <row r="1723" spans="5:11" x14ac:dyDescent="0.2">
      <c r="E1723" s="50"/>
      <c r="H1723" s="12"/>
      <c r="K1723"/>
    </row>
    <row r="1724" spans="5:11" x14ac:dyDescent="0.2">
      <c r="E1724" s="50"/>
      <c r="H1724" s="12"/>
      <c r="K1724"/>
    </row>
    <row r="1725" spans="5:11" x14ac:dyDescent="0.2">
      <c r="E1725" s="50"/>
      <c r="H1725" s="12"/>
      <c r="K1725"/>
    </row>
    <row r="1726" spans="5:11" x14ac:dyDescent="0.2">
      <c r="E1726" s="50"/>
      <c r="H1726" s="12"/>
      <c r="K1726"/>
    </row>
    <row r="1727" spans="5:11" x14ac:dyDescent="0.2">
      <c r="E1727" s="50"/>
      <c r="H1727" s="12"/>
      <c r="K1727"/>
    </row>
    <row r="1728" spans="5:11" x14ac:dyDescent="0.2">
      <c r="E1728" s="50"/>
      <c r="H1728" s="12"/>
      <c r="K1728"/>
    </row>
    <row r="1729" spans="5:11" x14ac:dyDescent="0.2">
      <c r="E1729" s="50"/>
      <c r="H1729" s="12"/>
      <c r="K1729"/>
    </row>
    <row r="1730" spans="5:11" x14ac:dyDescent="0.2">
      <c r="E1730" s="50"/>
      <c r="H1730" s="12"/>
      <c r="K1730"/>
    </row>
    <row r="1731" spans="5:11" x14ac:dyDescent="0.2">
      <c r="E1731" s="50"/>
      <c r="H1731" s="12"/>
      <c r="K1731"/>
    </row>
    <row r="1732" spans="5:11" x14ac:dyDescent="0.2">
      <c r="E1732" s="50"/>
      <c r="H1732" s="12"/>
      <c r="K1732"/>
    </row>
    <row r="1733" spans="5:11" x14ac:dyDescent="0.2">
      <c r="E1733" s="50"/>
      <c r="H1733" s="12"/>
      <c r="K1733"/>
    </row>
    <row r="1734" spans="5:11" x14ac:dyDescent="0.2">
      <c r="E1734" s="50"/>
      <c r="H1734" s="12"/>
      <c r="K1734"/>
    </row>
    <row r="1735" spans="5:11" x14ac:dyDescent="0.2">
      <c r="E1735" s="50"/>
      <c r="H1735" s="12"/>
      <c r="K1735"/>
    </row>
    <row r="1736" spans="5:11" x14ac:dyDescent="0.2">
      <c r="E1736" s="50"/>
      <c r="H1736" s="12"/>
      <c r="K1736"/>
    </row>
    <row r="1737" spans="5:11" x14ac:dyDescent="0.2">
      <c r="E1737" s="50"/>
      <c r="H1737" s="12"/>
      <c r="K1737"/>
    </row>
    <row r="1738" spans="5:11" x14ac:dyDescent="0.2">
      <c r="E1738" s="50"/>
      <c r="H1738" s="12"/>
      <c r="K1738"/>
    </row>
    <row r="1739" spans="5:11" x14ac:dyDescent="0.2">
      <c r="E1739" s="50"/>
      <c r="H1739" s="12"/>
      <c r="K1739"/>
    </row>
    <row r="1740" spans="5:11" x14ac:dyDescent="0.2">
      <c r="E1740" s="50"/>
      <c r="H1740" s="12"/>
      <c r="K1740"/>
    </row>
    <row r="1741" spans="5:11" x14ac:dyDescent="0.2">
      <c r="E1741" s="50"/>
      <c r="H1741" s="12"/>
      <c r="K1741"/>
    </row>
    <row r="1742" spans="5:11" x14ac:dyDescent="0.2">
      <c r="E1742" s="50"/>
      <c r="H1742" s="12"/>
      <c r="K1742"/>
    </row>
    <row r="1743" spans="5:11" x14ac:dyDescent="0.2">
      <c r="E1743" s="50"/>
      <c r="H1743" s="12"/>
      <c r="K1743"/>
    </row>
    <row r="1744" spans="5:11" x14ac:dyDescent="0.2">
      <c r="E1744" s="50"/>
      <c r="H1744" s="12"/>
      <c r="K1744"/>
    </row>
    <row r="1745" spans="5:11" x14ac:dyDescent="0.2">
      <c r="E1745" s="50"/>
      <c r="H1745" s="12"/>
      <c r="K1745"/>
    </row>
    <row r="1746" spans="5:11" x14ac:dyDescent="0.2">
      <c r="E1746" s="50"/>
      <c r="H1746" s="12"/>
      <c r="K1746"/>
    </row>
    <row r="1747" spans="5:11" x14ac:dyDescent="0.2">
      <c r="E1747" s="50"/>
      <c r="H1747" s="12"/>
      <c r="K1747"/>
    </row>
    <row r="1748" spans="5:11" x14ac:dyDescent="0.2">
      <c r="E1748" s="50"/>
      <c r="H1748" s="12"/>
      <c r="K1748"/>
    </row>
    <row r="1749" spans="5:11" x14ac:dyDescent="0.2">
      <c r="E1749" s="50"/>
      <c r="H1749" s="12"/>
      <c r="K1749"/>
    </row>
    <row r="1750" spans="5:11" x14ac:dyDescent="0.2">
      <c r="E1750" s="50"/>
      <c r="H1750" s="12"/>
      <c r="K1750"/>
    </row>
    <row r="1751" spans="5:11" x14ac:dyDescent="0.2">
      <c r="E1751" s="50"/>
      <c r="H1751" s="12"/>
      <c r="K1751"/>
    </row>
    <row r="1752" spans="5:11" x14ac:dyDescent="0.2">
      <c r="E1752" s="50"/>
      <c r="H1752" s="12"/>
      <c r="K1752"/>
    </row>
    <row r="1753" spans="5:11" x14ac:dyDescent="0.2">
      <c r="E1753" s="50"/>
      <c r="H1753" s="12"/>
      <c r="K1753"/>
    </row>
    <row r="1754" spans="5:11" x14ac:dyDescent="0.2">
      <c r="E1754" s="50"/>
      <c r="H1754" s="12"/>
      <c r="K1754"/>
    </row>
    <row r="1755" spans="5:11" x14ac:dyDescent="0.2">
      <c r="E1755" s="50"/>
      <c r="H1755" s="12"/>
      <c r="K1755"/>
    </row>
    <row r="1756" spans="5:11" x14ac:dyDescent="0.2">
      <c r="E1756" s="50"/>
      <c r="H1756" s="12"/>
      <c r="K1756"/>
    </row>
    <row r="1757" spans="5:11" x14ac:dyDescent="0.2">
      <c r="E1757" s="50"/>
      <c r="H1757" s="12"/>
      <c r="K1757"/>
    </row>
    <row r="1758" spans="5:11" x14ac:dyDescent="0.2">
      <c r="E1758" s="50"/>
      <c r="H1758" s="12"/>
      <c r="K1758"/>
    </row>
    <row r="1759" spans="5:11" x14ac:dyDescent="0.2">
      <c r="E1759" s="50"/>
      <c r="H1759" s="12"/>
      <c r="K1759"/>
    </row>
    <row r="1760" spans="5:11" x14ac:dyDescent="0.2">
      <c r="E1760" s="50"/>
      <c r="H1760" s="12"/>
      <c r="K1760"/>
    </row>
    <row r="1761" spans="5:11" x14ac:dyDescent="0.2">
      <c r="E1761" s="50"/>
      <c r="H1761" s="12"/>
      <c r="K1761"/>
    </row>
    <row r="1762" spans="5:11" x14ac:dyDescent="0.2">
      <c r="E1762" s="50"/>
      <c r="H1762" s="12"/>
      <c r="K1762"/>
    </row>
    <row r="1763" spans="5:11" x14ac:dyDescent="0.2">
      <c r="E1763" s="50"/>
      <c r="H1763" s="12"/>
      <c r="K1763"/>
    </row>
    <row r="1764" spans="5:11" x14ac:dyDescent="0.2">
      <c r="E1764" s="50"/>
      <c r="H1764" s="12"/>
      <c r="K1764"/>
    </row>
    <row r="1765" spans="5:11" x14ac:dyDescent="0.2">
      <c r="E1765" s="50"/>
      <c r="H1765" s="12"/>
      <c r="K1765"/>
    </row>
    <row r="1766" spans="5:11" x14ac:dyDescent="0.2">
      <c r="E1766" s="50"/>
      <c r="H1766" s="12"/>
      <c r="K1766"/>
    </row>
    <row r="1767" spans="5:11" x14ac:dyDescent="0.2">
      <c r="E1767" s="50"/>
      <c r="H1767" s="12"/>
      <c r="K1767"/>
    </row>
    <row r="1768" spans="5:11" x14ac:dyDescent="0.2">
      <c r="E1768" s="50"/>
      <c r="H1768" s="12"/>
      <c r="K1768"/>
    </row>
    <row r="1769" spans="5:11" x14ac:dyDescent="0.2">
      <c r="E1769" s="50"/>
      <c r="H1769" s="12"/>
      <c r="K1769"/>
    </row>
    <row r="1770" spans="5:11" x14ac:dyDescent="0.2">
      <c r="E1770" s="50"/>
      <c r="H1770" s="12"/>
      <c r="K1770"/>
    </row>
    <row r="1771" spans="5:11" x14ac:dyDescent="0.2">
      <c r="E1771" s="50"/>
      <c r="H1771" s="12"/>
      <c r="K1771"/>
    </row>
    <row r="1772" spans="5:11" x14ac:dyDescent="0.2">
      <c r="E1772" s="50"/>
      <c r="H1772" s="12"/>
      <c r="K1772"/>
    </row>
    <row r="1773" spans="5:11" x14ac:dyDescent="0.2">
      <c r="E1773" s="50"/>
      <c r="H1773" s="12"/>
      <c r="K1773"/>
    </row>
    <row r="1774" spans="5:11" x14ac:dyDescent="0.2">
      <c r="E1774" s="50"/>
      <c r="H1774" s="12"/>
      <c r="K1774"/>
    </row>
    <row r="1775" spans="5:11" x14ac:dyDescent="0.2">
      <c r="E1775" s="50"/>
      <c r="H1775" s="12"/>
      <c r="K1775"/>
    </row>
    <row r="1776" spans="5:11" x14ac:dyDescent="0.2">
      <c r="E1776" s="50"/>
      <c r="H1776" s="12"/>
      <c r="K1776"/>
    </row>
    <row r="1777" spans="5:11" x14ac:dyDescent="0.2">
      <c r="E1777" s="50"/>
      <c r="H1777" s="12"/>
      <c r="K1777"/>
    </row>
    <row r="1778" spans="5:11" x14ac:dyDescent="0.2">
      <c r="E1778" s="50"/>
      <c r="H1778" s="12"/>
      <c r="K1778"/>
    </row>
    <row r="1779" spans="5:11" x14ac:dyDescent="0.2">
      <c r="E1779" s="50"/>
      <c r="H1779" s="12"/>
      <c r="K1779"/>
    </row>
    <row r="1780" spans="5:11" x14ac:dyDescent="0.2">
      <c r="E1780" s="50"/>
      <c r="H1780" s="12"/>
      <c r="K1780"/>
    </row>
    <row r="1781" spans="5:11" x14ac:dyDescent="0.2">
      <c r="E1781" s="50"/>
      <c r="H1781" s="12"/>
      <c r="K1781"/>
    </row>
    <row r="1782" spans="5:11" x14ac:dyDescent="0.2">
      <c r="E1782" s="50"/>
      <c r="H1782" s="12"/>
      <c r="K1782"/>
    </row>
    <row r="1783" spans="5:11" x14ac:dyDescent="0.2">
      <c r="E1783" s="50"/>
      <c r="H1783" s="12"/>
      <c r="K1783"/>
    </row>
    <row r="1784" spans="5:11" x14ac:dyDescent="0.2">
      <c r="E1784" s="50"/>
      <c r="H1784" s="12"/>
      <c r="K1784"/>
    </row>
    <row r="1785" spans="5:11" x14ac:dyDescent="0.2">
      <c r="E1785" s="50"/>
      <c r="H1785" s="12"/>
      <c r="K1785"/>
    </row>
    <row r="1786" spans="5:11" x14ac:dyDescent="0.2">
      <c r="E1786" s="50"/>
      <c r="H1786" s="12"/>
      <c r="K1786"/>
    </row>
    <row r="1787" spans="5:11" x14ac:dyDescent="0.2">
      <c r="E1787" s="50"/>
      <c r="H1787" s="12"/>
      <c r="K1787"/>
    </row>
    <row r="1788" spans="5:11" x14ac:dyDescent="0.2">
      <c r="E1788" s="50"/>
      <c r="H1788" s="12"/>
      <c r="K1788"/>
    </row>
    <row r="1789" spans="5:11" x14ac:dyDescent="0.2">
      <c r="E1789" s="50"/>
      <c r="H1789" s="12"/>
      <c r="K1789"/>
    </row>
    <row r="1790" spans="5:11" x14ac:dyDescent="0.2">
      <c r="E1790" s="50"/>
      <c r="H1790" s="12"/>
      <c r="K1790"/>
    </row>
    <row r="1791" spans="5:11" x14ac:dyDescent="0.2">
      <c r="E1791" s="50"/>
      <c r="H1791" s="12"/>
      <c r="K1791"/>
    </row>
    <row r="1792" spans="5:11" x14ac:dyDescent="0.2">
      <c r="E1792" s="50"/>
      <c r="H1792" s="12"/>
      <c r="K1792"/>
    </row>
    <row r="1793" spans="5:11" x14ac:dyDescent="0.2">
      <c r="E1793" s="50"/>
      <c r="H1793" s="12"/>
      <c r="K1793"/>
    </row>
    <row r="1794" spans="5:11" x14ac:dyDescent="0.2">
      <c r="E1794" s="50"/>
      <c r="H1794" s="12"/>
      <c r="K1794"/>
    </row>
    <row r="1795" spans="5:11" x14ac:dyDescent="0.2">
      <c r="E1795" s="50"/>
      <c r="H1795" s="12"/>
      <c r="K1795"/>
    </row>
    <row r="1796" spans="5:11" x14ac:dyDescent="0.2">
      <c r="E1796" s="50"/>
      <c r="H1796" s="12"/>
      <c r="K1796"/>
    </row>
    <row r="1797" spans="5:11" x14ac:dyDescent="0.2">
      <c r="E1797" s="50"/>
      <c r="H1797" s="12"/>
      <c r="K1797"/>
    </row>
    <row r="1798" spans="5:11" x14ac:dyDescent="0.2">
      <c r="E1798" s="50"/>
      <c r="H1798" s="12"/>
      <c r="K1798"/>
    </row>
    <row r="1799" spans="5:11" x14ac:dyDescent="0.2">
      <c r="E1799" s="50"/>
      <c r="H1799" s="12"/>
      <c r="K1799"/>
    </row>
    <row r="1800" spans="5:11" x14ac:dyDescent="0.2">
      <c r="E1800" s="50"/>
      <c r="H1800" s="12"/>
      <c r="K1800"/>
    </row>
    <row r="1801" spans="5:11" x14ac:dyDescent="0.2">
      <c r="E1801" s="50"/>
      <c r="H1801" s="12"/>
      <c r="K1801"/>
    </row>
    <row r="1802" spans="5:11" x14ac:dyDescent="0.2">
      <c r="E1802" s="50"/>
      <c r="H1802" s="12"/>
      <c r="K1802"/>
    </row>
    <row r="1803" spans="5:11" x14ac:dyDescent="0.2">
      <c r="E1803" s="50"/>
      <c r="H1803" s="12"/>
      <c r="K1803"/>
    </row>
    <row r="1804" spans="5:11" x14ac:dyDescent="0.2">
      <c r="E1804" s="50"/>
      <c r="H1804" s="12"/>
      <c r="K1804"/>
    </row>
    <row r="1805" spans="5:11" x14ac:dyDescent="0.2">
      <c r="E1805" s="50"/>
      <c r="H1805" s="12"/>
      <c r="K1805"/>
    </row>
    <row r="1806" spans="5:11" x14ac:dyDescent="0.2">
      <c r="E1806" s="50"/>
      <c r="H1806" s="12"/>
      <c r="K1806"/>
    </row>
    <row r="1807" spans="5:11" x14ac:dyDescent="0.2">
      <c r="E1807" s="50"/>
      <c r="H1807" s="12"/>
      <c r="K1807"/>
    </row>
    <row r="1808" spans="5:11" x14ac:dyDescent="0.2">
      <c r="E1808" s="50"/>
      <c r="H1808" s="12"/>
      <c r="K1808"/>
    </row>
    <row r="1809" spans="5:11" x14ac:dyDescent="0.2">
      <c r="E1809" s="50"/>
      <c r="H1809" s="12"/>
      <c r="K1809"/>
    </row>
    <row r="1810" spans="5:11" x14ac:dyDescent="0.2">
      <c r="E1810" s="50"/>
      <c r="H1810" s="12"/>
      <c r="K1810"/>
    </row>
    <row r="1811" spans="5:11" x14ac:dyDescent="0.2">
      <c r="E1811" s="50"/>
      <c r="H1811" s="12"/>
      <c r="K1811"/>
    </row>
    <row r="1812" spans="5:11" x14ac:dyDescent="0.2">
      <c r="E1812" s="50"/>
      <c r="H1812" s="12"/>
      <c r="K1812"/>
    </row>
    <row r="1813" spans="5:11" x14ac:dyDescent="0.2">
      <c r="E1813" s="50"/>
      <c r="H1813" s="12"/>
      <c r="K1813"/>
    </row>
    <row r="1814" spans="5:11" x14ac:dyDescent="0.2">
      <c r="E1814" s="50"/>
      <c r="H1814" s="12"/>
      <c r="K1814"/>
    </row>
    <row r="1815" spans="5:11" x14ac:dyDescent="0.2">
      <c r="E1815" s="50"/>
      <c r="H1815" s="12"/>
      <c r="K1815"/>
    </row>
    <row r="1816" spans="5:11" x14ac:dyDescent="0.2">
      <c r="E1816" s="50"/>
      <c r="H1816" s="12"/>
      <c r="K1816"/>
    </row>
    <row r="1817" spans="5:11" x14ac:dyDescent="0.2">
      <c r="E1817" s="50"/>
      <c r="H1817" s="12"/>
      <c r="K1817"/>
    </row>
    <row r="1818" spans="5:11" x14ac:dyDescent="0.2">
      <c r="E1818" s="50"/>
      <c r="H1818" s="12"/>
      <c r="K1818"/>
    </row>
    <row r="1819" spans="5:11" x14ac:dyDescent="0.2">
      <c r="E1819" s="50"/>
      <c r="H1819" s="12"/>
      <c r="K1819"/>
    </row>
    <row r="1820" spans="5:11" x14ac:dyDescent="0.2">
      <c r="E1820" s="50"/>
      <c r="H1820" s="12"/>
      <c r="K1820"/>
    </row>
    <row r="1821" spans="5:11" x14ac:dyDescent="0.2">
      <c r="E1821" s="50"/>
      <c r="H1821" s="12"/>
      <c r="K1821"/>
    </row>
    <row r="1822" spans="5:11" x14ac:dyDescent="0.2">
      <c r="E1822" s="50"/>
      <c r="H1822" s="12"/>
      <c r="K1822"/>
    </row>
    <row r="1823" spans="5:11" x14ac:dyDescent="0.2">
      <c r="E1823" s="50"/>
      <c r="H1823" s="12"/>
      <c r="K1823"/>
    </row>
    <row r="1824" spans="5:11" x14ac:dyDescent="0.2">
      <c r="E1824" s="50"/>
      <c r="H1824" s="12"/>
      <c r="K1824"/>
    </row>
    <row r="1825" spans="5:11" x14ac:dyDescent="0.2">
      <c r="E1825" s="50"/>
      <c r="H1825" s="12"/>
      <c r="K1825"/>
    </row>
    <row r="1826" spans="5:11" x14ac:dyDescent="0.2">
      <c r="E1826" s="50"/>
      <c r="H1826" s="12"/>
      <c r="K1826"/>
    </row>
    <row r="1827" spans="5:11" x14ac:dyDescent="0.2">
      <c r="E1827" s="50"/>
      <c r="H1827" s="12"/>
      <c r="K1827"/>
    </row>
    <row r="1828" spans="5:11" x14ac:dyDescent="0.2">
      <c r="E1828" s="50"/>
      <c r="H1828" s="12"/>
      <c r="K1828"/>
    </row>
    <row r="1829" spans="5:11" x14ac:dyDescent="0.2">
      <c r="E1829" s="50"/>
      <c r="H1829" s="12"/>
      <c r="K1829"/>
    </row>
    <row r="1830" spans="5:11" x14ac:dyDescent="0.2">
      <c r="E1830" s="50"/>
      <c r="H1830" s="12"/>
      <c r="K1830"/>
    </row>
    <row r="1831" spans="5:11" x14ac:dyDescent="0.2">
      <c r="E1831" s="50"/>
      <c r="H1831" s="12"/>
      <c r="K1831"/>
    </row>
    <row r="1832" spans="5:11" x14ac:dyDescent="0.2">
      <c r="E1832" s="50"/>
      <c r="H1832" s="12"/>
      <c r="K1832"/>
    </row>
    <row r="1833" spans="5:11" x14ac:dyDescent="0.2">
      <c r="E1833" s="50"/>
      <c r="H1833" s="12"/>
      <c r="K1833"/>
    </row>
    <row r="1834" spans="5:11" x14ac:dyDescent="0.2">
      <c r="E1834" s="50"/>
      <c r="H1834" s="12"/>
      <c r="K1834"/>
    </row>
    <row r="1835" spans="5:11" x14ac:dyDescent="0.2">
      <c r="E1835" s="50"/>
      <c r="H1835" s="12"/>
      <c r="K1835"/>
    </row>
    <row r="1836" spans="5:11" x14ac:dyDescent="0.2">
      <c r="E1836" s="50"/>
      <c r="H1836" s="12"/>
      <c r="K1836"/>
    </row>
    <row r="1837" spans="5:11" x14ac:dyDescent="0.2">
      <c r="E1837" s="50"/>
      <c r="H1837" s="12"/>
      <c r="K1837"/>
    </row>
    <row r="1838" spans="5:11" x14ac:dyDescent="0.2">
      <c r="E1838" s="50"/>
      <c r="H1838" s="12"/>
      <c r="K1838"/>
    </row>
    <row r="1839" spans="5:11" x14ac:dyDescent="0.2">
      <c r="E1839" s="50"/>
      <c r="H1839" s="12"/>
      <c r="K1839"/>
    </row>
    <row r="1840" spans="5:11" x14ac:dyDescent="0.2">
      <c r="E1840" s="50"/>
      <c r="H1840" s="12"/>
      <c r="K1840"/>
    </row>
    <row r="1841" spans="5:11" x14ac:dyDescent="0.2">
      <c r="E1841" s="50"/>
      <c r="H1841" s="12"/>
      <c r="K1841"/>
    </row>
    <row r="1842" spans="5:11" x14ac:dyDescent="0.2">
      <c r="E1842" s="50"/>
      <c r="H1842" s="12"/>
      <c r="K1842"/>
    </row>
    <row r="1843" spans="5:11" x14ac:dyDescent="0.2">
      <c r="E1843" s="50"/>
      <c r="H1843" s="12"/>
      <c r="K1843"/>
    </row>
    <row r="1844" spans="5:11" x14ac:dyDescent="0.2">
      <c r="E1844" s="50"/>
      <c r="H1844" s="12"/>
      <c r="K1844"/>
    </row>
    <row r="1845" spans="5:11" x14ac:dyDescent="0.2">
      <c r="E1845" s="50"/>
      <c r="H1845" s="12"/>
      <c r="K1845"/>
    </row>
    <row r="1846" spans="5:11" x14ac:dyDescent="0.2">
      <c r="E1846" s="50"/>
      <c r="H1846" s="12"/>
      <c r="K1846"/>
    </row>
    <row r="1847" spans="5:11" x14ac:dyDescent="0.2">
      <c r="E1847" s="50"/>
      <c r="H1847" s="12"/>
      <c r="K1847"/>
    </row>
    <row r="1848" spans="5:11" x14ac:dyDescent="0.2">
      <c r="E1848" s="50"/>
      <c r="H1848" s="12"/>
      <c r="K1848"/>
    </row>
    <row r="1849" spans="5:11" x14ac:dyDescent="0.2">
      <c r="E1849" s="50"/>
      <c r="H1849" s="12"/>
      <c r="K1849"/>
    </row>
    <row r="1850" spans="5:11" x14ac:dyDescent="0.2">
      <c r="E1850" s="50"/>
      <c r="H1850" s="12"/>
      <c r="K1850"/>
    </row>
    <row r="1851" spans="5:11" x14ac:dyDescent="0.2">
      <c r="E1851" s="50"/>
      <c r="H1851" s="12"/>
      <c r="K1851"/>
    </row>
    <row r="1852" spans="5:11" x14ac:dyDescent="0.2">
      <c r="E1852" s="50"/>
      <c r="H1852" s="12"/>
      <c r="K1852"/>
    </row>
    <row r="1853" spans="5:11" x14ac:dyDescent="0.2">
      <c r="E1853" s="50"/>
      <c r="H1853" s="12"/>
      <c r="K1853"/>
    </row>
    <row r="1854" spans="5:11" x14ac:dyDescent="0.2">
      <c r="E1854" s="50"/>
      <c r="H1854" s="12"/>
      <c r="K1854"/>
    </row>
    <row r="1855" spans="5:11" x14ac:dyDescent="0.2">
      <c r="E1855" s="50"/>
      <c r="H1855" s="12"/>
      <c r="K1855"/>
    </row>
    <row r="1856" spans="5:11" x14ac:dyDescent="0.2">
      <c r="E1856" s="50"/>
      <c r="H1856" s="12"/>
      <c r="K1856"/>
    </row>
    <row r="1857" spans="5:11" x14ac:dyDescent="0.2">
      <c r="E1857" s="50"/>
      <c r="H1857" s="12"/>
      <c r="K1857"/>
    </row>
    <row r="1858" spans="5:11" x14ac:dyDescent="0.2">
      <c r="E1858" s="50"/>
      <c r="H1858" s="12"/>
      <c r="K1858"/>
    </row>
    <row r="1859" spans="5:11" x14ac:dyDescent="0.2">
      <c r="E1859" s="50"/>
      <c r="H1859" s="12"/>
      <c r="K1859"/>
    </row>
    <row r="1860" spans="5:11" x14ac:dyDescent="0.2">
      <c r="E1860" s="50"/>
      <c r="H1860" s="12"/>
      <c r="K1860"/>
    </row>
    <row r="1861" spans="5:11" x14ac:dyDescent="0.2">
      <c r="E1861" s="50"/>
      <c r="H1861" s="12"/>
      <c r="K1861"/>
    </row>
    <row r="1862" spans="5:11" x14ac:dyDescent="0.2">
      <c r="E1862" s="50"/>
      <c r="H1862" s="12"/>
      <c r="K1862"/>
    </row>
    <row r="1863" spans="5:11" x14ac:dyDescent="0.2">
      <c r="E1863" s="50"/>
      <c r="H1863" s="12"/>
      <c r="K1863"/>
    </row>
    <row r="1864" spans="5:11" x14ac:dyDescent="0.2">
      <c r="E1864" s="50"/>
      <c r="H1864" s="12"/>
      <c r="K1864"/>
    </row>
    <row r="1865" spans="5:11" x14ac:dyDescent="0.2">
      <c r="E1865" s="50"/>
      <c r="H1865" s="12"/>
      <c r="K1865"/>
    </row>
    <row r="1866" spans="5:11" x14ac:dyDescent="0.2">
      <c r="E1866" s="50"/>
      <c r="H1866" s="12"/>
      <c r="K1866"/>
    </row>
    <row r="1867" spans="5:11" x14ac:dyDescent="0.2">
      <c r="E1867" s="50"/>
      <c r="H1867" s="12"/>
      <c r="K1867"/>
    </row>
    <row r="1868" spans="5:11" x14ac:dyDescent="0.2">
      <c r="E1868" s="50"/>
      <c r="H1868" s="12"/>
      <c r="K1868"/>
    </row>
    <row r="1869" spans="5:11" x14ac:dyDescent="0.2">
      <c r="E1869" s="50"/>
      <c r="H1869" s="12"/>
      <c r="K1869"/>
    </row>
    <row r="1870" spans="5:11" x14ac:dyDescent="0.2">
      <c r="E1870" s="50"/>
      <c r="H1870" s="12"/>
      <c r="K1870"/>
    </row>
    <row r="1871" spans="5:11" x14ac:dyDescent="0.2">
      <c r="E1871" s="50"/>
      <c r="H1871" s="12"/>
      <c r="K1871"/>
    </row>
    <row r="1872" spans="5:11" x14ac:dyDescent="0.2">
      <c r="E1872" s="50"/>
      <c r="H1872" s="12"/>
      <c r="K1872"/>
    </row>
    <row r="1873" spans="5:11" x14ac:dyDescent="0.2">
      <c r="E1873" s="50"/>
      <c r="H1873" s="12"/>
      <c r="K1873"/>
    </row>
    <row r="1874" spans="5:11" x14ac:dyDescent="0.2">
      <c r="E1874" s="50"/>
      <c r="H1874" s="12"/>
      <c r="K1874"/>
    </row>
    <row r="1875" spans="5:11" x14ac:dyDescent="0.2">
      <c r="E1875" s="50"/>
      <c r="H1875" s="12"/>
      <c r="K1875"/>
    </row>
    <row r="1876" spans="5:11" x14ac:dyDescent="0.2">
      <c r="E1876" s="50"/>
      <c r="H1876" s="12"/>
      <c r="K1876"/>
    </row>
    <row r="1877" spans="5:11" x14ac:dyDescent="0.2">
      <c r="E1877" s="50"/>
      <c r="H1877" s="12"/>
      <c r="K1877"/>
    </row>
    <row r="1878" spans="5:11" x14ac:dyDescent="0.2">
      <c r="E1878" s="50"/>
      <c r="H1878" s="12"/>
      <c r="K1878"/>
    </row>
    <row r="1879" spans="5:11" x14ac:dyDescent="0.2">
      <c r="E1879" s="50"/>
      <c r="H1879" s="12"/>
      <c r="K1879"/>
    </row>
    <row r="1880" spans="5:11" x14ac:dyDescent="0.2">
      <c r="E1880" s="50"/>
      <c r="H1880" s="12"/>
      <c r="K1880"/>
    </row>
    <row r="1881" spans="5:11" x14ac:dyDescent="0.2">
      <c r="E1881" s="50"/>
      <c r="H1881" s="12"/>
      <c r="K1881"/>
    </row>
    <row r="1882" spans="5:11" x14ac:dyDescent="0.2">
      <c r="E1882" s="50"/>
      <c r="H1882" s="12"/>
      <c r="K1882"/>
    </row>
    <row r="1883" spans="5:11" x14ac:dyDescent="0.2">
      <c r="E1883" s="50"/>
      <c r="H1883" s="12"/>
      <c r="K1883"/>
    </row>
    <row r="1884" spans="5:11" x14ac:dyDescent="0.2">
      <c r="E1884" s="50"/>
      <c r="H1884" s="12"/>
      <c r="K1884"/>
    </row>
    <row r="1885" spans="5:11" x14ac:dyDescent="0.2">
      <c r="E1885" s="50"/>
      <c r="H1885" s="12"/>
      <c r="K1885"/>
    </row>
    <row r="1886" spans="5:11" x14ac:dyDescent="0.2">
      <c r="E1886" s="50"/>
      <c r="H1886" s="12"/>
      <c r="K1886"/>
    </row>
    <row r="1887" spans="5:11" x14ac:dyDescent="0.2">
      <c r="E1887" s="50"/>
      <c r="H1887" s="12"/>
      <c r="K1887"/>
    </row>
    <row r="1888" spans="5:11" x14ac:dyDescent="0.2">
      <c r="E1888" s="50"/>
      <c r="H1888" s="12"/>
      <c r="K1888"/>
    </row>
    <row r="1889" spans="5:11" x14ac:dyDescent="0.2">
      <c r="E1889" s="50"/>
      <c r="H1889" s="12"/>
      <c r="K1889"/>
    </row>
    <row r="1890" spans="5:11" x14ac:dyDescent="0.2">
      <c r="E1890" s="50"/>
      <c r="H1890" s="12"/>
      <c r="K1890"/>
    </row>
    <row r="1891" spans="5:11" x14ac:dyDescent="0.2">
      <c r="E1891" s="50"/>
      <c r="H1891" s="12"/>
      <c r="K1891"/>
    </row>
    <row r="1892" spans="5:11" x14ac:dyDescent="0.2">
      <c r="E1892" s="50"/>
      <c r="H1892" s="12"/>
      <c r="K1892"/>
    </row>
    <row r="1893" spans="5:11" x14ac:dyDescent="0.2">
      <c r="E1893" s="50"/>
      <c r="H1893" s="12"/>
      <c r="K1893"/>
    </row>
    <row r="1894" spans="5:11" x14ac:dyDescent="0.2">
      <c r="E1894" s="50"/>
      <c r="H1894" s="12"/>
      <c r="K1894"/>
    </row>
    <row r="1895" spans="5:11" x14ac:dyDescent="0.2">
      <c r="E1895" s="50"/>
      <c r="H1895" s="12"/>
      <c r="K1895"/>
    </row>
    <row r="1896" spans="5:11" x14ac:dyDescent="0.2">
      <c r="E1896" s="50"/>
      <c r="H1896" s="12"/>
      <c r="K1896"/>
    </row>
    <row r="1897" spans="5:11" x14ac:dyDescent="0.2">
      <c r="E1897" s="50"/>
      <c r="H1897" s="12"/>
      <c r="K1897"/>
    </row>
    <row r="1898" spans="5:11" x14ac:dyDescent="0.2">
      <c r="E1898" s="50"/>
      <c r="H1898" s="12"/>
      <c r="K1898"/>
    </row>
    <row r="1899" spans="5:11" x14ac:dyDescent="0.2">
      <c r="E1899" s="50"/>
      <c r="H1899" s="12"/>
      <c r="K1899"/>
    </row>
    <row r="1900" spans="5:11" x14ac:dyDescent="0.2">
      <c r="E1900" s="50"/>
      <c r="H1900" s="12"/>
      <c r="K1900"/>
    </row>
    <row r="1901" spans="5:11" x14ac:dyDescent="0.2">
      <c r="E1901" s="50"/>
      <c r="H1901" s="12"/>
      <c r="K1901"/>
    </row>
    <row r="1902" spans="5:11" x14ac:dyDescent="0.2">
      <c r="E1902" s="50"/>
      <c r="H1902" s="12"/>
      <c r="K1902"/>
    </row>
    <row r="1903" spans="5:11" x14ac:dyDescent="0.2">
      <c r="E1903" s="50"/>
      <c r="H1903" s="12"/>
      <c r="K1903"/>
    </row>
    <row r="1904" spans="5:11" x14ac:dyDescent="0.2">
      <c r="E1904" s="50"/>
      <c r="H1904" s="12"/>
      <c r="K1904"/>
    </row>
    <row r="1905" spans="5:11" x14ac:dyDescent="0.2">
      <c r="E1905" s="50"/>
      <c r="H1905" s="12"/>
      <c r="K1905"/>
    </row>
    <row r="1906" spans="5:11" x14ac:dyDescent="0.2">
      <c r="E1906" s="50"/>
      <c r="H1906" s="12"/>
      <c r="K1906"/>
    </row>
    <row r="1907" spans="5:11" x14ac:dyDescent="0.2">
      <c r="E1907" s="50"/>
      <c r="H1907" s="12"/>
      <c r="K1907"/>
    </row>
    <row r="1908" spans="5:11" x14ac:dyDescent="0.2">
      <c r="E1908" s="50"/>
      <c r="H1908" s="12"/>
      <c r="K1908"/>
    </row>
    <row r="1909" spans="5:11" x14ac:dyDescent="0.2">
      <c r="E1909" s="50"/>
      <c r="H1909" s="12"/>
      <c r="K1909"/>
    </row>
    <row r="1910" spans="5:11" x14ac:dyDescent="0.2">
      <c r="E1910" s="50"/>
      <c r="H1910" s="12"/>
      <c r="K1910"/>
    </row>
    <row r="1911" spans="5:11" x14ac:dyDescent="0.2">
      <c r="E1911" s="50"/>
      <c r="H1911" s="12"/>
      <c r="K1911"/>
    </row>
    <row r="1912" spans="5:11" x14ac:dyDescent="0.2">
      <c r="E1912" s="50"/>
      <c r="H1912" s="12"/>
      <c r="K1912"/>
    </row>
    <row r="1913" spans="5:11" x14ac:dyDescent="0.2">
      <c r="E1913" s="50"/>
      <c r="H1913" s="12"/>
      <c r="K1913"/>
    </row>
    <row r="1914" spans="5:11" x14ac:dyDescent="0.2">
      <c r="E1914" s="50"/>
      <c r="H1914" s="12"/>
      <c r="K1914"/>
    </row>
    <row r="1915" spans="5:11" x14ac:dyDescent="0.2">
      <c r="E1915" s="50"/>
      <c r="H1915" s="12"/>
      <c r="K1915"/>
    </row>
    <row r="1916" spans="5:11" x14ac:dyDescent="0.2">
      <c r="E1916" s="50"/>
      <c r="H1916" s="12"/>
      <c r="K1916"/>
    </row>
    <row r="1917" spans="5:11" x14ac:dyDescent="0.2">
      <c r="E1917" s="50"/>
      <c r="H1917" s="12"/>
      <c r="K1917"/>
    </row>
    <row r="1918" spans="5:11" x14ac:dyDescent="0.2">
      <c r="E1918" s="50"/>
      <c r="H1918" s="12"/>
      <c r="K1918"/>
    </row>
    <row r="1919" spans="5:11" x14ac:dyDescent="0.2">
      <c r="E1919" s="50"/>
      <c r="H1919" s="12"/>
      <c r="K1919"/>
    </row>
    <row r="1920" spans="5:11" x14ac:dyDescent="0.2">
      <c r="E1920" s="50"/>
      <c r="H1920" s="12"/>
      <c r="K1920"/>
    </row>
    <row r="1921" spans="5:11" x14ac:dyDescent="0.2">
      <c r="E1921" s="50"/>
      <c r="H1921" s="12"/>
      <c r="K1921"/>
    </row>
    <row r="1922" spans="5:11" x14ac:dyDescent="0.2">
      <c r="E1922" s="50"/>
      <c r="H1922" s="12"/>
      <c r="K1922"/>
    </row>
    <row r="1923" spans="5:11" x14ac:dyDescent="0.2">
      <c r="E1923" s="50"/>
      <c r="H1923" s="12"/>
      <c r="K1923"/>
    </row>
    <row r="1924" spans="5:11" x14ac:dyDescent="0.2">
      <c r="E1924" s="50"/>
      <c r="H1924" s="12"/>
      <c r="K1924"/>
    </row>
    <row r="1925" spans="5:11" x14ac:dyDescent="0.2">
      <c r="E1925" s="50"/>
      <c r="H1925" s="12"/>
      <c r="K1925"/>
    </row>
    <row r="1926" spans="5:11" x14ac:dyDescent="0.2">
      <c r="E1926" s="50"/>
      <c r="H1926" s="12"/>
      <c r="K1926"/>
    </row>
    <row r="1927" spans="5:11" x14ac:dyDescent="0.2">
      <c r="E1927" s="50"/>
      <c r="H1927" s="12"/>
      <c r="K1927"/>
    </row>
    <row r="1928" spans="5:11" x14ac:dyDescent="0.2">
      <c r="E1928" s="50"/>
      <c r="H1928" s="12"/>
      <c r="K1928"/>
    </row>
    <row r="1929" spans="5:11" x14ac:dyDescent="0.2">
      <c r="E1929" s="50"/>
      <c r="H1929" s="12"/>
      <c r="K1929"/>
    </row>
    <row r="1930" spans="5:11" x14ac:dyDescent="0.2">
      <c r="E1930" s="50"/>
      <c r="H1930" s="12"/>
      <c r="K1930"/>
    </row>
    <row r="1931" spans="5:11" x14ac:dyDescent="0.2">
      <c r="E1931" s="50"/>
      <c r="H1931" s="12"/>
      <c r="K1931"/>
    </row>
    <row r="1932" spans="5:11" x14ac:dyDescent="0.2">
      <c r="E1932" s="50"/>
      <c r="H1932" s="12"/>
      <c r="K1932"/>
    </row>
    <row r="1933" spans="5:11" x14ac:dyDescent="0.2">
      <c r="E1933" s="50"/>
      <c r="H1933" s="12"/>
      <c r="K1933"/>
    </row>
    <row r="1934" spans="5:11" x14ac:dyDescent="0.2">
      <c r="E1934" s="50"/>
      <c r="H1934" s="12"/>
      <c r="K1934"/>
    </row>
    <row r="1935" spans="5:11" x14ac:dyDescent="0.2">
      <c r="E1935" s="50"/>
      <c r="H1935" s="12"/>
      <c r="K1935"/>
    </row>
    <row r="1936" spans="5:11" x14ac:dyDescent="0.2">
      <c r="E1936" s="50"/>
      <c r="H1936" s="12"/>
      <c r="K1936"/>
    </row>
    <row r="1937" spans="5:11" x14ac:dyDescent="0.2">
      <c r="E1937" s="50"/>
      <c r="H1937" s="12"/>
      <c r="K1937"/>
    </row>
    <row r="1938" spans="5:11" x14ac:dyDescent="0.2">
      <c r="E1938" s="50"/>
      <c r="H1938" s="12"/>
      <c r="K1938"/>
    </row>
    <row r="1939" spans="5:11" x14ac:dyDescent="0.2">
      <c r="E1939" s="50"/>
      <c r="H1939" s="12"/>
      <c r="K1939"/>
    </row>
    <row r="1940" spans="5:11" x14ac:dyDescent="0.2">
      <c r="E1940" s="50"/>
      <c r="H1940" s="12"/>
      <c r="K1940"/>
    </row>
    <row r="1941" spans="5:11" x14ac:dyDescent="0.2">
      <c r="E1941" s="50"/>
      <c r="H1941" s="12"/>
      <c r="K1941"/>
    </row>
    <row r="1942" spans="5:11" x14ac:dyDescent="0.2">
      <c r="E1942" s="50"/>
      <c r="H1942" s="12"/>
      <c r="K1942"/>
    </row>
    <row r="1943" spans="5:11" x14ac:dyDescent="0.2">
      <c r="E1943" s="50"/>
      <c r="H1943" s="12"/>
      <c r="K1943"/>
    </row>
    <row r="1944" spans="5:11" x14ac:dyDescent="0.2">
      <c r="E1944" s="50"/>
      <c r="H1944" s="12"/>
      <c r="K1944"/>
    </row>
    <row r="1945" spans="5:11" x14ac:dyDescent="0.2">
      <c r="E1945" s="50"/>
      <c r="H1945" s="12"/>
      <c r="K1945"/>
    </row>
    <row r="1946" spans="5:11" x14ac:dyDescent="0.2">
      <c r="E1946" s="50"/>
      <c r="H1946" s="12"/>
      <c r="K1946"/>
    </row>
    <row r="1947" spans="5:11" x14ac:dyDescent="0.2">
      <c r="E1947" s="50"/>
      <c r="H1947" s="12"/>
      <c r="K1947"/>
    </row>
    <row r="1948" spans="5:11" x14ac:dyDescent="0.2">
      <c r="E1948" s="50"/>
      <c r="H1948" s="12"/>
      <c r="K1948"/>
    </row>
    <row r="1949" spans="5:11" x14ac:dyDescent="0.2">
      <c r="E1949" s="50"/>
      <c r="H1949" s="12"/>
      <c r="K1949"/>
    </row>
    <row r="1950" spans="5:11" x14ac:dyDescent="0.2">
      <c r="E1950" s="50"/>
      <c r="H1950" s="12"/>
      <c r="K1950"/>
    </row>
    <row r="1951" spans="5:11" x14ac:dyDescent="0.2">
      <c r="E1951" s="50"/>
      <c r="H1951" s="12"/>
      <c r="K1951"/>
    </row>
    <row r="1952" spans="5:11" x14ac:dyDescent="0.2">
      <c r="E1952" s="50"/>
      <c r="H1952" s="12"/>
      <c r="K1952"/>
    </row>
    <row r="1953" spans="5:11" x14ac:dyDescent="0.2">
      <c r="E1953" s="50"/>
      <c r="H1953" s="12"/>
      <c r="K1953"/>
    </row>
    <row r="1954" spans="5:11" x14ac:dyDescent="0.2">
      <c r="E1954" s="50"/>
      <c r="H1954" s="12"/>
      <c r="K1954"/>
    </row>
    <row r="1955" spans="5:11" x14ac:dyDescent="0.2">
      <c r="E1955" s="50"/>
      <c r="H1955" s="12"/>
      <c r="K1955"/>
    </row>
    <row r="1956" spans="5:11" x14ac:dyDescent="0.2">
      <c r="E1956" s="50"/>
      <c r="H1956" s="12"/>
      <c r="K1956"/>
    </row>
    <row r="1957" spans="5:11" x14ac:dyDescent="0.2">
      <c r="E1957" s="50"/>
      <c r="H1957" s="12"/>
      <c r="K1957"/>
    </row>
    <row r="1958" spans="5:11" x14ac:dyDescent="0.2">
      <c r="E1958" s="50"/>
      <c r="H1958" s="12"/>
      <c r="K1958"/>
    </row>
    <row r="1959" spans="5:11" x14ac:dyDescent="0.2">
      <c r="E1959" s="50"/>
      <c r="H1959" s="12"/>
      <c r="K1959"/>
    </row>
    <row r="1960" spans="5:11" x14ac:dyDescent="0.2">
      <c r="E1960" s="50"/>
      <c r="H1960" s="12"/>
      <c r="K1960"/>
    </row>
    <row r="1961" spans="5:11" x14ac:dyDescent="0.2">
      <c r="E1961" s="50"/>
      <c r="H1961" s="12"/>
      <c r="K1961"/>
    </row>
    <row r="1962" spans="5:11" x14ac:dyDescent="0.2">
      <c r="E1962" s="50"/>
      <c r="H1962" s="12"/>
      <c r="K1962"/>
    </row>
    <row r="1963" spans="5:11" x14ac:dyDescent="0.2">
      <c r="E1963" s="50"/>
      <c r="H1963" s="12"/>
      <c r="K1963"/>
    </row>
    <row r="1964" spans="5:11" x14ac:dyDescent="0.2">
      <c r="E1964" s="50"/>
      <c r="H1964" s="12"/>
      <c r="K1964"/>
    </row>
    <row r="1965" spans="5:11" x14ac:dyDescent="0.2">
      <c r="E1965" s="50"/>
      <c r="H1965" s="12"/>
      <c r="K1965"/>
    </row>
    <row r="1966" spans="5:11" x14ac:dyDescent="0.2">
      <c r="E1966" s="50"/>
      <c r="H1966" s="12"/>
      <c r="K1966"/>
    </row>
    <row r="1967" spans="5:11" x14ac:dyDescent="0.2">
      <c r="E1967" s="50"/>
      <c r="H1967" s="12"/>
      <c r="K1967"/>
    </row>
    <row r="1968" spans="5:11" x14ac:dyDescent="0.2">
      <c r="E1968" s="50"/>
      <c r="H1968" s="12"/>
      <c r="K1968"/>
    </row>
    <row r="1969" spans="5:11" x14ac:dyDescent="0.2">
      <c r="E1969" s="50"/>
      <c r="H1969" s="12"/>
      <c r="K1969"/>
    </row>
    <row r="1970" spans="5:11" x14ac:dyDescent="0.2">
      <c r="E1970" s="50"/>
      <c r="H1970" s="12"/>
      <c r="K1970"/>
    </row>
    <row r="1971" spans="5:11" x14ac:dyDescent="0.2">
      <c r="E1971" s="50"/>
      <c r="H1971" s="12"/>
      <c r="K1971"/>
    </row>
    <row r="1972" spans="5:11" x14ac:dyDescent="0.2">
      <c r="E1972" s="50"/>
      <c r="H1972" s="12"/>
      <c r="K1972"/>
    </row>
    <row r="1973" spans="5:11" x14ac:dyDescent="0.2">
      <c r="E1973" s="50"/>
      <c r="H1973" s="12"/>
      <c r="K1973"/>
    </row>
    <row r="1974" spans="5:11" x14ac:dyDescent="0.2">
      <c r="E1974" s="50"/>
      <c r="H1974" s="12"/>
      <c r="K1974"/>
    </row>
    <row r="1975" spans="5:11" x14ac:dyDescent="0.2">
      <c r="E1975" s="50"/>
      <c r="H1975" s="12"/>
      <c r="K1975"/>
    </row>
    <row r="1976" spans="5:11" x14ac:dyDescent="0.2">
      <c r="E1976" s="50"/>
      <c r="H1976" s="12"/>
      <c r="K1976"/>
    </row>
    <row r="1977" spans="5:11" x14ac:dyDescent="0.2">
      <c r="E1977" s="50"/>
      <c r="H1977" s="12"/>
      <c r="K1977"/>
    </row>
    <row r="1978" spans="5:11" x14ac:dyDescent="0.2">
      <c r="E1978" s="50"/>
      <c r="H1978" s="12"/>
      <c r="K1978"/>
    </row>
    <row r="1979" spans="5:11" x14ac:dyDescent="0.2">
      <c r="E1979" s="50"/>
      <c r="H1979" s="12"/>
      <c r="K1979"/>
    </row>
    <row r="1980" spans="5:11" x14ac:dyDescent="0.2">
      <c r="E1980" s="50"/>
      <c r="H1980" s="12"/>
      <c r="K1980"/>
    </row>
    <row r="1981" spans="5:11" x14ac:dyDescent="0.2">
      <c r="E1981" s="50"/>
      <c r="H1981" s="12"/>
      <c r="K1981"/>
    </row>
    <row r="1982" spans="5:11" x14ac:dyDescent="0.2">
      <c r="E1982" s="50"/>
      <c r="H1982" s="12"/>
      <c r="K1982"/>
    </row>
    <row r="1983" spans="5:11" x14ac:dyDescent="0.2">
      <c r="E1983" s="50"/>
      <c r="H1983" s="12"/>
      <c r="K1983"/>
    </row>
    <row r="1984" spans="5:11" x14ac:dyDescent="0.2">
      <c r="E1984" s="50"/>
      <c r="H1984" s="12"/>
      <c r="K1984"/>
    </row>
    <row r="1985" spans="5:11" x14ac:dyDescent="0.2">
      <c r="E1985" s="50"/>
      <c r="H1985" s="12"/>
      <c r="K1985"/>
    </row>
    <row r="1986" spans="5:11" x14ac:dyDescent="0.2">
      <c r="E1986" s="50"/>
      <c r="H1986" s="12"/>
      <c r="K1986"/>
    </row>
    <row r="1987" spans="5:11" x14ac:dyDescent="0.2">
      <c r="E1987" s="50"/>
      <c r="H1987" s="12"/>
      <c r="K1987"/>
    </row>
    <row r="1988" spans="5:11" x14ac:dyDescent="0.2">
      <c r="E1988" s="50"/>
      <c r="H1988" s="12"/>
      <c r="K1988"/>
    </row>
    <row r="1989" spans="5:11" x14ac:dyDescent="0.2">
      <c r="E1989" s="50"/>
      <c r="H1989" s="12"/>
      <c r="K1989"/>
    </row>
    <row r="1990" spans="5:11" x14ac:dyDescent="0.2">
      <c r="E1990" s="50"/>
      <c r="H1990" s="12"/>
      <c r="K1990"/>
    </row>
    <row r="1991" spans="5:11" x14ac:dyDescent="0.2">
      <c r="E1991" s="50"/>
      <c r="H1991" s="12"/>
      <c r="K1991"/>
    </row>
    <row r="1992" spans="5:11" x14ac:dyDescent="0.2">
      <c r="E1992" s="50"/>
      <c r="H1992" s="12"/>
      <c r="K1992"/>
    </row>
    <row r="1993" spans="5:11" x14ac:dyDescent="0.2">
      <c r="E1993" s="50"/>
      <c r="H1993" s="12"/>
      <c r="K1993"/>
    </row>
    <row r="1994" spans="5:11" x14ac:dyDescent="0.2">
      <c r="E1994" s="50"/>
      <c r="H1994" s="12"/>
      <c r="K1994"/>
    </row>
    <row r="1995" spans="5:11" x14ac:dyDescent="0.2">
      <c r="E1995" s="50"/>
      <c r="H1995" s="12"/>
      <c r="K1995"/>
    </row>
    <row r="1996" spans="5:11" x14ac:dyDescent="0.2">
      <c r="E1996" s="50"/>
      <c r="H1996" s="12"/>
      <c r="K1996"/>
    </row>
    <row r="1997" spans="5:11" x14ac:dyDescent="0.2">
      <c r="E1997" s="50"/>
      <c r="H1997" s="12"/>
      <c r="K1997"/>
    </row>
    <row r="1998" spans="5:11" x14ac:dyDescent="0.2">
      <c r="E1998" s="50"/>
      <c r="H1998" s="12"/>
      <c r="K1998"/>
    </row>
    <row r="1999" spans="5:11" x14ac:dyDescent="0.2">
      <c r="E1999" s="50"/>
      <c r="H1999" s="12"/>
      <c r="K1999"/>
    </row>
    <row r="2000" spans="5:11" x14ac:dyDescent="0.2">
      <c r="E2000" s="50"/>
      <c r="H2000" s="12"/>
      <c r="K2000"/>
    </row>
    <row r="2001" spans="5:11" x14ac:dyDescent="0.2">
      <c r="E2001" s="50"/>
      <c r="H2001" s="12"/>
      <c r="K2001"/>
    </row>
    <row r="2002" spans="5:11" x14ac:dyDescent="0.2">
      <c r="E2002" s="50"/>
      <c r="H2002" s="12"/>
      <c r="K2002"/>
    </row>
    <row r="2003" spans="5:11" x14ac:dyDescent="0.2">
      <c r="E2003" s="50"/>
      <c r="H2003" s="12"/>
      <c r="K2003"/>
    </row>
    <row r="2004" spans="5:11" x14ac:dyDescent="0.2">
      <c r="E2004" s="50"/>
      <c r="H2004" s="12"/>
      <c r="K2004"/>
    </row>
    <row r="2005" spans="5:11" x14ac:dyDescent="0.2">
      <c r="E2005" s="50"/>
      <c r="H2005" s="12"/>
      <c r="K2005"/>
    </row>
    <row r="2006" spans="5:11" x14ac:dyDescent="0.2">
      <c r="E2006" s="50"/>
      <c r="H2006" s="12"/>
      <c r="K2006"/>
    </row>
    <row r="2007" spans="5:11" x14ac:dyDescent="0.2">
      <c r="E2007" s="50"/>
      <c r="H2007" s="12"/>
      <c r="K2007"/>
    </row>
    <row r="2008" spans="5:11" x14ac:dyDescent="0.2">
      <c r="E2008" s="50"/>
      <c r="H2008" s="12"/>
      <c r="K2008"/>
    </row>
    <row r="2009" spans="5:11" x14ac:dyDescent="0.2">
      <c r="E2009" s="50"/>
      <c r="H2009" s="12"/>
      <c r="K2009"/>
    </row>
    <row r="2010" spans="5:11" x14ac:dyDescent="0.2">
      <c r="E2010" s="50"/>
      <c r="H2010" s="12"/>
      <c r="K2010"/>
    </row>
    <row r="2011" spans="5:11" x14ac:dyDescent="0.2">
      <c r="E2011" s="50"/>
      <c r="H2011" s="12"/>
      <c r="K2011"/>
    </row>
    <row r="2012" spans="5:11" x14ac:dyDescent="0.2">
      <c r="E2012" s="50"/>
      <c r="H2012" s="12"/>
      <c r="K2012"/>
    </row>
    <row r="2013" spans="5:11" x14ac:dyDescent="0.2">
      <c r="E2013" s="50"/>
      <c r="H2013" s="12"/>
      <c r="K2013"/>
    </row>
    <row r="2014" spans="5:11" x14ac:dyDescent="0.2">
      <c r="E2014" s="50"/>
      <c r="H2014" s="12"/>
      <c r="K2014"/>
    </row>
    <row r="2015" spans="5:11" x14ac:dyDescent="0.2">
      <c r="E2015" s="50"/>
      <c r="H2015" s="12"/>
      <c r="K2015"/>
    </row>
    <row r="2016" spans="5:11" x14ac:dyDescent="0.2">
      <c r="E2016" s="50"/>
      <c r="H2016" s="12"/>
      <c r="K2016"/>
    </row>
    <row r="2017" spans="5:11" x14ac:dyDescent="0.2">
      <c r="E2017" s="50"/>
      <c r="H2017" s="12"/>
      <c r="K2017"/>
    </row>
    <row r="2018" spans="5:11" x14ac:dyDescent="0.2">
      <c r="E2018" s="50"/>
      <c r="H2018" s="12"/>
      <c r="K2018"/>
    </row>
    <row r="2019" spans="5:11" x14ac:dyDescent="0.2">
      <c r="E2019" s="50"/>
      <c r="H2019" s="12"/>
      <c r="K2019"/>
    </row>
    <row r="2020" spans="5:11" x14ac:dyDescent="0.2">
      <c r="E2020" s="50"/>
      <c r="H2020" s="12"/>
      <c r="K2020"/>
    </row>
    <row r="2021" spans="5:11" x14ac:dyDescent="0.2">
      <c r="E2021" s="50"/>
      <c r="H2021" s="12"/>
      <c r="K2021"/>
    </row>
    <row r="2022" spans="5:11" x14ac:dyDescent="0.2">
      <c r="E2022" s="50"/>
      <c r="H2022" s="12"/>
      <c r="K2022"/>
    </row>
    <row r="2023" spans="5:11" x14ac:dyDescent="0.2">
      <c r="E2023" s="50"/>
      <c r="H2023" s="12"/>
      <c r="K2023"/>
    </row>
    <row r="2024" spans="5:11" x14ac:dyDescent="0.2">
      <c r="E2024" s="50"/>
      <c r="H2024" s="12"/>
      <c r="K2024"/>
    </row>
    <row r="2025" spans="5:11" x14ac:dyDescent="0.2">
      <c r="E2025" s="50"/>
      <c r="H2025" s="12"/>
      <c r="K2025"/>
    </row>
    <row r="2026" spans="5:11" x14ac:dyDescent="0.2">
      <c r="E2026" s="50"/>
      <c r="H2026" s="12"/>
      <c r="K2026"/>
    </row>
    <row r="2027" spans="5:11" x14ac:dyDescent="0.2">
      <c r="E2027" s="50"/>
      <c r="H2027" s="12"/>
      <c r="K2027"/>
    </row>
    <row r="2028" spans="5:11" x14ac:dyDescent="0.2">
      <c r="E2028" s="50"/>
      <c r="H2028" s="12"/>
      <c r="K2028"/>
    </row>
    <row r="2029" spans="5:11" x14ac:dyDescent="0.2">
      <c r="E2029" s="50"/>
      <c r="H2029" s="12"/>
      <c r="K2029"/>
    </row>
    <row r="2030" spans="5:11" x14ac:dyDescent="0.2">
      <c r="E2030" s="50"/>
      <c r="H2030" s="12"/>
      <c r="K2030"/>
    </row>
    <row r="2031" spans="5:11" x14ac:dyDescent="0.2">
      <c r="E2031" s="50"/>
      <c r="H2031" s="12"/>
      <c r="K2031"/>
    </row>
    <row r="2032" spans="5:11" x14ac:dyDescent="0.2">
      <c r="E2032" s="50"/>
      <c r="H2032" s="12"/>
      <c r="K2032"/>
    </row>
    <row r="2033" spans="5:11" x14ac:dyDescent="0.2">
      <c r="E2033" s="50"/>
      <c r="H2033" s="12"/>
      <c r="K2033"/>
    </row>
    <row r="2034" spans="5:11" x14ac:dyDescent="0.2">
      <c r="E2034" s="50"/>
      <c r="H2034" s="12"/>
      <c r="K2034"/>
    </row>
    <row r="2035" spans="5:11" x14ac:dyDescent="0.2">
      <c r="E2035" s="50"/>
      <c r="H2035" s="12"/>
      <c r="K2035"/>
    </row>
    <row r="2036" spans="5:11" x14ac:dyDescent="0.2">
      <c r="E2036" s="50"/>
      <c r="H2036" s="12"/>
      <c r="K2036"/>
    </row>
    <row r="2037" spans="5:11" x14ac:dyDescent="0.2">
      <c r="E2037" s="50"/>
      <c r="H2037" s="12"/>
      <c r="K2037"/>
    </row>
    <row r="2038" spans="5:11" x14ac:dyDescent="0.2">
      <c r="E2038" s="50"/>
      <c r="H2038" s="12"/>
      <c r="K2038"/>
    </row>
    <row r="2039" spans="5:11" x14ac:dyDescent="0.2">
      <c r="E2039" s="50"/>
      <c r="H2039" s="12"/>
      <c r="K2039"/>
    </row>
    <row r="2040" spans="5:11" x14ac:dyDescent="0.2">
      <c r="E2040" s="50"/>
      <c r="H2040" s="12"/>
      <c r="K2040"/>
    </row>
    <row r="2041" spans="5:11" x14ac:dyDescent="0.2">
      <c r="E2041" s="50"/>
      <c r="H2041" s="12"/>
      <c r="K2041"/>
    </row>
    <row r="2042" spans="5:11" x14ac:dyDescent="0.2">
      <c r="E2042" s="50"/>
      <c r="H2042" s="12"/>
      <c r="K2042"/>
    </row>
    <row r="2043" spans="5:11" x14ac:dyDescent="0.2">
      <c r="E2043" s="50"/>
      <c r="H2043" s="12"/>
      <c r="K2043"/>
    </row>
    <row r="2044" spans="5:11" x14ac:dyDescent="0.2">
      <c r="E2044" s="50"/>
      <c r="H2044" s="12"/>
      <c r="K2044"/>
    </row>
    <row r="2045" spans="5:11" x14ac:dyDescent="0.2">
      <c r="E2045" s="50"/>
      <c r="H2045" s="12"/>
      <c r="K2045"/>
    </row>
    <row r="2046" spans="5:11" x14ac:dyDescent="0.2">
      <c r="E2046" s="50"/>
      <c r="H2046" s="12"/>
      <c r="K2046"/>
    </row>
    <row r="2047" spans="5:11" x14ac:dyDescent="0.2">
      <c r="E2047" s="50"/>
      <c r="H2047" s="12"/>
      <c r="K2047"/>
    </row>
    <row r="2048" spans="5:11" x14ac:dyDescent="0.2">
      <c r="E2048" s="50"/>
      <c r="H2048" s="12"/>
      <c r="K2048"/>
    </row>
    <row r="2049" spans="5:11" x14ac:dyDescent="0.2">
      <c r="E2049" s="50"/>
      <c r="H2049" s="12"/>
      <c r="K2049"/>
    </row>
    <row r="2050" spans="5:11" x14ac:dyDescent="0.2">
      <c r="E2050" s="50"/>
      <c r="H2050" s="12"/>
      <c r="K2050"/>
    </row>
    <row r="2051" spans="5:11" x14ac:dyDescent="0.2">
      <c r="E2051" s="50"/>
      <c r="H2051" s="12"/>
      <c r="K2051"/>
    </row>
    <row r="2052" spans="5:11" x14ac:dyDescent="0.2">
      <c r="E2052" s="50"/>
      <c r="H2052" s="12"/>
      <c r="K2052"/>
    </row>
    <row r="2053" spans="5:11" x14ac:dyDescent="0.2">
      <c r="E2053" s="50"/>
      <c r="H2053" s="12"/>
      <c r="K2053"/>
    </row>
    <row r="2054" spans="5:11" x14ac:dyDescent="0.2">
      <c r="E2054" s="50"/>
      <c r="H2054" s="12"/>
      <c r="K2054"/>
    </row>
    <row r="2055" spans="5:11" x14ac:dyDescent="0.2">
      <c r="E2055" s="50"/>
      <c r="H2055" s="12"/>
      <c r="K2055"/>
    </row>
    <row r="2056" spans="5:11" x14ac:dyDescent="0.2">
      <c r="E2056" s="50"/>
      <c r="H2056" s="12"/>
      <c r="K2056"/>
    </row>
    <row r="2057" spans="5:11" x14ac:dyDescent="0.2">
      <c r="E2057" s="50"/>
      <c r="H2057" s="12"/>
      <c r="K2057"/>
    </row>
    <row r="2058" spans="5:11" x14ac:dyDescent="0.2">
      <c r="E2058" s="50"/>
      <c r="H2058" s="12"/>
      <c r="K2058"/>
    </row>
    <row r="2059" spans="5:11" x14ac:dyDescent="0.2">
      <c r="E2059" s="50"/>
      <c r="H2059" s="12"/>
      <c r="K2059"/>
    </row>
    <row r="2060" spans="5:11" x14ac:dyDescent="0.2">
      <c r="E2060" s="50"/>
      <c r="H2060" s="12"/>
      <c r="K2060"/>
    </row>
    <row r="2061" spans="5:11" x14ac:dyDescent="0.2">
      <c r="E2061" s="50"/>
      <c r="H2061" s="12"/>
      <c r="K2061"/>
    </row>
    <row r="2062" spans="5:11" x14ac:dyDescent="0.2">
      <c r="E2062" s="50"/>
      <c r="H2062" s="12"/>
      <c r="K2062"/>
    </row>
    <row r="2063" spans="5:11" x14ac:dyDescent="0.2">
      <c r="E2063" s="50"/>
      <c r="H2063" s="12"/>
      <c r="K2063"/>
    </row>
    <row r="2064" spans="5:11" x14ac:dyDescent="0.2">
      <c r="E2064" s="50"/>
      <c r="H2064" s="12"/>
      <c r="K2064"/>
    </row>
    <row r="2065" spans="5:11" x14ac:dyDescent="0.2">
      <c r="E2065" s="50"/>
      <c r="H2065" s="12"/>
      <c r="K2065"/>
    </row>
    <row r="2066" spans="5:11" x14ac:dyDescent="0.2">
      <c r="E2066" s="50"/>
      <c r="H2066" s="12"/>
      <c r="K2066"/>
    </row>
    <row r="2067" spans="5:11" x14ac:dyDescent="0.2">
      <c r="E2067" s="50"/>
      <c r="H2067" s="12"/>
      <c r="K2067"/>
    </row>
    <row r="2068" spans="5:11" x14ac:dyDescent="0.2">
      <c r="E2068" s="50"/>
      <c r="H2068" s="12"/>
      <c r="K2068"/>
    </row>
    <row r="2069" spans="5:11" x14ac:dyDescent="0.2">
      <c r="E2069" s="50"/>
      <c r="H2069" s="12"/>
      <c r="K2069"/>
    </row>
    <row r="2070" spans="5:11" x14ac:dyDescent="0.2">
      <c r="E2070" s="50"/>
      <c r="H2070" s="12"/>
      <c r="K2070"/>
    </row>
    <row r="2071" spans="5:11" x14ac:dyDescent="0.2">
      <c r="E2071" s="50"/>
      <c r="H2071" s="12"/>
      <c r="K2071"/>
    </row>
    <row r="2072" spans="5:11" x14ac:dyDescent="0.2">
      <c r="E2072" s="50"/>
      <c r="H2072" s="12"/>
      <c r="K2072"/>
    </row>
    <row r="2073" spans="5:11" x14ac:dyDescent="0.2">
      <c r="E2073" s="50"/>
      <c r="H2073" s="12"/>
      <c r="K2073"/>
    </row>
    <row r="2074" spans="5:11" x14ac:dyDescent="0.2">
      <c r="E2074" s="50"/>
      <c r="H2074" s="12"/>
      <c r="K2074"/>
    </row>
    <row r="2075" spans="5:11" x14ac:dyDescent="0.2">
      <c r="E2075" s="50"/>
      <c r="H2075" s="12"/>
      <c r="K2075"/>
    </row>
    <row r="2076" spans="5:11" x14ac:dyDescent="0.2">
      <c r="E2076" s="50"/>
      <c r="H2076" s="12"/>
      <c r="K2076"/>
    </row>
    <row r="2077" spans="5:11" x14ac:dyDescent="0.2">
      <c r="E2077" s="50"/>
      <c r="H2077" s="12"/>
      <c r="K2077"/>
    </row>
    <row r="2078" spans="5:11" x14ac:dyDescent="0.2">
      <c r="E2078" s="50"/>
      <c r="H2078" s="12"/>
      <c r="K2078"/>
    </row>
    <row r="2079" spans="5:11" x14ac:dyDescent="0.2">
      <c r="E2079" s="50"/>
      <c r="H2079" s="12"/>
      <c r="K2079"/>
    </row>
    <row r="2080" spans="5:11" x14ac:dyDescent="0.2">
      <c r="E2080" s="50"/>
      <c r="H2080" s="12"/>
      <c r="K2080"/>
    </row>
    <row r="2081" spans="5:11" x14ac:dyDescent="0.2">
      <c r="E2081" s="50"/>
      <c r="H2081" s="12"/>
      <c r="K2081"/>
    </row>
    <row r="2082" spans="5:11" x14ac:dyDescent="0.2">
      <c r="E2082" s="50"/>
      <c r="H2082" s="12"/>
      <c r="K2082"/>
    </row>
    <row r="2083" spans="5:11" x14ac:dyDescent="0.2">
      <c r="E2083" s="50"/>
      <c r="H2083" s="12"/>
      <c r="K2083"/>
    </row>
    <row r="2084" spans="5:11" x14ac:dyDescent="0.2">
      <c r="E2084" s="50"/>
      <c r="H2084" s="12"/>
      <c r="K2084"/>
    </row>
    <row r="2085" spans="5:11" x14ac:dyDescent="0.2">
      <c r="E2085" s="50"/>
      <c r="H2085" s="12"/>
      <c r="K2085"/>
    </row>
    <row r="2086" spans="5:11" x14ac:dyDescent="0.2">
      <c r="E2086" s="50"/>
      <c r="H2086" s="12"/>
      <c r="K2086"/>
    </row>
    <row r="2087" spans="5:11" x14ac:dyDescent="0.2">
      <c r="E2087" s="50"/>
      <c r="H2087" s="12"/>
      <c r="K2087"/>
    </row>
    <row r="2088" spans="5:11" x14ac:dyDescent="0.2">
      <c r="E2088" s="50"/>
      <c r="H2088" s="12"/>
      <c r="K2088"/>
    </row>
    <row r="2089" spans="5:11" x14ac:dyDescent="0.2">
      <c r="E2089" s="50"/>
      <c r="H2089" s="12"/>
      <c r="K2089"/>
    </row>
    <row r="2090" spans="5:11" x14ac:dyDescent="0.2">
      <c r="E2090" s="50"/>
      <c r="H2090" s="12"/>
      <c r="K2090"/>
    </row>
    <row r="2091" spans="5:11" x14ac:dyDescent="0.2">
      <c r="E2091" s="50"/>
      <c r="H2091" s="12"/>
      <c r="K2091"/>
    </row>
    <row r="2092" spans="5:11" x14ac:dyDescent="0.2">
      <c r="E2092" s="50"/>
      <c r="H2092" s="12"/>
      <c r="K2092"/>
    </row>
    <row r="2093" spans="5:11" x14ac:dyDescent="0.2">
      <c r="E2093" s="50"/>
      <c r="H2093" s="12"/>
      <c r="K2093"/>
    </row>
    <row r="2094" spans="5:11" x14ac:dyDescent="0.2">
      <c r="E2094" s="50"/>
      <c r="H2094" s="12"/>
      <c r="K2094"/>
    </row>
    <row r="2095" spans="5:11" x14ac:dyDescent="0.2">
      <c r="E2095" s="50"/>
      <c r="H2095" s="12"/>
      <c r="K2095"/>
    </row>
    <row r="2096" spans="5:11" x14ac:dyDescent="0.2">
      <c r="E2096" s="50"/>
      <c r="H2096" s="12"/>
      <c r="K2096"/>
    </row>
    <row r="2097" spans="5:11" x14ac:dyDescent="0.2">
      <c r="E2097" s="50"/>
      <c r="H2097" s="12"/>
      <c r="K2097"/>
    </row>
    <row r="2098" spans="5:11" x14ac:dyDescent="0.2">
      <c r="E2098" s="50"/>
      <c r="H2098" s="12"/>
      <c r="K2098"/>
    </row>
    <row r="2099" spans="5:11" x14ac:dyDescent="0.2">
      <c r="E2099" s="50"/>
      <c r="H2099" s="12"/>
      <c r="K2099"/>
    </row>
    <row r="2100" spans="5:11" x14ac:dyDescent="0.2">
      <c r="E2100" s="50"/>
      <c r="H2100" s="12"/>
      <c r="K2100"/>
    </row>
    <row r="2101" spans="5:11" x14ac:dyDescent="0.2">
      <c r="E2101" s="50"/>
      <c r="H2101" s="12"/>
      <c r="K2101"/>
    </row>
    <row r="2102" spans="5:11" x14ac:dyDescent="0.2">
      <c r="E2102" s="50"/>
      <c r="H2102" s="12"/>
      <c r="K2102"/>
    </row>
    <row r="2103" spans="5:11" x14ac:dyDescent="0.2">
      <c r="E2103" s="50"/>
      <c r="H2103" s="12"/>
      <c r="K2103"/>
    </row>
    <row r="2104" spans="5:11" x14ac:dyDescent="0.2">
      <c r="E2104" s="50"/>
      <c r="H2104" s="12"/>
      <c r="K2104"/>
    </row>
    <row r="2105" spans="5:11" x14ac:dyDescent="0.2">
      <c r="E2105" s="50"/>
      <c r="H2105" s="12"/>
      <c r="K2105"/>
    </row>
    <row r="2106" spans="5:11" x14ac:dyDescent="0.2">
      <c r="E2106" s="50"/>
      <c r="H2106" s="12"/>
      <c r="K2106"/>
    </row>
    <row r="2107" spans="5:11" x14ac:dyDescent="0.2">
      <c r="E2107" s="50"/>
      <c r="H2107" s="12"/>
      <c r="K2107"/>
    </row>
    <row r="2108" spans="5:11" x14ac:dyDescent="0.2">
      <c r="E2108" s="50"/>
      <c r="H2108" s="12"/>
      <c r="K2108"/>
    </row>
    <row r="2109" spans="5:11" x14ac:dyDescent="0.2">
      <c r="E2109" s="50"/>
      <c r="H2109" s="12"/>
      <c r="K2109"/>
    </row>
    <row r="2110" spans="5:11" x14ac:dyDescent="0.2">
      <c r="E2110" s="50"/>
      <c r="H2110" s="12"/>
      <c r="K2110"/>
    </row>
    <row r="2111" spans="5:11" x14ac:dyDescent="0.2">
      <c r="E2111" s="50"/>
      <c r="H2111" s="12"/>
      <c r="K2111"/>
    </row>
    <row r="2112" spans="5:11" x14ac:dyDescent="0.2">
      <c r="E2112" s="50"/>
      <c r="H2112" s="12"/>
      <c r="K2112"/>
    </row>
    <row r="2113" spans="5:11" x14ac:dyDescent="0.2">
      <c r="E2113" s="50"/>
      <c r="H2113" s="12"/>
      <c r="K2113"/>
    </row>
    <row r="2114" spans="5:11" x14ac:dyDescent="0.2">
      <c r="E2114" s="50"/>
      <c r="H2114" s="12"/>
      <c r="K2114"/>
    </row>
    <row r="2115" spans="5:11" x14ac:dyDescent="0.2">
      <c r="E2115" s="50"/>
      <c r="H2115" s="12"/>
      <c r="K2115"/>
    </row>
    <row r="2116" spans="5:11" x14ac:dyDescent="0.2">
      <c r="E2116" s="50"/>
      <c r="H2116" s="12"/>
      <c r="K2116"/>
    </row>
    <row r="2117" spans="5:11" x14ac:dyDescent="0.2">
      <c r="E2117" s="50"/>
      <c r="H2117" s="12"/>
      <c r="K2117"/>
    </row>
    <row r="2118" spans="5:11" x14ac:dyDescent="0.2">
      <c r="E2118" s="50"/>
      <c r="H2118" s="12"/>
      <c r="K2118"/>
    </row>
    <row r="2119" spans="5:11" x14ac:dyDescent="0.2">
      <c r="E2119" s="50"/>
      <c r="H2119" s="12"/>
      <c r="K2119"/>
    </row>
    <row r="2120" spans="5:11" x14ac:dyDescent="0.2">
      <c r="E2120" s="50"/>
      <c r="H2120" s="12"/>
      <c r="K2120"/>
    </row>
    <row r="2121" spans="5:11" x14ac:dyDescent="0.2">
      <c r="E2121" s="50"/>
      <c r="H2121" s="12"/>
      <c r="K2121"/>
    </row>
    <row r="2122" spans="5:11" x14ac:dyDescent="0.2">
      <c r="E2122" s="50"/>
      <c r="H2122" s="12"/>
      <c r="K2122"/>
    </row>
    <row r="2123" spans="5:11" x14ac:dyDescent="0.2">
      <c r="E2123" s="50"/>
      <c r="H2123" s="12"/>
      <c r="K2123"/>
    </row>
    <row r="2124" spans="5:11" x14ac:dyDescent="0.2">
      <c r="E2124" s="50"/>
      <c r="H2124" s="12"/>
      <c r="K2124"/>
    </row>
    <row r="2125" spans="5:11" x14ac:dyDescent="0.2">
      <c r="E2125" s="50"/>
      <c r="H2125" s="12"/>
      <c r="K2125"/>
    </row>
    <row r="2126" spans="5:11" x14ac:dyDescent="0.2">
      <c r="E2126" s="50"/>
      <c r="H2126" s="12"/>
      <c r="K2126"/>
    </row>
    <row r="2127" spans="5:11" x14ac:dyDescent="0.2">
      <c r="E2127" s="50"/>
      <c r="H2127" s="12"/>
      <c r="K2127"/>
    </row>
    <row r="2128" spans="5:11" x14ac:dyDescent="0.2">
      <c r="E2128" s="50"/>
      <c r="H2128" s="12"/>
      <c r="K2128"/>
    </row>
    <row r="2129" spans="5:11" x14ac:dyDescent="0.2">
      <c r="E2129" s="50"/>
      <c r="H2129" s="12"/>
      <c r="K2129"/>
    </row>
    <row r="2130" spans="5:11" x14ac:dyDescent="0.2">
      <c r="E2130" s="50"/>
      <c r="H2130" s="12"/>
      <c r="K2130"/>
    </row>
    <row r="2131" spans="5:11" x14ac:dyDescent="0.2">
      <c r="E2131" s="50"/>
      <c r="H2131" s="12"/>
      <c r="K2131"/>
    </row>
    <row r="2132" spans="5:11" x14ac:dyDescent="0.2">
      <c r="E2132" s="50"/>
      <c r="H2132" s="12"/>
      <c r="K2132"/>
    </row>
    <row r="2133" spans="5:11" x14ac:dyDescent="0.2">
      <c r="E2133" s="50"/>
      <c r="H2133" s="12"/>
      <c r="K2133"/>
    </row>
    <row r="2134" spans="5:11" x14ac:dyDescent="0.2">
      <c r="E2134" s="50"/>
      <c r="H2134" s="12"/>
      <c r="K2134"/>
    </row>
    <row r="2135" spans="5:11" x14ac:dyDescent="0.2">
      <c r="E2135" s="50"/>
      <c r="H2135" s="12"/>
      <c r="K2135"/>
    </row>
    <row r="2136" spans="5:11" x14ac:dyDescent="0.2">
      <c r="E2136" s="50"/>
      <c r="H2136" s="12"/>
      <c r="K2136"/>
    </row>
    <row r="2137" spans="5:11" x14ac:dyDescent="0.2">
      <c r="E2137" s="50"/>
      <c r="H2137" s="12"/>
      <c r="K2137"/>
    </row>
    <row r="2138" spans="5:11" x14ac:dyDescent="0.2">
      <c r="E2138" s="50"/>
      <c r="H2138" s="12"/>
      <c r="K2138"/>
    </row>
    <row r="2139" spans="5:11" x14ac:dyDescent="0.2">
      <c r="E2139" s="50"/>
      <c r="H2139" s="12"/>
      <c r="K2139"/>
    </row>
    <row r="2140" spans="5:11" x14ac:dyDescent="0.2">
      <c r="E2140" s="50"/>
      <c r="H2140" s="12"/>
      <c r="K2140"/>
    </row>
    <row r="2141" spans="5:11" x14ac:dyDescent="0.2">
      <c r="E2141" s="50"/>
      <c r="H2141" s="12"/>
      <c r="K2141"/>
    </row>
    <row r="2142" spans="5:11" x14ac:dyDescent="0.2">
      <c r="E2142" s="50"/>
      <c r="H2142" s="12"/>
      <c r="K2142"/>
    </row>
    <row r="2143" spans="5:11" x14ac:dyDescent="0.2">
      <c r="E2143" s="50"/>
      <c r="H2143" s="12"/>
      <c r="K2143"/>
    </row>
    <row r="2144" spans="5:11" x14ac:dyDescent="0.2">
      <c r="E2144" s="50"/>
      <c r="H2144" s="12"/>
      <c r="K2144"/>
    </row>
    <row r="2145" spans="5:11" x14ac:dyDescent="0.2">
      <c r="E2145" s="50"/>
      <c r="H2145" s="12"/>
      <c r="K2145"/>
    </row>
    <row r="2146" spans="5:11" x14ac:dyDescent="0.2">
      <c r="E2146" s="50"/>
      <c r="H2146" s="12"/>
      <c r="K2146"/>
    </row>
    <row r="2147" spans="5:11" x14ac:dyDescent="0.2">
      <c r="E2147" s="50"/>
      <c r="H2147" s="12"/>
      <c r="K2147"/>
    </row>
    <row r="2148" spans="5:11" x14ac:dyDescent="0.2">
      <c r="E2148" s="50"/>
      <c r="H2148" s="12"/>
      <c r="K2148"/>
    </row>
    <row r="2149" spans="5:11" x14ac:dyDescent="0.2">
      <c r="E2149" s="50"/>
      <c r="H2149" s="12"/>
      <c r="K2149"/>
    </row>
    <row r="2150" spans="5:11" x14ac:dyDescent="0.2">
      <c r="E2150" s="50"/>
      <c r="H2150" s="12"/>
      <c r="K2150"/>
    </row>
    <row r="2151" spans="5:11" x14ac:dyDescent="0.2">
      <c r="E2151" s="50"/>
      <c r="H2151" s="12"/>
      <c r="K2151"/>
    </row>
    <row r="2152" spans="5:11" x14ac:dyDescent="0.2">
      <c r="E2152" s="50"/>
      <c r="H2152" s="12"/>
      <c r="K2152"/>
    </row>
    <row r="2153" spans="5:11" x14ac:dyDescent="0.2">
      <c r="E2153" s="50"/>
      <c r="H2153" s="12"/>
      <c r="K2153"/>
    </row>
    <row r="2154" spans="5:11" x14ac:dyDescent="0.2">
      <c r="E2154" s="50"/>
      <c r="H2154" s="12"/>
      <c r="K2154"/>
    </row>
    <row r="2155" spans="5:11" x14ac:dyDescent="0.2">
      <c r="E2155" s="50"/>
      <c r="H2155" s="12"/>
      <c r="K2155"/>
    </row>
    <row r="2156" spans="5:11" x14ac:dyDescent="0.2">
      <c r="E2156" s="50"/>
      <c r="H2156" s="12"/>
      <c r="K2156"/>
    </row>
    <row r="2157" spans="5:11" x14ac:dyDescent="0.2">
      <c r="E2157" s="50"/>
      <c r="H2157" s="12"/>
      <c r="K2157"/>
    </row>
    <row r="2158" spans="5:11" x14ac:dyDescent="0.2">
      <c r="E2158" s="50"/>
      <c r="H2158" s="12"/>
      <c r="K2158"/>
    </row>
    <row r="2159" spans="5:11" x14ac:dyDescent="0.2">
      <c r="E2159" s="50"/>
      <c r="H2159" s="12"/>
      <c r="K2159"/>
    </row>
    <row r="2160" spans="5:11" x14ac:dyDescent="0.2">
      <c r="E2160" s="50"/>
      <c r="H2160" s="12"/>
      <c r="K2160"/>
    </row>
    <row r="2161" spans="5:11" x14ac:dyDescent="0.2">
      <c r="E2161" s="50"/>
      <c r="H2161" s="12"/>
      <c r="K2161"/>
    </row>
    <row r="2162" spans="5:11" x14ac:dyDescent="0.2">
      <c r="E2162" s="50"/>
      <c r="H2162" s="12"/>
      <c r="K2162"/>
    </row>
    <row r="2163" spans="5:11" x14ac:dyDescent="0.2">
      <c r="E2163" s="50"/>
      <c r="H2163" s="12"/>
      <c r="K2163"/>
    </row>
    <row r="2164" spans="5:11" x14ac:dyDescent="0.2">
      <c r="E2164" s="50"/>
      <c r="H2164" s="12"/>
      <c r="K2164"/>
    </row>
    <row r="2165" spans="5:11" x14ac:dyDescent="0.2">
      <c r="E2165" s="50"/>
      <c r="H2165" s="12"/>
      <c r="K2165"/>
    </row>
    <row r="2166" spans="5:11" x14ac:dyDescent="0.2">
      <c r="E2166" s="50"/>
      <c r="H2166" s="12"/>
      <c r="K2166"/>
    </row>
    <row r="2167" spans="5:11" x14ac:dyDescent="0.2">
      <c r="E2167" s="50"/>
      <c r="H2167" s="12"/>
      <c r="K2167"/>
    </row>
    <row r="2168" spans="5:11" x14ac:dyDescent="0.2">
      <c r="E2168" s="50"/>
      <c r="H2168" s="12"/>
      <c r="K2168"/>
    </row>
    <row r="2169" spans="5:11" x14ac:dyDescent="0.2">
      <c r="E2169" s="50"/>
      <c r="H2169" s="12"/>
      <c r="K2169"/>
    </row>
    <row r="2170" spans="5:11" x14ac:dyDescent="0.2">
      <c r="E2170" s="50"/>
      <c r="H2170" s="12"/>
      <c r="K2170"/>
    </row>
    <row r="2171" spans="5:11" x14ac:dyDescent="0.2">
      <c r="E2171" s="50"/>
      <c r="H2171" s="12"/>
      <c r="K2171"/>
    </row>
    <row r="2172" spans="5:11" x14ac:dyDescent="0.2">
      <c r="E2172" s="50"/>
      <c r="H2172" s="12"/>
      <c r="K2172"/>
    </row>
    <row r="2173" spans="5:11" x14ac:dyDescent="0.2">
      <c r="E2173" s="50"/>
      <c r="H2173" s="12"/>
      <c r="K2173"/>
    </row>
    <row r="2174" spans="5:11" x14ac:dyDescent="0.2">
      <c r="E2174" s="50"/>
      <c r="H2174" s="12"/>
      <c r="K2174"/>
    </row>
    <row r="2175" spans="5:11" x14ac:dyDescent="0.2">
      <c r="E2175" s="50"/>
      <c r="H2175" s="12"/>
      <c r="K2175"/>
    </row>
    <row r="2176" spans="5:11" x14ac:dyDescent="0.2">
      <c r="E2176" s="50"/>
      <c r="H2176" s="12"/>
      <c r="K2176"/>
    </row>
    <row r="2177" spans="5:11" x14ac:dyDescent="0.2">
      <c r="E2177" s="50"/>
      <c r="H2177" s="12"/>
      <c r="K2177"/>
    </row>
    <row r="2178" spans="5:11" x14ac:dyDescent="0.2">
      <c r="E2178" s="50"/>
      <c r="H2178" s="12"/>
      <c r="K2178"/>
    </row>
    <row r="2179" spans="5:11" x14ac:dyDescent="0.2">
      <c r="E2179" s="50"/>
      <c r="H2179" s="12"/>
      <c r="K2179"/>
    </row>
    <row r="2180" spans="5:11" x14ac:dyDescent="0.2">
      <c r="E2180" s="50"/>
      <c r="H2180" s="12"/>
      <c r="K2180"/>
    </row>
    <row r="2181" spans="5:11" x14ac:dyDescent="0.2">
      <c r="E2181" s="50"/>
      <c r="H2181" s="12"/>
      <c r="K2181"/>
    </row>
    <row r="2182" spans="5:11" x14ac:dyDescent="0.2">
      <c r="E2182" s="50"/>
      <c r="H2182" s="12"/>
      <c r="K2182"/>
    </row>
    <row r="2183" spans="5:11" x14ac:dyDescent="0.2">
      <c r="E2183" s="50"/>
      <c r="H2183" s="12"/>
      <c r="K2183"/>
    </row>
    <row r="2184" spans="5:11" x14ac:dyDescent="0.2">
      <c r="E2184" s="50"/>
      <c r="H2184" s="12"/>
      <c r="K2184"/>
    </row>
    <row r="2185" spans="5:11" x14ac:dyDescent="0.2">
      <c r="E2185" s="50"/>
      <c r="H2185" s="12"/>
      <c r="K2185"/>
    </row>
    <row r="2186" spans="5:11" x14ac:dyDescent="0.2">
      <c r="E2186" s="50"/>
      <c r="H2186" s="12"/>
      <c r="K2186"/>
    </row>
    <row r="2187" spans="5:11" x14ac:dyDescent="0.2">
      <c r="E2187" s="50"/>
      <c r="H2187" s="12"/>
      <c r="K2187"/>
    </row>
    <row r="2188" spans="5:11" x14ac:dyDescent="0.2">
      <c r="E2188" s="50"/>
      <c r="H2188" s="12"/>
      <c r="K2188"/>
    </row>
    <row r="2189" spans="5:11" x14ac:dyDescent="0.2">
      <c r="E2189" s="50"/>
      <c r="H2189" s="12"/>
      <c r="K2189"/>
    </row>
    <row r="2190" spans="5:11" x14ac:dyDescent="0.2">
      <c r="E2190" s="50"/>
      <c r="H2190" s="12"/>
      <c r="K2190"/>
    </row>
    <row r="2191" spans="5:11" x14ac:dyDescent="0.2">
      <c r="E2191" s="50"/>
      <c r="H2191" s="12"/>
      <c r="K2191"/>
    </row>
    <row r="2192" spans="5:11" x14ac:dyDescent="0.2">
      <c r="E2192" s="50"/>
      <c r="H2192" s="12"/>
      <c r="K2192"/>
    </row>
    <row r="2193" spans="5:11" x14ac:dyDescent="0.2">
      <c r="E2193" s="50"/>
      <c r="H2193" s="12"/>
      <c r="K2193"/>
    </row>
    <row r="2194" spans="5:11" x14ac:dyDescent="0.2">
      <c r="E2194" s="50"/>
      <c r="H2194" s="12"/>
      <c r="K2194"/>
    </row>
    <row r="2195" spans="5:11" x14ac:dyDescent="0.2">
      <c r="E2195" s="50"/>
      <c r="H2195" s="12"/>
      <c r="K2195"/>
    </row>
    <row r="2196" spans="5:11" x14ac:dyDescent="0.2">
      <c r="E2196" s="50"/>
      <c r="H2196" s="12"/>
      <c r="K2196"/>
    </row>
    <row r="2197" spans="5:11" x14ac:dyDescent="0.2">
      <c r="E2197" s="50"/>
      <c r="H2197" s="12"/>
      <c r="K2197"/>
    </row>
    <row r="2198" spans="5:11" x14ac:dyDescent="0.2">
      <c r="E2198" s="50"/>
      <c r="H2198" s="12"/>
      <c r="K2198"/>
    </row>
    <row r="2199" spans="5:11" x14ac:dyDescent="0.2">
      <c r="E2199" s="50"/>
      <c r="H2199" s="12"/>
      <c r="K2199"/>
    </row>
    <row r="2200" spans="5:11" x14ac:dyDescent="0.2">
      <c r="E2200" s="50"/>
      <c r="H2200" s="12"/>
      <c r="K2200"/>
    </row>
    <row r="2201" spans="5:11" x14ac:dyDescent="0.2">
      <c r="E2201" s="50"/>
      <c r="H2201" s="12"/>
      <c r="K2201"/>
    </row>
    <row r="2202" spans="5:11" x14ac:dyDescent="0.2">
      <c r="E2202" s="50"/>
      <c r="H2202" s="12"/>
      <c r="K2202"/>
    </row>
    <row r="2203" spans="5:11" x14ac:dyDescent="0.2">
      <c r="E2203" s="50"/>
      <c r="H2203" s="12"/>
      <c r="K2203"/>
    </row>
    <row r="2204" spans="5:11" x14ac:dyDescent="0.2">
      <c r="E2204" s="50"/>
      <c r="H2204" s="12"/>
      <c r="K2204"/>
    </row>
    <row r="2205" spans="5:11" x14ac:dyDescent="0.2">
      <c r="E2205" s="50"/>
      <c r="H2205" s="12"/>
      <c r="K2205"/>
    </row>
    <row r="2206" spans="5:11" x14ac:dyDescent="0.2">
      <c r="E2206" s="50"/>
      <c r="H2206" s="12"/>
      <c r="K2206"/>
    </row>
    <row r="2207" spans="5:11" x14ac:dyDescent="0.2">
      <c r="E2207" s="50"/>
      <c r="H2207" s="12"/>
      <c r="K2207"/>
    </row>
    <row r="2208" spans="5:11" x14ac:dyDescent="0.2">
      <c r="E2208" s="50"/>
      <c r="H2208" s="12"/>
      <c r="K2208"/>
    </row>
    <row r="2209" spans="5:11" x14ac:dyDescent="0.2">
      <c r="E2209" s="50"/>
      <c r="H2209" s="12"/>
      <c r="K2209"/>
    </row>
    <row r="2210" spans="5:11" x14ac:dyDescent="0.2">
      <c r="E2210" s="50"/>
      <c r="H2210" s="12"/>
      <c r="K2210"/>
    </row>
    <row r="2211" spans="5:11" x14ac:dyDescent="0.2">
      <c r="E2211" s="50"/>
      <c r="H2211" s="12"/>
      <c r="K2211"/>
    </row>
    <row r="2212" spans="5:11" x14ac:dyDescent="0.2">
      <c r="E2212" s="50"/>
      <c r="H2212" s="12"/>
      <c r="K2212"/>
    </row>
    <row r="2213" spans="5:11" x14ac:dyDescent="0.2">
      <c r="E2213" s="50"/>
      <c r="H2213" s="12"/>
      <c r="K2213"/>
    </row>
    <row r="2214" spans="5:11" x14ac:dyDescent="0.2">
      <c r="E2214" s="50"/>
      <c r="H2214" s="12"/>
      <c r="K2214"/>
    </row>
    <row r="2215" spans="5:11" x14ac:dyDescent="0.2">
      <c r="E2215" s="50"/>
      <c r="H2215" s="12"/>
      <c r="K2215"/>
    </row>
    <row r="2216" spans="5:11" x14ac:dyDescent="0.2">
      <c r="E2216" s="50"/>
      <c r="H2216" s="12"/>
      <c r="K2216"/>
    </row>
    <row r="2217" spans="5:11" x14ac:dyDescent="0.2">
      <c r="E2217" s="50"/>
      <c r="H2217" s="12"/>
      <c r="K2217"/>
    </row>
    <row r="2218" spans="5:11" x14ac:dyDescent="0.2">
      <c r="E2218" s="50"/>
      <c r="H2218" s="12"/>
      <c r="K2218"/>
    </row>
    <row r="2219" spans="5:11" x14ac:dyDescent="0.2">
      <c r="E2219" s="50"/>
      <c r="H2219" s="12"/>
      <c r="K2219"/>
    </row>
    <row r="2220" spans="5:11" x14ac:dyDescent="0.2">
      <c r="E2220" s="50"/>
      <c r="H2220" s="12"/>
      <c r="K2220"/>
    </row>
    <row r="2221" spans="5:11" x14ac:dyDescent="0.2">
      <c r="E2221" s="50"/>
      <c r="H2221" s="12"/>
      <c r="K2221"/>
    </row>
    <row r="2222" spans="5:11" x14ac:dyDescent="0.2">
      <c r="E2222" s="50"/>
      <c r="H2222" s="12"/>
      <c r="K2222"/>
    </row>
    <row r="2223" spans="5:11" x14ac:dyDescent="0.2">
      <c r="E2223" s="50"/>
      <c r="H2223" s="12"/>
      <c r="K2223"/>
    </row>
    <row r="2224" spans="5:11" x14ac:dyDescent="0.2">
      <c r="E2224" s="50"/>
      <c r="H2224" s="12"/>
      <c r="K2224"/>
    </row>
    <row r="2225" spans="5:11" x14ac:dyDescent="0.2">
      <c r="E2225" s="50"/>
      <c r="H2225" s="12"/>
      <c r="K2225"/>
    </row>
    <row r="2226" spans="5:11" x14ac:dyDescent="0.2">
      <c r="E2226" s="50"/>
      <c r="H2226" s="12"/>
      <c r="K2226"/>
    </row>
    <row r="2227" spans="5:11" x14ac:dyDescent="0.2">
      <c r="E2227" s="50"/>
      <c r="H2227" s="12"/>
      <c r="K2227"/>
    </row>
    <row r="2228" spans="5:11" x14ac:dyDescent="0.2">
      <c r="E2228" s="50"/>
      <c r="H2228" s="12"/>
      <c r="K2228"/>
    </row>
    <row r="2229" spans="5:11" x14ac:dyDescent="0.2">
      <c r="E2229" s="50"/>
      <c r="H2229" s="12"/>
      <c r="K2229"/>
    </row>
    <row r="2230" spans="5:11" x14ac:dyDescent="0.2">
      <c r="E2230" s="50"/>
      <c r="H2230" s="12"/>
      <c r="K2230"/>
    </row>
    <row r="2231" spans="5:11" x14ac:dyDescent="0.2">
      <c r="E2231" s="50"/>
      <c r="H2231" s="12"/>
      <c r="K2231"/>
    </row>
    <row r="2232" spans="5:11" x14ac:dyDescent="0.2">
      <c r="E2232" s="50"/>
      <c r="H2232" s="12"/>
      <c r="K2232"/>
    </row>
    <row r="2233" spans="5:11" x14ac:dyDescent="0.2">
      <c r="E2233" s="50"/>
      <c r="H2233" s="12"/>
      <c r="K2233"/>
    </row>
    <row r="2234" spans="5:11" x14ac:dyDescent="0.2">
      <c r="E2234" s="50"/>
      <c r="H2234" s="12"/>
      <c r="K2234"/>
    </row>
    <row r="2235" spans="5:11" x14ac:dyDescent="0.2">
      <c r="E2235" s="50"/>
      <c r="H2235" s="12"/>
      <c r="K2235"/>
    </row>
    <row r="2236" spans="5:11" x14ac:dyDescent="0.2">
      <c r="E2236" s="50"/>
      <c r="H2236" s="12"/>
      <c r="K2236"/>
    </row>
    <row r="2237" spans="5:11" x14ac:dyDescent="0.2">
      <c r="E2237" s="50"/>
      <c r="H2237" s="12"/>
      <c r="K2237"/>
    </row>
    <row r="2238" spans="5:11" x14ac:dyDescent="0.2">
      <c r="E2238" s="50"/>
      <c r="H2238" s="12"/>
      <c r="K2238"/>
    </row>
    <row r="2239" spans="5:11" x14ac:dyDescent="0.2">
      <c r="E2239" s="50"/>
      <c r="H2239" s="12"/>
      <c r="K2239"/>
    </row>
    <row r="2240" spans="5:11" x14ac:dyDescent="0.2">
      <c r="E2240" s="50"/>
      <c r="H2240" s="12"/>
      <c r="K2240"/>
    </row>
    <row r="2241" spans="5:11" x14ac:dyDescent="0.2">
      <c r="E2241" s="50"/>
      <c r="H2241" s="12"/>
      <c r="K2241"/>
    </row>
    <row r="2242" spans="5:11" x14ac:dyDescent="0.2">
      <c r="E2242" s="50"/>
      <c r="H2242" s="12"/>
      <c r="K2242"/>
    </row>
    <row r="2243" spans="5:11" x14ac:dyDescent="0.2">
      <c r="E2243" s="50"/>
      <c r="H2243" s="12"/>
      <c r="K2243"/>
    </row>
    <row r="2244" spans="5:11" x14ac:dyDescent="0.2">
      <c r="E2244" s="50"/>
      <c r="H2244" s="12"/>
      <c r="K2244"/>
    </row>
    <row r="2245" spans="5:11" x14ac:dyDescent="0.2">
      <c r="E2245" s="50"/>
      <c r="H2245" s="12"/>
      <c r="K2245"/>
    </row>
    <row r="2246" spans="5:11" x14ac:dyDescent="0.2">
      <c r="E2246" s="50"/>
      <c r="H2246" s="12"/>
      <c r="K2246"/>
    </row>
    <row r="2247" spans="5:11" x14ac:dyDescent="0.2">
      <c r="E2247" s="50"/>
      <c r="H2247" s="12"/>
      <c r="K2247"/>
    </row>
    <row r="2248" spans="5:11" x14ac:dyDescent="0.2">
      <c r="E2248" s="50"/>
      <c r="H2248" s="12"/>
      <c r="K2248"/>
    </row>
    <row r="2249" spans="5:11" x14ac:dyDescent="0.2">
      <c r="E2249" s="50"/>
      <c r="H2249" s="12"/>
      <c r="K2249"/>
    </row>
    <row r="2250" spans="5:11" x14ac:dyDescent="0.2">
      <c r="E2250" s="50"/>
      <c r="H2250" s="12"/>
      <c r="K2250"/>
    </row>
    <row r="2251" spans="5:11" x14ac:dyDescent="0.2">
      <c r="E2251" s="50"/>
      <c r="H2251" s="12"/>
      <c r="K2251"/>
    </row>
    <row r="2252" spans="5:11" x14ac:dyDescent="0.2">
      <c r="E2252" s="50"/>
      <c r="H2252" s="12"/>
      <c r="K2252"/>
    </row>
    <row r="2253" spans="5:11" x14ac:dyDescent="0.2">
      <c r="E2253" s="50"/>
      <c r="H2253" s="12"/>
      <c r="K2253"/>
    </row>
    <row r="2254" spans="5:11" x14ac:dyDescent="0.2">
      <c r="E2254" s="50"/>
      <c r="H2254" s="12"/>
      <c r="K2254"/>
    </row>
    <row r="2255" spans="5:11" x14ac:dyDescent="0.2">
      <c r="E2255" s="50"/>
      <c r="H2255" s="12"/>
      <c r="K2255"/>
    </row>
    <row r="2256" spans="5:11" x14ac:dyDescent="0.2">
      <c r="E2256" s="50"/>
      <c r="H2256" s="12"/>
      <c r="K2256"/>
    </row>
    <row r="2257" spans="5:11" x14ac:dyDescent="0.2">
      <c r="E2257" s="50"/>
      <c r="H2257" s="12"/>
      <c r="K2257"/>
    </row>
    <row r="2258" spans="5:11" x14ac:dyDescent="0.2">
      <c r="E2258" s="50"/>
      <c r="H2258" s="12"/>
      <c r="K2258"/>
    </row>
    <row r="2259" spans="5:11" x14ac:dyDescent="0.2">
      <c r="E2259" s="50"/>
      <c r="H2259" s="12"/>
      <c r="K2259"/>
    </row>
    <row r="2260" spans="5:11" x14ac:dyDescent="0.2">
      <c r="E2260" s="50"/>
      <c r="H2260" s="12"/>
      <c r="K2260"/>
    </row>
    <row r="2261" spans="5:11" x14ac:dyDescent="0.2">
      <c r="E2261" s="50"/>
      <c r="H2261" s="12"/>
      <c r="K2261"/>
    </row>
    <row r="2262" spans="5:11" x14ac:dyDescent="0.2">
      <c r="E2262" s="50"/>
      <c r="H2262" s="12"/>
      <c r="K2262"/>
    </row>
    <row r="2263" spans="5:11" x14ac:dyDescent="0.2">
      <c r="E2263" s="50"/>
      <c r="H2263" s="12"/>
      <c r="K2263"/>
    </row>
    <row r="2264" spans="5:11" x14ac:dyDescent="0.2">
      <c r="E2264" s="50"/>
      <c r="H2264" s="12"/>
      <c r="K2264"/>
    </row>
    <row r="2265" spans="5:11" x14ac:dyDescent="0.2">
      <c r="E2265" s="50"/>
      <c r="H2265" s="12"/>
      <c r="K2265"/>
    </row>
    <row r="2266" spans="5:11" x14ac:dyDescent="0.2">
      <c r="E2266" s="50"/>
      <c r="H2266" s="12"/>
      <c r="K2266"/>
    </row>
    <row r="2267" spans="5:11" x14ac:dyDescent="0.2">
      <c r="E2267" s="50"/>
      <c r="H2267" s="12"/>
      <c r="K2267"/>
    </row>
    <row r="2268" spans="5:11" x14ac:dyDescent="0.2">
      <c r="E2268" s="50"/>
      <c r="H2268" s="12"/>
      <c r="K2268"/>
    </row>
    <row r="2269" spans="5:11" x14ac:dyDescent="0.2">
      <c r="E2269" s="50"/>
      <c r="H2269" s="12"/>
      <c r="K2269"/>
    </row>
    <row r="2270" spans="5:11" x14ac:dyDescent="0.2">
      <c r="E2270" s="50"/>
      <c r="H2270" s="12"/>
      <c r="K2270"/>
    </row>
    <row r="2271" spans="5:11" x14ac:dyDescent="0.2">
      <c r="E2271" s="50"/>
      <c r="H2271" s="12"/>
      <c r="K2271"/>
    </row>
    <row r="2272" spans="5:11" x14ac:dyDescent="0.2">
      <c r="E2272" s="50"/>
      <c r="H2272" s="12"/>
      <c r="K2272"/>
    </row>
    <row r="2273" spans="5:11" x14ac:dyDescent="0.2">
      <c r="E2273" s="50"/>
      <c r="H2273" s="12"/>
      <c r="K2273"/>
    </row>
    <row r="2274" spans="5:11" x14ac:dyDescent="0.2">
      <c r="E2274" s="50"/>
      <c r="H2274" s="12"/>
      <c r="K2274"/>
    </row>
    <row r="2275" spans="5:11" x14ac:dyDescent="0.2">
      <c r="E2275" s="50"/>
      <c r="H2275" s="12"/>
      <c r="K2275"/>
    </row>
    <row r="2276" spans="5:11" x14ac:dyDescent="0.2">
      <c r="E2276" s="50"/>
      <c r="H2276" s="12"/>
      <c r="K2276"/>
    </row>
    <row r="2277" spans="5:11" x14ac:dyDescent="0.2">
      <c r="E2277" s="50"/>
      <c r="H2277" s="12"/>
      <c r="K2277"/>
    </row>
    <row r="2278" spans="5:11" x14ac:dyDescent="0.2">
      <c r="E2278" s="50"/>
      <c r="H2278" s="12"/>
      <c r="K2278"/>
    </row>
    <row r="2279" spans="5:11" x14ac:dyDescent="0.2">
      <c r="E2279" s="50"/>
      <c r="H2279" s="12"/>
      <c r="K2279"/>
    </row>
    <row r="2280" spans="5:11" x14ac:dyDescent="0.2">
      <c r="E2280" s="50"/>
      <c r="H2280" s="12"/>
      <c r="K2280"/>
    </row>
    <row r="2281" spans="5:11" x14ac:dyDescent="0.2">
      <c r="E2281" s="50"/>
      <c r="H2281" s="12"/>
      <c r="K2281"/>
    </row>
    <row r="2282" spans="5:11" x14ac:dyDescent="0.2">
      <c r="E2282" s="50"/>
      <c r="H2282" s="12"/>
      <c r="K2282"/>
    </row>
    <row r="2283" spans="5:11" x14ac:dyDescent="0.2">
      <c r="E2283" s="50"/>
      <c r="H2283" s="12"/>
      <c r="K2283"/>
    </row>
    <row r="2284" spans="5:11" x14ac:dyDescent="0.2">
      <c r="E2284" s="50"/>
      <c r="H2284" s="12"/>
      <c r="K2284"/>
    </row>
    <row r="2285" spans="5:11" x14ac:dyDescent="0.2">
      <c r="E2285" s="50"/>
      <c r="H2285" s="12"/>
      <c r="K2285"/>
    </row>
    <row r="2286" spans="5:11" x14ac:dyDescent="0.2">
      <c r="E2286" s="50"/>
      <c r="H2286" s="12"/>
      <c r="K2286"/>
    </row>
    <row r="2287" spans="5:11" x14ac:dyDescent="0.2">
      <c r="E2287" s="50"/>
      <c r="H2287" s="12"/>
      <c r="K2287"/>
    </row>
    <row r="2288" spans="5:11" x14ac:dyDescent="0.2">
      <c r="E2288" s="50"/>
      <c r="H2288" s="12"/>
      <c r="K2288"/>
    </row>
    <row r="2289" spans="5:11" x14ac:dyDescent="0.2">
      <c r="E2289" s="50"/>
      <c r="H2289" s="12"/>
      <c r="K2289"/>
    </row>
    <row r="2290" spans="5:11" x14ac:dyDescent="0.2">
      <c r="E2290" s="50"/>
      <c r="H2290" s="12"/>
      <c r="K2290"/>
    </row>
    <row r="2291" spans="5:11" x14ac:dyDescent="0.2">
      <c r="E2291" s="50"/>
      <c r="H2291" s="12"/>
      <c r="K2291"/>
    </row>
    <row r="2292" spans="5:11" x14ac:dyDescent="0.2">
      <c r="E2292" s="50"/>
      <c r="H2292" s="12"/>
      <c r="K2292"/>
    </row>
    <row r="2293" spans="5:11" x14ac:dyDescent="0.2">
      <c r="E2293" s="50"/>
      <c r="H2293" s="12"/>
      <c r="K2293"/>
    </row>
    <row r="2294" spans="5:11" x14ac:dyDescent="0.2">
      <c r="E2294" s="50"/>
      <c r="H2294" s="12"/>
      <c r="K2294"/>
    </row>
    <row r="2295" spans="5:11" x14ac:dyDescent="0.2">
      <c r="E2295" s="50"/>
      <c r="H2295" s="12"/>
      <c r="K2295"/>
    </row>
    <row r="2296" spans="5:11" x14ac:dyDescent="0.2">
      <c r="E2296" s="50"/>
      <c r="H2296" s="12"/>
      <c r="K2296"/>
    </row>
    <row r="2297" spans="5:11" x14ac:dyDescent="0.2">
      <c r="E2297" s="50"/>
      <c r="H2297" s="12"/>
      <c r="K2297"/>
    </row>
    <row r="2298" spans="5:11" x14ac:dyDescent="0.2">
      <c r="E2298" s="50"/>
      <c r="H2298" s="12"/>
      <c r="K2298"/>
    </row>
    <row r="2299" spans="5:11" x14ac:dyDescent="0.2">
      <c r="E2299" s="50"/>
      <c r="H2299" s="12"/>
      <c r="K2299"/>
    </row>
    <row r="2300" spans="5:11" x14ac:dyDescent="0.2">
      <c r="E2300" s="50"/>
      <c r="H2300" s="12"/>
      <c r="K2300"/>
    </row>
    <row r="2301" spans="5:11" x14ac:dyDescent="0.2">
      <c r="E2301" s="50"/>
      <c r="H2301" s="12"/>
      <c r="K2301"/>
    </row>
    <row r="2302" spans="5:11" x14ac:dyDescent="0.2">
      <c r="E2302" s="50"/>
      <c r="H2302" s="12"/>
      <c r="K2302"/>
    </row>
    <row r="2303" spans="5:11" x14ac:dyDescent="0.2">
      <c r="E2303" s="50"/>
      <c r="H2303" s="12"/>
      <c r="K2303"/>
    </row>
    <row r="2304" spans="5:11" x14ac:dyDescent="0.2">
      <c r="E2304" s="50"/>
      <c r="H2304" s="12"/>
      <c r="K2304"/>
    </row>
    <row r="2305" spans="5:11" x14ac:dyDescent="0.2">
      <c r="E2305" s="50"/>
      <c r="H2305" s="12"/>
      <c r="K2305"/>
    </row>
    <row r="2306" spans="5:11" x14ac:dyDescent="0.2">
      <c r="E2306" s="50"/>
      <c r="H2306" s="12"/>
      <c r="K2306"/>
    </row>
    <row r="2307" spans="5:11" x14ac:dyDescent="0.2">
      <c r="E2307" s="50"/>
      <c r="H2307" s="12"/>
      <c r="K2307"/>
    </row>
    <row r="2308" spans="5:11" x14ac:dyDescent="0.2">
      <c r="E2308" s="50"/>
      <c r="H2308" s="12"/>
      <c r="K2308"/>
    </row>
    <row r="2309" spans="5:11" x14ac:dyDescent="0.2">
      <c r="E2309" s="50"/>
      <c r="H2309" s="12"/>
      <c r="K2309"/>
    </row>
    <row r="2310" spans="5:11" x14ac:dyDescent="0.2">
      <c r="E2310" s="50"/>
      <c r="H2310" s="12"/>
      <c r="K2310"/>
    </row>
    <row r="2311" spans="5:11" x14ac:dyDescent="0.2">
      <c r="E2311" s="50"/>
      <c r="H2311" s="12"/>
      <c r="K2311"/>
    </row>
    <row r="2312" spans="5:11" x14ac:dyDescent="0.2">
      <c r="E2312" s="50"/>
      <c r="H2312" s="12"/>
      <c r="K2312"/>
    </row>
    <row r="2313" spans="5:11" x14ac:dyDescent="0.2">
      <c r="E2313" s="50"/>
      <c r="H2313" s="12"/>
      <c r="K2313"/>
    </row>
    <row r="2314" spans="5:11" x14ac:dyDescent="0.2">
      <c r="E2314" s="50"/>
      <c r="H2314" s="12"/>
      <c r="K2314"/>
    </row>
    <row r="2315" spans="5:11" x14ac:dyDescent="0.2">
      <c r="E2315" s="50"/>
      <c r="H2315" s="12"/>
      <c r="K2315"/>
    </row>
    <row r="2316" spans="5:11" x14ac:dyDescent="0.2">
      <c r="E2316" s="50"/>
      <c r="H2316" s="12"/>
      <c r="K2316"/>
    </row>
    <row r="2317" spans="5:11" x14ac:dyDescent="0.2">
      <c r="E2317" s="50"/>
      <c r="H2317" s="12"/>
      <c r="K2317"/>
    </row>
    <row r="2318" spans="5:11" x14ac:dyDescent="0.2">
      <c r="E2318" s="50"/>
      <c r="H2318" s="12"/>
      <c r="K2318"/>
    </row>
    <row r="2319" spans="5:11" x14ac:dyDescent="0.2">
      <c r="E2319" s="50"/>
      <c r="H2319" s="12"/>
      <c r="K2319"/>
    </row>
    <row r="2320" spans="5:11" x14ac:dyDescent="0.2">
      <c r="E2320" s="50"/>
      <c r="H2320" s="12"/>
      <c r="K2320"/>
    </row>
    <row r="2321" spans="5:11" x14ac:dyDescent="0.2">
      <c r="E2321" s="50"/>
      <c r="H2321" s="12"/>
      <c r="K2321"/>
    </row>
    <row r="2322" spans="5:11" x14ac:dyDescent="0.2">
      <c r="E2322" s="50"/>
      <c r="H2322" s="12"/>
      <c r="K2322"/>
    </row>
    <row r="2323" spans="5:11" x14ac:dyDescent="0.2">
      <c r="E2323" s="50"/>
      <c r="H2323" s="12"/>
      <c r="K2323"/>
    </row>
    <row r="2324" spans="5:11" x14ac:dyDescent="0.2">
      <c r="E2324" s="50"/>
      <c r="H2324" s="12"/>
      <c r="K2324"/>
    </row>
    <row r="2325" spans="5:11" x14ac:dyDescent="0.2">
      <c r="E2325" s="50"/>
      <c r="H2325" s="12"/>
      <c r="K2325"/>
    </row>
    <row r="2326" spans="5:11" x14ac:dyDescent="0.2">
      <c r="E2326" s="50"/>
      <c r="H2326" s="12"/>
      <c r="K2326"/>
    </row>
    <row r="2327" spans="5:11" x14ac:dyDescent="0.2">
      <c r="E2327" s="50"/>
      <c r="H2327" s="12"/>
      <c r="K2327"/>
    </row>
    <row r="2328" spans="5:11" x14ac:dyDescent="0.2">
      <c r="E2328" s="50"/>
      <c r="H2328" s="12"/>
      <c r="K2328"/>
    </row>
    <row r="2329" spans="5:11" x14ac:dyDescent="0.2">
      <c r="E2329" s="50"/>
      <c r="H2329" s="12"/>
      <c r="K2329"/>
    </row>
    <row r="2330" spans="5:11" x14ac:dyDescent="0.2">
      <c r="E2330" s="50"/>
      <c r="H2330" s="12"/>
      <c r="K2330"/>
    </row>
    <row r="2331" spans="5:11" x14ac:dyDescent="0.2">
      <c r="E2331" s="50"/>
      <c r="H2331" s="12"/>
      <c r="K2331"/>
    </row>
    <row r="2332" spans="5:11" x14ac:dyDescent="0.2">
      <c r="E2332" s="50"/>
      <c r="H2332" s="12"/>
      <c r="K2332"/>
    </row>
    <row r="2333" spans="5:11" x14ac:dyDescent="0.2">
      <c r="E2333" s="50"/>
      <c r="H2333" s="12"/>
      <c r="K2333"/>
    </row>
    <row r="2334" spans="5:11" x14ac:dyDescent="0.2">
      <c r="E2334" s="50"/>
      <c r="H2334" s="12"/>
      <c r="K2334"/>
    </row>
    <row r="2335" spans="5:11" x14ac:dyDescent="0.2">
      <c r="E2335" s="50"/>
      <c r="H2335" s="12"/>
      <c r="K2335"/>
    </row>
    <row r="2336" spans="5:11" x14ac:dyDescent="0.2">
      <c r="E2336" s="50"/>
      <c r="H2336" s="12"/>
      <c r="K2336"/>
    </row>
    <row r="2337" spans="5:11" x14ac:dyDescent="0.2">
      <c r="E2337" s="50"/>
      <c r="H2337" s="12"/>
      <c r="K2337"/>
    </row>
    <row r="2338" spans="5:11" x14ac:dyDescent="0.2">
      <c r="E2338" s="50"/>
      <c r="H2338" s="12"/>
      <c r="K2338"/>
    </row>
    <row r="2339" spans="5:11" x14ac:dyDescent="0.2">
      <c r="E2339" s="50"/>
      <c r="H2339" s="12"/>
      <c r="K2339"/>
    </row>
    <row r="2340" spans="5:11" x14ac:dyDescent="0.2">
      <c r="E2340" s="50"/>
      <c r="H2340" s="12"/>
      <c r="K2340"/>
    </row>
    <row r="2341" spans="5:11" x14ac:dyDescent="0.2">
      <c r="E2341" s="50"/>
      <c r="H2341" s="12"/>
      <c r="K2341"/>
    </row>
    <row r="2342" spans="5:11" x14ac:dyDescent="0.2">
      <c r="E2342" s="50"/>
      <c r="H2342" s="12"/>
      <c r="K2342"/>
    </row>
    <row r="2343" spans="5:11" x14ac:dyDescent="0.2">
      <c r="E2343" s="50"/>
      <c r="H2343" s="12"/>
      <c r="K2343"/>
    </row>
    <row r="2344" spans="5:11" x14ac:dyDescent="0.2">
      <c r="E2344" s="50"/>
      <c r="H2344" s="12"/>
      <c r="K2344"/>
    </row>
    <row r="2345" spans="5:11" x14ac:dyDescent="0.2">
      <c r="E2345" s="50"/>
      <c r="H2345" s="12"/>
      <c r="K2345"/>
    </row>
    <row r="2346" spans="5:11" x14ac:dyDescent="0.2">
      <c r="E2346" s="50"/>
      <c r="H2346" s="12"/>
      <c r="K2346"/>
    </row>
    <row r="2347" spans="5:11" x14ac:dyDescent="0.2">
      <c r="E2347" s="50"/>
      <c r="H2347" s="12"/>
      <c r="K2347"/>
    </row>
    <row r="2348" spans="5:11" x14ac:dyDescent="0.2">
      <c r="E2348" s="50"/>
      <c r="H2348" s="12"/>
      <c r="K2348"/>
    </row>
    <row r="2349" spans="5:11" x14ac:dyDescent="0.2">
      <c r="E2349" s="50"/>
      <c r="H2349" s="12"/>
      <c r="K2349"/>
    </row>
    <row r="2350" spans="5:11" x14ac:dyDescent="0.2">
      <c r="E2350" s="50"/>
      <c r="H2350" s="12"/>
      <c r="K2350"/>
    </row>
    <row r="2351" spans="5:11" x14ac:dyDescent="0.2">
      <c r="E2351" s="50"/>
      <c r="H2351" s="12"/>
      <c r="K2351"/>
    </row>
    <row r="2352" spans="5:11" x14ac:dyDescent="0.2">
      <c r="E2352" s="50"/>
      <c r="H2352" s="12"/>
      <c r="K2352"/>
    </row>
    <row r="2353" spans="5:11" x14ac:dyDescent="0.2">
      <c r="E2353" s="50"/>
      <c r="H2353" s="12"/>
      <c r="K2353"/>
    </row>
    <row r="2354" spans="5:11" x14ac:dyDescent="0.2">
      <c r="E2354" s="50"/>
      <c r="H2354" s="12"/>
      <c r="K2354"/>
    </row>
    <row r="2355" spans="5:11" x14ac:dyDescent="0.2">
      <c r="E2355" s="50"/>
      <c r="H2355" s="12"/>
      <c r="K2355"/>
    </row>
    <row r="2356" spans="5:11" x14ac:dyDescent="0.2">
      <c r="E2356" s="50"/>
      <c r="H2356" s="12"/>
      <c r="K2356"/>
    </row>
    <row r="2357" spans="5:11" x14ac:dyDescent="0.2">
      <c r="E2357" s="50"/>
      <c r="H2357" s="12"/>
      <c r="K2357"/>
    </row>
    <row r="2358" spans="5:11" x14ac:dyDescent="0.2">
      <c r="E2358" s="50"/>
      <c r="H2358" s="12"/>
      <c r="K2358"/>
    </row>
    <row r="2359" spans="5:11" x14ac:dyDescent="0.2">
      <c r="E2359" s="50"/>
      <c r="H2359" s="12"/>
      <c r="K2359"/>
    </row>
    <row r="2360" spans="5:11" x14ac:dyDescent="0.2">
      <c r="E2360" s="50"/>
      <c r="H2360" s="12"/>
      <c r="K2360"/>
    </row>
    <row r="2361" spans="5:11" x14ac:dyDescent="0.2">
      <c r="E2361" s="50"/>
      <c r="H2361" s="12"/>
      <c r="K2361"/>
    </row>
    <row r="2362" spans="5:11" x14ac:dyDescent="0.2">
      <c r="E2362" s="50"/>
      <c r="H2362" s="12"/>
      <c r="K2362"/>
    </row>
    <row r="2363" spans="5:11" x14ac:dyDescent="0.2">
      <c r="E2363" s="50"/>
      <c r="H2363" s="12"/>
      <c r="K2363"/>
    </row>
    <row r="2364" spans="5:11" x14ac:dyDescent="0.2">
      <c r="E2364" s="50"/>
      <c r="H2364" s="12"/>
      <c r="K2364"/>
    </row>
    <row r="2365" spans="5:11" x14ac:dyDescent="0.2">
      <c r="E2365" s="50"/>
      <c r="H2365" s="12"/>
      <c r="K2365"/>
    </row>
    <row r="2366" spans="5:11" x14ac:dyDescent="0.2">
      <c r="E2366" s="50"/>
      <c r="H2366" s="12"/>
      <c r="K2366"/>
    </row>
    <row r="2367" spans="5:11" x14ac:dyDescent="0.2">
      <c r="E2367" s="50"/>
      <c r="H2367" s="12"/>
      <c r="K2367"/>
    </row>
    <row r="2368" spans="5:11" x14ac:dyDescent="0.2">
      <c r="E2368" s="50"/>
      <c r="H2368" s="12"/>
      <c r="K2368"/>
    </row>
    <row r="2369" spans="5:11" x14ac:dyDescent="0.2">
      <c r="E2369" s="50"/>
      <c r="H2369" s="12"/>
      <c r="K2369"/>
    </row>
    <row r="2370" spans="5:11" x14ac:dyDescent="0.2">
      <c r="E2370" s="50"/>
      <c r="H2370" s="12"/>
      <c r="K2370"/>
    </row>
    <row r="2371" spans="5:11" x14ac:dyDescent="0.2">
      <c r="E2371" s="50"/>
      <c r="H2371" s="12"/>
      <c r="K2371"/>
    </row>
    <row r="2372" spans="5:11" x14ac:dyDescent="0.2">
      <c r="E2372" s="50"/>
      <c r="H2372" s="12"/>
      <c r="K2372"/>
    </row>
    <row r="2373" spans="5:11" x14ac:dyDescent="0.2">
      <c r="E2373" s="50"/>
      <c r="H2373" s="12"/>
      <c r="K2373"/>
    </row>
    <row r="2374" spans="5:11" x14ac:dyDescent="0.2">
      <c r="E2374" s="50"/>
      <c r="H2374" s="12"/>
      <c r="K2374"/>
    </row>
    <row r="2375" spans="5:11" x14ac:dyDescent="0.2">
      <c r="E2375" s="50"/>
      <c r="H2375" s="12"/>
      <c r="K2375"/>
    </row>
    <row r="2376" spans="5:11" x14ac:dyDescent="0.2">
      <c r="E2376" s="50"/>
      <c r="H2376" s="12"/>
      <c r="K2376"/>
    </row>
    <row r="2377" spans="5:11" x14ac:dyDescent="0.2">
      <c r="E2377" s="50"/>
      <c r="H2377" s="12"/>
      <c r="K2377"/>
    </row>
    <row r="2378" spans="5:11" x14ac:dyDescent="0.2">
      <c r="E2378" s="50"/>
      <c r="H2378" s="12"/>
      <c r="K2378"/>
    </row>
    <row r="2379" spans="5:11" x14ac:dyDescent="0.2">
      <c r="E2379" s="50"/>
      <c r="H2379" s="12"/>
      <c r="K2379"/>
    </row>
    <row r="2380" spans="5:11" x14ac:dyDescent="0.2">
      <c r="E2380" s="50"/>
      <c r="H2380" s="12"/>
      <c r="K2380"/>
    </row>
    <row r="2381" spans="5:11" x14ac:dyDescent="0.2">
      <c r="E2381" s="50"/>
      <c r="H2381" s="12"/>
      <c r="K2381"/>
    </row>
    <row r="2382" spans="5:11" x14ac:dyDescent="0.2">
      <c r="E2382" s="50"/>
      <c r="H2382" s="12"/>
      <c r="K2382"/>
    </row>
    <row r="2383" spans="5:11" x14ac:dyDescent="0.2">
      <c r="E2383" s="50"/>
      <c r="H2383" s="12"/>
      <c r="K2383"/>
    </row>
    <row r="2384" spans="5:11" x14ac:dyDescent="0.2">
      <c r="E2384" s="50"/>
      <c r="H2384" s="12"/>
      <c r="K2384"/>
    </row>
    <row r="2385" spans="5:11" x14ac:dyDescent="0.2">
      <c r="E2385" s="50"/>
      <c r="H2385" s="12"/>
      <c r="K2385"/>
    </row>
    <row r="2386" spans="5:11" x14ac:dyDescent="0.2">
      <c r="E2386" s="50"/>
      <c r="H2386" s="12"/>
      <c r="K2386"/>
    </row>
    <row r="2387" spans="5:11" x14ac:dyDescent="0.2">
      <c r="E2387" s="50"/>
      <c r="H2387" s="12"/>
      <c r="K2387"/>
    </row>
    <row r="2388" spans="5:11" x14ac:dyDescent="0.2">
      <c r="E2388" s="50"/>
      <c r="H2388" s="12"/>
      <c r="K2388"/>
    </row>
    <row r="2389" spans="5:11" x14ac:dyDescent="0.2">
      <c r="E2389" s="50"/>
      <c r="H2389" s="12"/>
      <c r="K2389"/>
    </row>
    <row r="2390" spans="5:11" x14ac:dyDescent="0.2">
      <c r="E2390" s="50"/>
      <c r="H2390" s="12"/>
      <c r="K2390"/>
    </row>
    <row r="2391" spans="5:11" x14ac:dyDescent="0.2">
      <c r="E2391" s="50"/>
      <c r="H2391" s="12"/>
      <c r="K2391"/>
    </row>
    <row r="2392" spans="5:11" x14ac:dyDescent="0.2">
      <c r="E2392" s="50"/>
      <c r="H2392" s="12"/>
      <c r="K2392"/>
    </row>
    <row r="2393" spans="5:11" x14ac:dyDescent="0.2">
      <c r="E2393" s="50"/>
      <c r="H2393" s="12"/>
      <c r="K2393"/>
    </row>
    <row r="2394" spans="5:11" x14ac:dyDescent="0.2">
      <c r="E2394" s="50"/>
      <c r="H2394" s="12"/>
      <c r="K2394"/>
    </row>
    <row r="2395" spans="5:11" x14ac:dyDescent="0.2">
      <c r="E2395" s="50"/>
      <c r="H2395" s="12"/>
      <c r="K2395"/>
    </row>
    <row r="2396" spans="5:11" x14ac:dyDescent="0.2">
      <c r="E2396" s="50"/>
      <c r="H2396" s="12"/>
      <c r="K2396"/>
    </row>
    <row r="2397" spans="5:11" x14ac:dyDescent="0.2">
      <c r="E2397" s="50"/>
      <c r="H2397" s="12"/>
      <c r="K2397"/>
    </row>
    <row r="2398" spans="5:11" x14ac:dyDescent="0.2">
      <c r="E2398" s="50"/>
      <c r="H2398" s="12"/>
      <c r="K2398"/>
    </row>
    <row r="2399" spans="5:11" x14ac:dyDescent="0.2">
      <c r="E2399" s="50"/>
      <c r="H2399" s="12"/>
      <c r="K2399"/>
    </row>
    <row r="2400" spans="5:11" x14ac:dyDescent="0.2">
      <c r="E2400" s="50"/>
      <c r="H2400" s="12"/>
      <c r="K2400"/>
    </row>
    <row r="2401" spans="5:11" x14ac:dyDescent="0.2">
      <c r="E2401" s="50"/>
      <c r="H2401" s="12"/>
      <c r="K2401"/>
    </row>
    <row r="2402" spans="5:11" x14ac:dyDescent="0.2">
      <c r="E2402" s="50"/>
      <c r="H2402" s="12"/>
      <c r="K2402"/>
    </row>
    <row r="2403" spans="5:11" x14ac:dyDescent="0.2">
      <c r="E2403" s="50"/>
      <c r="H2403" s="12"/>
      <c r="K2403"/>
    </row>
    <row r="2404" spans="5:11" x14ac:dyDescent="0.2">
      <c r="E2404" s="50"/>
      <c r="H2404" s="12"/>
      <c r="K2404"/>
    </row>
    <row r="2405" spans="5:11" x14ac:dyDescent="0.2">
      <c r="E2405" s="50"/>
      <c r="H2405" s="12"/>
      <c r="K2405"/>
    </row>
    <row r="2406" spans="5:11" x14ac:dyDescent="0.2">
      <c r="E2406" s="50"/>
      <c r="H2406" s="12"/>
      <c r="K2406"/>
    </row>
    <row r="2407" spans="5:11" x14ac:dyDescent="0.2">
      <c r="E2407" s="50"/>
      <c r="H2407" s="12"/>
      <c r="K2407"/>
    </row>
    <row r="2408" spans="5:11" x14ac:dyDescent="0.2">
      <c r="E2408" s="50"/>
      <c r="H2408" s="12"/>
      <c r="K2408"/>
    </row>
    <row r="2409" spans="5:11" x14ac:dyDescent="0.2">
      <c r="E2409" s="50"/>
      <c r="H2409" s="12"/>
      <c r="K2409"/>
    </row>
    <row r="2410" spans="5:11" x14ac:dyDescent="0.2">
      <c r="E2410" s="50"/>
      <c r="H2410" s="12"/>
      <c r="K2410"/>
    </row>
    <row r="2411" spans="5:11" x14ac:dyDescent="0.2">
      <c r="E2411" s="50"/>
      <c r="H2411" s="12"/>
      <c r="K2411"/>
    </row>
    <row r="2412" spans="5:11" x14ac:dyDescent="0.2">
      <c r="E2412" s="50"/>
      <c r="H2412" s="12"/>
      <c r="K2412"/>
    </row>
    <row r="2413" spans="5:11" x14ac:dyDescent="0.2">
      <c r="E2413" s="50"/>
      <c r="H2413" s="12"/>
      <c r="K2413"/>
    </row>
    <row r="2414" spans="5:11" x14ac:dyDescent="0.2">
      <c r="E2414" s="50"/>
      <c r="H2414" s="12"/>
      <c r="K2414"/>
    </row>
    <row r="2415" spans="5:11" x14ac:dyDescent="0.2">
      <c r="E2415" s="50"/>
      <c r="H2415" s="12"/>
      <c r="K2415"/>
    </row>
    <row r="2416" spans="5:11" x14ac:dyDescent="0.2">
      <c r="E2416" s="50"/>
      <c r="H2416" s="12"/>
      <c r="K2416"/>
    </row>
    <row r="2417" spans="5:11" x14ac:dyDescent="0.2">
      <c r="E2417" s="50"/>
      <c r="H2417" s="12"/>
      <c r="K2417"/>
    </row>
    <row r="2418" spans="5:11" x14ac:dyDescent="0.2">
      <c r="E2418" s="50"/>
      <c r="H2418" s="12"/>
      <c r="K2418"/>
    </row>
    <row r="2419" spans="5:11" x14ac:dyDescent="0.2">
      <c r="E2419" s="50"/>
      <c r="H2419" s="12"/>
      <c r="K2419"/>
    </row>
    <row r="2420" spans="5:11" x14ac:dyDescent="0.2">
      <c r="E2420" s="50"/>
      <c r="H2420" s="12"/>
      <c r="K2420"/>
    </row>
    <row r="2421" spans="5:11" x14ac:dyDescent="0.2">
      <c r="E2421" s="50"/>
      <c r="H2421" s="12"/>
      <c r="K2421"/>
    </row>
    <row r="2422" spans="5:11" x14ac:dyDescent="0.2">
      <c r="E2422" s="50"/>
      <c r="H2422" s="12"/>
      <c r="K2422"/>
    </row>
    <row r="2423" spans="5:11" x14ac:dyDescent="0.2">
      <c r="E2423" s="50"/>
      <c r="H2423" s="12"/>
      <c r="K2423"/>
    </row>
    <row r="2424" spans="5:11" x14ac:dyDescent="0.2">
      <c r="E2424" s="50"/>
      <c r="H2424" s="12"/>
      <c r="K2424"/>
    </row>
    <row r="2425" spans="5:11" x14ac:dyDescent="0.2">
      <c r="E2425" s="50"/>
      <c r="H2425" s="12"/>
      <c r="K2425"/>
    </row>
    <row r="2426" spans="5:11" x14ac:dyDescent="0.2">
      <c r="E2426" s="50"/>
      <c r="H2426" s="12"/>
      <c r="K2426"/>
    </row>
    <row r="2427" spans="5:11" x14ac:dyDescent="0.2">
      <c r="E2427" s="50"/>
      <c r="H2427" s="12"/>
      <c r="K2427"/>
    </row>
    <row r="2428" spans="5:11" x14ac:dyDescent="0.2">
      <c r="E2428" s="50"/>
      <c r="H2428" s="12"/>
      <c r="K2428"/>
    </row>
    <row r="2429" spans="5:11" x14ac:dyDescent="0.2">
      <c r="E2429" s="50"/>
      <c r="H2429" s="12"/>
      <c r="K2429"/>
    </row>
    <row r="2430" spans="5:11" x14ac:dyDescent="0.2">
      <c r="E2430" s="50"/>
      <c r="H2430" s="12"/>
      <c r="K2430"/>
    </row>
    <row r="2431" spans="5:11" x14ac:dyDescent="0.2">
      <c r="E2431" s="50"/>
      <c r="H2431" s="12"/>
      <c r="K2431"/>
    </row>
    <row r="2432" spans="5:11" x14ac:dyDescent="0.2">
      <c r="E2432" s="50"/>
      <c r="H2432" s="12"/>
      <c r="K2432"/>
    </row>
    <row r="2433" spans="5:11" x14ac:dyDescent="0.2">
      <c r="E2433" s="50"/>
      <c r="H2433" s="12"/>
      <c r="K2433"/>
    </row>
    <row r="2434" spans="5:11" x14ac:dyDescent="0.2">
      <c r="E2434" s="50"/>
      <c r="H2434" s="12"/>
      <c r="K2434"/>
    </row>
    <row r="2435" spans="5:11" x14ac:dyDescent="0.2">
      <c r="E2435" s="50"/>
      <c r="H2435" s="12"/>
      <c r="K2435"/>
    </row>
    <row r="2436" spans="5:11" x14ac:dyDescent="0.2">
      <c r="E2436" s="50"/>
      <c r="H2436" s="12"/>
      <c r="K2436"/>
    </row>
    <row r="2437" spans="5:11" x14ac:dyDescent="0.2">
      <c r="E2437" s="50"/>
      <c r="H2437" s="12"/>
      <c r="K2437"/>
    </row>
    <row r="2438" spans="5:11" x14ac:dyDescent="0.2">
      <c r="E2438" s="50"/>
      <c r="H2438" s="12"/>
      <c r="K2438"/>
    </row>
    <row r="2439" spans="5:11" x14ac:dyDescent="0.2">
      <c r="E2439" s="50"/>
      <c r="H2439" s="12"/>
      <c r="K2439"/>
    </row>
    <row r="2440" spans="5:11" x14ac:dyDescent="0.2">
      <c r="E2440" s="50"/>
      <c r="H2440" s="12"/>
      <c r="K2440"/>
    </row>
    <row r="2441" spans="5:11" x14ac:dyDescent="0.2">
      <c r="E2441" s="50"/>
      <c r="H2441" s="12"/>
      <c r="K2441"/>
    </row>
    <row r="2442" spans="5:11" x14ac:dyDescent="0.2">
      <c r="E2442" s="50"/>
      <c r="H2442" s="12"/>
      <c r="K2442"/>
    </row>
    <row r="2443" spans="5:11" x14ac:dyDescent="0.2">
      <c r="E2443" s="50"/>
      <c r="H2443" s="12"/>
      <c r="K2443"/>
    </row>
    <row r="2444" spans="5:11" x14ac:dyDescent="0.2">
      <c r="E2444" s="50"/>
      <c r="H2444" s="12"/>
      <c r="K2444"/>
    </row>
    <row r="2445" spans="5:11" x14ac:dyDescent="0.2">
      <c r="E2445" s="50"/>
      <c r="H2445" s="12"/>
      <c r="K2445"/>
    </row>
    <row r="2446" spans="5:11" x14ac:dyDescent="0.2">
      <c r="E2446" s="50"/>
      <c r="H2446" s="12"/>
      <c r="K2446"/>
    </row>
    <row r="2447" spans="5:11" x14ac:dyDescent="0.2">
      <c r="E2447" s="50"/>
      <c r="H2447" s="12"/>
      <c r="K2447"/>
    </row>
    <row r="2448" spans="5:11" x14ac:dyDescent="0.2">
      <c r="E2448" s="50"/>
      <c r="H2448" s="12"/>
      <c r="K2448"/>
    </row>
    <row r="2449" spans="5:11" x14ac:dyDescent="0.2">
      <c r="E2449" s="50"/>
      <c r="H2449" s="12"/>
      <c r="K2449"/>
    </row>
    <row r="2450" spans="5:11" x14ac:dyDescent="0.2">
      <c r="E2450" s="50"/>
      <c r="H2450" s="12"/>
      <c r="K2450"/>
    </row>
    <row r="2451" spans="5:11" x14ac:dyDescent="0.2">
      <c r="E2451" s="50"/>
      <c r="H2451" s="12"/>
      <c r="K2451"/>
    </row>
    <row r="2452" spans="5:11" x14ac:dyDescent="0.2">
      <c r="E2452" s="50"/>
      <c r="H2452" s="12"/>
      <c r="K2452"/>
    </row>
    <row r="2453" spans="5:11" x14ac:dyDescent="0.2">
      <c r="E2453" s="50"/>
      <c r="H2453" s="12"/>
      <c r="K2453"/>
    </row>
    <row r="2454" spans="5:11" x14ac:dyDescent="0.2">
      <c r="E2454" s="50"/>
      <c r="H2454" s="12"/>
      <c r="K2454"/>
    </row>
    <row r="2455" spans="5:11" x14ac:dyDescent="0.2">
      <c r="E2455" s="50"/>
      <c r="H2455" s="12"/>
      <c r="K2455"/>
    </row>
    <row r="2456" spans="5:11" x14ac:dyDescent="0.2">
      <c r="E2456" s="50"/>
      <c r="H2456" s="12"/>
      <c r="K2456"/>
    </row>
    <row r="2457" spans="5:11" x14ac:dyDescent="0.2">
      <c r="E2457" s="50"/>
      <c r="H2457" s="12"/>
      <c r="K2457"/>
    </row>
    <row r="2458" spans="5:11" x14ac:dyDescent="0.2">
      <c r="E2458" s="50"/>
      <c r="H2458" s="12"/>
      <c r="K2458"/>
    </row>
    <row r="2459" spans="5:11" x14ac:dyDescent="0.2">
      <c r="E2459" s="50"/>
      <c r="H2459" s="12"/>
      <c r="K2459"/>
    </row>
    <row r="2460" spans="5:11" x14ac:dyDescent="0.2">
      <c r="E2460" s="50"/>
      <c r="H2460" s="12"/>
      <c r="K2460"/>
    </row>
    <row r="2461" spans="5:11" x14ac:dyDescent="0.2">
      <c r="E2461" s="50"/>
      <c r="H2461" s="12"/>
      <c r="K2461"/>
    </row>
    <row r="2462" spans="5:11" x14ac:dyDescent="0.2">
      <c r="E2462" s="50"/>
      <c r="H2462" s="12"/>
      <c r="K2462"/>
    </row>
    <row r="2463" spans="5:11" x14ac:dyDescent="0.2">
      <c r="E2463" s="50"/>
      <c r="H2463" s="12"/>
      <c r="K2463"/>
    </row>
    <row r="2464" spans="5:11" x14ac:dyDescent="0.2">
      <c r="E2464" s="50"/>
      <c r="H2464" s="12"/>
      <c r="K2464"/>
    </row>
    <row r="2465" spans="5:11" x14ac:dyDescent="0.2">
      <c r="E2465" s="50"/>
      <c r="H2465" s="12"/>
      <c r="K2465"/>
    </row>
    <row r="2466" spans="5:11" x14ac:dyDescent="0.2">
      <c r="E2466" s="50"/>
      <c r="H2466" s="12"/>
      <c r="K2466"/>
    </row>
    <row r="2467" spans="5:11" x14ac:dyDescent="0.2">
      <c r="E2467" s="50"/>
      <c r="H2467" s="12"/>
      <c r="K2467"/>
    </row>
    <row r="2468" spans="5:11" x14ac:dyDescent="0.2">
      <c r="E2468" s="50"/>
      <c r="H2468" s="12"/>
      <c r="K2468"/>
    </row>
    <row r="2469" spans="5:11" x14ac:dyDescent="0.2">
      <c r="E2469" s="50"/>
      <c r="H2469" s="12"/>
      <c r="K2469"/>
    </row>
    <row r="2470" spans="5:11" x14ac:dyDescent="0.2">
      <c r="E2470" s="50"/>
      <c r="H2470" s="12"/>
      <c r="K2470"/>
    </row>
    <row r="2471" spans="5:11" x14ac:dyDescent="0.2">
      <c r="E2471" s="50"/>
      <c r="H2471" s="12"/>
      <c r="K2471"/>
    </row>
    <row r="2472" spans="5:11" x14ac:dyDescent="0.2">
      <c r="E2472" s="50"/>
      <c r="H2472" s="12"/>
      <c r="K2472"/>
    </row>
    <row r="2473" spans="5:11" x14ac:dyDescent="0.2">
      <c r="E2473" s="50"/>
      <c r="H2473" s="12"/>
      <c r="K2473"/>
    </row>
    <row r="2474" spans="5:11" x14ac:dyDescent="0.2">
      <c r="E2474" s="50"/>
      <c r="H2474" s="12"/>
      <c r="K2474"/>
    </row>
    <row r="2475" spans="5:11" x14ac:dyDescent="0.2">
      <c r="E2475" s="50"/>
      <c r="H2475" s="12"/>
      <c r="K2475"/>
    </row>
    <row r="2476" spans="5:11" x14ac:dyDescent="0.2">
      <c r="E2476" s="50"/>
      <c r="H2476" s="12"/>
      <c r="K2476"/>
    </row>
    <row r="2477" spans="5:11" x14ac:dyDescent="0.2">
      <c r="E2477" s="50"/>
      <c r="H2477" s="12"/>
      <c r="K2477"/>
    </row>
    <row r="2478" spans="5:11" x14ac:dyDescent="0.2">
      <c r="E2478" s="50"/>
      <c r="H2478" s="12"/>
      <c r="K2478"/>
    </row>
    <row r="2479" spans="5:11" x14ac:dyDescent="0.2">
      <c r="E2479" s="50"/>
      <c r="H2479" s="12"/>
      <c r="K2479"/>
    </row>
    <row r="2480" spans="5:11" x14ac:dyDescent="0.2">
      <c r="E2480" s="50"/>
      <c r="H2480" s="12"/>
      <c r="K2480"/>
    </row>
    <row r="2481" spans="5:11" x14ac:dyDescent="0.2">
      <c r="E2481" s="50"/>
      <c r="H2481" s="12"/>
      <c r="K2481"/>
    </row>
    <row r="2482" spans="5:11" x14ac:dyDescent="0.2">
      <c r="E2482" s="50"/>
      <c r="H2482" s="12"/>
      <c r="K2482"/>
    </row>
    <row r="2483" spans="5:11" x14ac:dyDescent="0.2">
      <c r="E2483" s="50"/>
      <c r="H2483" s="12"/>
      <c r="K2483"/>
    </row>
    <row r="2484" spans="5:11" x14ac:dyDescent="0.2">
      <c r="E2484" s="50"/>
      <c r="H2484" s="12"/>
      <c r="K2484"/>
    </row>
    <row r="2485" spans="5:11" x14ac:dyDescent="0.2">
      <c r="E2485" s="50"/>
      <c r="H2485" s="12"/>
      <c r="K2485"/>
    </row>
    <row r="2486" spans="5:11" x14ac:dyDescent="0.2">
      <c r="E2486" s="50"/>
      <c r="H2486" s="12"/>
      <c r="K2486"/>
    </row>
    <row r="2487" spans="5:11" x14ac:dyDescent="0.2">
      <c r="E2487" s="50"/>
      <c r="H2487" s="12"/>
      <c r="K2487"/>
    </row>
    <row r="2488" spans="5:11" x14ac:dyDescent="0.2">
      <c r="E2488" s="50"/>
      <c r="H2488" s="12"/>
      <c r="K2488"/>
    </row>
    <row r="2489" spans="5:11" x14ac:dyDescent="0.2">
      <c r="E2489" s="50"/>
      <c r="H2489" s="12"/>
      <c r="K2489"/>
    </row>
    <row r="2490" spans="5:11" x14ac:dyDescent="0.2">
      <c r="E2490" s="50"/>
      <c r="H2490" s="12"/>
      <c r="K2490"/>
    </row>
    <row r="2491" spans="5:11" x14ac:dyDescent="0.2">
      <c r="E2491" s="50"/>
      <c r="H2491" s="12"/>
      <c r="K2491"/>
    </row>
    <row r="2492" spans="5:11" x14ac:dyDescent="0.2">
      <c r="E2492" s="50"/>
      <c r="H2492" s="12"/>
      <c r="K2492"/>
    </row>
    <row r="2493" spans="5:11" x14ac:dyDescent="0.2">
      <c r="E2493" s="50"/>
      <c r="H2493" s="12"/>
      <c r="K2493"/>
    </row>
    <row r="2494" spans="5:11" x14ac:dyDescent="0.2">
      <c r="E2494" s="50"/>
      <c r="H2494" s="12"/>
      <c r="K2494"/>
    </row>
    <row r="2495" spans="5:11" x14ac:dyDescent="0.2">
      <c r="E2495" s="50"/>
      <c r="H2495" s="12"/>
      <c r="K2495"/>
    </row>
    <row r="2496" spans="5:11" x14ac:dyDescent="0.2">
      <c r="E2496" s="50"/>
      <c r="H2496" s="12"/>
      <c r="K2496"/>
    </row>
    <row r="2497" spans="5:11" x14ac:dyDescent="0.2">
      <c r="E2497" s="50"/>
      <c r="H2497" s="12"/>
      <c r="K2497"/>
    </row>
    <row r="2498" spans="5:11" x14ac:dyDescent="0.2">
      <c r="E2498" s="50"/>
      <c r="H2498" s="12"/>
      <c r="K2498"/>
    </row>
    <row r="2499" spans="5:11" x14ac:dyDescent="0.2">
      <c r="E2499" s="50"/>
      <c r="H2499" s="12"/>
      <c r="K2499"/>
    </row>
    <row r="2500" spans="5:11" x14ac:dyDescent="0.2">
      <c r="E2500" s="50"/>
      <c r="H2500" s="12"/>
      <c r="K2500"/>
    </row>
    <row r="2501" spans="5:11" x14ac:dyDescent="0.2">
      <c r="E2501" s="50"/>
      <c r="H2501" s="12"/>
      <c r="K2501"/>
    </row>
    <row r="2502" spans="5:11" x14ac:dyDescent="0.2">
      <c r="E2502" s="50"/>
      <c r="H2502" s="12"/>
      <c r="K2502"/>
    </row>
    <row r="2503" spans="5:11" x14ac:dyDescent="0.2">
      <c r="E2503" s="50"/>
      <c r="H2503" s="12"/>
      <c r="K2503"/>
    </row>
    <row r="2504" spans="5:11" x14ac:dyDescent="0.2">
      <c r="E2504" s="50"/>
      <c r="H2504" s="12"/>
      <c r="K2504"/>
    </row>
    <row r="2505" spans="5:11" x14ac:dyDescent="0.2">
      <c r="E2505" s="50"/>
      <c r="H2505" s="12"/>
      <c r="K2505"/>
    </row>
    <row r="2506" spans="5:11" x14ac:dyDescent="0.2">
      <c r="E2506" s="50"/>
      <c r="H2506" s="12"/>
      <c r="K2506"/>
    </row>
    <row r="2507" spans="5:11" x14ac:dyDescent="0.2">
      <c r="E2507" s="50"/>
      <c r="H2507" s="12"/>
      <c r="K2507"/>
    </row>
    <row r="2508" spans="5:11" x14ac:dyDescent="0.2">
      <c r="E2508" s="50"/>
      <c r="H2508" s="12"/>
      <c r="K2508"/>
    </row>
    <row r="2509" spans="5:11" x14ac:dyDescent="0.2">
      <c r="E2509" s="50"/>
      <c r="H2509" s="12"/>
      <c r="K2509"/>
    </row>
    <row r="2510" spans="5:11" x14ac:dyDescent="0.2">
      <c r="E2510" s="50"/>
      <c r="H2510" s="12"/>
      <c r="K2510"/>
    </row>
    <row r="2511" spans="5:11" x14ac:dyDescent="0.2">
      <c r="E2511" s="50"/>
      <c r="H2511" s="12"/>
      <c r="K2511"/>
    </row>
    <row r="2512" spans="5:11" x14ac:dyDescent="0.2">
      <c r="E2512" s="50"/>
      <c r="H2512" s="12"/>
      <c r="K2512"/>
    </row>
    <row r="2513" spans="5:11" x14ac:dyDescent="0.2">
      <c r="E2513" s="50"/>
      <c r="H2513" s="12"/>
      <c r="K2513"/>
    </row>
    <row r="2514" spans="5:11" x14ac:dyDescent="0.2">
      <c r="E2514" s="50"/>
      <c r="H2514" s="12"/>
      <c r="K2514"/>
    </row>
    <row r="2515" spans="5:11" x14ac:dyDescent="0.2">
      <c r="E2515" s="50"/>
      <c r="H2515" s="12"/>
      <c r="K2515"/>
    </row>
    <row r="2516" spans="5:11" x14ac:dyDescent="0.2">
      <c r="E2516" s="50"/>
      <c r="H2516" s="12"/>
      <c r="K2516"/>
    </row>
    <row r="2517" spans="5:11" x14ac:dyDescent="0.2">
      <c r="E2517" s="50"/>
      <c r="H2517" s="12"/>
      <c r="K2517"/>
    </row>
    <row r="2518" spans="5:11" x14ac:dyDescent="0.2">
      <c r="E2518" s="50"/>
      <c r="H2518" s="12"/>
      <c r="K2518"/>
    </row>
    <row r="2519" spans="5:11" x14ac:dyDescent="0.2">
      <c r="E2519" s="50"/>
      <c r="H2519" s="12"/>
      <c r="K2519"/>
    </row>
    <row r="2520" spans="5:11" x14ac:dyDescent="0.2">
      <c r="E2520" s="50"/>
      <c r="H2520" s="12"/>
      <c r="K2520"/>
    </row>
    <row r="2521" spans="5:11" x14ac:dyDescent="0.2">
      <c r="E2521" s="50"/>
      <c r="H2521" s="12"/>
      <c r="K2521"/>
    </row>
    <row r="2522" spans="5:11" x14ac:dyDescent="0.2">
      <c r="E2522" s="50"/>
      <c r="H2522" s="12"/>
      <c r="K2522"/>
    </row>
    <row r="2523" spans="5:11" x14ac:dyDescent="0.2">
      <c r="E2523" s="50"/>
      <c r="H2523" s="12"/>
      <c r="K2523"/>
    </row>
    <row r="2524" spans="5:11" x14ac:dyDescent="0.2">
      <c r="E2524" s="50"/>
      <c r="H2524" s="12"/>
      <c r="K2524"/>
    </row>
    <row r="2525" spans="5:11" x14ac:dyDescent="0.2">
      <c r="E2525" s="50"/>
      <c r="H2525" s="12"/>
      <c r="K2525"/>
    </row>
    <row r="2526" spans="5:11" x14ac:dyDescent="0.2">
      <c r="E2526" s="50"/>
      <c r="H2526" s="12"/>
      <c r="K2526"/>
    </row>
    <row r="2527" spans="5:11" x14ac:dyDescent="0.2">
      <c r="E2527" s="50"/>
      <c r="H2527" s="12"/>
      <c r="K2527"/>
    </row>
    <row r="2528" spans="5:11" x14ac:dyDescent="0.2">
      <c r="E2528" s="50"/>
      <c r="H2528" s="12"/>
      <c r="K2528"/>
    </row>
    <row r="2529" spans="5:11" x14ac:dyDescent="0.2">
      <c r="E2529" s="50"/>
      <c r="H2529" s="12"/>
      <c r="K2529"/>
    </row>
    <row r="2530" spans="5:11" x14ac:dyDescent="0.2">
      <c r="E2530" s="50"/>
      <c r="H2530" s="12"/>
      <c r="K2530"/>
    </row>
    <row r="2531" spans="5:11" x14ac:dyDescent="0.2">
      <c r="E2531" s="50"/>
      <c r="H2531" s="12"/>
      <c r="K2531"/>
    </row>
    <row r="2532" spans="5:11" x14ac:dyDescent="0.2">
      <c r="E2532" s="50"/>
      <c r="H2532" s="12"/>
      <c r="K2532"/>
    </row>
    <row r="2533" spans="5:11" x14ac:dyDescent="0.2">
      <c r="E2533" s="50"/>
      <c r="H2533" s="12"/>
      <c r="K2533"/>
    </row>
    <row r="2534" spans="5:11" x14ac:dyDescent="0.2">
      <c r="E2534" s="50"/>
      <c r="H2534" s="12"/>
      <c r="K2534"/>
    </row>
    <row r="2535" spans="5:11" x14ac:dyDescent="0.2">
      <c r="E2535" s="50"/>
      <c r="H2535" s="12"/>
      <c r="K2535"/>
    </row>
    <row r="2536" spans="5:11" x14ac:dyDescent="0.2">
      <c r="E2536" s="50"/>
      <c r="H2536" s="12"/>
      <c r="K2536"/>
    </row>
    <row r="2537" spans="5:11" x14ac:dyDescent="0.2">
      <c r="E2537" s="50"/>
      <c r="H2537" s="12"/>
      <c r="K2537"/>
    </row>
    <row r="2538" spans="5:11" x14ac:dyDescent="0.2">
      <c r="E2538" s="50"/>
      <c r="H2538" s="12"/>
      <c r="K2538"/>
    </row>
    <row r="2539" spans="5:11" x14ac:dyDescent="0.2">
      <c r="E2539" s="50"/>
      <c r="H2539" s="12"/>
      <c r="K2539"/>
    </row>
    <row r="2540" spans="5:11" x14ac:dyDescent="0.2">
      <c r="E2540" s="50"/>
      <c r="H2540" s="12"/>
      <c r="K2540"/>
    </row>
    <row r="2541" spans="5:11" x14ac:dyDescent="0.2">
      <c r="E2541" s="50"/>
      <c r="H2541" s="12"/>
      <c r="K2541"/>
    </row>
    <row r="2542" spans="5:11" x14ac:dyDescent="0.2">
      <c r="E2542" s="50"/>
      <c r="H2542" s="12"/>
      <c r="K2542"/>
    </row>
    <row r="2543" spans="5:11" x14ac:dyDescent="0.2">
      <c r="E2543" s="50"/>
      <c r="H2543" s="12"/>
      <c r="K2543"/>
    </row>
    <row r="2544" spans="5:11" x14ac:dyDescent="0.2">
      <c r="E2544" s="50"/>
      <c r="H2544" s="12"/>
      <c r="K2544"/>
    </row>
    <row r="2545" spans="5:11" x14ac:dyDescent="0.2">
      <c r="E2545" s="50"/>
      <c r="H2545" s="12"/>
      <c r="K2545"/>
    </row>
    <row r="2546" spans="5:11" x14ac:dyDescent="0.2">
      <c r="E2546" s="50"/>
      <c r="H2546" s="12"/>
      <c r="K2546"/>
    </row>
    <row r="2547" spans="5:11" x14ac:dyDescent="0.2">
      <c r="E2547" s="50"/>
      <c r="H2547" s="12"/>
      <c r="K2547"/>
    </row>
    <row r="2548" spans="5:11" x14ac:dyDescent="0.2">
      <c r="E2548" s="50"/>
      <c r="H2548" s="12"/>
      <c r="K2548"/>
    </row>
    <row r="2549" spans="5:11" x14ac:dyDescent="0.2">
      <c r="E2549" s="50"/>
      <c r="H2549" s="12"/>
      <c r="K2549"/>
    </row>
    <row r="2550" spans="5:11" x14ac:dyDescent="0.2">
      <c r="E2550" s="50"/>
      <c r="H2550" s="12"/>
      <c r="K2550"/>
    </row>
    <row r="2551" spans="5:11" x14ac:dyDescent="0.2">
      <c r="E2551" s="50"/>
      <c r="H2551" s="12"/>
      <c r="K2551"/>
    </row>
    <row r="2552" spans="5:11" x14ac:dyDescent="0.2">
      <c r="E2552" s="50"/>
      <c r="H2552" s="12"/>
      <c r="K2552"/>
    </row>
    <row r="2553" spans="5:11" x14ac:dyDescent="0.2">
      <c r="E2553" s="50"/>
      <c r="H2553" s="12"/>
      <c r="K2553"/>
    </row>
    <row r="2554" spans="5:11" x14ac:dyDescent="0.2">
      <c r="E2554" s="50"/>
      <c r="H2554" s="12"/>
      <c r="K2554"/>
    </row>
    <row r="2555" spans="5:11" x14ac:dyDescent="0.2">
      <c r="E2555" s="50"/>
      <c r="H2555" s="12"/>
      <c r="K2555"/>
    </row>
    <row r="2556" spans="5:11" x14ac:dyDescent="0.2">
      <c r="E2556" s="50"/>
      <c r="H2556" s="12"/>
      <c r="K2556"/>
    </row>
    <row r="2557" spans="5:11" x14ac:dyDescent="0.2">
      <c r="E2557" s="50"/>
      <c r="H2557" s="12"/>
      <c r="K2557"/>
    </row>
    <row r="2558" spans="5:11" x14ac:dyDescent="0.2">
      <c r="E2558" s="50"/>
      <c r="H2558" s="12"/>
      <c r="K2558"/>
    </row>
    <row r="2559" spans="5:11" x14ac:dyDescent="0.2">
      <c r="E2559" s="50"/>
      <c r="H2559" s="12"/>
      <c r="K2559"/>
    </row>
    <row r="2560" spans="5:11" x14ac:dyDescent="0.2">
      <c r="E2560" s="50"/>
      <c r="H2560" s="12"/>
      <c r="K2560"/>
    </row>
    <row r="2561" spans="5:11" x14ac:dyDescent="0.2">
      <c r="E2561" s="50"/>
      <c r="H2561" s="12"/>
      <c r="K2561"/>
    </row>
    <row r="2562" spans="5:11" x14ac:dyDescent="0.2">
      <c r="E2562" s="50"/>
      <c r="H2562" s="12"/>
      <c r="K2562"/>
    </row>
    <row r="2563" spans="5:11" x14ac:dyDescent="0.2">
      <c r="E2563" s="50"/>
      <c r="H2563" s="12"/>
      <c r="K2563"/>
    </row>
    <row r="2564" spans="5:11" x14ac:dyDescent="0.2">
      <c r="E2564" s="50"/>
      <c r="H2564" s="12"/>
      <c r="K2564"/>
    </row>
    <row r="2565" spans="5:11" x14ac:dyDescent="0.2">
      <c r="E2565" s="50"/>
      <c r="H2565" s="12"/>
      <c r="K2565"/>
    </row>
    <row r="2566" spans="5:11" x14ac:dyDescent="0.2">
      <c r="E2566" s="50"/>
      <c r="H2566" s="12"/>
      <c r="K2566"/>
    </row>
    <row r="2567" spans="5:11" x14ac:dyDescent="0.2">
      <c r="E2567" s="50"/>
      <c r="H2567" s="12"/>
      <c r="K2567"/>
    </row>
    <row r="2568" spans="5:11" x14ac:dyDescent="0.2">
      <c r="E2568" s="50"/>
      <c r="H2568" s="12"/>
      <c r="K2568"/>
    </row>
    <row r="2569" spans="5:11" x14ac:dyDescent="0.2">
      <c r="E2569" s="50"/>
      <c r="H2569" s="12"/>
      <c r="K2569"/>
    </row>
    <row r="2570" spans="5:11" x14ac:dyDescent="0.2">
      <c r="E2570" s="50"/>
      <c r="H2570" s="12"/>
      <c r="K2570"/>
    </row>
    <row r="2571" spans="5:11" x14ac:dyDescent="0.2">
      <c r="E2571" s="50"/>
      <c r="H2571" s="12"/>
      <c r="K2571"/>
    </row>
    <row r="2572" spans="5:11" x14ac:dyDescent="0.2">
      <c r="E2572" s="50"/>
      <c r="H2572" s="12"/>
      <c r="K2572"/>
    </row>
    <row r="2573" spans="5:11" x14ac:dyDescent="0.2">
      <c r="E2573" s="50"/>
      <c r="H2573" s="12"/>
      <c r="K2573"/>
    </row>
    <row r="2574" spans="5:11" x14ac:dyDescent="0.2">
      <c r="E2574" s="50"/>
      <c r="H2574" s="12"/>
      <c r="K2574"/>
    </row>
    <row r="2575" spans="5:11" x14ac:dyDescent="0.2">
      <c r="E2575" s="50"/>
      <c r="H2575" s="12"/>
      <c r="K2575"/>
    </row>
    <row r="2576" spans="5:11" x14ac:dyDescent="0.2">
      <c r="E2576" s="50"/>
      <c r="H2576" s="12"/>
      <c r="K2576"/>
    </row>
    <row r="2577" spans="5:11" x14ac:dyDescent="0.2">
      <c r="E2577" s="50"/>
      <c r="H2577" s="12"/>
      <c r="K2577"/>
    </row>
    <row r="2578" spans="5:11" x14ac:dyDescent="0.2">
      <c r="E2578" s="50"/>
      <c r="H2578" s="12"/>
      <c r="K2578"/>
    </row>
    <row r="2579" spans="5:11" x14ac:dyDescent="0.2">
      <c r="E2579" s="50"/>
      <c r="H2579" s="12"/>
      <c r="K2579"/>
    </row>
    <row r="2580" spans="5:11" x14ac:dyDescent="0.2">
      <c r="E2580" s="50"/>
      <c r="H2580" s="12"/>
      <c r="K2580"/>
    </row>
    <row r="2581" spans="5:11" x14ac:dyDescent="0.2">
      <c r="E2581" s="50"/>
      <c r="H2581" s="12"/>
      <c r="K2581"/>
    </row>
    <row r="2582" spans="5:11" x14ac:dyDescent="0.2">
      <c r="E2582" s="50"/>
      <c r="H2582" s="12"/>
      <c r="K2582"/>
    </row>
    <row r="2583" spans="5:11" x14ac:dyDescent="0.2">
      <c r="E2583" s="50"/>
      <c r="H2583" s="12"/>
      <c r="K2583"/>
    </row>
    <row r="2584" spans="5:11" x14ac:dyDescent="0.2">
      <c r="E2584" s="50"/>
      <c r="H2584" s="12"/>
      <c r="K2584"/>
    </row>
    <row r="2585" spans="5:11" x14ac:dyDescent="0.2">
      <c r="E2585" s="50"/>
      <c r="H2585" s="12"/>
      <c r="K2585"/>
    </row>
    <row r="2586" spans="5:11" x14ac:dyDescent="0.2">
      <c r="E2586" s="50"/>
      <c r="H2586" s="12"/>
      <c r="K2586"/>
    </row>
    <row r="2587" spans="5:11" x14ac:dyDescent="0.2">
      <c r="E2587" s="50"/>
      <c r="H2587" s="12"/>
      <c r="K2587"/>
    </row>
    <row r="2588" spans="5:11" x14ac:dyDescent="0.2">
      <c r="E2588" s="50"/>
      <c r="H2588" s="12"/>
      <c r="K2588"/>
    </row>
    <row r="2589" spans="5:11" x14ac:dyDescent="0.2">
      <c r="E2589" s="50"/>
      <c r="H2589" s="12"/>
      <c r="K2589"/>
    </row>
    <row r="2590" spans="5:11" x14ac:dyDescent="0.2">
      <c r="E2590" s="50"/>
      <c r="H2590" s="12"/>
      <c r="K2590"/>
    </row>
    <row r="2591" spans="5:11" x14ac:dyDescent="0.2">
      <c r="E2591" s="50"/>
      <c r="H2591" s="12"/>
      <c r="K2591"/>
    </row>
    <row r="2592" spans="5:11" x14ac:dyDescent="0.2">
      <c r="E2592" s="50"/>
      <c r="H2592" s="12"/>
      <c r="K2592"/>
    </row>
    <row r="2593" spans="5:11" x14ac:dyDescent="0.2">
      <c r="E2593" s="50"/>
      <c r="H2593" s="12"/>
      <c r="K2593"/>
    </row>
    <row r="2594" spans="5:11" x14ac:dyDescent="0.2">
      <c r="E2594" s="50"/>
      <c r="H2594" s="12"/>
      <c r="K2594"/>
    </row>
    <row r="2595" spans="5:11" x14ac:dyDescent="0.2">
      <c r="E2595" s="50"/>
      <c r="H2595" s="12"/>
      <c r="K2595"/>
    </row>
    <row r="2596" spans="5:11" x14ac:dyDescent="0.2">
      <c r="E2596" s="50"/>
      <c r="H2596" s="12"/>
      <c r="K2596"/>
    </row>
    <row r="2597" spans="5:11" x14ac:dyDescent="0.2">
      <c r="E2597" s="50"/>
      <c r="H2597" s="12"/>
      <c r="K2597"/>
    </row>
    <row r="2598" spans="5:11" x14ac:dyDescent="0.2">
      <c r="E2598" s="50"/>
      <c r="H2598" s="12"/>
      <c r="K2598"/>
    </row>
    <row r="2599" spans="5:11" x14ac:dyDescent="0.2">
      <c r="E2599" s="50"/>
      <c r="H2599" s="12"/>
      <c r="K2599"/>
    </row>
    <row r="2600" spans="5:11" x14ac:dyDescent="0.2">
      <c r="E2600" s="50"/>
      <c r="H2600" s="12"/>
      <c r="K2600"/>
    </row>
    <row r="2601" spans="5:11" x14ac:dyDescent="0.2">
      <c r="E2601" s="50"/>
      <c r="H2601" s="12"/>
      <c r="K2601"/>
    </row>
    <row r="2602" spans="5:11" x14ac:dyDescent="0.2">
      <c r="E2602" s="50"/>
      <c r="H2602" s="12"/>
      <c r="K2602"/>
    </row>
    <row r="2603" spans="5:11" x14ac:dyDescent="0.2">
      <c r="E2603" s="50"/>
      <c r="H2603" s="12"/>
      <c r="K2603"/>
    </row>
    <row r="2604" spans="5:11" x14ac:dyDescent="0.2">
      <c r="E2604" s="50"/>
      <c r="H2604" s="12"/>
      <c r="K2604"/>
    </row>
    <row r="2605" spans="5:11" x14ac:dyDescent="0.2">
      <c r="E2605" s="50"/>
      <c r="H2605" s="12"/>
      <c r="K2605"/>
    </row>
    <row r="2606" spans="5:11" x14ac:dyDescent="0.2">
      <c r="E2606" s="50"/>
      <c r="H2606" s="12"/>
      <c r="K2606"/>
    </row>
    <row r="2607" spans="5:11" x14ac:dyDescent="0.2">
      <c r="E2607" s="50"/>
      <c r="H2607" s="12"/>
      <c r="K2607"/>
    </row>
    <row r="2608" spans="5:11" x14ac:dyDescent="0.2">
      <c r="E2608" s="50"/>
      <c r="H2608" s="12"/>
      <c r="K2608"/>
    </row>
    <row r="2609" spans="5:11" x14ac:dyDescent="0.2">
      <c r="E2609" s="50"/>
      <c r="H2609" s="12"/>
      <c r="K2609"/>
    </row>
    <row r="2610" spans="5:11" x14ac:dyDescent="0.2">
      <c r="E2610" s="50"/>
      <c r="H2610" s="12"/>
      <c r="K2610"/>
    </row>
    <row r="2611" spans="5:11" x14ac:dyDescent="0.2">
      <c r="E2611" s="50"/>
      <c r="H2611" s="12"/>
      <c r="K2611"/>
    </row>
    <row r="2612" spans="5:11" x14ac:dyDescent="0.2">
      <c r="E2612" s="50"/>
      <c r="H2612" s="12"/>
      <c r="K2612"/>
    </row>
    <row r="2613" spans="5:11" x14ac:dyDescent="0.2">
      <c r="E2613" s="50"/>
      <c r="H2613" s="12"/>
      <c r="K2613"/>
    </row>
    <row r="2614" spans="5:11" x14ac:dyDescent="0.2">
      <c r="E2614" s="50"/>
      <c r="H2614" s="12"/>
      <c r="K2614"/>
    </row>
    <row r="2615" spans="5:11" x14ac:dyDescent="0.2">
      <c r="E2615" s="50"/>
      <c r="H2615" s="12"/>
      <c r="K2615"/>
    </row>
    <row r="2616" spans="5:11" x14ac:dyDescent="0.2">
      <c r="E2616" s="50"/>
      <c r="H2616" s="12"/>
      <c r="K2616"/>
    </row>
    <row r="2617" spans="5:11" x14ac:dyDescent="0.2">
      <c r="E2617" s="50"/>
      <c r="H2617" s="12"/>
      <c r="K2617"/>
    </row>
    <row r="2618" spans="5:11" x14ac:dyDescent="0.2">
      <c r="E2618" s="50"/>
      <c r="H2618" s="12"/>
      <c r="K2618"/>
    </row>
    <row r="2619" spans="5:11" x14ac:dyDescent="0.2">
      <c r="E2619" s="50"/>
      <c r="H2619" s="12"/>
      <c r="K2619"/>
    </row>
    <row r="2620" spans="5:11" x14ac:dyDescent="0.2">
      <c r="E2620" s="50"/>
      <c r="H2620" s="12"/>
      <c r="K2620"/>
    </row>
    <row r="2621" spans="5:11" x14ac:dyDescent="0.2">
      <c r="E2621" s="50"/>
      <c r="H2621" s="12"/>
      <c r="K2621"/>
    </row>
    <row r="2622" spans="5:11" x14ac:dyDescent="0.2">
      <c r="E2622" s="50"/>
      <c r="H2622" s="12"/>
      <c r="K2622"/>
    </row>
    <row r="2623" spans="5:11" x14ac:dyDescent="0.2">
      <c r="E2623" s="50"/>
      <c r="H2623" s="12"/>
      <c r="K2623"/>
    </row>
    <row r="2624" spans="5:11" x14ac:dyDescent="0.2">
      <c r="E2624" s="50"/>
      <c r="H2624" s="12"/>
      <c r="K2624"/>
    </row>
    <row r="2625" spans="5:11" x14ac:dyDescent="0.2">
      <c r="E2625" s="50"/>
      <c r="H2625" s="12"/>
      <c r="K2625"/>
    </row>
    <row r="2626" spans="5:11" x14ac:dyDescent="0.2">
      <c r="E2626" s="50"/>
      <c r="H2626" s="12"/>
      <c r="K2626"/>
    </row>
    <row r="2627" spans="5:11" x14ac:dyDescent="0.2">
      <c r="E2627" s="50"/>
      <c r="H2627" s="12"/>
      <c r="K2627"/>
    </row>
    <row r="2628" spans="5:11" x14ac:dyDescent="0.2">
      <c r="E2628" s="50"/>
      <c r="H2628" s="12"/>
      <c r="K2628"/>
    </row>
    <row r="2629" spans="5:11" x14ac:dyDescent="0.2">
      <c r="E2629" s="50"/>
      <c r="H2629" s="12"/>
      <c r="K2629"/>
    </row>
    <row r="2630" spans="5:11" x14ac:dyDescent="0.2">
      <c r="E2630" s="50"/>
      <c r="H2630" s="12"/>
      <c r="K2630"/>
    </row>
    <row r="2631" spans="5:11" x14ac:dyDescent="0.2">
      <c r="E2631" s="50"/>
      <c r="H2631" s="12"/>
      <c r="K2631"/>
    </row>
    <row r="2632" spans="5:11" x14ac:dyDescent="0.2">
      <c r="E2632" s="50"/>
      <c r="H2632" s="12"/>
      <c r="K2632"/>
    </row>
    <row r="2633" spans="5:11" x14ac:dyDescent="0.2">
      <c r="E2633" s="50"/>
      <c r="H2633" s="12"/>
      <c r="K2633"/>
    </row>
    <row r="2634" spans="5:11" x14ac:dyDescent="0.2">
      <c r="E2634" s="50"/>
      <c r="H2634" s="12"/>
      <c r="K2634"/>
    </row>
    <row r="2635" spans="5:11" x14ac:dyDescent="0.2">
      <c r="E2635" s="50"/>
      <c r="H2635" s="12"/>
      <c r="K2635"/>
    </row>
    <row r="2636" spans="5:11" x14ac:dyDescent="0.2">
      <c r="E2636" s="50"/>
      <c r="H2636" s="12"/>
      <c r="K2636"/>
    </row>
    <row r="2637" spans="5:11" x14ac:dyDescent="0.2">
      <c r="E2637" s="50"/>
      <c r="H2637" s="12"/>
      <c r="K2637"/>
    </row>
    <row r="2638" spans="5:11" x14ac:dyDescent="0.2">
      <c r="E2638" s="50"/>
      <c r="H2638" s="12"/>
      <c r="K2638"/>
    </row>
    <row r="2639" spans="5:11" x14ac:dyDescent="0.2">
      <c r="E2639" s="50"/>
      <c r="H2639" s="12"/>
      <c r="K2639"/>
    </row>
    <row r="2640" spans="5:11" x14ac:dyDescent="0.2">
      <c r="E2640" s="50"/>
      <c r="H2640" s="12"/>
      <c r="K2640"/>
    </row>
    <row r="2641" spans="5:11" x14ac:dyDescent="0.2">
      <c r="E2641" s="50"/>
      <c r="H2641" s="12"/>
      <c r="K2641"/>
    </row>
    <row r="2642" spans="5:11" x14ac:dyDescent="0.2">
      <c r="E2642" s="50"/>
      <c r="H2642" s="12"/>
      <c r="K2642"/>
    </row>
    <row r="2643" spans="5:11" x14ac:dyDescent="0.2">
      <c r="E2643" s="50"/>
      <c r="H2643" s="12"/>
      <c r="K2643"/>
    </row>
    <row r="2644" spans="5:11" x14ac:dyDescent="0.2">
      <c r="E2644" s="50"/>
      <c r="H2644" s="12"/>
      <c r="K2644"/>
    </row>
    <row r="2645" spans="5:11" x14ac:dyDescent="0.2">
      <c r="E2645" s="50"/>
      <c r="H2645" s="12"/>
      <c r="K2645"/>
    </row>
    <row r="2646" spans="5:11" x14ac:dyDescent="0.2">
      <c r="E2646" s="50"/>
      <c r="H2646" s="12"/>
      <c r="K2646"/>
    </row>
    <row r="2647" spans="5:11" x14ac:dyDescent="0.2">
      <c r="E2647" s="50"/>
      <c r="H2647" s="12"/>
      <c r="K2647"/>
    </row>
    <row r="2648" spans="5:11" x14ac:dyDescent="0.2">
      <c r="E2648" s="50"/>
      <c r="H2648" s="12"/>
      <c r="K2648"/>
    </row>
    <row r="2649" spans="5:11" x14ac:dyDescent="0.2">
      <c r="E2649" s="50"/>
      <c r="H2649" s="12"/>
      <c r="K2649"/>
    </row>
    <row r="2650" spans="5:11" x14ac:dyDescent="0.2">
      <c r="E2650" s="50"/>
      <c r="H2650" s="12"/>
      <c r="K2650"/>
    </row>
    <row r="2651" spans="5:11" x14ac:dyDescent="0.2">
      <c r="E2651" s="50"/>
      <c r="H2651" s="12"/>
      <c r="K2651"/>
    </row>
    <row r="2652" spans="5:11" x14ac:dyDescent="0.2">
      <c r="E2652" s="50"/>
      <c r="H2652" s="12"/>
      <c r="K2652"/>
    </row>
    <row r="2653" spans="5:11" x14ac:dyDescent="0.2">
      <c r="E2653" s="50"/>
      <c r="H2653" s="12"/>
      <c r="K2653"/>
    </row>
    <row r="2654" spans="5:11" x14ac:dyDescent="0.2">
      <c r="E2654" s="50"/>
      <c r="H2654" s="12"/>
      <c r="K2654"/>
    </row>
    <row r="2655" spans="5:11" x14ac:dyDescent="0.2">
      <c r="E2655" s="50"/>
      <c r="H2655" s="12"/>
      <c r="K2655"/>
    </row>
    <row r="2656" spans="5:11" x14ac:dyDescent="0.2">
      <c r="E2656" s="50"/>
      <c r="H2656" s="12"/>
      <c r="K2656"/>
    </row>
    <row r="2657" spans="5:11" x14ac:dyDescent="0.2">
      <c r="E2657" s="50"/>
      <c r="H2657" s="12"/>
      <c r="K2657"/>
    </row>
    <row r="2658" spans="5:11" x14ac:dyDescent="0.2">
      <c r="E2658" s="50"/>
      <c r="H2658" s="12"/>
      <c r="K2658"/>
    </row>
    <row r="2659" spans="5:11" x14ac:dyDescent="0.2">
      <c r="E2659" s="50"/>
      <c r="H2659" s="12"/>
      <c r="K2659"/>
    </row>
    <row r="2660" spans="5:11" x14ac:dyDescent="0.2">
      <c r="E2660" s="50"/>
      <c r="H2660" s="12"/>
      <c r="K2660"/>
    </row>
    <row r="2661" spans="5:11" x14ac:dyDescent="0.2">
      <c r="E2661" s="50"/>
      <c r="H2661" s="12"/>
      <c r="K2661"/>
    </row>
    <row r="2662" spans="5:11" x14ac:dyDescent="0.2">
      <c r="E2662" s="50"/>
      <c r="H2662" s="12"/>
      <c r="K2662"/>
    </row>
    <row r="2663" spans="5:11" x14ac:dyDescent="0.2">
      <c r="E2663" s="50"/>
      <c r="H2663" s="12"/>
      <c r="K2663"/>
    </row>
    <row r="2664" spans="5:11" x14ac:dyDescent="0.2">
      <c r="E2664" s="50"/>
      <c r="H2664" s="12"/>
      <c r="K2664"/>
    </row>
    <row r="2665" spans="5:11" x14ac:dyDescent="0.2">
      <c r="E2665" s="50"/>
      <c r="H2665" s="12"/>
      <c r="K2665"/>
    </row>
    <row r="2666" spans="5:11" x14ac:dyDescent="0.2">
      <c r="E2666" s="50"/>
      <c r="H2666" s="12"/>
      <c r="K2666"/>
    </row>
    <row r="2667" spans="5:11" x14ac:dyDescent="0.2">
      <c r="E2667" s="50"/>
      <c r="H2667" s="12"/>
      <c r="K2667"/>
    </row>
    <row r="2668" spans="5:11" x14ac:dyDescent="0.2">
      <c r="E2668" s="50"/>
      <c r="H2668" s="12"/>
      <c r="K2668"/>
    </row>
    <row r="2669" spans="5:11" x14ac:dyDescent="0.2">
      <c r="E2669" s="50"/>
      <c r="H2669" s="12"/>
      <c r="K2669"/>
    </row>
    <row r="2670" spans="5:11" x14ac:dyDescent="0.2">
      <c r="E2670" s="50"/>
      <c r="H2670" s="12"/>
      <c r="K2670"/>
    </row>
    <row r="2671" spans="5:11" x14ac:dyDescent="0.2">
      <c r="E2671" s="50"/>
      <c r="H2671" s="12"/>
      <c r="K2671"/>
    </row>
    <row r="2672" spans="5:11" x14ac:dyDescent="0.2">
      <c r="E2672" s="50"/>
      <c r="H2672" s="12"/>
      <c r="K2672"/>
    </row>
    <row r="2673" spans="5:11" x14ac:dyDescent="0.2">
      <c r="E2673" s="50"/>
      <c r="H2673" s="12"/>
      <c r="K2673"/>
    </row>
    <row r="2674" spans="5:11" x14ac:dyDescent="0.2">
      <c r="E2674" s="50"/>
      <c r="H2674" s="12"/>
      <c r="K2674"/>
    </row>
    <row r="2675" spans="5:11" x14ac:dyDescent="0.2">
      <c r="E2675" s="50"/>
      <c r="H2675" s="12"/>
      <c r="K2675"/>
    </row>
    <row r="2676" spans="5:11" x14ac:dyDescent="0.2">
      <c r="E2676" s="50"/>
      <c r="H2676" s="12"/>
      <c r="K2676"/>
    </row>
    <row r="2677" spans="5:11" x14ac:dyDescent="0.2">
      <c r="E2677" s="50"/>
      <c r="H2677" s="12"/>
      <c r="K2677"/>
    </row>
    <row r="2678" spans="5:11" x14ac:dyDescent="0.2">
      <c r="E2678" s="50"/>
      <c r="H2678" s="12"/>
      <c r="K2678"/>
    </row>
    <row r="2679" spans="5:11" x14ac:dyDescent="0.2">
      <c r="E2679" s="50"/>
      <c r="H2679" s="12"/>
      <c r="K2679"/>
    </row>
    <row r="2680" spans="5:11" x14ac:dyDescent="0.2">
      <c r="E2680" s="50"/>
      <c r="H2680" s="12"/>
      <c r="K2680"/>
    </row>
    <row r="2681" spans="5:11" x14ac:dyDescent="0.2">
      <c r="E2681" s="50"/>
      <c r="H2681" s="12"/>
      <c r="K2681"/>
    </row>
    <row r="2682" spans="5:11" x14ac:dyDescent="0.2">
      <c r="E2682" s="50"/>
      <c r="H2682" s="12"/>
      <c r="K2682"/>
    </row>
    <row r="2683" spans="5:11" x14ac:dyDescent="0.2">
      <c r="E2683" s="50"/>
      <c r="H2683" s="12"/>
      <c r="K2683"/>
    </row>
    <row r="2684" spans="5:11" x14ac:dyDescent="0.2">
      <c r="E2684" s="50"/>
      <c r="H2684" s="12"/>
      <c r="K2684"/>
    </row>
    <row r="2685" spans="5:11" x14ac:dyDescent="0.2">
      <c r="E2685" s="50"/>
      <c r="H2685" s="12"/>
      <c r="K2685"/>
    </row>
    <row r="2686" spans="5:11" x14ac:dyDescent="0.2">
      <c r="E2686" s="50"/>
      <c r="H2686" s="12"/>
      <c r="K2686"/>
    </row>
    <row r="2687" spans="5:11" x14ac:dyDescent="0.2">
      <c r="E2687" s="50"/>
      <c r="H2687" s="12"/>
      <c r="K2687"/>
    </row>
    <row r="2688" spans="5:11" x14ac:dyDescent="0.2">
      <c r="E2688" s="50"/>
      <c r="H2688" s="12"/>
      <c r="K2688"/>
    </row>
    <row r="2689" spans="5:11" x14ac:dyDescent="0.2">
      <c r="E2689" s="50"/>
      <c r="F2689" s="41"/>
      <c r="H2689" s="12"/>
      <c r="K2689"/>
    </row>
    <row r="2690" spans="5:11" x14ac:dyDescent="0.2">
      <c r="E2690" s="50"/>
      <c r="H2690" s="12"/>
      <c r="K2690"/>
    </row>
    <row r="2691" spans="5:11" x14ac:dyDescent="0.2">
      <c r="E2691" s="50"/>
      <c r="H2691" s="12"/>
      <c r="K2691"/>
    </row>
    <row r="2692" spans="5:11" x14ac:dyDescent="0.2">
      <c r="E2692" s="50"/>
      <c r="H2692" s="12"/>
      <c r="K2692"/>
    </row>
    <row r="2693" spans="5:11" x14ac:dyDescent="0.2">
      <c r="E2693" s="50"/>
      <c r="H2693" s="12"/>
      <c r="K2693"/>
    </row>
    <row r="2694" spans="5:11" x14ac:dyDescent="0.2">
      <c r="E2694" s="50"/>
      <c r="H2694" s="12"/>
      <c r="K2694"/>
    </row>
    <row r="2695" spans="5:11" x14ac:dyDescent="0.2">
      <c r="E2695" s="50"/>
      <c r="H2695" s="12"/>
      <c r="K2695"/>
    </row>
    <row r="2696" spans="5:11" x14ac:dyDescent="0.2">
      <c r="E2696" s="50"/>
      <c r="H2696" s="12"/>
      <c r="K2696"/>
    </row>
    <row r="2697" spans="5:11" x14ac:dyDescent="0.2">
      <c r="E2697" s="50"/>
      <c r="H2697" s="12"/>
      <c r="K2697"/>
    </row>
    <row r="2698" spans="5:11" x14ac:dyDescent="0.2">
      <c r="E2698" s="50"/>
      <c r="H2698" s="12"/>
      <c r="K2698"/>
    </row>
    <row r="2699" spans="5:11" x14ac:dyDescent="0.2">
      <c r="E2699" s="50"/>
      <c r="H2699" s="12"/>
      <c r="K2699"/>
    </row>
    <row r="2700" spans="5:11" x14ac:dyDescent="0.2">
      <c r="E2700" s="50"/>
      <c r="H2700" s="12"/>
      <c r="K2700"/>
    </row>
    <row r="2701" spans="5:11" x14ac:dyDescent="0.2">
      <c r="E2701" s="50"/>
      <c r="H2701" s="12"/>
      <c r="K2701"/>
    </row>
    <row r="2702" spans="5:11" x14ac:dyDescent="0.2">
      <c r="E2702" s="50"/>
      <c r="H2702" s="12"/>
      <c r="K2702"/>
    </row>
    <row r="2703" spans="5:11" x14ac:dyDescent="0.2">
      <c r="E2703" s="50"/>
      <c r="H2703" s="12"/>
      <c r="K2703"/>
    </row>
    <row r="2704" spans="5:11" x14ac:dyDescent="0.2">
      <c r="E2704" s="50"/>
      <c r="H2704" s="12"/>
      <c r="K2704"/>
    </row>
    <row r="2705" spans="1:11" x14ac:dyDescent="0.2">
      <c r="E2705" s="50"/>
      <c r="H2705" s="12"/>
      <c r="K2705"/>
    </row>
    <row r="2706" spans="1:11" x14ac:dyDescent="0.2">
      <c r="E2706" s="50"/>
      <c r="H2706" s="12"/>
      <c r="K2706"/>
    </row>
    <row r="2707" spans="1:11" x14ac:dyDescent="0.2">
      <c r="E2707" s="50"/>
      <c r="H2707" s="12"/>
      <c r="K2707"/>
    </row>
    <row r="2708" spans="1:11" x14ac:dyDescent="0.2">
      <c r="E2708" s="50"/>
      <c r="H2708" s="12"/>
      <c r="K2708"/>
    </row>
    <row r="2709" spans="1:11" x14ac:dyDescent="0.2">
      <c r="E2709" s="50"/>
      <c r="H2709" s="12"/>
      <c r="K2709"/>
    </row>
    <row r="2710" spans="1:11" x14ac:dyDescent="0.2">
      <c r="E2710" s="50"/>
      <c r="H2710" s="12"/>
      <c r="K2710"/>
    </row>
    <row r="2711" spans="1:11" x14ac:dyDescent="0.2">
      <c r="E2711" s="50"/>
      <c r="H2711" s="12"/>
      <c r="K2711"/>
    </row>
    <row r="2712" spans="1:11" x14ac:dyDescent="0.2">
      <c r="E2712" s="50"/>
      <c r="H2712" s="12"/>
      <c r="K2712"/>
    </row>
    <row r="2713" spans="1:11" x14ac:dyDescent="0.2">
      <c r="E2713" s="50"/>
      <c r="H2713" s="12"/>
      <c r="K2713"/>
    </row>
    <row r="2714" spans="1:11" x14ac:dyDescent="0.2">
      <c r="A2714" s="43"/>
      <c r="B2714" s="43"/>
      <c r="C2714" s="43"/>
      <c r="D2714" s="28" t="s">
        <v>55</v>
      </c>
      <c r="E2714" s="53" t="s">
        <v>43</v>
      </c>
      <c r="G2714" s="29"/>
      <c r="H2714" s="12"/>
    </row>
    <row r="2715" spans="1:11" ht="12" customHeight="1" x14ac:dyDescent="0.2">
      <c r="A2715" s="45" t="s">
        <v>0</v>
      </c>
      <c r="D2715" s="27" t="s">
        <v>17</v>
      </c>
      <c r="E2715" s="63">
        <v>44409</v>
      </c>
      <c r="G2715" s="26" t="s">
        <v>12</v>
      </c>
      <c r="H2715" s="123">
        <v>44410</v>
      </c>
      <c r="I2715" s="12" t="s">
        <v>53</v>
      </c>
    </row>
    <row r="2716" spans="1:11" x14ac:dyDescent="0.2">
      <c r="A2716" s="46" t="s">
        <v>41</v>
      </c>
      <c r="D2716" s="27" t="s">
        <v>17</v>
      </c>
      <c r="E2716" s="63">
        <v>44410</v>
      </c>
      <c r="G2716" s="26" t="s">
        <v>20</v>
      </c>
      <c r="H2716" s="123">
        <v>44410</v>
      </c>
      <c r="I2716" s="12" t="s">
        <v>53</v>
      </c>
    </row>
    <row r="2717" spans="1:11" x14ac:dyDescent="0.2">
      <c r="D2717" s="27" t="s">
        <v>17</v>
      </c>
      <c r="E2717" s="63">
        <v>44411</v>
      </c>
      <c r="G2717" s="26" t="s">
        <v>21</v>
      </c>
      <c r="H2717" s="123">
        <v>44411</v>
      </c>
      <c r="I2717" s="12" t="s">
        <v>53</v>
      </c>
    </row>
    <row r="2718" spans="1:11" x14ac:dyDescent="0.2">
      <c r="D2718" s="27" t="s">
        <v>17</v>
      </c>
      <c r="E2718" s="63">
        <v>44412</v>
      </c>
      <c r="G2718" s="26" t="s">
        <v>19</v>
      </c>
      <c r="H2718" s="123">
        <v>44412</v>
      </c>
      <c r="I2718" s="12" t="s">
        <v>53</v>
      </c>
    </row>
    <row r="2719" spans="1:11" x14ac:dyDescent="0.2">
      <c r="D2719" s="27" t="s">
        <v>17</v>
      </c>
      <c r="E2719" s="63">
        <v>44413</v>
      </c>
      <c r="G2719" s="26" t="s">
        <v>14</v>
      </c>
      <c r="H2719" s="123">
        <v>44413</v>
      </c>
      <c r="I2719" s="12" t="s">
        <v>53</v>
      </c>
    </row>
    <row r="2720" spans="1:11" x14ac:dyDescent="0.2">
      <c r="D2720" s="27" t="s">
        <v>17</v>
      </c>
      <c r="E2720" s="63">
        <v>44414</v>
      </c>
      <c r="G2720" s="26" t="s">
        <v>15</v>
      </c>
      <c r="H2720" s="123">
        <v>44414</v>
      </c>
      <c r="I2720" s="12" t="s">
        <v>53</v>
      </c>
    </row>
    <row r="2721" spans="4:11" x14ac:dyDescent="0.2">
      <c r="D2721" s="27" t="s">
        <v>17</v>
      </c>
      <c r="E2721" s="63">
        <v>44415</v>
      </c>
      <c r="G2721" s="26" t="s">
        <v>16</v>
      </c>
      <c r="H2721" s="123">
        <v>44417</v>
      </c>
      <c r="I2721" s="12" t="s">
        <v>53</v>
      </c>
    </row>
    <row r="2722" spans="4:11" x14ac:dyDescent="0.2">
      <c r="D2722" s="27" t="s">
        <v>17</v>
      </c>
      <c r="E2722" s="63">
        <v>44416</v>
      </c>
      <c r="G2722" s="26" t="s">
        <v>25</v>
      </c>
      <c r="H2722" s="123">
        <v>44417</v>
      </c>
      <c r="I2722" s="12" t="s">
        <v>53</v>
      </c>
    </row>
    <row r="2723" spans="4:11" x14ac:dyDescent="0.2">
      <c r="D2723" s="27" t="s">
        <v>17</v>
      </c>
      <c r="E2723" s="63">
        <v>44417</v>
      </c>
      <c r="G2723" s="26" t="s">
        <v>26</v>
      </c>
      <c r="H2723" s="123">
        <v>44417</v>
      </c>
      <c r="I2723" s="12" t="s">
        <v>53</v>
      </c>
    </row>
    <row r="2724" spans="4:11" x14ac:dyDescent="0.2">
      <c r="D2724" s="27" t="s">
        <v>17</v>
      </c>
      <c r="E2724" s="63">
        <v>44418</v>
      </c>
      <c r="G2724" s="26" t="s">
        <v>36</v>
      </c>
      <c r="H2724" s="123">
        <v>44418</v>
      </c>
      <c r="I2724" s="12" t="s">
        <v>53</v>
      </c>
    </row>
    <row r="2725" spans="4:11" x14ac:dyDescent="0.2">
      <c r="D2725" s="27" t="s">
        <v>17</v>
      </c>
      <c r="E2725" s="63">
        <v>44419</v>
      </c>
      <c r="G2725" s="26" t="s">
        <v>31</v>
      </c>
      <c r="H2725" s="123">
        <v>44419</v>
      </c>
      <c r="I2725" s="12" t="s">
        <v>53</v>
      </c>
    </row>
    <row r="2726" spans="4:11" x14ac:dyDescent="0.2">
      <c r="D2726" s="27" t="s">
        <v>17</v>
      </c>
      <c r="E2726" s="63">
        <v>44420</v>
      </c>
      <c r="G2726" s="26" t="s">
        <v>29</v>
      </c>
      <c r="H2726" s="123">
        <v>44420</v>
      </c>
      <c r="I2726" s="12" t="s">
        <v>53</v>
      </c>
    </row>
    <row r="2727" spans="4:11" x14ac:dyDescent="0.2">
      <c r="D2727" s="27" t="s">
        <v>17</v>
      </c>
      <c r="E2727" s="63">
        <v>44421</v>
      </c>
      <c r="G2727" s="26" t="s">
        <v>32</v>
      </c>
      <c r="H2727" s="123">
        <v>44421</v>
      </c>
      <c r="I2727" s="12" t="s">
        <v>53</v>
      </c>
    </row>
    <row r="2728" spans="4:11" x14ac:dyDescent="0.2">
      <c r="D2728" s="27" t="s">
        <v>17</v>
      </c>
      <c r="E2728" s="63">
        <v>44422</v>
      </c>
      <c r="G2728" s="26" t="s">
        <v>33</v>
      </c>
      <c r="H2728" s="123">
        <v>44424</v>
      </c>
      <c r="I2728" s="12" t="s">
        <v>53</v>
      </c>
      <c r="K2728"/>
    </row>
    <row r="2729" spans="4:11" x14ac:dyDescent="0.2">
      <c r="D2729" s="27" t="s">
        <v>17</v>
      </c>
      <c r="E2729" s="63">
        <v>44423</v>
      </c>
      <c r="G2729" s="26" t="s">
        <v>34</v>
      </c>
      <c r="H2729" s="123">
        <v>44424</v>
      </c>
      <c r="I2729" s="12" t="s">
        <v>53</v>
      </c>
      <c r="K2729"/>
    </row>
    <row r="2730" spans="4:11" x14ac:dyDescent="0.2">
      <c r="D2730" s="27" t="s">
        <v>17</v>
      </c>
      <c r="E2730" s="63">
        <v>44424</v>
      </c>
      <c r="G2730" s="26" t="s">
        <v>7</v>
      </c>
      <c r="H2730" s="123">
        <v>44424</v>
      </c>
      <c r="I2730" s="12" t="s">
        <v>53</v>
      </c>
      <c r="K2730"/>
    </row>
    <row r="2731" spans="4:11" x14ac:dyDescent="0.2">
      <c r="D2731" s="27" t="s">
        <v>17</v>
      </c>
      <c r="E2731" s="63">
        <v>44425</v>
      </c>
      <c r="G2731" s="26" t="s">
        <v>8</v>
      </c>
      <c r="H2731" s="123">
        <v>44425</v>
      </c>
      <c r="I2731" s="12" t="s">
        <v>53</v>
      </c>
      <c r="K2731"/>
    </row>
    <row r="2732" spans="4:11" x14ac:dyDescent="0.2">
      <c r="D2732" s="27" t="s">
        <v>17</v>
      </c>
      <c r="E2732" s="63">
        <v>44426</v>
      </c>
      <c r="G2732" s="26" t="s">
        <v>9</v>
      </c>
      <c r="H2732" s="123">
        <v>44426</v>
      </c>
      <c r="I2732" s="12" t="s">
        <v>53</v>
      </c>
      <c r="K2732"/>
    </row>
    <row r="2733" spans="4:11" x14ac:dyDescent="0.2">
      <c r="D2733" s="27" t="s">
        <v>17</v>
      </c>
      <c r="E2733" s="63">
        <v>44427</v>
      </c>
      <c r="G2733" s="26" t="s">
        <v>52</v>
      </c>
      <c r="H2733" s="123">
        <v>44427</v>
      </c>
      <c r="I2733" s="12" t="s">
        <v>53</v>
      </c>
      <c r="K2733"/>
    </row>
    <row r="2734" spans="4:11" x14ac:dyDescent="0.2">
      <c r="D2734" s="27" t="s">
        <v>17</v>
      </c>
      <c r="E2734" s="63">
        <v>44428</v>
      </c>
      <c r="G2734" s="26" t="s">
        <v>30</v>
      </c>
      <c r="H2734" s="123">
        <v>44428</v>
      </c>
      <c r="I2734" s="12" t="s">
        <v>53</v>
      </c>
      <c r="K2734"/>
    </row>
    <row r="2735" spans="4:11" x14ac:dyDescent="0.2">
      <c r="D2735" s="27" t="s">
        <v>17</v>
      </c>
      <c r="E2735" s="63">
        <v>44429</v>
      </c>
      <c r="G2735" s="26" t="s">
        <v>51</v>
      </c>
      <c r="H2735" s="123">
        <v>44431</v>
      </c>
      <c r="I2735" s="12" t="s">
        <v>53</v>
      </c>
      <c r="K2735"/>
    </row>
    <row r="2736" spans="4:11" x14ac:dyDescent="0.2">
      <c r="D2736" s="27" t="s">
        <v>17</v>
      </c>
      <c r="E2736" s="63">
        <v>44430</v>
      </c>
      <c r="G2736" s="26" t="s">
        <v>38</v>
      </c>
      <c r="H2736" s="123">
        <v>44431</v>
      </c>
      <c r="I2736" s="12" t="s">
        <v>53</v>
      </c>
      <c r="K2736"/>
    </row>
    <row r="2737" spans="4:11" x14ac:dyDescent="0.2">
      <c r="D2737" s="27" t="s">
        <v>17</v>
      </c>
      <c r="E2737" s="63">
        <v>44431</v>
      </c>
      <c r="G2737" s="26" t="s">
        <v>39</v>
      </c>
      <c r="H2737" s="123">
        <v>44431</v>
      </c>
      <c r="I2737" s="12" t="s">
        <v>53</v>
      </c>
      <c r="K2737"/>
    </row>
    <row r="2738" spans="4:11" x14ac:dyDescent="0.2">
      <c r="D2738" s="27" t="s">
        <v>17</v>
      </c>
      <c r="E2738" s="63">
        <v>44432</v>
      </c>
      <c r="G2738" s="26" t="s">
        <v>27</v>
      </c>
      <c r="H2738" s="123">
        <v>44432</v>
      </c>
      <c r="I2738" s="12" t="s">
        <v>53</v>
      </c>
      <c r="K2738"/>
    </row>
    <row r="2739" spans="4:11" x14ac:dyDescent="0.2">
      <c r="D2739" s="27" t="s">
        <v>17</v>
      </c>
      <c r="E2739" s="63">
        <v>44433</v>
      </c>
      <c r="G2739" s="26" t="s">
        <v>28</v>
      </c>
      <c r="H2739" s="123">
        <v>44433</v>
      </c>
      <c r="I2739" s="12" t="s">
        <v>53</v>
      </c>
      <c r="K2739"/>
    </row>
    <row r="2740" spans="4:11" x14ac:dyDescent="0.2">
      <c r="D2740" s="27" t="s">
        <v>17</v>
      </c>
      <c r="E2740" s="63">
        <v>44434</v>
      </c>
      <c r="G2740" s="26" t="s">
        <v>18</v>
      </c>
      <c r="H2740" s="123">
        <v>44434</v>
      </c>
      <c r="I2740" s="12" t="s">
        <v>53</v>
      </c>
      <c r="K2740"/>
    </row>
    <row r="2741" spans="4:11" x14ac:dyDescent="0.2">
      <c r="D2741" s="27" t="s">
        <v>17</v>
      </c>
      <c r="E2741" s="63">
        <v>44435</v>
      </c>
      <c r="G2741" s="26" t="s">
        <v>6</v>
      </c>
      <c r="H2741" s="123">
        <v>44435</v>
      </c>
      <c r="I2741" s="12" t="s">
        <v>53</v>
      </c>
      <c r="K2741"/>
    </row>
    <row r="2742" spans="4:11" x14ac:dyDescent="0.2">
      <c r="D2742" s="27" t="s">
        <v>17</v>
      </c>
      <c r="E2742" s="63">
        <v>44436</v>
      </c>
      <c r="G2742" s="26" t="s">
        <v>22</v>
      </c>
      <c r="H2742" s="123">
        <v>44438</v>
      </c>
      <c r="I2742" s="12" t="s">
        <v>53</v>
      </c>
      <c r="K2742"/>
    </row>
    <row r="2743" spans="4:11" x14ac:dyDescent="0.2">
      <c r="D2743" s="27" t="s">
        <v>17</v>
      </c>
      <c r="E2743" s="63">
        <v>44437</v>
      </c>
      <c r="G2743" s="26" t="s">
        <v>45</v>
      </c>
      <c r="H2743" s="123">
        <v>44438</v>
      </c>
      <c r="I2743" s="12" t="s">
        <v>53</v>
      </c>
      <c r="K2743"/>
    </row>
    <row r="2744" spans="4:11" x14ac:dyDescent="0.2">
      <c r="D2744" s="27" t="s">
        <v>17</v>
      </c>
      <c r="E2744" s="63">
        <v>44438</v>
      </c>
      <c r="G2744" s="26" t="s">
        <v>13</v>
      </c>
      <c r="H2744" s="123">
        <v>44438</v>
      </c>
      <c r="I2744" s="12" t="s">
        <v>53</v>
      </c>
      <c r="K2744"/>
    </row>
    <row r="2745" spans="4:11" x14ac:dyDescent="0.2">
      <c r="D2745" s="27" t="s">
        <v>17</v>
      </c>
      <c r="E2745" s="63">
        <v>44439</v>
      </c>
      <c r="G2745" s="26"/>
      <c r="H2745" s="123">
        <v>44439</v>
      </c>
      <c r="I2745" s="12" t="s">
        <v>53</v>
      </c>
      <c r="K2745"/>
    </row>
    <row r="2746" spans="4:11" x14ac:dyDescent="0.2">
      <c r="D2746" s="27" t="s">
        <v>44</v>
      </c>
      <c r="E2746" s="59">
        <v>44415</v>
      </c>
      <c r="G2746" s="26" t="s">
        <v>1</v>
      </c>
      <c r="H2746" s="65">
        <v>44415</v>
      </c>
      <c r="I2746" s="12"/>
      <c r="K2746"/>
    </row>
    <row r="2747" spans="4:11" x14ac:dyDescent="0.2">
      <c r="D2747" s="27" t="s">
        <v>44</v>
      </c>
      <c r="E2747" s="59">
        <v>44416</v>
      </c>
      <c r="G2747" s="26" t="s">
        <v>10</v>
      </c>
      <c r="H2747" s="65">
        <v>44416</v>
      </c>
      <c r="K2747"/>
    </row>
    <row r="2748" spans="4:11" x14ac:dyDescent="0.2">
      <c r="D2748" s="27" t="s">
        <v>44</v>
      </c>
      <c r="E2748" s="59">
        <v>44422</v>
      </c>
      <c r="G2748" s="26" t="s">
        <v>11</v>
      </c>
      <c r="H2748" s="65">
        <v>44422</v>
      </c>
      <c r="K2748"/>
    </row>
    <row r="2749" spans="4:11" x14ac:dyDescent="0.2">
      <c r="D2749" s="27" t="s">
        <v>44</v>
      </c>
      <c r="E2749" s="59">
        <v>44423</v>
      </c>
      <c r="G2749" s="26" t="s">
        <v>23</v>
      </c>
      <c r="H2749" s="65">
        <v>44423</v>
      </c>
      <c r="K2749"/>
    </row>
    <row r="2750" spans="4:11" x14ac:dyDescent="0.2">
      <c r="D2750" s="27" t="s">
        <v>44</v>
      </c>
      <c r="E2750" s="59">
        <v>44429</v>
      </c>
      <c r="G2750" s="26" t="s">
        <v>4</v>
      </c>
      <c r="H2750" s="65">
        <v>44429</v>
      </c>
      <c r="K2750"/>
    </row>
    <row r="2751" spans="4:11" x14ac:dyDescent="0.2">
      <c r="D2751" s="27" t="s">
        <v>44</v>
      </c>
      <c r="E2751" s="59">
        <v>44430</v>
      </c>
      <c r="G2751" s="26" t="s">
        <v>24</v>
      </c>
      <c r="H2751" s="65">
        <v>44430</v>
      </c>
      <c r="K2751"/>
    </row>
    <row r="2752" spans="4:11" x14ac:dyDescent="0.2">
      <c r="D2752" s="27" t="s">
        <v>44</v>
      </c>
      <c r="E2752" s="59">
        <v>44436</v>
      </c>
      <c r="G2752" s="26" t="s">
        <v>37</v>
      </c>
      <c r="H2752" s="65">
        <v>44436</v>
      </c>
      <c r="K2752"/>
    </row>
    <row r="2753" spans="4:11" x14ac:dyDescent="0.2">
      <c r="D2753" s="27" t="s">
        <v>44</v>
      </c>
      <c r="E2753" s="59">
        <v>44437</v>
      </c>
      <c r="H2753" s="65">
        <v>44437</v>
      </c>
      <c r="K2753"/>
    </row>
    <row r="2754" spans="4:11" x14ac:dyDescent="0.2">
      <c r="D2754" s="27" t="s">
        <v>44</v>
      </c>
      <c r="E2754" s="50"/>
      <c r="F2754" s="41"/>
      <c r="H2754" s="3"/>
      <c r="K2754"/>
    </row>
    <row r="2755" spans="4:11" x14ac:dyDescent="0.2">
      <c r="D2755" s="27"/>
      <c r="E2755" s="50"/>
      <c r="F2755" s="41"/>
      <c r="H2755" s="3"/>
      <c r="K2755"/>
    </row>
    <row r="2756" spans="4:11" x14ac:dyDescent="0.2">
      <c r="D2756" s="27"/>
      <c r="H2756" s="35"/>
      <c r="K2756"/>
    </row>
    <row r="2761" spans="4:11" x14ac:dyDescent="0.2">
      <c r="E2761"/>
      <c r="F2761"/>
      <c r="H2761"/>
      <c r="I2761" s="30"/>
      <c r="K2761"/>
    </row>
    <row r="2762" spans="4:11" x14ac:dyDescent="0.2">
      <c r="E2762"/>
      <c r="F2762"/>
      <c r="H2762"/>
      <c r="I2762" s="30"/>
      <c r="K2762"/>
    </row>
    <row r="2763" spans="4:11" x14ac:dyDescent="0.2">
      <c r="E2763"/>
      <c r="F2763"/>
      <c r="H2763"/>
      <c r="I2763" s="30"/>
      <c r="K2763"/>
    </row>
    <row r="2764" spans="4:11" x14ac:dyDescent="0.2">
      <c r="E2764"/>
      <c r="F2764"/>
      <c r="H2764"/>
      <c r="I2764" s="30"/>
      <c r="K2764"/>
    </row>
    <row r="2765" spans="4:11" x14ac:dyDescent="0.2">
      <c r="E2765"/>
      <c r="F2765"/>
      <c r="H2765"/>
      <c r="I2765" s="30"/>
      <c r="K2765"/>
    </row>
    <row r="2766" spans="4:11" x14ac:dyDescent="0.2">
      <c r="E2766"/>
      <c r="F2766"/>
      <c r="H2766"/>
      <c r="I2766" s="30"/>
      <c r="K2766"/>
    </row>
    <row r="2767" spans="4:11" x14ac:dyDescent="0.2">
      <c r="E2767"/>
      <c r="F2767"/>
      <c r="H2767"/>
      <c r="I2767" s="30"/>
      <c r="K2767"/>
    </row>
    <row r="2768" spans="4:11" x14ac:dyDescent="0.2">
      <c r="E2768"/>
      <c r="F2768"/>
      <c r="H2768"/>
      <c r="I2768" s="30"/>
      <c r="K2768"/>
    </row>
    <row r="2769" spans="9:9" customFormat="1" x14ac:dyDescent="0.2">
      <c r="I2769" s="30"/>
    </row>
    <row r="2770" spans="9:9" customFormat="1" x14ac:dyDescent="0.2">
      <c r="I2770" s="30"/>
    </row>
    <row r="2771" spans="9:9" customFormat="1" x14ac:dyDescent="0.2">
      <c r="I2771" s="30"/>
    </row>
    <row r="2772" spans="9:9" customFormat="1" x14ac:dyDescent="0.2">
      <c r="I2772" s="30"/>
    </row>
    <row r="2773" spans="9:9" customFormat="1" x14ac:dyDescent="0.2">
      <c r="I2773" s="30"/>
    </row>
    <row r="2774" spans="9:9" customFormat="1" x14ac:dyDescent="0.2">
      <c r="I2774" s="30"/>
    </row>
    <row r="2775" spans="9:9" customFormat="1" x14ac:dyDescent="0.2">
      <c r="I2775" s="30"/>
    </row>
    <row r="2776" spans="9:9" customFormat="1" x14ac:dyDescent="0.2">
      <c r="I2776" s="30"/>
    </row>
    <row r="2777" spans="9:9" customFormat="1" x14ac:dyDescent="0.2">
      <c r="I2777" s="30"/>
    </row>
    <row r="2778" spans="9:9" customFormat="1" x14ac:dyDescent="0.2">
      <c r="I2778" s="30"/>
    </row>
    <row r="2779" spans="9:9" customFormat="1" x14ac:dyDescent="0.2">
      <c r="I2779" s="30"/>
    </row>
    <row r="2780" spans="9:9" customFormat="1" x14ac:dyDescent="0.2">
      <c r="I2780" s="30"/>
    </row>
    <row r="2781" spans="9:9" customFormat="1" x14ac:dyDescent="0.2">
      <c r="I2781" s="30"/>
    </row>
    <row r="2782" spans="9:9" customFormat="1" x14ac:dyDescent="0.2">
      <c r="I2782" s="30"/>
    </row>
    <row r="2783" spans="9:9" customFormat="1" x14ac:dyDescent="0.2">
      <c r="I2783" s="30"/>
    </row>
    <row r="2784" spans="9:9" customFormat="1" x14ac:dyDescent="0.2">
      <c r="I2784" s="30"/>
    </row>
    <row r="2785" spans="9:9" customFormat="1" x14ac:dyDescent="0.2">
      <c r="I2785" s="30"/>
    </row>
    <row r="2786" spans="9:9" customFormat="1" x14ac:dyDescent="0.2">
      <c r="I2786" s="30"/>
    </row>
    <row r="2787" spans="9:9" customFormat="1" x14ac:dyDescent="0.2">
      <c r="I2787" s="30"/>
    </row>
    <row r="2788" spans="9:9" customFormat="1" x14ac:dyDescent="0.2">
      <c r="I2788" s="30"/>
    </row>
    <row r="2789" spans="9:9" customFormat="1" x14ac:dyDescent="0.2">
      <c r="I2789" s="30"/>
    </row>
    <row r="2790" spans="9:9" customFormat="1" x14ac:dyDescent="0.2">
      <c r="I2790" s="30"/>
    </row>
    <row r="2791" spans="9:9" customFormat="1" x14ac:dyDescent="0.2">
      <c r="I2791" s="30"/>
    </row>
  </sheetData>
  <autoFilter ref="C1:H143" xr:uid="{00000000-0009-0000-0000-000008000000}">
    <sortState xmlns:xlrd2="http://schemas.microsoft.com/office/spreadsheetml/2017/richdata2" ref="C2:H173">
      <sortCondition ref="E2:E173"/>
    </sortState>
  </autoFilter>
  <pageMargins left="0" right="0" top="0" bottom="0" header="0.31496062992125984" footer="0.31496062992125984"/>
  <pageSetup paperSize="9" scale="75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B50"/>
  <sheetViews>
    <sheetView zoomScale="75" zoomScaleNormal="75" workbookViewId="0">
      <pane xSplit="1" ySplit="4" topLeftCell="H5" activePane="bottomRight" state="frozen"/>
      <selection activeCell="H2825" sqref="H2825"/>
      <selection pane="topRight" activeCell="H2825" sqref="H2825"/>
      <selection pane="bottomLeft" activeCell="H2825" sqref="H2825"/>
      <selection pane="bottomRight" activeCell="I21" sqref="I21"/>
    </sheetView>
  </sheetViews>
  <sheetFormatPr defaultColWidth="15.7109375" defaultRowHeight="12.75" x14ac:dyDescent="0.2"/>
  <cols>
    <col min="1" max="1" width="15.7109375" customWidth="1"/>
    <col min="2" max="12" width="15.7109375" style="1" customWidth="1"/>
    <col min="13" max="25" width="15.7109375" customWidth="1"/>
  </cols>
  <sheetData>
    <row r="1" spans="1:23" s="2" customFormat="1" x14ac:dyDescent="0.2">
      <c r="B1" s="2" t="str">
        <f>IF(B5=1,"Domingo",IF(B5=2,"Segunda",IF(B5=3,"Terça",IF(B5=4,"Quarta",IF(B5=5,"Quinta",IF(B5=6,"Sexta",IF(B5=7,"Sábado",0)))))))</f>
        <v>Segunda</v>
      </c>
      <c r="C1" s="2" t="str">
        <f t="shared" ref="C1:R1" si="0">IF(C5=1,"Domingo",IF(C5=2,"Segunda",IF(C5=3,"Terça",IF(C5=4,"Quarta",IF(C5=5,"Quinta",IF(C5=6,"Sexta",IF(C5=7,"Sábado",0)))))))</f>
        <v>Terça</v>
      </c>
      <c r="D1" s="2" t="str">
        <f t="shared" si="0"/>
        <v>Quarta</v>
      </c>
      <c r="E1" s="2" t="str">
        <f t="shared" si="0"/>
        <v>Quinta</v>
      </c>
      <c r="F1" s="2" t="str">
        <f t="shared" si="0"/>
        <v>Sexta</v>
      </c>
      <c r="G1" s="2" t="str">
        <f t="shared" si="0"/>
        <v>Segunda</v>
      </c>
      <c r="H1" s="2" t="str">
        <f t="shared" si="0"/>
        <v>Terça</v>
      </c>
      <c r="I1" s="2" t="str">
        <f t="shared" si="0"/>
        <v>Quarta</v>
      </c>
      <c r="J1" s="2" t="str">
        <f t="shared" si="0"/>
        <v>Quinta</v>
      </c>
      <c r="K1" s="2" t="str">
        <f t="shared" si="0"/>
        <v>Sexta</v>
      </c>
      <c r="L1" s="2" t="str">
        <f t="shared" si="0"/>
        <v>Segunda</v>
      </c>
      <c r="M1" s="2" t="str">
        <f t="shared" si="0"/>
        <v>Terça</v>
      </c>
      <c r="N1" s="2" t="str">
        <f t="shared" si="0"/>
        <v>Quarta</v>
      </c>
      <c r="O1" s="2" t="str">
        <f t="shared" si="0"/>
        <v>Quinta</v>
      </c>
      <c r="P1" s="2" t="str">
        <f t="shared" si="0"/>
        <v>Sexta</v>
      </c>
      <c r="Q1" s="2" t="str">
        <f t="shared" si="0"/>
        <v>Segunda</v>
      </c>
      <c r="R1" s="2" t="str">
        <f t="shared" si="0"/>
        <v>Terça</v>
      </c>
      <c r="S1" s="2" t="str">
        <f>IF(S5=1,"Domingo",IF(S5=2,"Segunda",IF(S5=3,"Terça",IF(S5=4,"Quarta",IF(S5=5,"Quinta",IF(S5=6,"Sexta",IF(S5=7,"Sábado",0)))))))</f>
        <v>Quarta</v>
      </c>
      <c r="T1" s="2" t="str">
        <f>IF(T5=1,"Domingo",IF(T5=2,"Segunda",IF(T5=3,"Terça",IF(T5=4,"Quarta",IF(T5=5,"Quinta",IF(T5=6,"Sexta",IF(T5=7,"Sábado",0)))))))</f>
        <v>Quinta</v>
      </c>
      <c r="U1" s="2" t="str">
        <f>IF(U5=1,"Domingo",IF(U5=2,"Segunda",IF(U5=3,"Terça",IF(U5=4,"Quarta",IF(U5=5,"Quinta",IF(U5=6,"Sexta",IF(U5=7,"Sábado",0)))))))</f>
        <v>Sexta</v>
      </c>
      <c r="V1" s="2" t="str">
        <f>IF(V5=1,"Domingo",IF(V5=2,"Segunda",IF(V5=3,"Terça",IF(V5=4,"Quarta",IF(V5=5,"Quinta",IF(V5=6,"Sexta",IF(V5=7,"Sábado",0)))))))</f>
        <v>Segunda</v>
      </c>
      <c r="W1" s="2" t="str">
        <f>IF(W5=1,"Domingo",IF(W5=2,"Segunda",IF(W5=3,"Terça",IF(W5=4,"Quarta",IF(W5=5,"Quinta",IF(W5=6,"Sexta",IF(W5=7,"Sábado",0)))))))</f>
        <v>Terça</v>
      </c>
    </row>
    <row r="2" spans="1:23" s="3" customFormat="1" x14ac:dyDescent="0.2">
      <c r="A2" s="4" t="s">
        <v>2</v>
      </c>
      <c r="B2" s="3">
        <f t="shared" ref="B2:R2" si="1">B29</f>
        <v>44410</v>
      </c>
      <c r="C2" s="3">
        <f t="shared" si="1"/>
        <v>44411</v>
      </c>
      <c r="D2" s="3">
        <f t="shared" si="1"/>
        <v>44412</v>
      </c>
      <c r="E2" s="3">
        <f t="shared" si="1"/>
        <v>44413</v>
      </c>
      <c r="F2" s="3">
        <f t="shared" si="1"/>
        <v>44414</v>
      </c>
      <c r="G2" s="3">
        <f t="shared" si="1"/>
        <v>44417</v>
      </c>
      <c r="H2" s="3">
        <f t="shared" si="1"/>
        <v>44418</v>
      </c>
      <c r="I2" s="3">
        <f t="shared" si="1"/>
        <v>44419</v>
      </c>
      <c r="J2" s="3">
        <f t="shared" si="1"/>
        <v>44420</v>
      </c>
      <c r="K2" s="3">
        <f t="shared" si="1"/>
        <v>44421</v>
      </c>
      <c r="L2" s="3">
        <f t="shared" si="1"/>
        <v>44424</v>
      </c>
      <c r="M2" s="3">
        <f t="shared" si="1"/>
        <v>44425</v>
      </c>
      <c r="N2" s="3">
        <f t="shared" si="1"/>
        <v>44426</v>
      </c>
      <c r="O2" s="3">
        <f t="shared" si="1"/>
        <v>44427</v>
      </c>
      <c r="P2" s="3">
        <f t="shared" si="1"/>
        <v>44428</v>
      </c>
      <c r="Q2" s="3">
        <f t="shared" si="1"/>
        <v>44431</v>
      </c>
      <c r="R2" s="3">
        <f t="shared" si="1"/>
        <v>44432</v>
      </c>
      <c r="S2" s="3">
        <f>S29</f>
        <v>44433</v>
      </c>
      <c r="T2" s="3">
        <f>T29</f>
        <v>44434</v>
      </c>
      <c r="U2" s="3">
        <f>U29</f>
        <v>44435</v>
      </c>
      <c r="V2" s="3">
        <f>V29</f>
        <v>44438</v>
      </c>
      <c r="W2" s="3">
        <f>W29</f>
        <v>44439</v>
      </c>
    </row>
    <row r="3" spans="1:23" ht="3.75" customHeight="1" thickBo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23" ht="14.25" thickTop="1" thickBot="1" x14ac:dyDescent="0.25">
      <c r="A4" s="7" t="s">
        <v>40</v>
      </c>
      <c r="B4" s="8">
        <f>Fluxo_07_21!W38</f>
        <v>-1710.8399999999774</v>
      </c>
      <c r="C4" s="8">
        <f>B38</f>
        <v>-2323.4399999999778</v>
      </c>
      <c r="D4" s="8">
        <f>C38</f>
        <v>29175.310000000023</v>
      </c>
      <c r="E4" s="8">
        <f>D38</f>
        <v>26473.370000000024</v>
      </c>
      <c r="F4" s="8">
        <f>E38</f>
        <v>-17952.289999999972</v>
      </c>
      <c r="G4" s="8">
        <f>F38</f>
        <v>-24716.749999999971</v>
      </c>
      <c r="H4" s="8">
        <f t="shared" ref="H4:R4" si="2">G38</f>
        <v>-21034.379999999972</v>
      </c>
      <c r="I4" s="8">
        <f t="shared" si="2"/>
        <v>-16601.519999999971</v>
      </c>
      <c r="J4" s="8">
        <f t="shared" si="2"/>
        <v>-18291.519999999971</v>
      </c>
      <c r="K4" s="8">
        <f t="shared" si="2"/>
        <v>-19440.18999999997</v>
      </c>
      <c r="L4" s="8">
        <f t="shared" si="2"/>
        <v>-9884.9699999999721</v>
      </c>
      <c r="M4" s="8">
        <f t="shared" si="2"/>
        <v>-14637.509999999973</v>
      </c>
      <c r="N4" s="8">
        <f t="shared" si="2"/>
        <v>-10243.039999999972</v>
      </c>
      <c r="O4" s="8">
        <f t="shared" si="2"/>
        <v>-10285.689999999971</v>
      </c>
      <c r="P4" s="8">
        <f t="shared" si="2"/>
        <v>-5866.0599999999713</v>
      </c>
      <c r="Q4" s="8">
        <f t="shared" si="2"/>
        <v>-21261.139999999974</v>
      </c>
      <c r="R4" s="8">
        <f t="shared" si="2"/>
        <v>-21475.639999999974</v>
      </c>
      <c r="S4" s="8">
        <f>R38</f>
        <v>-7005.4499999999753</v>
      </c>
      <c r="T4" s="8">
        <f>S38</f>
        <v>-20781.199999999975</v>
      </c>
      <c r="U4" s="8">
        <f>T38</f>
        <v>-19337.729999999974</v>
      </c>
      <c r="V4" s="8">
        <f>U38</f>
        <v>-13713.199999999975</v>
      </c>
      <c r="W4" s="8">
        <f>V38</f>
        <v>-5631.9899999999743</v>
      </c>
    </row>
    <row r="5" spans="1:23" ht="6.95" customHeight="1" thickTop="1" x14ac:dyDescent="0.2">
      <c r="A5" s="9"/>
      <c r="B5" s="10">
        <f t="shared" ref="B5:R5" si="3">WEEKDAY(B2)</f>
        <v>2</v>
      </c>
      <c r="C5" s="10">
        <f t="shared" si="3"/>
        <v>3</v>
      </c>
      <c r="D5" s="10">
        <f t="shared" si="3"/>
        <v>4</v>
      </c>
      <c r="E5" s="10">
        <f t="shared" si="3"/>
        <v>5</v>
      </c>
      <c r="F5" s="10">
        <f t="shared" si="3"/>
        <v>6</v>
      </c>
      <c r="G5" s="10">
        <f t="shared" si="3"/>
        <v>2</v>
      </c>
      <c r="H5" s="10">
        <f t="shared" si="3"/>
        <v>3</v>
      </c>
      <c r="I5" s="10">
        <f t="shared" si="3"/>
        <v>4</v>
      </c>
      <c r="J5" s="10">
        <f t="shared" si="3"/>
        <v>5</v>
      </c>
      <c r="K5" s="10">
        <f t="shared" si="3"/>
        <v>6</v>
      </c>
      <c r="L5" s="10">
        <f t="shared" si="3"/>
        <v>2</v>
      </c>
      <c r="M5" s="10">
        <f t="shared" si="3"/>
        <v>3</v>
      </c>
      <c r="N5" s="10">
        <f t="shared" si="3"/>
        <v>4</v>
      </c>
      <c r="O5" s="10">
        <f t="shared" si="3"/>
        <v>5</v>
      </c>
      <c r="P5" s="10">
        <f t="shared" si="3"/>
        <v>6</v>
      </c>
      <c r="Q5" s="10">
        <f t="shared" si="3"/>
        <v>2</v>
      </c>
      <c r="R5" s="10">
        <f t="shared" si="3"/>
        <v>3</v>
      </c>
      <c r="S5" s="10">
        <f>WEEKDAY(S2)</f>
        <v>4</v>
      </c>
      <c r="T5" s="10">
        <f>WEEKDAY(T2)</f>
        <v>5</v>
      </c>
      <c r="U5" s="10">
        <f>WEEKDAY(U2)</f>
        <v>6</v>
      </c>
      <c r="V5" s="10">
        <f>WEEKDAY(V2)</f>
        <v>2</v>
      </c>
      <c r="W5" s="10">
        <f>WEEKDAY(W2)</f>
        <v>3</v>
      </c>
    </row>
    <row r="6" spans="1:23" x14ac:dyDescent="0.2">
      <c r="A6" s="20" t="s">
        <v>3</v>
      </c>
      <c r="B6" s="23">
        <f t="shared" ref="B6:R6" si="4">SUM(B7:B26)</f>
        <v>5321.28</v>
      </c>
      <c r="C6" s="23">
        <f t="shared" si="4"/>
        <v>31924.720000000001</v>
      </c>
      <c r="D6" s="23">
        <f t="shared" si="4"/>
        <v>0</v>
      </c>
      <c r="E6" s="23">
        <f t="shared" si="4"/>
        <v>18648.36</v>
      </c>
      <c r="F6" s="23">
        <f t="shared" si="4"/>
        <v>1319.23</v>
      </c>
      <c r="G6" s="23">
        <f t="shared" si="4"/>
        <v>13296.57</v>
      </c>
      <c r="H6" s="23">
        <f t="shared" si="4"/>
        <v>18824.61</v>
      </c>
      <c r="I6" s="23">
        <f t="shared" si="4"/>
        <v>0</v>
      </c>
      <c r="J6" s="23">
        <f t="shared" si="4"/>
        <v>35882.26</v>
      </c>
      <c r="K6" s="23">
        <f t="shared" si="4"/>
        <v>25547.649999999998</v>
      </c>
      <c r="L6" s="23">
        <f t="shared" si="4"/>
        <v>968.1</v>
      </c>
      <c r="M6" s="23">
        <f t="shared" si="4"/>
        <v>16837.580000000002</v>
      </c>
      <c r="N6" s="23">
        <f t="shared" si="4"/>
        <v>0</v>
      </c>
      <c r="O6" s="23">
        <f t="shared" si="4"/>
        <v>5799.63</v>
      </c>
      <c r="P6" s="23">
        <f t="shared" si="4"/>
        <v>0</v>
      </c>
      <c r="Q6" s="23">
        <f t="shared" si="4"/>
        <v>1850.1799999999998</v>
      </c>
      <c r="R6" s="23">
        <f t="shared" si="4"/>
        <v>27825.19</v>
      </c>
      <c r="S6" s="23">
        <f>SUM(S7:S26)</f>
        <v>0</v>
      </c>
      <c r="T6" s="23">
        <f>SUM(T7:T26)</f>
        <v>9172.7999999999993</v>
      </c>
      <c r="U6" s="23">
        <f>SUM(U7:U26)</f>
        <v>23272.57</v>
      </c>
      <c r="V6" s="23">
        <f>SUM(V7:V26)</f>
        <v>8709.6200000000008</v>
      </c>
      <c r="W6" s="23">
        <f>SUM(W7:W26)</f>
        <v>0</v>
      </c>
    </row>
    <row r="7" spans="1:23" x14ac:dyDescent="0.2">
      <c r="A7" t="s">
        <v>137</v>
      </c>
      <c r="B7" s="106">
        <f>5873.92-836</f>
        <v>5037.92</v>
      </c>
      <c r="C7" s="106">
        <f>13414.8+11747.84+6762.08</f>
        <v>31924.720000000001</v>
      </c>
      <c r="D7"/>
      <c r="E7" s="109">
        <f>12534.9-256.54</f>
        <v>12278.359999999999</v>
      </c>
      <c r="F7"/>
      <c r="G7" s="104">
        <f>11826.15</f>
        <v>11826.15</v>
      </c>
      <c r="I7" s="15"/>
      <c r="J7" s="104">
        <v>2630.35</v>
      </c>
      <c r="K7" s="104">
        <f>1564+1936</f>
        <v>3500</v>
      </c>
      <c r="M7" s="109">
        <v>12627.03</v>
      </c>
      <c r="N7" s="1"/>
      <c r="O7" s="1"/>
      <c r="P7" s="1"/>
      <c r="Q7" s="1"/>
      <c r="R7" s="1"/>
      <c r="S7" s="1"/>
      <c r="T7" s="1"/>
      <c r="U7" s="1"/>
    </row>
    <row r="8" spans="1:23" x14ac:dyDescent="0.2">
      <c r="A8" t="s">
        <v>60</v>
      </c>
      <c r="B8"/>
      <c r="E8" s="104"/>
      <c r="F8" s="74">
        <v>1319.23</v>
      </c>
      <c r="G8" s="15"/>
      <c r="I8" s="15"/>
      <c r="J8" s="15"/>
      <c r="L8" s="74">
        <v>968.1</v>
      </c>
      <c r="M8" s="15"/>
      <c r="N8" s="1"/>
      <c r="O8" s="112">
        <v>5799.63</v>
      </c>
      <c r="P8" s="15"/>
      <c r="Q8" s="15"/>
      <c r="R8" s="1"/>
      <c r="V8" s="1"/>
      <c r="W8" s="1"/>
    </row>
    <row r="9" spans="1:23" x14ac:dyDescent="0.2">
      <c r="A9" t="s">
        <v>79</v>
      </c>
      <c r="B9"/>
      <c r="C9"/>
      <c r="E9" s="109">
        <f>590+5780</f>
        <v>6370</v>
      </c>
      <c r="F9"/>
      <c r="H9"/>
      <c r="J9" s="110">
        <v>33251.910000000003</v>
      </c>
      <c r="M9" s="15"/>
      <c r="N9" s="1"/>
      <c r="O9" s="105"/>
      <c r="P9" s="105"/>
      <c r="Q9" s="15"/>
      <c r="R9" s="112">
        <v>29145.19</v>
      </c>
      <c r="S9" s="106"/>
    </row>
    <row r="10" spans="1:23" x14ac:dyDescent="0.2">
      <c r="A10" t="s">
        <v>138</v>
      </c>
      <c r="B10"/>
      <c r="C10"/>
      <c r="G10" s="15"/>
      <c r="H10"/>
      <c r="I10" s="15"/>
      <c r="J10" s="15"/>
      <c r="K10" s="15"/>
      <c r="L10" s="15"/>
      <c r="M10" s="15"/>
      <c r="N10" s="15"/>
      <c r="Q10" s="15"/>
      <c r="T10" s="74">
        <f>7338.24+1834.56</f>
        <v>9172.7999999999993</v>
      </c>
    </row>
    <row r="11" spans="1:23" x14ac:dyDescent="0.2">
      <c r="A11" t="s">
        <v>61</v>
      </c>
      <c r="B11"/>
      <c r="D11"/>
      <c r="E11" s="15"/>
      <c r="F11" s="15"/>
      <c r="G11" s="15"/>
      <c r="I11" s="15"/>
      <c r="J11" s="15"/>
      <c r="K11" s="15"/>
      <c r="L11" s="15"/>
      <c r="M11" s="14"/>
      <c r="N11" s="15"/>
      <c r="O11" s="15"/>
      <c r="P11" s="15"/>
      <c r="Q11" s="14"/>
      <c r="R11" s="1"/>
      <c r="W11" s="1"/>
    </row>
    <row r="12" spans="1:23" x14ac:dyDescent="0.2">
      <c r="A12" t="s">
        <v>58</v>
      </c>
      <c r="B12" s="106">
        <v>283.36</v>
      </c>
      <c r="C12"/>
      <c r="D12"/>
      <c r="E12" s="15"/>
      <c r="F12" s="15"/>
      <c r="G12" s="106">
        <v>1470.42</v>
      </c>
      <c r="H12"/>
      <c r="I12" s="15"/>
      <c r="K12" s="106">
        <f>1600.07</f>
        <v>1600.07</v>
      </c>
      <c r="L12" s="15"/>
      <c r="N12" s="15"/>
      <c r="O12" s="15"/>
      <c r="P12" s="15"/>
      <c r="Q12" s="106">
        <v>530.17999999999995</v>
      </c>
      <c r="V12" s="106">
        <v>1859.27</v>
      </c>
    </row>
    <row r="13" spans="1:23" x14ac:dyDescent="0.2">
      <c r="A13" t="s">
        <v>59</v>
      </c>
      <c r="B13"/>
      <c r="C13" s="15"/>
      <c r="D13" s="15"/>
      <c r="E13" s="15"/>
      <c r="F13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W13" s="15"/>
    </row>
    <row r="14" spans="1:23" x14ac:dyDescent="0.2">
      <c r="A14" t="s">
        <v>139</v>
      </c>
      <c r="B14" s="17"/>
      <c r="C14" s="17"/>
      <c r="F14" s="15"/>
      <c r="G14" s="15"/>
      <c r="K14" s="104">
        <v>4996.9799999999996</v>
      </c>
      <c r="L14" s="15"/>
      <c r="M14" s="109">
        <v>4210.55</v>
      </c>
      <c r="N14" s="15"/>
      <c r="O14" s="1"/>
      <c r="P14" s="1"/>
      <c r="Q14" s="1"/>
      <c r="R14" s="1"/>
      <c r="S14" s="1"/>
      <c r="T14" s="1"/>
      <c r="U14" s="1"/>
      <c r="V14" s="104">
        <v>6850.35</v>
      </c>
      <c r="W14" s="1"/>
    </row>
    <row r="15" spans="1:23" x14ac:dyDescent="0.2">
      <c r="A15" t="s">
        <v>140</v>
      </c>
      <c r="B15"/>
      <c r="C15"/>
      <c r="J15" s="15"/>
      <c r="K15" s="74">
        <f>3853.14+4473.18+3271.14+3853.14</f>
        <v>15450.599999999999</v>
      </c>
      <c r="L15" s="15"/>
      <c r="M15" s="15"/>
      <c r="N15" s="15"/>
      <c r="O15" s="15"/>
      <c r="P15" s="15"/>
      <c r="Q15" s="15"/>
      <c r="R15" s="15"/>
      <c r="U15" s="106">
        <f>5782.25+5903.14</f>
        <v>11685.39</v>
      </c>
    </row>
    <row r="16" spans="1:23" x14ac:dyDescent="0.2">
      <c r="A16" t="s">
        <v>230</v>
      </c>
      <c r="C16"/>
      <c r="D16"/>
      <c r="E16" s="15"/>
      <c r="F16" s="15"/>
      <c r="G16" s="15"/>
      <c r="H16" s="74">
        <f>1607.81+4233.6+12983.2</f>
        <v>18824.61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1:28" x14ac:dyDescent="0.2">
      <c r="A17" t="s">
        <v>680</v>
      </c>
      <c r="C17"/>
      <c r="F17" s="15"/>
      <c r="H17" s="15"/>
      <c r="I17" s="15"/>
      <c r="J17" s="15"/>
      <c r="M17" s="1"/>
      <c r="N17" s="15"/>
      <c r="O17" s="15"/>
      <c r="P17" s="1"/>
      <c r="Q17" s="120">
        <v>1320</v>
      </c>
      <c r="R17" s="120">
        <v>-1320</v>
      </c>
      <c r="S17" s="120"/>
      <c r="T17" s="1"/>
      <c r="U17" s="104">
        <v>11587.18</v>
      </c>
    </row>
    <row r="18" spans="1:28" x14ac:dyDescent="0.2">
      <c r="A18" t="s">
        <v>1355</v>
      </c>
      <c r="D18" s="13"/>
      <c r="E18" s="16"/>
      <c r="F18" s="15"/>
      <c r="G18" s="15"/>
      <c r="I18" s="15"/>
      <c r="J18" s="15"/>
      <c r="M18" s="15"/>
      <c r="N18" s="15"/>
      <c r="O18" s="15"/>
      <c r="P18" s="41"/>
      <c r="R18" s="15"/>
    </row>
    <row r="19" spans="1:28" x14ac:dyDescent="0.2">
      <c r="B19" s="15"/>
      <c r="C19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1:28" x14ac:dyDescent="0.2">
      <c r="A20" s="12"/>
      <c r="B20" s="15"/>
      <c r="C2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1:28" x14ac:dyDescent="0.2">
      <c r="A21" s="12"/>
      <c r="B21" s="15"/>
      <c r="C2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28" x14ac:dyDescent="0.2">
      <c r="B22"/>
      <c r="C22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28" x14ac:dyDescent="0.2">
      <c r="D23" s="13"/>
      <c r="E23" s="16"/>
      <c r="F23" s="15"/>
      <c r="G23" s="15"/>
      <c r="I23" s="15"/>
      <c r="J23" s="15"/>
      <c r="M23" s="15"/>
      <c r="N23" s="15"/>
      <c r="O23" s="17"/>
      <c r="P23" s="19"/>
      <c r="R23" s="15"/>
    </row>
    <row r="24" spans="1:28" x14ac:dyDescent="0.2">
      <c r="D24" s="13"/>
      <c r="E24" s="16"/>
      <c r="F24" s="15"/>
      <c r="G24" s="15"/>
      <c r="I24" s="15"/>
      <c r="J24" s="15"/>
      <c r="M24" s="15"/>
      <c r="N24" s="15"/>
      <c r="O24" s="48"/>
      <c r="P24" s="19"/>
      <c r="R24" s="15"/>
    </row>
    <row r="25" spans="1:28" x14ac:dyDescent="0.2">
      <c r="A25" s="12"/>
      <c r="D25" s="13"/>
      <c r="E25" s="47"/>
      <c r="F25" s="15"/>
      <c r="G25" s="15"/>
      <c r="I25" s="15"/>
      <c r="J25" s="15"/>
      <c r="M25" s="15"/>
      <c r="N25" s="15"/>
      <c r="O25" s="17"/>
      <c r="P25" s="19"/>
      <c r="R25" s="15"/>
    </row>
    <row r="26" spans="1:28" x14ac:dyDescent="0.2">
      <c r="A26" s="12"/>
      <c r="B26"/>
      <c r="C26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</row>
    <row r="27" spans="1:28" x14ac:dyDescent="0.2">
      <c r="A27" s="21" t="s">
        <v>54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spans="1:28" x14ac:dyDescent="0.2">
      <c r="A28" s="80" t="s">
        <v>62</v>
      </c>
      <c r="B28" s="80" t="s">
        <v>42</v>
      </c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2"/>
    </row>
    <row r="29" spans="1:28" x14ac:dyDescent="0.2">
      <c r="A29" s="80" t="s">
        <v>50</v>
      </c>
      <c r="B29" s="83">
        <v>44410</v>
      </c>
      <c r="C29" s="84">
        <v>44411</v>
      </c>
      <c r="D29" s="84">
        <v>44412</v>
      </c>
      <c r="E29" s="84">
        <v>44413</v>
      </c>
      <c r="F29" s="84">
        <v>44414</v>
      </c>
      <c r="G29" s="84">
        <v>44417</v>
      </c>
      <c r="H29" s="84">
        <v>44418</v>
      </c>
      <c r="I29" s="84">
        <v>44419</v>
      </c>
      <c r="J29" s="84">
        <v>44420</v>
      </c>
      <c r="K29" s="84">
        <v>44421</v>
      </c>
      <c r="L29" s="84">
        <v>44424</v>
      </c>
      <c r="M29" s="84">
        <v>44425</v>
      </c>
      <c r="N29" s="84">
        <v>44426</v>
      </c>
      <c r="O29" s="84">
        <v>44427</v>
      </c>
      <c r="P29" s="84">
        <v>44428</v>
      </c>
      <c r="Q29" s="84">
        <v>44431</v>
      </c>
      <c r="R29" s="84">
        <v>44432</v>
      </c>
      <c r="S29" s="84">
        <v>44433</v>
      </c>
      <c r="T29" s="84">
        <v>44434</v>
      </c>
      <c r="U29" s="84">
        <v>44435</v>
      </c>
      <c r="V29" s="84">
        <v>44438</v>
      </c>
      <c r="W29" s="84">
        <v>44439</v>
      </c>
      <c r="X29" s="85" t="s">
        <v>71</v>
      </c>
    </row>
    <row r="30" spans="1:28" s="11" customFormat="1" x14ac:dyDescent="0.2">
      <c r="A30" s="86" t="s">
        <v>63</v>
      </c>
      <c r="B30" s="86"/>
      <c r="C30" s="87"/>
      <c r="D30" s="87"/>
      <c r="E30" s="87"/>
      <c r="F30" s="87"/>
      <c r="G30" s="87"/>
      <c r="H30" s="87"/>
      <c r="I30" s="87"/>
      <c r="J30" s="87"/>
      <c r="K30" s="87">
        <v>2300</v>
      </c>
      <c r="L30" s="87"/>
      <c r="M30" s="87">
        <v>2500</v>
      </c>
      <c r="N30" s="87"/>
      <c r="O30" s="87"/>
      <c r="P30" s="87"/>
      <c r="Q30" s="87"/>
      <c r="R30" s="87"/>
      <c r="S30" s="87"/>
      <c r="T30" s="87">
        <v>3550</v>
      </c>
      <c r="U30" s="87">
        <v>1120</v>
      </c>
      <c r="V30" s="87"/>
      <c r="W30" s="87"/>
      <c r="X30" s="85">
        <v>9470</v>
      </c>
      <c r="Y30"/>
      <c r="Z30"/>
      <c r="AA30"/>
      <c r="AB30"/>
    </row>
    <row r="31" spans="1:28" s="11" customFormat="1" x14ac:dyDescent="0.2">
      <c r="A31" s="88" t="s">
        <v>67</v>
      </c>
      <c r="B31" s="88">
        <v>4993.88</v>
      </c>
      <c r="C31"/>
      <c r="D31"/>
      <c r="E31">
        <v>190</v>
      </c>
      <c r="F31">
        <v>893.14</v>
      </c>
      <c r="G31">
        <v>308.77999999999997</v>
      </c>
      <c r="H31"/>
      <c r="I31">
        <v>90</v>
      </c>
      <c r="J31">
        <v>2338.9</v>
      </c>
      <c r="K31">
        <v>564.55999999999995</v>
      </c>
      <c r="L31">
        <v>175.95</v>
      </c>
      <c r="M31">
        <v>2114.38</v>
      </c>
      <c r="N31"/>
      <c r="O31"/>
      <c r="P31"/>
      <c r="Q31">
        <v>63.8</v>
      </c>
      <c r="R31">
        <v>9821</v>
      </c>
      <c r="S31"/>
      <c r="T31"/>
      <c r="U31">
        <v>1907.48</v>
      </c>
      <c r="V31"/>
      <c r="W31"/>
      <c r="X31" s="89">
        <v>23461.87</v>
      </c>
      <c r="Y31"/>
      <c r="Z31"/>
      <c r="AA31"/>
      <c r="AB31"/>
    </row>
    <row r="32" spans="1:28" s="11" customFormat="1" x14ac:dyDescent="0.2">
      <c r="A32" s="88" t="s">
        <v>68</v>
      </c>
      <c r="B32" s="88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1283.0899999999999</v>
      </c>
      <c r="V32"/>
      <c r="W32"/>
      <c r="X32" s="89">
        <v>1283.0899999999999</v>
      </c>
      <c r="Y32"/>
      <c r="Z32"/>
      <c r="AA32"/>
      <c r="AB32"/>
    </row>
    <row r="33" spans="1:28" s="11" customFormat="1" x14ac:dyDescent="0.2">
      <c r="A33" s="88" t="s">
        <v>64</v>
      </c>
      <c r="B33" s="88"/>
      <c r="C33"/>
      <c r="D33"/>
      <c r="E33"/>
      <c r="F33"/>
      <c r="G33"/>
      <c r="H33"/>
      <c r="I33"/>
      <c r="J33"/>
      <c r="K33"/>
      <c r="L33">
        <v>534.69000000000005</v>
      </c>
      <c r="M33"/>
      <c r="N33"/>
      <c r="O33"/>
      <c r="P33"/>
      <c r="Q33"/>
      <c r="R33"/>
      <c r="S33"/>
      <c r="T33"/>
      <c r="U33">
        <v>3710.47</v>
      </c>
      <c r="V33"/>
      <c r="W33"/>
      <c r="X33" s="89">
        <v>4245.16</v>
      </c>
      <c r="Y33"/>
      <c r="Z33"/>
      <c r="AA33"/>
      <c r="AB33"/>
    </row>
    <row r="34" spans="1:28" s="11" customFormat="1" x14ac:dyDescent="0.2">
      <c r="A34" s="88" t="s">
        <v>91</v>
      </c>
      <c r="B34" s="88">
        <v>940</v>
      </c>
      <c r="C34">
        <v>425.96999999999997</v>
      </c>
      <c r="D34">
        <v>2701.94</v>
      </c>
      <c r="E34">
        <v>62884.02</v>
      </c>
      <c r="F34">
        <v>7190.55</v>
      </c>
      <c r="G34">
        <v>9305.42</v>
      </c>
      <c r="H34">
        <v>14391.75</v>
      </c>
      <c r="I34">
        <v>1600</v>
      </c>
      <c r="J34">
        <v>34692.03</v>
      </c>
      <c r="K34">
        <v>13127.87</v>
      </c>
      <c r="L34">
        <v>5010</v>
      </c>
      <c r="M34">
        <v>7828.73</v>
      </c>
      <c r="N34">
        <v>42.65</v>
      </c>
      <c r="O34">
        <v>1380</v>
      </c>
      <c r="P34">
        <v>15395.080000000002</v>
      </c>
      <c r="Q34">
        <v>2000.88</v>
      </c>
      <c r="R34">
        <v>3534</v>
      </c>
      <c r="S34">
        <v>13775.75</v>
      </c>
      <c r="T34">
        <v>4179.33</v>
      </c>
      <c r="U34">
        <v>9627</v>
      </c>
      <c r="V34">
        <v>628.41</v>
      </c>
      <c r="W34">
        <v>1180.3699999999999</v>
      </c>
      <c r="X34" s="89">
        <v>211841.75</v>
      </c>
      <c r="Y34"/>
      <c r="Z34"/>
      <c r="AA34"/>
      <c r="AB34"/>
    </row>
    <row r="35" spans="1:28" s="11" customFormat="1" x14ac:dyDescent="0.2">
      <c r="A35" s="90" t="s">
        <v>71</v>
      </c>
      <c r="B35" s="90">
        <v>5933.88</v>
      </c>
      <c r="C35" s="91">
        <v>425.96999999999997</v>
      </c>
      <c r="D35" s="91">
        <v>2701.94</v>
      </c>
      <c r="E35" s="91">
        <v>63074.02</v>
      </c>
      <c r="F35" s="91">
        <v>8083.6900000000005</v>
      </c>
      <c r="G35" s="91">
        <v>9614.2000000000007</v>
      </c>
      <c r="H35" s="91">
        <v>14391.75</v>
      </c>
      <c r="I35" s="91">
        <v>1690</v>
      </c>
      <c r="J35" s="91">
        <v>37030.93</v>
      </c>
      <c r="K35" s="91">
        <v>15992.43</v>
      </c>
      <c r="L35" s="91">
        <v>5720.64</v>
      </c>
      <c r="M35" s="91">
        <v>12443.11</v>
      </c>
      <c r="N35" s="91">
        <v>42.65</v>
      </c>
      <c r="O35" s="91">
        <v>1380</v>
      </c>
      <c r="P35" s="91">
        <v>15395.080000000002</v>
      </c>
      <c r="Q35" s="91">
        <v>2064.6800000000003</v>
      </c>
      <c r="R35" s="91">
        <v>13355</v>
      </c>
      <c r="S35" s="91">
        <v>13775.75</v>
      </c>
      <c r="T35" s="91">
        <v>7729.33</v>
      </c>
      <c r="U35" s="91">
        <v>17648.04</v>
      </c>
      <c r="V35" s="91">
        <v>628.41</v>
      </c>
      <c r="W35" s="91">
        <v>1180.3699999999999</v>
      </c>
      <c r="X35" s="92">
        <v>250301.87</v>
      </c>
      <c r="Y35"/>
      <c r="Z35"/>
      <c r="AA35"/>
      <c r="AB35"/>
    </row>
    <row r="36" spans="1:28" s="11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28" s="1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28" s="25" customFormat="1" ht="13.5" thickBot="1" x14ac:dyDescent="0.25">
      <c r="A38" s="24" t="s">
        <v>35</v>
      </c>
      <c r="B38" s="24">
        <f>B4+B6-GETPIVOTDATA("Valor",$A$28,"Pagto.",DATE(2021,8,2))</f>
        <v>-2323.4399999999778</v>
      </c>
      <c r="C38" s="24">
        <f>C4+C6-GETPIVOTDATA("Valor",$A$28,"Pagto.",DATE(2021,8,3))</f>
        <v>29175.310000000023</v>
      </c>
      <c r="D38" s="24">
        <f>D4+D6-GETPIVOTDATA("Valor",$A$28,"Pagto.",DATE(2021,8,4))</f>
        <v>26473.370000000024</v>
      </c>
      <c r="E38" s="24">
        <f>E4+E6-GETPIVOTDATA("Valor",$A$28,"Pagto.",DATE(2021,8,5))</f>
        <v>-17952.289999999972</v>
      </c>
      <c r="F38" s="24">
        <f>F4+F6-GETPIVOTDATA("Valor",$A$28,"Pagto.",DATE(2021,8,6))</f>
        <v>-24716.749999999971</v>
      </c>
      <c r="G38" s="24">
        <f>G4+G6-GETPIVOTDATA("Valor",$A$28,"Pagto.",DATE(2021,8,9))</f>
        <v>-21034.379999999972</v>
      </c>
      <c r="H38" s="24">
        <f>H4+H6-GETPIVOTDATA("Valor",$A$28,"Pagto.",DATE(2021,8,10))</f>
        <v>-16601.519999999971</v>
      </c>
      <c r="I38" s="24">
        <f>I4+I6-GETPIVOTDATA("Valor",$A$28,"Pagto.",DATE(2021,8,11))</f>
        <v>-18291.519999999971</v>
      </c>
      <c r="J38" s="24">
        <f>J4+J6-GETPIVOTDATA("Valor",$A$28,"Pagto.",DATE(2021,8,12))</f>
        <v>-19440.18999999997</v>
      </c>
      <c r="K38" s="24">
        <f>K4+K6-GETPIVOTDATA("Valor",$A$28,"Pagto.",DATE(2021,8,13))</f>
        <v>-9884.9699999999721</v>
      </c>
      <c r="L38" s="24">
        <f>L4+L6-GETPIVOTDATA("Valor",$A$28,"Pagto.",DATE(2021,8,16))</f>
        <v>-14637.509999999973</v>
      </c>
      <c r="M38" s="24">
        <f>M4+M6-GETPIVOTDATA("Valor",$A$28,"Pagto.",DATE(2021,8,17))</f>
        <v>-10243.039999999972</v>
      </c>
      <c r="N38" s="24">
        <f>N4+N6-GETPIVOTDATA("Valor",$A$28,"Pagto.",DATE(2021,8,18))</f>
        <v>-10285.689999999971</v>
      </c>
      <c r="O38" s="24">
        <f>O4+O6-GETPIVOTDATA("Valor",$A$28,"Pagto.",DATE(2021,8,19))</f>
        <v>-5866.0599999999713</v>
      </c>
      <c r="P38" s="24">
        <f>P4+P6-GETPIVOTDATA("Valor",$A$28,"Pagto.",DATE(2021,8,20))</f>
        <v>-21261.139999999974</v>
      </c>
      <c r="Q38" s="24">
        <f>Q4+Q6-GETPIVOTDATA("Valor",$A$28,"Pagto.",DATE(2021,8,23))</f>
        <v>-21475.639999999974</v>
      </c>
      <c r="R38" s="24">
        <f>R4+R6-GETPIVOTDATA("Valor",$A$28,"Pagto.",DATE(2021,8,24))</f>
        <v>-7005.4499999999753</v>
      </c>
      <c r="S38" s="24">
        <f>S4+S6-GETPIVOTDATA("Valor",$A$28,"Pagto.",DATE(2021,8,25))</f>
        <v>-20781.199999999975</v>
      </c>
      <c r="T38" s="24">
        <f>T4+T6-GETPIVOTDATA("Valor",$A$28,"Pagto.",DATE(2021,8,26))</f>
        <v>-19337.729999999974</v>
      </c>
      <c r="U38" s="24">
        <f>U4+U6-GETPIVOTDATA("Valor",$A$28,"Pagto.",DATE(2021,8,27))</f>
        <v>-13713.199999999975</v>
      </c>
      <c r="V38" s="24">
        <f>V4+V6-GETPIVOTDATA("Valor",$A$28,"Pagto.",DATE(2021,8,30))</f>
        <v>-5631.9899999999743</v>
      </c>
      <c r="W38" s="24">
        <f>W4+W6-GETPIVOTDATA("Valor",$A$28,"Pagto.",DATE(2021,8,31))</f>
        <v>-6812.3599999999742</v>
      </c>
    </row>
    <row r="39" spans="1:28" ht="13.5" thickTop="1" x14ac:dyDescent="0.2">
      <c r="B39"/>
      <c r="C39"/>
      <c r="D39"/>
      <c r="E39"/>
      <c r="F39"/>
      <c r="G39"/>
      <c r="H39"/>
      <c r="I39"/>
      <c r="J39"/>
      <c r="K39"/>
      <c r="L39"/>
    </row>
    <row r="40" spans="1:28" x14ac:dyDescent="0.2">
      <c r="B40"/>
      <c r="C40"/>
      <c r="D40"/>
      <c r="E40"/>
      <c r="F40"/>
      <c r="G40"/>
      <c r="H40"/>
      <c r="I40"/>
    </row>
    <row r="41" spans="1:28" x14ac:dyDescent="0.2">
      <c r="B41"/>
      <c r="C41"/>
      <c r="D41"/>
      <c r="E41"/>
      <c r="F41"/>
      <c r="G41"/>
      <c r="H41"/>
      <c r="I41"/>
    </row>
    <row r="42" spans="1:28" x14ac:dyDescent="0.2">
      <c r="B42"/>
      <c r="C42"/>
      <c r="D42"/>
      <c r="E42"/>
      <c r="F42"/>
      <c r="G42"/>
      <c r="H42"/>
      <c r="I42"/>
    </row>
    <row r="43" spans="1:28" x14ac:dyDescent="0.2">
      <c r="B43"/>
      <c r="C43"/>
      <c r="D43"/>
      <c r="E43"/>
      <c r="F43"/>
      <c r="G43"/>
      <c r="H43"/>
      <c r="I43"/>
    </row>
    <row r="44" spans="1:28" x14ac:dyDescent="0.2">
      <c r="B44"/>
      <c r="C44"/>
      <c r="D44"/>
      <c r="E44"/>
      <c r="F44"/>
      <c r="G44"/>
      <c r="H44"/>
      <c r="I44"/>
    </row>
    <row r="45" spans="1:28" x14ac:dyDescent="0.2">
      <c r="B45"/>
      <c r="C45"/>
      <c r="D45"/>
      <c r="E45"/>
      <c r="F45"/>
      <c r="G45"/>
      <c r="H45"/>
      <c r="I45"/>
    </row>
    <row r="46" spans="1:28" x14ac:dyDescent="0.2">
      <c r="B46"/>
      <c r="C46"/>
      <c r="D46"/>
      <c r="E46"/>
      <c r="F46"/>
      <c r="G46"/>
      <c r="H46"/>
      <c r="I46"/>
    </row>
    <row r="47" spans="1:28" x14ac:dyDescent="0.2">
      <c r="B47"/>
      <c r="C47"/>
      <c r="D47"/>
      <c r="E47"/>
      <c r="F47"/>
      <c r="G47"/>
      <c r="H47"/>
      <c r="I47"/>
    </row>
    <row r="48" spans="1:28" x14ac:dyDescent="0.2">
      <c r="B48"/>
      <c r="C48"/>
      <c r="D48"/>
      <c r="E48"/>
      <c r="F48"/>
      <c r="G48"/>
      <c r="H48"/>
      <c r="I48"/>
    </row>
    <row r="49" spans="2:9" x14ac:dyDescent="0.2">
      <c r="B49"/>
      <c r="C49"/>
      <c r="D49"/>
      <c r="E49"/>
      <c r="F49"/>
      <c r="G49"/>
      <c r="H49"/>
      <c r="I49"/>
    </row>
    <row r="50" spans="2:9" x14ac:dyDescent="0.2">
      <c r="B50"/>
      <c r="C50"/>
      <c r="D50"/>
      <c r="E50"/>
      <c r="F50"/>
      <c r="G50"/>
      <c r="H50"/>
      <c r="I50"/>
    </row>
  </sheetData>
  <conditionalFormatting sqref="A36 A4:XFD4 A38:XFD38">
    <cfRule type="cellIs" dxfId="23" priority="3" stopIfTrue="1" operator="lessThan">
      <formula>0</formula>
    </cfRule>
  </conditionalFormatting>
  <conditionalFormatting sqref="A1:XFD1">
    <cfRule type="cellIs" dxfId="22" priority="1" stopIfTrue="1" operator="equal">
      <formula>"Sábado"</formula>
    </cfRule>
    <cfRule type="cellIs" dxfId="21" priority="2" stopIfTrue="1" operator="equal">
      <formula>"Domingo"</formula>
    </cfRule>
  </conditionalFormatting>
  <pageMargins left="0.74791666666666667" right="0.74791666666666667" top="0.98402777777777783" bottom="0.98402777777777783" header="0.51180555555555562" footer="0.51180555555555562"/>
  <pageSetup paperSize="9" firstPageNumber="0" orientation="landscape" horizontalDpi="300" verticalDpi="300" r:id="rId2"/>
  <headerFooter alignWithMargins="0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K2958"/>
  <sheetViews>
    <sheetView zoomScaleNormal="100" workbookViewId="0">
      <pane ySplit="1" topLeftCell="A12" activePane="bottomLeft" state="frozen"/>
      <selection activeCell="D81" sqref="D81"/>
      <selection pane="bottomLeft" activeCell="D51" sqref="D51"/>
    </sheetView>
  </sheetViews>
  <sheetFormatPr defaultRowHeight="12.75" x14ac:dyDescent="0.2"/>
  <cols>
    <col min="1" max="1" width="7.140625" customWidth="1"/>
    <col min="2" max="2" width="5.7109375" customWidth="1"/>
    <col min="3" max="3" width="16.7109375" bestFit="1" customWidth="1"/>
    <col min="4" max="4" width="89.42578125" bestFit="1" customWidth="1"/>
    <col min="5" max="5" width="12.5703125" style="49" customWidth="1"/>
    <col min="6" max="6" width="17.42578125" style="40" customWidth="1"/>
    <col min="7" max="7" width="24.85546875" customWidth="1"/>
    <col min="8" max="8" width="15.28515625" style="75" customWidth="1"/>
    <col min="9" max="9" width="21.7109375" bestFit="1" customWidth="1"/>
    <col min="10" max="10" width="19" customWidth="1"/>
    <col min="11" max="11" width="18.28515625" style="1" customWidth="1"/>
    <col min="12" max="12" width="17.28515625" customWidth="1"/>
    <col min="13" max="13" width="14.140625" customWidth="1"/>
    <col min="14" max="14" width="19.140625" customWidth="1"/>
  </cols>
  <sheetData>
    <row r="1" spans="1:11" s="36" customFormat="1" x14ac:dyDescent="0.2">
      <c r="A1" s="36">
        <v>0</v>
      </c>
      <c r="B1" s="36" t="s">
        <v>5</v>
      </c>
      <c r="C1" s="36" t="s">
        <v>46</v>
      </c>
      <c r="D1" s="36" t="s">
        <v>47</v>
      </c>
      <c r="E1" s="36" t="s">
        <v>48</v>
      </c>
      <c r="F1" s="67" t="s">
        <v>49</v>
      </c>
      <c r="G1" s="36" t="s">
        <v>50</v>
      </c>
      <c r="H1" s="33" t="s">
        <v>42</v>
      </c>
      <c r="K1" s="37"/>
    </row>
    <row r="2" spans="1:11" ht="13.5" customHeight="1" x14ac:dyDescent="0.2">
      <c r="C2" s="12" t="s">
        <v>199</v>
      </c>
      <c r="D2" s="57" t="s">
        <v>365</v>
      </c>
      <c r="E2" s="60">
        <v>44378</v>
      </c>
      <c r="F2" s="58">
        <f>2489.38+153+200+314.8+508.45</f>
        <v>3665.63</v>
      </c>
      <c r="G2" s="12" t="s">
        <v>1676</v>
      </c>
      <c r="H2" s="61">
        <f t="shared" ref="H2:H34" si="0">VLOOKUP(E2,$E$2723:$H$2937,4,FALSE)</f>
        <v>44378</v>
      </c>
    </row>
    <row r="3" spans="1:11" ht="13.5" customHeight="1" x14ac:dyDescent="0.2">
      <c r="C3" s="12" t="s">
        <v>76</v>
      </c>
      <c r="D3" s="57" t="s">
        <v>1122</v>
      </c>
      <c r="E3" s="60">
        <v>44379</v>
      </c>
      <c r="F3" s="58">
        <v>722.11</v>
      </c>
      <c r="G3" s="12" t="s">
        <v>1689</v>
      </c>
      <c r="H3" s="61">
        <f t="shared" si="0"/>
        <v>44379</v>
      </c>
    </row>
    <row r="4" spans="1:11" ht="13.5" customHeight="1" x14ac:dyDescent="0.2">
      <c r="C4" s="12" t="s">
        <v>159</v>
      </c>
      <c r="D4" s="57" t="s">
        <v>376</v>
      </c>
      <c r="E4" s="60">
        <v>44379</v>
      </c>
      <c r="F4" s="58">
        <v>179.1</v>
      </c>
      <c r="G4" s="12" t="s">
        <v>1689</v>
      </c>
      <c r="H4" s="61">
        <f t="shared" si="0"/>
        <v>44379</v>
      </c>
    </row>
    <row r="5" spans="1:11" ht="13.5" customHeight="1" x14ac:dyDescent="0.2">
      <c r="C5" s="12" t="s">
        <v>149</v>
      </c>
      <c r="D5" s="57" t="s">
        <v>1336</v>
      </c>
      <c r="E5" s="60">
        <v>44379</v>
      </c>
      <c r="F5" s="58">
        <v>577</v>
      </c>
      <c r="G5" s="12" t="s">
        <v>1676</v>
      </c>
      <c r="H5" s="61">
        <f t="shared" si="0"/>
        <v>44379</v>
      </c>
    </row>
    <row r="6" spans="1:11" ht="13.5" customHeight="1" x14ac:dyDescent="0.2">
      <c r="C6" s="12" t="s">
        <v>76</v>
      </c>
      <c r="D6" s="57" t="s">
        <v>1041</v>
      </c>
      <c r="E6" s="60">
        <v>44379</v>
      </c>
      <c r="F6" s="58">
        <v>1501.65</v>
      </c>
      <c r="G6" s="12" t="s">
        <v>1689</v>
      </c>
      <c r="H6" s="61">
        <f t="shared" si="0"/>
        <v>44379</v>
      </c>
    </row>
    <row r="7" spans="1:11" ht="13.5" customHeight="1" x14ac:dyDescent="0.2">
      <c r="C7" s="12" t="s">
        <v>187</v>
      </c>
      <c r="D7" s="57" t="s">
        <v>1127</v>
      </c>
      <c r="E7" s="60">
        <v>44379</v>
      </c>
      <c r="F7" s="58">
        <v>102</v>
      </c>
      <c r="G7" s="12" t="s">
        <v>1676</v>
      </c>
      <c r="H7" s="61">
        <f t="shared" si="0"/>
        <v>44379</v>
      </c>
    </row>
    <row r="8" spans="1:11" ht="13.5" customHeight="1" x14ac:dyDescent="0.2">
      <c r="C8" s="12" t="s">
        <v>72</v>
      </c>
      <c r="D8" s="57" t="s">
        <v>1007</v>
      </c>
      <c r="E8" s="60">
        <v>44379</v>
      </c>
      <c r="F8" s="58">
        <v>1858.18</v>
      </c>
      <c r="G8" s="12" t="s">
        <v>1688</v>
      </c>
      <c r="H8" s="61">
        <f t="shared" si="0"/>
        <v>44379</v>
      </c>
    </row>
    <row r="9" spans="1:11" ht="13.5" customHeight="1" x14ac:dyDescent="0.2">
      <c r="C9" s="12" t="s">
        <v>80</v>
      </c>
      <c r="D9" s="57" t="s">
        <v>1124</v>
      </c>
      <c r="E9" s="60">
        <v>44379</v>
      </c>
      <c r="F9" s="58">
        <v>60</v>
      </c>
      <c r="G9" s="12" t="s">
        <v>1689</v>
      </c>
      <c r="H9" s="61">
        <f t="shared" si="0"/>
        <v>44379</v>
      </c>
    </row>
    <row r="10" spans="1:11" ht="13.5" customHeight="1" x14ac:dyDescent="0.2">
      <c r="C10" s="12" t="s">
        <v>80</v>
      </c>
      <c r="D10" s="57" t="s">
        <v>1133</v>
      </c>
      <c r="E10" s="60">
        <v>44379</v>
      </c>
      <c r="F10" s="58">
        <v>300</v>
      </c>
      <c r="G10" s="12" t="s">
        <v>1689</v>
      </c>
      <c r="H10" s="61">
        <f t="shared" si="0"/>
        <v>44379</v>
      </c>
    </row>
    <row r="11" spans="1:11" ht="13.5" customHeight="1" x14ac:dyDescent="0.2">
      <c r="C11" s="12" t="s">
        <v>80</v>
      </c>
      <c r="D11" s="57" t="s">
        <v>1120</v>
      </c>
      <c r="E11" s="60">
        <v>44379</v>
      </c>
      <c r="F11" s="58">
        <v>150</v>
      </c>
      <c r="G11" s="12" t="s">
        <v>1689</v>
      </c>
      <c r="H11" s="61">
        <f t="shared" si="0"/>
        <v>44379</v>
      </c>
    </row>
    <row r="12" spans="1:11" ht="13.5" customHeight="1" x14ac:dyDescent="0.2">
      <c r="C12" s="12" t="s">
        <v>80</v>
      </c>
      <c r="D12" s="57" t="s">
        <v>236</v>
      </c>
      <c r="E12" s="60">
        <v>44379</v>
      </c>
      <c r="F12" s="58">
        <v>100</v>
      </c>
      <c r="G12" s="12" t="s">
        <v>1689</v>
      </c>
      <c r="H12" s="61">
        <f t="shared" si="0"/>
        <v>44379</v>
      </c>
    </row>
    <row r="13" spans="1:11" ht="13.5" customHeight="1" x14ac:dyDescent="0.2">
      <c r="C13" s="12" t="s">
        <v>83</v>
      </c>
      <c r="D13" s="57" t="s">
        <v>1128</v>
      </c>
      <c r="E13" s="60">
        <v>44379</v>
      </c>
      <c r="F13" s="58">
        <v>412</v>
      </c>
      <c r="G13" s="12" t="s">
        <v>1689</v>
      </c>
      <c r="H13" s="61">
        <f t="shared" si="0"/>
        <v>44379</v>
      </c>
    </row>
    <row r="14" spans="1:11" ht="13.5" customHeight="1" x14ac:dyDescent="0.2">
      <c r="C14" s="12" t="s">
        <v>72</v>
      </c>
      <c r="D14" s="12" t="s">
        <v>1748</v>
      </c>
      <c r="E14" s="60">
        <v>44379</v>
      </c>
      <c r="F14" s="58">
        <v>1500</v>
      </c>
      <c r="G14" s="12" t="s">
        <v>1688</v>
      </c>
      <c r="H14" s="61">
        <f t="shared" si="0"/>
        <v>44379</v>
      </c>
    </row>
    <row r="15" spans="1:11" ht="13.5" customHeight="1" x14ac:dyDescent="0.2">
      <c r="C15" s="12" t="s">
        <v>97</v>
      </c>
      <c r="D15" s="57" t="s">
        <v>245</v>
      </c>
      <c r="E15" s="60">
        <v>44380</v>
      </c>
      <c r="F15" s="58">
        <v>2289.66</v>
      </c>
      <c r="G15" s="12" t="s">
        <v>1689</v>
      </c>
      <c r="H15" s="61">
        <f t="shared" si="0"/>
        <v>44382</v>
      </c>
    </row>
    <row r="16" spans="1:11" ht="13.5" customHeight="1" x14ac:dyDescent="0.2">
      <c r="C16" s="12" t="s">
        <v>76</v>
      </c>
      <c r="D16" s="57" t="s">
        <v>1129</v>
      </c>
      <c r="E16" s="60">
        <v>44381</v>
      </c>
      <c r="F16" s="58">
        <v>1560</v>
      </c>
      <c r="G16" s="12" t="s">
        <v>1676</v>
      </c>
      <c r="H16" s="61">
        <f t="shared" si="0"/>
        <v>44382</v>
      </c>
    </row>
    <row r="17" spans="3:8" ht="13.5" customHeight="1" x14ac:dyDescent="0.2">
      <c r="C17" s="12" t="s">
        <v>164</v>
      </c>
      <c r="D17" s="57" t="s">
        <v>1006</v>
      </c>
      <c r="E17" s="60">
        <v>44382</v>
      </c>
      <c r="F17" s="58">
        <f>4500-1352.21</f>
        <v>3147.79</v>
      </c>
      <c r="G17" s="12" t="s">
        <v>1689</v>
      </c>
      <c r="H17" s="61">
        <f t="shared" si="0"/>
        <v>44382</v>
      </c>
    </row>
    <row r="18" spans="3:8" ht="13.5" customHeight="1" x14ac:dyDescent="0.2">
      <c r="C18" s="12" t="s">
        <v>192</v>
      </c>
      <c r="D18" s="57" t="s">
        <v>1115</v>
      </c>
      <c r="E18" s="60">
        <v>44382</v>
      </c>
      <c r="F18" s="58">
        <v>299.85000000000002</v>
      </c>
      <c r="G18" s="12" t="s">
        <v>1689</v>
      </c>
      <c r="H18" s="61">
        <f t="shared" si="0"/>
        <v>44382</v>
      </c>
    </row>
    <row r="19" spans="3:8" ht="13.5" customHeight="1" x14ac:dyDescent="0.2">
      <c r="C19" s="12" t="s">
        <v>56</v>
      </c>
      <c r="D19" s="57" t="s">
        <v>377</v>
      </c>
      <c r="E19" s="60">
        <v>44382</v>
      </c>
      <c r="F19" s="58">
        <f>53438+741+530+2207</f>
        <v>56916</v>
      </c>
      <c r="G19" s="12" t="s">
        <v>1689</v>
      </c>
      <c r="H19" s="61">
        <f t="shared" si="0"/>
        <v>44382</v>
      </c>
    </row>
    <row r="20" spans="3:8" ht="13.5" customHeight="1" x14ac:dyDescent="0.2">
      <c r="C20" s="12" t="s">
        <v>56</v>
      </c>
      <c r="D20" s="57" t="s">
        <v>1140</v>
      </c>
      <c r="E20" s="60">
        <v>44382</v>
      </c>
      <c r="F20" s="58">
        <f>2415+200+1849</f>
        <v>4464</v>
      </c>
      <c r="G20" s="12" t="s">
        <v>1689</v>
      </c>
      <c r="H20" s="61">
        <f t="shared" si="0"/>
        <v>44382</v>
      </c>
    </row>
    <row r="21" spans="3:8" ht="13.5" customHeight="1" x14ac:dyDescent="0.2">
      <c r="C21" s="12" t="s">
        <v>56</v>
      </c>
      <c r="D21" s="57" t="s">
        <v>56</v>
      </c>
      <c r="E21" s="60">
        <v>44383</v>
      </c>
      <c r="F21" s="58">
        <v>8441</v>
      </c>
      <c r="G21" s="12" t="s">
        <v>1676</v>
      </c>
      <c r="H21" s="61">
        <f t="shared" si="0"/>
        <v>44383</v>
      </c>
    </row>
    <row r="22" spans="3:8" ht="13.5" customHeight="1" x14ac:dyDescent="0.2">
      <c r="C22" s="12" t="s">
        <v>97</v>
      </c>
      <c r="D22" s="57" t="s">
        <v>253</v>
      </c>
      <c r="E22" s="60">
        <v>44383</v>
      </c>
      <c r="F22" s="58">
        <v>2183.3200000000002</v>
      </c>
      <c r="G22" s="12" t="s">
        <v>1689</v>
      </c>
      <c r="H22" s="61">
        <f t="shared" si="0"/>
        <v>44383</v>
      </c>
    </row>
    <row r="23" spans="3:8" ht="13.5" customHeight="1" x14ac:dyDescent="0.2">
      <c r="C23" s="12" t="s">
        <v>56</v>
      </c>
      <c r="D23" s="57" t="s">
        <v>1147</v>
      </c>
      <c r="E23" s="60">
        <v>44383</v>
      </c>
      <c r="F23" s="58">
        <v>32783</v>
      </c>
      <c r="G23" s="12" t="s">
        <v>1689</v>
      </c>
      <c r="H23" s="61">
        <f t="shared" si="0"/>
        <v>44383</v>
      </c>
    </row>
    <row r="24" spans="3:8" ht="12.75" customHeight="1" x14ac:dyDescent="0.2">
      <c r="C24" s="12" t="s">
        <v>83</v>
      </c>
      <c r="D24" s="57" t="s">
        <v>1134</v>
      </c>
      <c r="E24" s="60">
        <v>44383</v>
      </c>
      <c r="F24" s="58">
        <v>1532.04</v>
      </c>
      <c r="G24" s="12" t="s">
        <v>1689</v>
      </c>
      <c r="H24" s="61">
        <f t="shared" si="0"/>
        <v>44383</v>
      </c>
    </row>
    <row r="25" spans="3:8" ht="12.75" customHeight="1" x14ac:dyDescent="0.2">
      <c r="C25" s="12" t="s">
        <v>80</v>
      </c>
      <c r="D25" s="57" t="s">
        <v>1146</v>
      </c>
      <c r="E25" s="60">
        <v>44383</v>
      </c>
      <c r="F25" s="58">
        <v>200</v>
      </c>
      <c r="G25" s="12" t="s">
        <v>1689</v>
      </c>
      <c r="H25" s="61">
        <f t="shared" si="0"/>
        <v>44383</v>
      </c>
    </row>
    <row r="26" spans="3:8" ht="12.75" customHeight="1" x14ac:dyDescent="0.2">
      <c r="C26" s="12" t="s">
        <v>80</v>
      </c>
      <c r="D26" s="57" t="s">
        <v>1149</v>
      </c>
      <c r="E26" s="60">
        <v>44383</v>
      </c>
      <c r="F26" s="58">
        <v>90</v>
      </c>
      <c r="G26" s="12" t="s">
        <v>1689</v>
      </c>
      <c r="H26" s="61">
        <f t="shared" si="0"/>
        <v>44383</v>
      </c>
    </row>
    <row r="27" spans="3:8" ht="12.75" customHeight="1" x14ac:dyDescent="0.2">
      <c r="C27" s="12" t="s">
        <v>74</v>
      </c>
      <c r="D27" s="57" t="s">
        <v>1153</v>
      </c>
      <c r="E27" s="60">
        <v>44383</v>
      </c>
      <c r="F27" s="58">
        <v>958.8</v>
      </c>
      <c r="G27" s="12" t="s">
        <v>1676</v>
      </c>
      <c r="H27" s="61">
        <f t="shared" si="0"/>
        <v>44383</v>
      </c>
    </row>
    <row r="28" spans="3:8" ht="12.75" customHeight="1" x14ac:dyDescent="0.2">
      <c r="C28" s="12" t="s">
        <v>56</v>
      </c>
      <c r="D28" s="57" t="s">
        <v>197</v>
      </c>
      <c r="E28" s="60">
        <v>44384</v>
      </c>
      <c r="F28" s="58">
        <v>2800</v>
      </c>
      <c r="G28" s="12" t="s">
        <v>1689</v>
      </c>
      <c r="H28" s="61">
        <f t="shared" si="0"/>
        <v>44384</v>
      </c>
    </row>
    <row r="29" spans="3:8" ht="12.75" customHeight="1" x14ac:dyDescent="0.2">
      <c r="C29" s="12" t="s">
        <v>56</v>
      </c>
      <c r="D29" s="57" t="s">
        <v>1145</v>
      </c>
      <c r="E29" s="60">
        <v>44384</v>
      </c>
      <c r="F29" s="58">
        <v>4234</v>
      </c>
      <c r="G29" s="12" t="s">
        <v>1689</v>
      </c>
      <c r="H29" s="61">
        <f t="shared" si="0"/>
        <v>44384</v>
      </c>
    </row>
    <row r="30" spans="3:8" ht="12.75" customHeight="1" x14ac:dyDescent="0.2">
      <c r="C30" s="12" t="s">
        <v>56</v>
      </c>
      <c r="D30" s="57" t="s">
        <v>196</v>
      </c>
      <c r="E30" s="60">
        <v>44384</v>
      </c>
      <c r="F30" s="58">
        <f>673.38+750.09+726.59</f>
        <v>2150.06</v>
      </c>
      <c r="G30" s="12" t="s">
        <v>1689</v>
      </c>
      <c r="H30" s="61">
        <f t="shared" si="0"/>
        <v>44384</v>
      </c>
    </row>
    <row r="31" spans="3:8" ht="12.75" customHeight="1" x14ac:dyDescent="0.2">
      <c r="C31" s="12" t="s">
        <v>159</v>
      </c>
      <c r="D31" s="57" t="s">
        <v>376</v>
      </c>
      <c r="E31" s="60">
        <v>44384</v>
      </c>
      <c r="F31" s="58">
        <v>149.53</v>
      </c>
      <c r="G31" s="12" t="s">
        <v>1689</v>
      </c>
      <c r="H31" s="61">
        <f t="shared" si="0"/>
        <v>44384</v>
      </c>
    </row>
    <row r="32" spans="3:8" ht="12.75" customHeight="1" x14ac:dyDescent="0.2">
      <c r="C32" s="12" t="s">
        <v>83</v>
      </c>
      <c r="D32" s="57" t="s">
        <v>1121</v>
      </c>
      <c r="E32" s="60">
        <v>44385</v>
      </c>
      <c r="F32" s="58">
        <v>718</v>
      </c>
      <c r="G32" s="12" t="s">
        <v>1689</v>
      </c>
      <c r="H32" s="61">
        <f t="shared" si="0"/>
        <v>44385</v>
      </c>
    </row>
    <row r="33" spans="3:8" ht="12.75" customHeight="1" x14ac:dyDescent="0.2">
      <c r="C33" s="12" t="s">
        <v>170</v>
      </c>
      <c r="D33" s="57" t="s">
        <v>1141</v>
      </c>
      <c r="E33" s="60">
        <v>44385</v>
      </c>
      <c r="F33" s="58">
        <v>240.16</v>
      </c>
      <c r="G33" s="12" t="s">
        <v>1676</v>
      </c>
      <c r="H33" s="61">
        <f t="shared" si="0"/>
        <v>44385</v>
      </c>
    </row>
    <row r="34" spans="3:8" ht="12.75" customHeight="1" x14ac:dyDescent="0.2">
      <c r="C34" s="12" t="s">
        <v>170</v>
      </c>
      <c r="D34" s="57" t="s">
        <v>1158</v>
      </c>
      <c r="E34" s="60">
        <v>44385</v>
      </c>
      <c r="F34" s="58">
        <v>612.6</v>
      </c>
      <c r="G34" s="12" t="s">
        <v>1676</v>
      </c>
      <c r="H34" s="61">
        <f t="shared" si="0"/>
        <v>44385</v>
      </c>
    </row>
    <row r="35" spans="3:8" ht="13.5" customHeight="1" x14ac:dyDescent="0.2">
      <c r="C35" s="12" t="s">
        <v>117</v>
      </c>
      <c r="D35" s="57" t="s">
        <v>1166</v>
      </c>
      <c r="E35" s="60">
        <v>44385</v>
      </c>
      <c r="F35" s="58">
        <v>195</v>
      </c>
      <c r="G35" s="12" t="s">
        <v>1689</v>
      </c>
      <c r="H35" s="61">
        <f t="shared" ref="H35:H66" si="1">VLOOKUP(E35,$E$2723:$H$2937,4,FALSE)</f>
        <v>44385</v>
      </c>
    </row>
    <row r="36" spans="3:8" ht="13.5" customHeight="1" x14ac:dyDescent="0.2">
      <c r="C36" s="12" t="s">
        <v>80</v>
      </c>
      <c r="D36" s="57" t="s">
        <v>240</v>
      </c>
      <c r="E36" s="60">
        <v>44385</v>
      </c>
      <c r="F36" s="58">
        <f>110+100</f>
        <v>210</v>
      </c>
      <c r="G36" s="12" t="s">
        <v>1688</v>
      </c>
      <c r="H36" s="61">
        <f t="shared" si="1"/>
        <v>44385</v>
      </c>
    </row>
    <row r="37" spans="3:8" ht="13.5" customHeight="1" x14ac:dyDescent="0.2">
      <c r="C37" s="12" t="s">
        <v>80</v>
      </c>
      <c r="D37" s="57" t="s">
        <v>1711</v>
      </c>
      <c r="E37" s="60">
        <v>44385</v>
      </c>
      <c r="F37" s="58">
        <f>300+100</f>
        <v>400</v>
      </c>
      <c r="G37" s="12" t="s">
        <v>1688</v>
      </c>
      <c r="H37" s="61">
        <f t="shared" si="1"/>
        <v>44385</v>
      </c>
    </row>
    <row r="38" spans="3:8" ht="13.5" customHeight="1" x14ac:dyDescent="0.2">
      <c r="C38" s="12" t="s">
        <v>80</v>
      </c>
      <c r="D38" s="57" t="s">
        <v>236</v>
      </c>
      <c r="E38" s="60">
        <v>44385</v>
      </c>
      <c r="F38" s="58">
        <v>120</v>
      </c>
      <c r="G38" s="12" t="s">
        <v>1689</v>
      </c>
      <c r="H38" s="61">
        <f t="shared" si="1"/>
        <v>44385</v>
      </c>
    </row>
    <row r="39" spans="3:8" ht="13.5" customHeight="1" x14ac:dyDescent="0.2">
      <c r="C39" s="12" t="s">
        <v>80</v>
      </c>
      <c r="D39" s="57" t="s">
        <v>1165</v>
      </c>
      <c r="E39" s="60">
        <v>44385</v>
      </c>
      <c r="F39" s="58">
        <v>60</v>
      </c>
      <c r="G39" s="12" t="s">
        <v>1689</v>
      </c>
      <c r="H39" s="61">
        <f t="shared" si="1"/>
        <v>44385</v>
      </c>
    </row>
    <row r="40" spans="3:8" ht="13.5" customHeight="1" x14ac:dyDescent="0.2">
      <c r="C40" s="12" t="s">
        <v>83</v>
      </c>
      <c r="D40" s="57" t="s">
        <v>235</v>
      </c>
      <c r="E40" s="60">
        <v>44385</v>
      </c>
      <c r="F40" s="58">
        <v>443.87</v>
      </c>
      <c r="G40" s="12" t="s">
        <v>1689</v>
      </c>
      <c r="H40" s="61">
        <f t="shared" si="1"/>
        <v>44385</v>
      </c>
    </row>
    <row r="41" spans="3:8" ht="13.5" customHeight="1" x14ac:dyDescent="0.2">
      <c r="C41" s="12" t="s">
        <v>56</v>
      </c>
      <c r="D41" s="57" t="s">
        <v>1140</v>
      </c>
      <c r="E41" s="60">
        <v>44385</v>
      </c>
      <c r="F41" s="58">
        <f>424+664+755+429+1266+492+480+620+304+342+717+500</f>
        <v>6993</v>
      </c>
      <c r="G41" s="12" t="s">
        <v>1689</v>
      </c>
      <c r="H41" s="61">
        <f t="shared" si="1"/>
        <v>44385</v>
      </c>
    </row>
    <row r="42" spans="3:8" ht="13.5" customHeight="1" x14ac:dyDescent="0.2">
      <c r="C42" s="12" t="s">
        <v>159</v>
      </c>
      <c r="D42" s="57" t="s">
        <v>1154</v>
      </c>
      <c r="E42" s="60">
        <v>44385</v>
      </c>
      <c r="F42" s="58">
        <v>1350</v>
      </c>
      <c r="G42" s="12" t="s">
        <v>1689</v>
      </c>
      <c r="H42" s="61">
        <f t="shared" si="1"/>
        <v>44385</v>
      </c>
    </row>
    <row r="43" spans="3:8" ht="13.5" customHeight="1" x14ac:dyDescent="0.2">
      <c r="C43" s="12" t="s">
        <v>96</v>
      </c>
      <c r="D43" s="57" t="s">
        <v>1142</v>
      </c>
      <c r="E43" s="60">
        <v>44386</v>
      </c>
      <c r="F43" s="58">
        <v>1500</v>
      </c>
      <c r="G43" s="12" t="s">
        <v>1689</v>
      </c>
      <c r="H43" s="61">
        <f t="shared" si="1"/>
        <v>44386</v>
      </c>
    </row>
    <row r="44" spans="3:8" ht="13.5" customHeight="1" x14ac:dyDescent="0.2">
      <c r="C44" s="12" t="s">
        <v>96</v>
      </c>
      <c r="D44" s="57" t="s">
        <v>1143</v>
      </c>
      <c r="E44" s="60">
        <v>44386</v>
      </c>
      <c r="F44" s="58">
        <v>1500</v>
      </c>
      <c r="G44" s="12" t="s">
        <v>1689</v>
      </c>
      <c r="H44" s="61">
        <f t="shared" si="1"/>
        <v>44386</v>
      </c>
    </row>
    <row r="45" spans="3:8" ht="13.5" customHeight="1" x14ac:dyDescent="0.2">
      <c r="C45" s="12" t="s">
        <v>96</v>
      </c>
      <c r="D45" s="57" t="s">
        <v>1144</v>
      </c>
      <c r="E45" s="60">
        <v>44386</v>
      </c>
      <c r="F45" s="58">
        <v>1500</v>
      </c>
      <c r="G45" s="12" t="s">
        <v>1689</v>
      </c>
      <c r="H45" s="61">
        <f t="shared" si="1"/>
        <v>44386</v>
      </c>
    </row>
    <row r="46" spans="3:8" ht="13.5" customHeight="1" x14ac:dyDescent="0.2">
      <c r="C46" s="12" t="s">
        <v>170</v>
      </c>
      <c r="D46" s="57" t="s">
        <v>1170</v>
      </c>
      <c r="E46" s="60">
        <v>44386</v>
      </c>
      <c r="F46" s="58">
        <v>135</v>
      </c>
      <c r="G46" s="12" t="s">
        <v>1689</v>
      </c>
      <c r="H46" s="61">
        <f t="shared" si="1"/>
        <v>44386</v>
      </c>
    </row>
    <row r="47" spans="3:8" ht="13.5" customHeight="1" x14ac:dyDescent="0.2">
      <c r="C47" s="12" t="s">
        <v>76</v>
      </c>
      <c r="D47" s="57" t="s">
        <v>1098</v>
      </c>
      <c r="E47" s="60">
        <v>44386</v>
      </c>
      <c r="F47" s="58">
        <v>7749.12</v>
      </c>
      <c r="G47" s="12" t="s">
        <v>1689</v>
      </c>
      <c r="H47" s="61">
        <f t="shared" si="1"/>
        <v>44386</v>
      </c>
    </row>
    <row r="48" spans="3:8" ht="13.5" customHeight="1" x14ac:dyDescent="0.2">
      <c r="C48" s="12" t="s">
        <v>76</v>
      </c>
      <c r="D48" s="57" t="s">
        <v>1150</v>
      </c>
      <c r="E48" s="60">
        <v>44386</v>
      </c>
      <c r="F48" s="58">
        <v>1889.71</v>
      </c>
      <c r="G48" s="12" t="s">
        <v>1689</v>
      </c>
      <c r="H48" s="61">
        <f t="shared" si="1"/>
        <v>44386</v>
      </c>
    </row>
    <row r="49" spans="3:8" ht="13.5" customHeight="1" x14ac:dyDescent="0.2">
      <c r="C49" s="12" t="s">
        <v>243</v>
      </c>
      <c r="D49" s="57" t="s">
        <v>1096</v>
      </c>
      <c r="E49" s="60">
        <v>44386</v>
      </c>
      <c r="F49" s="58">
        <v>1322.5</v>
      </c>
      <c r="G49" s="12" t="s">
        <v>1689</v>
      </c>
      <c r="H49" s="61">
        <f t="shared" si="1"/>
        <v>44386</v>
      </c>
    </row>
    <row r="50" spans="3:8" ht="13.5" customHeight="1" x14ac:dyDescent="0.2">
      <c r="C50" s="12" t="s">
        <v>88</v>
      </c>
      <c r="D50" s="57" t="s">
        <v>1072</v>
      </c>
      <c r="E50" s="60">
        <v>44386</v>
      </c>
      <c r="F50" s="58">
        <v>1230</v>
      </c>
      <c r="G50" s="12" t="s">
        <v>1689</v>
      </c>
      <c r="H50" s="61">
        <f t="shared" si="1"/>
        <v>44386</v>
      </c>
    </row>
    <row r="51" spans="3:8" ht="13.5" customHeight="1" x14ac:dyDescent="0.2">
      <c r="C51" s="12" t="s">
        <v>72</v>
      </c>
      <c r="D51" s="12" t="s">
        <v>1763</v>
      </c>
      <c r="E51" s="60">
        <v>44386</v>
      </c>
      <c r="F51" s="58">
        <v>1000</v>
      </c>
      <c r="G51" s="12" t="s">
        <v>1688</v>
      </c>
      <c r="H51" s="61">
        <f t="shared" si="1"/>
        <v>44386</v>
      </c>
    </row>
    <row r="52" spans="3:8" ht="13.5" customHeight="1" x14ac:dyDescent="0.2">
      <c r="C52" s="12" t="s">
        <v>77</v>
      </c>
      <c r="D52" s="57" t="s">
        <v>1071</v>
      </c>
      <c r="E52" s="60">
        <v>44386</v>
      </c>
      <c r="F52" s="58">
        <v>206.79</v>
      </c>
      <c r="G52" s="12" t="s">
        <v>1689</v>
      </c>
      <c r="H52" s="61">
        <f t="shared" si="1"/>
        <v>44386</v>
      </c>
    </row>
    <row r="53" spans="3:8" ht="13.5" customHeight="1" x14ac:dyDescent="0.2">
      <c r="C53" s="12" t="s">
        <v>72</v>
      </c>
      <c r="D53" s="57" t="s">
        <v>1728</v>
      </c>
      <c r="E53" s="60">
        <v>44386</v>
      </c>
      <c r="F53" s="58">
        <v>2500</v>
      </c>
      <c r="G53" s="12" t="s">
        <v>1688</v>
      </c>
      <c r="H53" s="61">
        <f t="shared" si="1"/>
        <v>44386</v>
      </c>
    </row>
    <row r="54" spans="3:8" ht="13.5" customHeight="1" x14ac:dyDescent="0.2">
      <c r="C54" s="12" t="s">
        <v>83</v>
      </c>
      <c r="D54" s="57" t="s">
        <v>87</v>
      </c>
      <c r="E54" s="60">
        <v>44387</v>
      </c>
      <c r="F54" s="58">
        <v>2626</v>
      </c>
      <c r="G54" s="12" t="s">
        <v>1689</v>
      </c>
      <c r="H54" s="61">
        <f t="shared" si="1"/>
        <v>44389</v>
      </c>
    </row>
    <row r="55" spans="3:8" ht="13.5" customHeight="1" x14ac:dyDescent="0.2">
      <c r="C55" s="12" t="s">
        <v>77</v>
      </c>
      <c r="D55" s="57" t="s">
        <v>1066</v>
      </c>
      <c r="E55" s="60">
        <v>44388</v>
      </c>
      <c r="F55" s="58">
        <f>189.45+1408.66+43.01</f>
        <v>1641.1200000000001</v>
      </c>
      <c r="G55" s="12" t="s">
        <v>1676</v>
      </c>
      <c r="H55" s="61">
        <f t="shared" si="1"/>
        <v>44389</v>
      </c>
    </row>
    <row r="56" spans="3:8" ht="13.5" customHeight="1" x14ac:dyDescent="0.2">
      <c r="C56" s="12" t="s">
        <v>170</v>
      </c>
      <c r="D56" s="57" t="s">
        <v>1171</v>
      </c>
      <c r="E56" s="60">
        <v>44389</v>
      </c>
      <c r="F56" s="58">
        <v>163.98</v>
      </c>
      <c r="G56" s="12" t="s">
        <v>1689</v>
      </c>
      <c r="H56" s="61">
        <f t="shared" si="1"/>
        <v>44389</v>
      </c>
    </row>
    <row r="57" spans="3:8" ht="13.5" customHeight="1" x14ac:dyDescent="0.2">
      <c r="C57" s="12" t="s">
        <v>170</v>
      </c>
      <c r="D57" s="57" t="s">
        <v>1148</v>
      </c>
      <c r="E57" s="60">
        <v>44389</v>
      </c>
      <c r="F57" s="58">
        <v>1400</v>
      </c>
      <c r="G57" s="12" t="s">
        <v>1676</v>
      </c>
      <c r="H57" s="61">
        <f t="shared" si="1"/>
        <v>44389</v>
      </c>
    </row>
    <row r="58" spans="3:8" ht="13.5" customHeight="1" x14ac:dyDescent="0.2">
      <c r="C58" s="12" t="s">
        <v>72</v>
      </c>
      <c r="D58" s="57" t="s">
        <v>1174</v>
      </c>
      <c r="E58" s="60">
        <v>44390</v>
      </c>
      <c r="F58" s="58">
        <v>750</v>
      </c>
      <c r="G58" s="12" t="s">
        <v>1688</v>
      </c>
      <c r="H58" s="61">
        <f t="shared" si="1"/>
        <v>44390</v>
      </c>
    </row>
    <row r="59" spans="3:8" ht="13.5" customHeight="1" x14ac:dyDescent="0.2">
      <c r="C59" s="12" t="s">
        <v>170</v>
      </c>
      <c r="D59" s="57" t="s">
        <v>1175</v>
      </c>
      <c r="E59" s="60">
        <v>44390</v>
      </c>
      <c r="F59" s="58">
        <v>30</v>
      </c>
      <c r="G59" s="12" t="s">
        <v>1689</v>
      </c>
      <c r="H59" s="61">
        <f t="shared" si="1"/>
        <v>44390</v>
      </c>
    </row>
    <row r="60" spans="3:8" ht="13.5" customHeight="1" x14ac:dyDescent="0.2">
      <c r="C60" s="12" t="s">
        <v>171</v>
      </c>
      <c r="D60" s="57" t="s">
        <v>1151</v>
      </c>
      <c r="E60" s="60">
        <v>44390</v>
      </c>
      <c r="F60" s="58">
        <v>60</v>
      </c>
      <c r="G60" s="12" t="s">
        <v>1676</v>
      </c>
      <c r="H60" s="61">
        <f t="shared" si="1"/>
        <v>44390</v>
      </c>
    </row>
    <row r="61" spans="3:8" ht="13.5" customHeight="1" x14ac:dyDescent="0.2">
      <c r="C61" s="12" t="s">
        <v>584</v>
      </c>
      <c r="D61" s="57" t="s">
        <v>1179</v>
      </c>
      <c r="E61" s="60">
        <v>44391</v>
      </c>
      <c r="F61" s="58">
        <f>5029.58+426.49</f>
        <v>5456.07</v>
      </c>
      <c r="G61" s="12" t="s">
        <v>1689</v>
      </c>
      <c r="H61" s="61">
        <f t="shared" si="1"/>
        <v>44391</v>
      </c>
    </row>
    <row r="62" spans="3:8" ht="13.5" customHeight="1" x14ac:dyDescent="0.2">
      <c r="C62" s="12" t="s">
        <v>80</v>
      </c>
      <c r="D62" s="57" t="s">
        <v>1192</v>
      </c>
      <c r="E62" s="60">
        <v>44391</v>
      </c>
      <c r="F62" s="58">
        <v>100</v>
      </c>
      <c r="G62" s="12" t="s">
        <v>1689</v>
      </c>
      <c r="H62" s="61">
        <f t="shared" si="1"/>
        <v>44391</v>
      </c>
    </row>
    <row r="63" spans="3:8" ht="13.5" customHeight="1" x14ac:dyDescent="0.2">
      <c r="C63" s="12" t="s">
        <v>170</v>
      </c>
      <c r="D63" s="57" t="s">
        <v>1183</v>
      </c>
      <c r="E63" s="60">
        <v>44391</v>
      </c>
      <c r="F63" s="58">
        <f>150+15.99</f>
        <v>165.99</v>
      </c>
      <c r="G63" s="12" t="s">
        <v>1689</v>
      </c>
      <c r="H63" s="61">
        <f t="shared" si="1"/>
        <v>44391</v>
      </c>
    </row>
    <row r="64" spans="3:8" ht="13.5" customHeight="1" x14ac:dyDescent="0.2">
      <c r="C64" s="12" t="s">
        <v>83</v>
      </c>
      <c r="D64" s="57" t="s">
        <v>1156</v>
      </c>
      <c r="E64" s="60">
        <v>44391</v>
      </c>
      <c r="F64" s="58">
        <v>564</v>
      </c>
      <c r="G64" s="12" t="s">
        <v>1689</v>
      </c>
      <c r="H64" s="61">
        <f t="shared" si="1"/>
        <v>44391</v>
      </c>
    </row>
    <row r="65" spans="3:8" ht="13.5" customHeight="1" x14ac:dyDescent="0.2">
      <c r="C65" s="12" t="s">
        <v>77</v>
      </c>
      <c r="D65" s="57" t="s">
        <v>1173</v>
      </c>
      <c r="E65" s="60">
        <v>44391</v>
      </c>
      <c r="F65" s="58">
        <v>380.65</v>
      </c>
      <c r="G65" s="12" t="s">
        <v>64</v>
      </c>
      <c r="H65" s="61">
        <f t="shared" si="1"/>
        <v>44391</v>
      </c>
    </row>
    <row r="66" spans="3:8" ht="13.5" customHeight="1" x14ac:dyDescent="0.2">
      <c r="C66" s="12" t="s">
        <v>135</v>
      </c>
      <c r="D66" s="57" t="s">
        <v>1118</v>
      </c>
      <c r="E66" s="60">
        <v>44391</v>
      </c>
      <c r="F66" s="58">
        <v>3100</v>
      </c>
      <c r="G66" s="12" t="s">
        <v>1689</v>
      </c>
      <c r="H66" s="61">
        <f t="shared" si="1"/>
        <v>44391</v>
      </c>
    </row>
    <row r="67" spans="3:8" ht="13.5" customHeight="1" x14ac:dyDescent="0.2">
      <c r="C67" s="12" t="s">
        <v>584</v>
      </c>
      <c r="D67" s="57" t="s">
        <v>1135</v>
      </c>
      <c r="E67" s="60">
        <v>44391</v>
      </c>
      <c r="F67" s="58">
        <v>3200</v>
      </c>
      <c r="G67" s="12" t="s">
        <v>1689</v>
      </c>
      <c r="H67" s="61">
        <f t="shared" ref="H67:H98" si="2">VLOOKUP(E67,$E$2723:$H$2937,4,FALSE)</f>
        <v>44391</v>
      </c>
    </row>
    <row r="68" spans="3:8" ht="13.5" customHeight="1" x14ac:dyDescent="0.2">
      <c r="C68" s="12" t="s">
        <v>84</v>
      </c>
      <c r="D68" s="12" t="s">
        <v>284</v>
      </c>
      <c r="E68" s="60">
        <v>44392</v>
      </c>
      <c r="F68" s="58">
        <v>285</v>
      </c>
      <c r="G68" s="12" t="s">
        <v>1689</v>
      </c>
      <c r="H68" s="61">
        <f t="shared" si="2"/>
        <v>44392</v>
      </c>
    </row>
    <row r="69" spans="3:8" ht="13.5" customHeight="1" x14ac:dyDescent="0.2">
      <c r="C69" s="12" t="s">
        <v>80</v>
      </c>
      <c r="D69" s="57" t="s">
        <v>1717</v>
      </c>
      <c r="E69" s="60">
        <v>44393</v>
      </c>
      <c r="F69" s="58">
        <v>200</v>
      </c>
      <c r="G69" s="12" t="s">
        <v>1689</v>
      </c>
      <c r="H69" s="61">
        <f t="shared" si="2"/>
        <v>44393</v>
      </c>
    </row>
    <row r="70" spans="3:8" ht="13.5" customHeight="1" x14ac:dyDescent="0.2">
      <c r="C70" s="12" t="s">
        <v>80</v>
      </c>
      <c r="D70" s="57" t="s">
        <v>553</v>
      </c>
      <c r="E70" s="60">
        <v>44393</v>
      </c>
      <c r="F70" s="58">
        <v>200</v>
      </c>
      <c r="G70" s="12" t="s">
        <v>1689</v>
      </c>
      <c r="H70" s="61">
        <f t="shared" si="2"/>
        <v>44393</v>
      </c>
    </row>
    <row r="71" spans="3:8" ht="13.5" customHeight="1" x14ac:dyDescent="0.2">
      <c r="C71" s="12" t="s">
        <v>80</v>
      </c>
      <c r="D71" s="57" t="s">
        <v>236</v>
      </c>
      <c r="E71" s="60">
        <v>44393</v>
      </c>
      <c r="F71" s="58">
        <v>100</v>
      </c>
      <c r="G71" s="12" t="s">
        <v>1689</v>
      </c>
      <c r="H71" s="61">
        <f t="shared" si="2"/>
        <v>44393</v>
      </c>
    </row>
    <row r="72" spans="3:8" ht="13.5" customHeight="1" x14ac:dyDescent="0.2">
      <c r="C72" s="12" t="s">
        <v>80</v>
      </c>
      <c r="D72" s="57" t="s">
        <v>1209</v>
      </c>
      <c r="E72" s="60">
        <v>44393</v>
      </c>
      <c r="F72" s="58">
        <v>100</v>
      </c>
      <c r="G72" s="12" t="s">
        <v>1689</v>
      </c>
      <c r="H72" s="61">
        <f t="shared" si="2"/>
        <v>44393</v>
      </c>
    </row>
    <row r="73" spans="3:8" ht="13.5" customHeight="1" x14ac:dyDescent="0.2">
      <c r="C73" s="12" t="s">
        <v>83</v>
      </c>
      <c r="D73" s="57" t="s">
        <v>235</v>
      </c>
      <c r="E73" s="60">
        <v>44393</v>
      </c>
      <c r="F73" s="58">
        <v>400</v>
      </c>
      <c r="G73" s="12" t="s">
        <v>1689</v>
      </c>
      <c r="H73" s="61">
        <f t="shared" si="2"/>
        <v>44393</v>
      </c>
    </row>
    <row r="74" spans="3:8" ht="13.5" customHeight="1" x14ac:dyDescent="0.2">
      <c r="C74" s="12" t="s">
        <v>159</v>
      </c>
      <c r="D74" s="57" t="s">
        <v>1177</v>
      </c>
      <c r="E74" s="60">
        <v>44393</v>
      </c>
      <c r="F74" s="58">
        <v>360</v>
      </c>
      <c r="G74" s="12" t="s">
        <v>1689</v>
      </c>
      <c r="H74" s="61">
        <f t="shared" si="2"/>
        <v>44393</v>
      </c>
    </row>
    <row r="75" spans="3:8" ht="13.5" customHeight="1" x14ac:dyDescent="0.2">
      <c r="C75" s="12" t="s">
        <v>852</v>
      </c>
      <c r="D75" s="57" t="s">
        <v>853</v>
      </c>
      <c r="E75" s="60">
        <v>44394</v>
      </c>
      <c r="F75" s="58">
        <v>941</v>
      </c>
      <c r="G75" s="12" t="s">
        <v>1689</v>
      </c>
      <c r="H75" s="61">
        <f t="shared" si="2"/>
        <v>44396</v>
      </c>
    </row>
    <row r="76" spans="3:8" ht="13.5" customHeight="1" x14ac:dyDescent="0.2">
      <c r="C76" s="12" t="s">
        <v>88</v>
      </c>
      <c r="D76" s="57" t="s">
        <v>867</v>
      </c>
      <c r="E76" s="60">
        <v>44395</v>
      </c>
      <c r="F76" s="58">
        <v>1049</v>
      </c>
      <c r="G76" s="12" t="s">
        <v>1689</v>
      </c>
      <c r="H76" s="61">
        <f t="shared" si="2"/>
        <v>44396</v>
      </c>
    </row>
    <row r="77" spans="3:8" ht="13.5" customHeight="1" x14ac:dyDescent="0.2">
      <c r="C77" s="12" t="s">
        <v>89</v>
      </c>
      <c r="D77" s="57" t="s">
        <v>1187</v>
      </c>
      <c r="E77" s="60">
        <v>44396</v>
      </c>
      <c r="F77" s="58">
        <v>3670.73</v>
      </c>
      <c r="G77" s="12" t="s">
        <v>64</v>
      </c>
      <c r="H77" s="61">
        <f t="shared" si="2"/>
        <v>44396</v>
      </c>
    </row>
    <row r="78" spans="3:8" ht="13.5" customHeight="1" x14ac:dyDescent="0.2">
      <c r="C78" s="12" t="s">
        <v>86</v>
      </c>
      <c r="D78" s="57" t="s">
        <v>1188</v>
      </c>
      <c r="E78" s="60">
        <v>44396</v>
      </c>
      <c r="F78" s="58">
        <v>1278.47</v>
      </c>
      <c r="G78" s="12" t="s">
        <v>68</v>
      </c>
      <c r="H78" s="61">
        <f t="shared" si="2"/>
        <v>44396</v>
      </c>
    </row>
    <row r="79" spans="3:8" ht="13.5" customHeight="1" x14ac:dyDescent="0.2">
      <c r="C79" s="12" t="s">
        <v>80</v>
      </c>
      <c r="D79" s="57" t="s">
        <v>1210</v>
      </c>
      <c r="E79" s="60">
        <v>44396</v>
      </c>
      <c r="F79" s="58">
        <v>150</v>
      </c>
      <c r="G79" s="12" t="s">
        <v>1689</v>
      </c>
      <c r="H79" s="61">
        <f t="shared" si="2"/>
        <v>44396</v>
      </c>
    </row>
    <row r="80" spans="3:8" ht="13.5" customHeight="1" x14ac:dyDescent="0.2">
      <c r="C80" s="12" t="s">
        <v>72</v>
      </c>
      <c r="D80" s="57" t="s">
        <v>1201</v>
      </c>
      <c r="E80" s="60">
        <v>44396</v>
      </c>
      <c r="F80" s="58">
        <v>1500</v>
      </c>
      <c r="G80" s="12" t="s">
        <v>1688</v>
      </c>
      <c r="H80" s="61">
        <f t="shared" si="2"/>
        <v>44396</v>
      </c>
    </row>
    <row r="81" spans="3:8" ht="13.5" customHeight="1" x14ac:dyDescent="0.2">
      <c r="C81" s="12" t="s">
        <v>72</v>
      </c>
      <c r="D81" s="57" t="s">
        <v>1729</v>
      </c>
      <c r="E81" s="60">
        <v>44396</v>
      </c>
      <c r="F81" s="58">
        <v>500</v>
      </c>
      <c r="G81" s="12" t="s">
        <v>1688</v>
      </c>
      <c r="H81" s="61">
        <f t="shared" si="2"/>
        <v>44396</v>
      </c>
    </row>
    <row r="82" spans="3:8" ht="13.5" customHeight="1" x14ac:dyDescent="0.2">
      <c r="C82" s="12" t="s">
        <v>164</v>
      </c>
      <c r="D82" s="57" t="s">
        <v>1691</v>
      </c>
      <c r="E82" s="60">
        <v>44396</v>
      </c>
      <c r="F82" s="58">
        <v>110</v>
      </c>
      <c r="G82" s="12" t="s">
        <v>1689</v>
      </c>
      <c r="H82" s="61">
        <f t="shared" si="2"/>
        <v>44396</v>
      </c>
    </row>
    <row r="83" spans="3:8" ht="13.5" customHeight="1" x14ac:dyDescent="0.2">
      <c r="C83" s="12" t="s">
        <v>135</v>
      </c>
      <c r="D83" s="57" t="s">
        <v>1186</v>
      </c>
      <c r="E83" s="60">
        <v>44396</v>
      </c>
      <c r="F83" s="58">
        <v>1123.44</v>
      </c>
      <c r="G83" s="12" t="s">
        <v>1689</v>
      </c>
      <c r="H83" s="61">
        <f t="shared" si="2"/>
        <v>44396</v>
      </c>
    </row>
    <row r="84" spans="3:8" ht="13.5" customHeight="1" x14ac:dyDescent="0.2">
      <c r="C84" s="12" t="s">
        <v>89</v>
      </c>
      <c r="D84" s="57" t="s">
        <v>1152</v>
      </c>
      <c r="E84" s="60">
        <v>44396</v>
      </c>
      <c r="F84" s="58">
        <v>949.71</v>
      </c>
      <c r="G84" s="12" t="s">
        <v>1689</v>
      </c>
      <c r="H84" s="61">
        <f t="shared" si="2"/>
        <v>44396</v>
      </c>
    </row>
    <row r="85" spans="3:8" ht="13.5" customHeight="1" x14ac:dyDescent="0.2">
      <c r="C85" s="12" t="s">
        <v>72</v>
      </c>
      <c r="D85" s="57" t="s">
        <v>1789</v>
      </c>
      <c r="E85" s="60">
        <v>44396</v>
      </c>
      <c r="F85" s="58">
        <v>3000</v>
      </c>
      <c r="G85" s="12" t="s">
        <v>1688</v>
      </c>
      <c r="H85" s="61">
        <f t="shared" si="2"/>
        <v>44396</v>
      </c>
    </row>
    <row r="86" spans="3:8" ht="13.5" customHeight="1" x14ac:dyDescent="0.2">
      <c r="C86" s="12" t="s">
        <v>89</v>
      </c>
      <c r="D86" s="57" t="s">
        <v>1198</v>
      </c>
      <c r="E86" s="60">
        <v>44396</v>
      </c>
      <c r="F86" s="58">
        <v>94.21</v>
      </c>
      <c r="G86" s="12" t="s">
        <v>1676</v>
      </c>
      <c r="H86" s="61">
        <f t="shared" si="2"/>
        <v>44396</v>
      </c>
    </row>
    <row r="87" spans="3:8" ht="13.5" customHeight="1" x14ac:dyDescent="0.2">
      <c r="C87" s="12" t="s">
        <v>97</v>
      </c>
      <c r="D87" s="57" t="s">
        <v>252</v>
      </c>
      <c r="E87" s="60">
        <v>44396</v>
      </c>
      <c r="F87" s="58">
        <v>4800</v>
      </c>
      <c r="G87" s="12" t="s">
        <v>1676</v>
      </c>
      <c r="H87" s="61">
        <f t="shared" si="2"/>
        <v>44396</v>
      </c>
    </row>
    <row r="88" spans="3:8" ht="13.5" customHeight="1" x14ac:dyDescent="0.2">
      <c r="C88" s="12" t="s">
        <v>159</v>
      </c>
      <c r="D88" s="57" t="s">
        <v>1208</v>
      </c>
      <c r="E88" s="60">
        <v>44396</v>
      </c>
      <c r="F88" s="58">
        <v>250</v>
      </c>
      <c r="G88" s="12" t="s">
        <v>1689</v>
      </c>
      <c r="H88" s="61">
        <f t="shared" si="2"/>
        <v>44396</v>
      </c>
    </row>
    <row r="89" spans="3:8" ht="13.5" customHeight="1" x14ac:dyDescent="0.2">
      <c r="C89" s="12" t="s">
        <v>135</v>
      </c>
      <c r="D89" s="57" t="s">
        <v>215</v>
      </c>
      <c r="E89" s="60">
        <v>44396</v>
      </c>
      <c r="F89" s="58">
        <v>2978.25</v>
      </c>
      <c r="G89" s="12" t="s">
        <v>1676</v>
      </c>
      <c r="H89" s="61">
        <f t="shared" si="2"/>
        <v>44396</v>
      </c>
    </row>
    <row r="90" spans="3:8" ht="13.5" customHeight="1" x14ac:dyDescent="0.2">
      <c r="C90" s="12" t="s">
        <v>170</v>
      </c>
      <c r="D90" s="57" t="s">
        <v>1185</v>
      </c>
      <c r="E90" s="60">
        <v>44396</v>
      </c>
      <c r="F90" s="58">
        <v>423.7</v>
      </c>
      <c r="G90" s="12" t="s">
        <v>1676</v>
      </c>
      <c r="H90" s="61">
        <f t="shared" si="2"/>
        <v>44396</v>
      </c>
    </row>
    <row r="91" spans="3:8" ht="13.5" customHeight="1" x14ac:dyDescent="0.2">
      <c r="C91" s="12" t="s">
        <v>171</v>
      </c>
      <c r="D91" s="57" t="s">
        <v>1189</v>
      </c>
      <c r="E91" s="60">
        <v>44396</v>
      </c>
      <c r="F91" s="58">
        <v>81.99</v>
      </c>
      <c r="G91" s="12" t="s">
        <v>1676</v>
      </c>
      <c r="H91" s="61">
        <f t="shared" si="2"/>
        <v>44396</v>
      </c>
    </row>
    <row r="92" spans="3:8" ht="13.5" customHeight="1" x14ac:dyDescent="0.2">
      <c r="C92" s="12" t="s">
        <v>229</v>
      </c>
      <c r="D92" s="57" t="s">
        <v>389</v>
      </c>
      <c r="E92" s="60">
        <v>44396</v>
      </c>
      <c r="F92" s="58">
        <v>110</v>
      </c>
      <c r="G92" s="12" t="s">
        <v>1676</v>
      </c>
      <c r="H92" s="61">
        <f t="shared" si="2"/>
        <v>44396</v>
      </c>
    </row>
    <row r="93" spans="3:8" ht="13.5" customHeight="1" x14ac:dyDescent="0.2">
      <c r="C93" s="12" t="s">
        <v>159</v>
      </c>
      <c r="D93" s="57" t="s">
        <v>1130</v>
      </c>
      <c r="E93" s="60">
        <v>44396</v>
      </c>
      <c r="F93" s="58">
        <v>1125</v>
      </c>
      <c r="G93" s="12" t="s">
        <v>1689</v>
      </c>
      <c r="H93" s="61">
        <f t="shared" si="2"/>
        <v>44396</v>
      </c>
    </row>
    <row r="94" spans="3:8" ht="13.5" customHeight="1" x14ac:dyDescent="0.2">
      <c r="C94" s="12" t="s">
        <v>159</v>
      </c>
      <c r="D94" s="57" t="s">
        <v>1155</v>
      </c>
      <c r="E94" s="60">
        <v>44396</v>
      </c>
      <c r="F94" s="58">
        <v>1125</v>
      </c>
      <c r="G94" s="12" t="s">
        <v>1689</v>
      </c>
      <c r="H94" s="61">
        <f t="shared" si="2"/>
        <v>44396</v>
      </c>
    </row>
    <row r="95" spans="3:8" ht="13.5" customHeight="1" x14ac:dyDescent="0.2">
      <c r="C95" s="12" t="s">
        <v>56</v>
      </c>
      <c r="D95" s="57" t="s">
        <v>1140</v>
      </c>
      <c r="E95" s="60">
        <v>44396</v>
      </c>
      <c r="F95" s="58">
        <v>593</v>
      </c>
      <c r="G95" s="12" t="s">
        <v>1689</v>
      </c>
      <c r="H95" s="61">
        <f t="shared" si="2"/>
        <v>44396</v>
      </c>
    </row>
    <row r="96" spans="3:8" ht="13.5" customHeight="1" x14ac:dyDescent="0.2">
      <c r="C96" s="12" t="s">
        <v>192</v>
      </c>
      <c r="D96" s="57" t="s">
        <v>1211</v>
      </c>
      <c r="E96" s="60">
        <v>44396</v>
      </c>
      <c r="F96" s="58">
        <v>1656.43</v>
      </c>
      <c r="G96" s="12" t="s">
        <v>1689</v>
      </c>
      <c r="H96" s="61">
        <f t="shared" si="2"/>
        <v>44396</v>
      </c>
    </row>
    <row r="97" spans="3:8" ht="13.5" customHeight="1" x14ac:dyDescent="0.2">
      <c r="C97" s="12" t="s">
        <v>74</v>
      </c>
      <c r="D97" s="57" t="s">
        <v>1104</v>
      </c>
      <c r="E97" s="60">
        <v>44397</v>
      </c>
      <c r="F97" s="58">
        <v>1224.75</v>
      </c>
      <c r="G97" s="12" t="s">
        <v>1676</v>
      </c>
      <c r="H97" s="61">
        <f t="shared" si="2"/>
        <v>44397</v>
      </c>
    </row>
    <row r="98" spans="3:8" ht="13.5" customHeight="1" x14ac:dyDescent="0.2">
      <c r="C98" s="12" t="s">
        <v>74</v>
      </c>
      <c r="D98" s="57" t="s">
        <v>69</v>
      </c>
      <c r="E98" s="60">
        <v>44397</v>
      </c>
      <c r="F98" s="58">
        <v>338.42</v>
      </c>
      <c r="G98" s="12" t="s">
        <v>1676</v>
      </c>
      <c r="H98" s="61">
        <f t="shared" si="2"/>
        <v>44397</v>
      </c>
    </row>
    <row r="99" spans="3:8" ht="13.5" customHeight="1" x14ac:dyDescent="0.2">
      <c r="C99" s="12" t="s">
        <v>74</v>
      </c>
      <c r="D99" s="57" t="s">
        <v>69</v>
      </c>
      <c r="E99" s="60">
        <v>44397</v>
      </c>
      <c r="F99" s="58">
        <v>11027.88</v>
      </c>
      <c r="G99" s="12" t="s">
        <v>1689</v>
      </c>
      <c r="H99" s="61">
        <f t="shared" ref="H99:H130" si="3">VLOOKUP(E99,$E$2723:$H$2937,4,FALSE)</f>
        <v>44397</v>
      </c>
    </row>
    <row r="100" spans="3:8" ht="13.5" customHeight="1" x14ac:dyDescent="0.2">
      <c r="C100" s="12" t="s">
        <v>117</v>
      </c>
      <c r="D100" s="57" t="s">
        <v>1123</v>
      </c>
      <c r="E100" s="60">
        <v>44397</v>
      </c>
      <c r="F100" s="58">
        <v>500</v>
      </c>
      <c r="G100" s="12" t="s">
        <v>1689</v>
      </c>
      <c r="H100" s="61">
        <f t="shared" si="3"/>
        <v>44397</v>
      </c>
    </row>
    <row r="101" spans="3:8" ht="13.5" customHeight="1" x14ac:dyDescent="0.2">
      <c r="C101" s="12" t="s">
        <v>732</v>
      </c>
      <c r="D101" s="57" t="s">
        <v>1184</v>
      </c>
      <c r="E101" s="60">
        <v>44397</v>
      </c>
      <c r="F101" s="58">
        <v>252.9</v>
      </c>
      <c r="G101" s="12" t="s">
        <v>1689</v>
      </c>
      <c r="H101" s="61">
        <f t="shared" si="3"/>
        <v>44397</v>
      </c>
    </row>
    <row r="102" spans="3:8" ht="13.5" customHeight="1" x14ac:dyDescent="0.2">
      <c r="C102" s="12" t="s">
        <v>86</v>
      </c>
      <c r="D102" s="57" t="s">
        <v>1188</v>
      </c>
      <c r="E102" s="60">
        <v>44397</v>
      </c>
      <c r="F102" s="16">
        <v>84</v>
      </c>
      <c r="G102" s="12" t="s">
        <v>1689</v>
      </c>
      <c r="H102" s="61">
        <f t="shared" si="3"/>
        <v>44397</v>
      </c>
    </row>
    <row r="103" spans="3:8" ht="13.5" customHeight="1" x14ac:dyDescent="0.2">
      <c r="C103" s="12" t="s">
        <v>83</v>
      </c>
      <c r="D103" s="57" t="s">
        <v>87</v>
      </c>
      <c r="E103" s="60">
        <v>44397</v>
      </c>
      <c r="F103" s="58">
        <v>2626</v>
      </c>
      <c r="G103" s="12" t="s">
        <v>1689</v>
      </c>
      <c r="H103" s="61">
        <f t="shared" si="3"/>
        <v>44397</v>
      </c>
    </row>
    <row r="104" spans="3:8" ht="13.5" customHeight="1" x14ac:dyDescent="0.2">
      <c r="C104" s="12" t="s">
        <v>159</v>
      </c>
      <c r="D104" s="57" t="s">
        <v>1225</v>
      </c>
      <c r="E104" s="60">
        <v>44397</v>
      </c>
      <c r="F104" s="58">
        <v>326.77</v>
      </c>
      <c r="G104" s="12" t="s">
        <v>1689</v>
      </c>
      <c r="H104" s="61">
        <f t="shared" si="3"/>
        <v>44397</v>
      </c>
    </row>
    <row r="105" spans="3:8" ht="13.5" customHeight="1" x14ac:dyDescent="0.2">
      <c r="C105" s="12" t="s">
        <v>159</v>
      </c>
      <c r="D105" s="57" t="s">
        <v>1226</v>
      </c>
      <c r="E105" s="60">
        <v>44397</v>
      </c>
      <c r="F105" s="58">
        <v>670.18</v>
      </c>
      <c r="G105" s="12" t="s">
        <v>1689</v>
      </c>
      <c r="H105" s="61">
        <f t="shared" si="3"/>
        <v>44397</v>
      </c>
    </row>
    <row r="106" spans="3:8" ht="13.5" customHeight="1" x14ac:dyDescent="0.2">
      <c r="C106" s="12" t="s">
        <v>159</v>
      </c>
      <c r="D106" s="57" t="s">
        <v>513</v>
      </c>
      <c r="E106" s="60">
        <v>44397</v>
      </c>
      <c r="F106" s="58">
        <v>126.94</v>
      </c>
      <c r="G106" s="12" t="s">
        <v>1689</v>
      </c>
      <c r="H106" s="61">
        <f t="shared" si="3"/>
        <v>44397</v>
      </c>
    </row>
    <row r="107" spans="3:8" ht="13.5" customHeight="1" x14ac:dyDescent="0.2">
      <c r="C107" s="12" t="s">
        <v>159</v>
      </c>
      <c r="D107" s="57" t="s">
        <v>513</v>
      </c>
      <c r="E107" s="60">
        <v>44397</v>
      </c>
      <c r="F107" s="58">
        <v>75.34</v>
      </c>
      <c r="G107" s="12" t="s">
        <v>1689</v>
      </c>
      <c r="H107" s="61">
        <f t="shared" si="3"/>
        <v>44397</v>
      </c>
    </row>
    <row r="108" spans="3:8" ht="13.5" customHeight="1" x14ac:dyDescent="0.2">
      <c r="C108" s="12" t="s">
        <v>97</v>
      </c>
      <c r="D108" s="57" t="s">
        <v>1132</v>
      </c>
      <c r="E108" s="60">
        <v>44397</v>
      </c>
      <c r="F108" s="58">
        <v>528.54</v>
      </c>
      <c r="G108" s="12" t="s">
        <v>1689</v>
      </c>
      <c r="H108" s="61">
        <f t="shared" si="3"/>
        <v>44397</v>
      </c>
    </row>
    <row r="109" spans="3:8" ht="13.5" customHeight="1" x14ac:dyDescent="0.2">
      <c r="C109" s="12" t="s">
        <v>135</v>
      </c>
      <c r="D109" s="57" t="s">
        <v>1024</v>
      </c>
      <c r="E109" s="60">
        <v>44397</v>
      </c>
      <c r="F109" s="58">
        <v>242</v>
      </c>
      <c r="G109" s="12" t="s">
        <v>1676</v>
      </c>
      <c r="H109" s="61">
        <f t="shared" si="3"/>
        <v>44397</v>
      </c>
    </row>
    <row r="110" spans="3:8" ht="13.5" customHeight="1" x14ac:dyDescent="0.2">
      <c r="C110" s="12" t="s">
        <v>80</v>
      </c>
      <c r="D110" s="57" t="s">
        <v>1192</v>
      </c>
      <c r="E110" s="60">
        <v>44398</v>
      </c>
      <c r="F110" s="58">
        <v>100</v>
      </c>
      <c r="G110" s="12" t="s">
        <v>1689</v>
      </c>
      <c r="H110" s="61">
        <f t="shared" si="3"/>
        <v>44398</v>
      </c>
    </row>
    <row r="111" spans="3:8" ht="13.5" customHeight="1" x14ac:dyDescent="0.2">
      <c r="C111" s="12" t="s">
        <v>1163</v>
      </c>
      <c r="D111" s="57" t="s">
        <v>1191</v>
      </c>
      <c r="E111" s="60">
        <v>44398</v>
      </c>
      <c r="F111" s="58">
        <v>3955.5</v>
      </c>
      <c r="G111" s="12" t="s">
        <v>1689</v>
      </c>
      <c r="H111" s="61">
        <f t="shared" si="3"/>
        <v>44398</v>
      </c>
    </row>
    <row r="112" spans="3:8" ht="13.5" customHeight="1" x14ac:dyDescent="0.2">
      <c r="C112" s="12" t="s">
        <v>159</v>
      </c>
      <c r="D112" s="57" t="s">
        <v>376</v>
      </c>
      <c r="E112" s="60">
        <v>44398</v>
      </c>
      <c r="F112" s="58">
        <v>132.81</v>
      </c>
      <c r="G112" s="12" t="s">
        <v>1689</v>
      </c>
      <c r="H112" s="61">
        <f t="shared" si="3"/>
        <v>44398</v>
      </c>
    </row>
    <row r="113" spans="3:8" ht="13.5" customHeight="1" x14ac:dyDescent="0.2">
      <c r="C113" s="12" t="s">
        <v>163</v>
      </c>
      <c r="D113" s="57" t="s">
        <v>1093</v>
      </c>
      <c r="E113" s="60">
        <v>44398</v>
      </c>
      <c r="F113" s="58">
        <v>4200</v>
      </c>
      <c r="G113" s="12" t="s">
        <v>1689</v>
      </c>
      <c r="H113" s="61">
        <f t="shared" si="3"/>
        <v>44398</v>
      </c>
    </row>
    <row r="114" spans="3:8" ht="13.5" customHeight="1" x14ac:dyDescent="0.2">
      <c r="C114" s="12" t="s">
        <v>74</v>
      </c>
      <c r="D114" s="57" t="s">
        <v>1104</v>
      </c>
      <c r="E114" s="60">
        <v>44398</v>
      </c>
      <c r="F114" s="58">
        <v>10356.280000000001</v>
      </c>
      <c r="G114" s="12" t="s">
        <v>1689</v>
      </c>
      <c r="H114" s="61">
        <f t="shared" si="3"/>
        <v>44398</v>
      </c>
    </row>
    <row r="115" spans="3:8" ht="13.5" customHeight="1" x14ac:dyDescent="0.2">
      <c r="C115" s="12" t="s">
        <v>74</v>
      </c>
      <c r="D115" s="57" t="s">
        <v>1231</v>
      </c>
      <c r="E115" s="60">
        <v>44398</v>
      </c>
      <c r="F115" s="58">
        <v>97.95</v>
      </c>
      <c r="G115" s="12" t="s">
        <v>1689</v>
      </c>
      <c r="H115" s="61">
        <f t="shared" si="3"/>
        <v>44398</v>
      </c>
    </row>
    <row r="116" spans="3:8" ht="13.5" customHeight="1" x14ac:dyDescent="0.2">
      <c r="C116" s="12" t="s">
        <v>192</v>
      </c>
      <c r="D116" s="57" t="s">
        <v>1232</v>
      </c>
      <c r="E116" s="60">
        <v>44398</v>
      </c>
      <c r="F116" s="58">
        <v>35.44</v>
      </c>
      <c r="G116" s="12" t="s">
        <v>1689</v>
      </c>
      <c r="H116" s="61">
        <f t="shared" si="3"/>
        <v>44398</v>
      </c>
    </row>
    <row r="117" spans="3:8" ht="13.5" customHeight="1" x14ac:dyDescent="0.2">
      <c r="C117" s="12" t="s">
        <v>97</v>
      </c>
      <c r="D117" s="57" t="s">
        <v>1125</v>
      </c>
      <c r="E117" s="60">
        <v>44398</v>
      </c>
      <c r="F117" s="58">
        <v>1274.4100000000001</v>
      </c>
      <c r="G117" s="12" t="s">
        <v>1689</v>
      </c>
      <c r="H117" s="61">
        <f t="shared" si="3"/>
        <v>44398</v>
      </c>
    </row>
    <row r="118" spans="3:8" ht="13.5" customHeight="1" x14ac:dyDescent="0.2">
      <c r="C118" s="12" t="s">
        <v>97</v>
      </c>
      <c r="D118" s="57" t="s">
        <v>1126</v>
      </c>
      <c r="E118" s="60">
        <v>44398</v>
      </c>
      <c r="F118" s="58">
        <v>617.64</v>
      </c>
      <c r="G118" s="12" t="s">
        <v>1689</v>
      </c>
      <c r="H118" s="61">
        <f t="shared" si="3"/>
        <v>44398</v>
      </c>
    </row>
    <row r="119" spans="3:8" ht="13.5" customHeight="1" x14ac:dyDescent="0.2">
      <c r="C119" s="12" t="s">
        <v>83</v>
      </c>
      <c r="D119" s="57" t="s">
        <v>535</v>
      </c>
      <c r="E119" s="60">
        <v>44398</v>
      </c>
      <c r="F119" s="58">
        <v>572</v>
      </c>
      <c r="G119" s="12" t="s">
        <v>1689</v>
      </c>
      <c r="H119" s="61">
        <f t="shared" si="3"/>
        <v>44398</v>
      </c>
    </row>
    <row r="120" spans="3:8" ht="13.5" customHeight="1" x14ac:dyDescent="0.2">
      <c r="C120" s="12" t="s">
        <v>170</v>
      </c>
      <c r="D120" s="57" t="s">
        <v>1229</v>
      </c>
      <c r="E120" s="60">
        <v>44398</v>
      </c>
      <c r="F120" s="58">
        <v>360</v>
      </c>
      <c r="G120" s="12" t="s">
        <v>1689</v>
      </c>
      <c r="H120" s="61">
        <f t="shared" si="3"/>
        <v>44398</v>
      </c>
    </row>
    <row r="121" spans="3:8" ht="13.5" customHeight="1" x14ac:dyDescent="0.2">
      <c r="C121" s="12" t="s">
        <v>584</v>
      </c>
      <c r="D121" s="57" t="s">
        <v>127</v>
      </c>
      <c r="E121" s="60">
        <v>44398</v>
      </c>
      <c r="F121" s="58">
        <v>2000</v>
      </c>
      <c r="G121" s="12" t="s">
        <v>1689</v>
      </c>
      <c r="H121" s="61">
        <f t="shared" si="3"/>
        <v>44398</v>
      </c>
    </row>
    <row r="122" spans="3:8" ht="13.5" customHeight="1" x14ac:dyDescent="0.2">
      <c r="C122" s="12" t="s">
        <v>80</v>
      </c>
      <c r="D122" s="57" t="s">
        <v>553</v>
      </c>
      <c r="E122" s="60">
        <v>44398</v>
      </c>
      <c r="F122" s="58">
        <v>200</v>
      </c>
      <c r="G122" s="12" t="s">
        <v>1689</v>
      </c>
      <c r="H122" s="61">
        <f t="shared" si="3"/>
        <v>44398</v>
      </c>
    </row>
    <row r="123" spans="3:8" ht="13.5" customHeight="1" x14ac:dyDescent="0.2">
      <c r="C123" s="12" t="s">
        <v>76</v>
      </c>
      <c r="D123" s="57" t="s">
        <v>1230</v>
      </c>
      <c r="E123" s="60">
        <v>44398</v>
      </c>
      <c r="F123" s="58">
        <v>1125</v>
      </c>
      <c r="G123" s="12" t="s">
        <v>1676</v>
      </c>
      <c r="H123" s="61">
        <f t="shared" si="3"/>
        <v>44398</v>
      </c>
    </row>
    <row r="124" spans="3:8" ht="13.5" customHeight="1" x14ac:dyDescent="0.2">
      <c r="C124" s="12" t="s">
        <v>164</v>
      </c>
      <c r="D124" s="57" t="s">
        <v>1237</v>
      </c>
      <c r="E124" s="60">
        <v>44399</v>
      </c>
      <c r="F124" s="58">
        <v>72.95</v>
      </c>
      <c r="G124" s="12" t="s">
        <v>1676</v>
      </c>
      <c r="H124" s="61">
        <f t="shared" si="3"/>
        <v>44399</v>
      </c>
    </row>
    <row r="125" spans="3:8" ht="13.5" customHeight="1" x14ac:dyDescent="0.2">
      <c r="C125" s="12" t="s">
        <v>164</v>
      </c>
      <c r="D125" s="57" t="s">
        <v>1239</v>
      </c>
      <c r="E125" s="60">
        <v>44399</v>
      </c>
      <c r="F125" s="58">
        <v>350</v>
      </c>
      <c r="G125" s="12" t="s">
        <v>1689</v>
      </c>
      <c r="H125" s="61">
        <f t="shared" si="3"/>
        <v>44399</v>
      </c>
    </row>
    <row r="126" spans="3:8" ht="13.5" customHeight="1" x14ac:dyDescent="0.2">
      <c r="C126" s="12" t="s">
        <v>852</v>
      </c>
      <c r="D126" s="57" t="s">
        <v>1168</v>
      </c>
      <c r="E126" s="60">
        <v>44399</v>
      </c>
      <c r="F126" s="58">
        <v>1243</v>
      </c>
      <c r="G126" s="12" t="s">
        <v>1689</v>
      </c>
      <c r="H126" s="61">
        <f t="shared" si="3"/>
        <v>44399</v>
      </c>
    </row>
    <row r="127" spans="3:8" ht="13.5" customHeight="1" x14ac:dyDescent="0.2">
      <c r="C127" s="12" t="s">
        <v>852</v>
      </c>
      <c r="D127" s="57" t="s">
        <v>1790</v>
      </c>
      <c r="E127" s="60">
        <v>44399</v>
      </c>
      <c r="F127" s="58">
        <v>645</v>
      </c>
      <c r="G127" s="12" t="s">
        <v>1689</v>
      </c>
      <c r="H127" s="61">
        <f t="shared" si="3"/>
        <v>44399</v>
      </c>
    </row>
    <row r="128" spans="3:8" ht="13.5" customHeight="1" x14ac:dyDescent="0.2">
      <c r="C128" s="12" t="s">
        <v>159</v>
      </c>
      <c r="D128" s="57" t="s">
        <v>1131</v>
      </c>
      <c r="E128" s="60">
        <v>44399</v>
      </c>
      <c r="F128" s="58">
        <v>949.49</v>
      </c>
      <c r="G128" s="12" t="s">
        <v>1689</v>
      </c>
      <c r="H128" s="61">
        <f t="shared" si="3"/>
        <v>44399</v>
      </c>
    </row>
    <row r="129" spans="3:8" ht="13.5" customHeight="1" x14ac:dyDescent="0.2">
      <c r="C129" s="12" t="s">
        <v>89</v>
      </c>
      <c r="D129" s="57" t="s">
        <v>1178</v>
      </c>
      <c r="E129" s="60">
        <v>44399</v>
      </c>
      <c r="F129" s="58">
        <v>2761.53</v>
      </c>
      <c r="G129" s="12" t="s">
        <v>1689</v>
      </c>
      <c r="H129" s="61">
        <f t="shared" si="3"/>
        <v>44399</v>
      </c>
    </row>
    <row r="130" spans="3:8" ht="13.5" customHeight="1" x14ac:dyDescent="0.2">
      <c r="C130" s="12" t="s">
        <v>80</v>
      </c>
      <c r="D130" s="57" t="s">
        <v>321</v>
      </c>
      <c r="E130" s="60">
        <v>44400</v>
      </c>
      <c r="F130" s="58">
        <v>120</v>
      </c>
      <c r="G130" s="12" t="s">
        <v>1689</v>
      </c>
      <c r="H130" s="61">
        <f t="shared" si="3"/>
        <v>44400</v>
      </c>
    </row>
    <row r="131" spans="3:8" ht="13.5" customHeight="1" x14ac:dyDescent="0.2">
      <c r="C131" s="12" t="s">
        <v>80</v>
      </c>
      <c r="D131" s="57" t="s">
        <v>1717</v>
      </c>
      <c r="E131" s="60">
        <v>44400</v>
      </c>
      <c r="F131" s="58">
        <v>100</v>
      </c>
      <c r="G131" s="12" t="s">
        <v>1689</v>
      </c>
      <c r="H131" s="61">
        <f t="shared" ref="H131:H162" si="4">VLOOKUP(E131,$E$2723:$H$2937,4,FALSE)</f>
        <v>44400</v>
      </c>
    </row>
    <row r="132" spans="3:8" ht="13.5" customHeight="1" x14ac:dyDescent="0.2">
      <c r="C132" s="12" t="s">
        <v>80</v>
      </c>
      <c r="D132" s="57" t="s">
        <v>236</v>
      </c>
      <c r="E132" s="60">
        <v>44400</v>
      </c>
      <c r="F132" s="58">
        <v>70</v>
      </c>
      <c r="G132" s="12" t="s">
        <v>1689</v>
      </c>
      <c r="H132" s="61">
        <f t="shared" si="4"/>
        <v>44400</v>
      </c>
    </row>
    <row r="133" spans="3:8" ht="13.5" customHeight="1" x14ac:dyDescent="0.2">
      <c r="C133" s="12" t="s">
        <v>164</v>
      </c>
      <c r="D133" s="57" t="s">
        <v>1250</v>
      </c>
      <c r="E133" s="60">
        <v>44400</v>
      </c>
      <c r="F133" s="58">
        <v>80</v>
      </c>
      <c r="G133" s="12" t="s">
        <v>1689</v>
      </c>
      <c r="H133" s="61">
        <f t="shared" si="4"/>
        <v>44400</v>
      </c>
    </row>
    <row r="134" spans="3:8" ht="13.5" customHeight="1" x14ac:dyDescent="0.2">
      <c r="C134" s="12" t="s">
        <v>80</v>
      </c>
      <c r="D134" s="57" t="s">
        <v>1244</v>
      </c>
      <c r="E134" s="60">
        <v>44400</v>
      </c>
      <c r="F134" s="58">
        <v>120</v>
      </c>
      <c r="G134" s="12" t="s">
        <v>1689</v>
      </c>
      <c r="H134" s="61">
        <f t="shared" si="4"/>
        <v>44400</v>
      </c>
    </row>
    <row r="135" spans="3:8" ht="13.5" customHeight="1" x14ac:dyDescent="0.2">
      <c r="C135" s="12" t="s">
        <v>149</v>
      </c>
      <c r="D135" s="57" t="s">
        <v>1246</v>
      </c>
      <c r="E135" s="60">
        <v>44400</v>
      </c>
      <c r="F135" s="58">
        <v>619</v>
      </c>
      <c r="G135" s="12" t="s">
        <v>1676</v>
      </c>
      <c r="H135" s="61">
        <f t="shared" si="4"/>
        <v>44400</v>
      </c>
    </row>
    <row r="136" spans="3:8" ht="13.5" customHeight="1" x14ac:dyDescent="0.2">
      <c r="C136" s="12" t="s">
        <v>84</v>
      </c>
      <c r="D136" s="57" t="s">
        <v>1245</v>
      </c>
      <c r="E136" s="60">
        <v>44400</v>
      </c>
      <c r="F136" s="58">
        <v>95</v>
      </c>
      <c r="G136" s="12" t="s">
        <v>1689</v>
      </c>
      <c r="H136" s="61">
        <f t="shared" si="4"/>
        <v>44400</v>
      </c>
    </row>
    <row r="137" spans="3:8" ht="13.5" customHeight="1" x14ac:dyDescent="0.2">
      <c r="C137" s="12" t="s">
        <v>83</v>
      </c>
      <c r="D137" s="57" t="s">
        <v>235</v>
      </c>
      <c r="E137" s="60">
        <v>44400</v>
      </c>
      <c r="F137" s="58">
        <v>400</v>
      </c>
      <c r="G137" s="12" t="s">
        <v>1689</v>
      </c>
      <c r="H137" s="61">
        <f t="shared" si="4"/>
        <v>44400</v>
      </c>
    </row>
    <row r="138" spans="3:8" ht="13.5" customHeight="1" x14ac:dyDescent="0.2">
      <c r="C138" s="12" t="s">
        <v>72</v>
      </c>
      <c r="D138" s="57" t="s">
        <v>1711</v>
      </c>
      <c r="E138" s="60">
        <v>44400</v>
      </c>
      <c r="F138" s="58">
        <v>750</v>
      </c>
      <c r="G138" s="12" t="s">
        <v>1688</v>
      </c>
      <c r="H138" s="61">
        <f t="shared" si="4"/>
        <v>44400</v>
      </c>
    </row>
    <row r="139" spans="3:8" ht="13.5" customHeight="1" x14ac:dyDescent="0.2">
      <c r="C139" s="12" t="s">
        <v>96</v>
      </c>
      <c r="D139" s="57" t="s">
        <v>841</v>
      </c>
      <c r="E139" s="60">
        <v>44400</v>
      </c>
      <c r="F139" s="58">
        <v>2000</v>
      </c>
      <c r="G139" s="12" t="s">
        <v>1689</v>
      </c>
      <c r="H139" s="61">
        <f t="shared" si="4"/>
        <v>44400</v>
      </c>
    </row>
    <row r="140" spans="3:8" ht="13.5" customHeight="1" x14ac:dyDescent="0.2">
      <c r="C140" s="12" t="s">
        <v>72</v>
      </c>
      <c r="D140" s="57" t="s">
        <v>1201</v>
      </c>
      <c r="E140" s="60">
        <v>44400</v>
      </c>
      <c r="F140" s="58">
        <v>1500</v>
      </c>
      <c r="G140" s="12" t="s">
        <v>1688</v>
      </c>
      <c r="H140" s="61">
        <f t="shared" si="4"/>
        <v>44400</v>
      </c>
    </row>
    <row r="141" spans="3:8" ht="13.5" customHeight="1" x14ac:dyDescent="0.2">
      <c r="C141" s="12" t="s">
        <v>72</v>
      </c>
      <c r="D141" s="57" t="s">
        <v>1749</v>
      </c>
      <c r="E141" s="60">
        <v>44400</v>
      </c>
      <c r="F141" s="58">
        <v>1020.5</v>
      </c>
      <c r="G141" s="12" t="s">
        <v>1688</v>
      </c>
      <c r="H141" s="61">
        <f t="shared" si="4"/>
        <v>44400</v>
      </c>
    </row>
    <row r="142" spans="3:8" ht="13.5" customHeight="1" x14ac:dyDescent="0.2">
      <c r="C142" s="12" t="s">
        <v>164</v>
      </c>
      <c r="D142" s="57" t="s">
        <v>1114</v>
      </c>
      <c r="E142" s="60">
        <v>44400</v>
      </c>
      <c r="F142" s="58">
        <v>891.07</v>
      </c>
      <c r="G142" s="12" t="s">
        <v>1689</v>
      </c>
      <c r="H142" s="61">
        <f t="shared" si="4"/>
        <v>44400</v>
      </c>
    </row>
    <row r="143" spans="3:8" ht="13.5" customHeight="1" x14ac:dyDescent="0.2">
      <c r="C143" s="12" t="s">
        <v>76</v>
      </c>
      <c r="D143" s="57" t="s">
        <v>1164</v>
      </c>
      <c r="E143" s="60">
        <v>44400</v>
      </c>
      <c r="F143" s="58">
        <v>1326</v>
      </c>
      <c r="G143" s="12" t="s">
        <v>1689</v>
      </c>
      <c r="H143" s="61">
        <f t="shared" si="4"/>
        <v>44400</v>
      </c>
    </row>
    <row r="144" spans="3:8" ht="13.5" customHeight="1" x14ac:dyDescent="0.2">
      <c r="C144" s="12" t="s">
        <v>80</v>
      </c>
      <c r="D144" s="57" t="s">
        <v>1711</v>
      </c>
      <c r="E144" s="60">
        <v>44401</v>
      </c>
      <c r="F144" s="58">
        <f>100+100</f>
        <v>200</v>
      </c>
      <c r="G144" s="12" t="s">
        <v>1688</v>
      </c>
      <c r="H144" s="61">
        <f t="shared" si="4"/>
        <v>44403</v>
      </c>
    </row>
    <row r="145" spans="3:8" ht="13.5" customHeight="1" x14ac:dyDescent="0.2">
      <c r="C145" s="12" t="s">
        <v>164</v>
      </c>
      <c r="D145" s="57" t="s">
        <v>671</v>
      </c>
      <c r="E145" s="60">
        <v>44402</v>
      </c>
      <c r="F145" s="58">
        <v>70</v>
      </c>
      <c r="G145" s="12" t="s">
        <v>1689</v>
      </c>
      <c r="H145" s="61">
        <f t="shared" si="4"/>
        <v>44403</v>
      </c>
    </row>
    <row r="146" spans="3:8" ht="13.5" customHeight="1" x14ac:dyDescent="0.2">
      <c r="C146" s="12" t="s">
        <v>149</v>
      </c>
      <c r="D146" s="57" t="s">
        <v>1035</v>
      </c>
      <c r="E146" s="60">
        <v>44403</v>
      </c>
      <c r="F146" s="58">
        <v>318.68</v>
      </c>
      <c r="G146" s="12" t="s">
        <v>1676</v>
      </c>
      <c r="H146" s="61">
        <f t="shared" si="4"/>
        <v>44403</v>
      </c>
    </row>
    <row r="147" spans="3:8" ht="13.5" customHeight="1" x14ac:dyDescent="0.2">
      <c r="C147" s="12" t="s">
        <v>243</v>
      </c>
      <c r="D147" s="57" t="s">
        <v>1095</v>
      </c>
      <c r="E147" s="60">
        <v>44403</v>
      </c>
      <c r="F147" s="58">
        <v>1322.5</v>
      </c>
      <c r="G147" s="12" t="s">
        <v>1689</v>
      </c>
      <c r="H147" s="61">
        <f t="shared" si="4"/>
        <v>44403</v>
      </c>
    </row>
    <row r="148" spans="3:8" ht="13.5" customHeight="1" x14ac:dyDescent="0.2">
      <c r="C148" s="12" t="s">
        <v>72</v>
      </c>
      <c r="D148" s="12" t="s">
        <v>1791</v>
      </c>
      <c r="E148" s="60">
        <v>44403</v>
      </c>
      <c r="F148" s="58">
        <v>3270</v>
      </c>
      <c r="G148" s="12" t="s">
        <v>1688</v>
      </c>
      <c r="H148" s="61">
        <f t="shared" si="4"/>
        <v>44403</v>
      </c>
    </row>
    <row r="149" spans="3:8" ht="13.5" customHeight="1" x14ac:dyDescent="0.2">
      <c r="C149" s="12" t="s">
        <v>83</v>
      </c>
      <c r="D149" s="57" t="s">
        <v>1199</v>
      </c>
      <c r="E149" s="60">
        <v>44403</v>
      </c>
      <c r="F149" s="58">
        <v>684</v>
      </c>
      <c r="G149" s="12" t="s">
        <v>1689</v>
      </c>
      <c r="H149" s="61">
        <f t="shared" si="4"/>
        <v>44403</v>
      </c>
    </row>
    <row r="150" spans="3:8" ht="13.5" customHeight="1" x14ac:dyDescent="0.2">
      <c r="C150" s="12" t="s">
        <v>84</v>
      </c>
      <c r="D150" s="57" t="s">
        <v>407</v>
      </c>
      <c r="E150" s="60">
        <v>44403</v>
      </c>
      <c r="F150" s="58">
        <v>3955.5</v>
      </c>
      <c r="G150" s="12" t="s">
        <v>1689</v>
      </c>
      <c r="H150" s="61">
        <f t="shared" si="4"/>
        <v>44403</v>
      </c>
    </row>
    <row r="151" spans="3:8" ht="13.5" customHeight="1" x14ac:dyDescent="0.2">
      <c r="C151" s="12" t="s">
        <v>164</v>
      </c>
      <c r="D151" s="57" t="s">
        <v>1249</v>
      </c>
      <c r="E151" s="60">
        <v>44403</v>
      </c>
      <c r="F151" s="58">
        <v>980</v>
      </c>
      <c r="G151" s="12" t="s">
        <v>1676</v>
      </c>
      <c r="H151" s="61">
        <f t="shared" si="4"/>
        <v>44403</v>
      </c>
    </row>
    <row r="152" spans="3:8" ht="13.5" customHeight="1" x14ac:dyDescent="0.2">
      <c r="C152" s="12" t="s">
        <v>159</v>
      </c>
      <c r="D152" s="57" t="s">
        <v>357</v>
      </c>
      <c r="E152" s="60">
        <v>44403</v>
      </c>
      <c r="F152" s="58">
        <v>308.93</v>
      </c>
      <c r="G152" s="12" t="s">
        <v>1689</v>
      </c>
      <c r="H152" s="61">
        <f t="shared" si="4"/>
        <v>44403</v>
      </c>
    </row>
    <row r="153" spans="3:8" ht="13.5" customHeight="1" x14ac:dyDescent="0.2">
      <c r="C153" s="12" t="s">
        <v>170</v>
      </c>
      <c r="D153" s="57" t="s">
        <v>1204</v>
      </c>
      <c r="E153" s="60">
        <v>44403</v>
      </c>
      <c r="F153" s="58">
        <v>2191</v>
      </c>
      <c r="G153" s="12" t="s">
        <v>1676</v>
      </c>
      <c r="H153" s="61">
        <f t="shared" si="4"/>
        <v>44403</v>
      </c>
    </row>
    <row r="154" spans="3:8" ht="13.5" customHeight="1" x14ac:dyDescent="0.2">
      <c r="C154" s="12" t="s">
        <v>83</v>
      </c>
      <c r="D154" s="57" t="s">
        <v>87</v>
      </c>
      <c r="E154" s="60">
        <v>44403</v>
      </c>
      <c r="F154" s="58">
        <v>2626</v>
      </c>
      <c r="G154" s="12" t="s">
        <v>1689</v>
      </c>
      <c r="H154" s="61">
        <f t="shared" si="4"/>
        <v>44403</v>
      </c>
    </row>
    <row r="155" spans="3:8" ht="13.5" customHeight="1" x14ac:dyDescent="0.2">
      <c r="C155" s="12" t="s">
        <v>159</v>
      </c>
      <c r="D155" s="57" t="s">
        <v>1227</v>
      </c>
      <c r="E155" s="60">
        <v>44404</v>
      </c>
      <c r="F155" s="58">
        <v>623.97</v>
      </c>
      <c r="G155" s="12" t="s">
        <v>1689</v>
      </c>
      <c r="H155" s="61">
        <f t="shared" si="4"/>
        <v>44404</v>
      </c>
    </row>
    <row r="156" spans="3:8" ht="13.5" customHeight="1" x14ac:dyDescent="0.2">
      <c r="C156" s="12" t="s">
        <v>159</v>
      </c>
      <c r="D156" s="57" t="s">
        <v>1227</v>
      </c>
      <c r="E156" s="60">
        <v>44404</v>
      </c>
      <c r="F156" s="58">
        <v>189.96</v>
      </c>
      <c r="G156" s="12" t="s">
        <v>1689</v>
      </c>
      <c r="H156" s="61">
        <f t="shared" si="4"/>
        <v>44404</v>
      </c>
    </row>
    <row r="157" spans="3:8" ht="13.5" customHeight="1" x14ac:dyDescent="0.2">
      <c r="C157" s="12" t="s">
        <v>76</v>
      </c>
      <c r="D157" s="57" t="s">
        <v>1193</v>
      </c>
      <c r="E157" s="60">
        <v>44404</v>
      </c>
      <c r="F157" s="58">
        <v>823.48</v>
      </c>
      <c r="G157" s="12" t="s">
        <v>1689</v>
      </c>
      <c r="H157" s="61">
        <f t="shared" si="4"/>
        <v>44404</v>
      </c>
    </row>
    <row r="158" spans="3:8" ht="13.5" customHeight="1" x14ac:dyDescent="0.2">
      <c r="C158" s="12" t="s">
        <v>72</v>
      </c>
      <c r="D158" s="57" t="s">
        <v>1201</v>
      </c>
      <c r="E158" s="60">
        <v>44404</v>
      </c>
      <c r="F158" s="58">
        <v>1500</v>
      </c>
      <c r="G158" s="12" t="s">
        <v>1688</v>
      </c>
      <c r="H158" s="61">
        <f t="shared" si="4"/>
        <v>44404</v>
      </c>
    </row>
    <row r="159" spans="3:8" ht="13.5" customHeight="1" x14ac:dyDescent="0.2">
      <c r="C159" s="12" t="s">
        <v>82</v>
      </c>
      <c r="D159" s="12" t="s">
        <v>1203</v>
      </c>
      <c r="E159" s="60">
        <v>44404</v>
      </c>
      <c r="F159" s="58">
        <v>1490.3</v>
      </c>
      <c r="G159" s="12" t="s">
        <v>1676</v>
      </c>
      <c r="H159" s="61">
        <f t="shared" si="4"/>
        <v>44404</v>
      </c>
    </row>
    <row r="160" spans="3:8" ht="13.5" customHeight="1" x14ac:dyDescent="0.2">
      <c r="C160" s="12" t="s">
        <v>76</v>
      </c>
      <c r="D160" s="57" t="s">
        <v>1207</v>
      </c>
      <c r="E160" s="60">
        <v>44405</v>
      </c>
      <c r="F160" s="58">
        <v>482</v>
      </c>
      <c r="G160" s="12" t="s">
        <v>1676</v>
      </c>
      <c r="H160" s="61">
        <f t="shared" si="4"/>
        <v>44405</v>
      </c>
    </row>
    <row r="161" spans="3:8" ht="13.5" customHeight="1" x14ac:dyDescent="0.2">
      <c r="C161" s="12" t="s">
        <v>135</v>
      </c>
      <c r="D161" s="57" t="s">
        <v>1116</v>
      </c>
      <c r="E161" s="60">
        <v>44405</v>
      </c>
      <c r="F161" s="58">
        <v>1000</v>
      </c>
      <c r="G161" s="12" t="s">
        <v>1676</v>
      </c>
      <c r="H161" s="61">
        <f t="shared" si="4"/>
        <v>44405</v>
      </c>
    </row>
    <row r="162" spans="3:8" ht="13.5" customHeight="1" x14ac:dyDescent="0.2">
      <c r="C162" s="12" t="s">
        <v>56</v>
      </c>
      <c r="D162" s="57" t="s">
        <v>1067</v>
      </c>
      <c r="E162" s="60">
        <v>44405</v>
      </c>
      <c r="F162" s="58">
        <v>11876</v>
      </c>
      <c r="G162" s="12" t="s">
        <v>1689</v>
      </c>
      <c r="H162" s="61">
        <f t="shared" si="4"/>
        <v>44405</v>
      </c>
    </row>
    <row r="163" spans="3:8" ht="13.5" customHeight="1" x14ac:dyDescent="0.2">
      <c r="C163" s="12" t="s">
        <v>56</v>
      </c>
      <c r="D163" s="57" t="s">
        <v>1235</v>
      </c>
      <c r="E163" s="60">
        <v>44405</v>
      </c>
      <c r="F163" s="58">
        <f>2893+2068+796</f>
        <v>5757</v>
      </c>
      <c r="G163" s="12" t="s">
        <v>1689</v>
      </c>
      <c r="H163" s="61">
        <f t="shared" ref="H163:H187" si="5">VLOOKUP(E163,$E$2723:$H$2937,4,FALSE)</f>
        <v>44405</v>
      </c>
    </row>
    <row r="164" spans="3:8" ht="13.5" customHeight="1" x14ac:dyDescent="0.2">
      <c r="C164" s="12" t="s">
        <v>80</v>
      </c>
      <c r="D164" s="57" t="s">
        <v>1192</v>
      </c>
      <c r="E164" s="60">
        <v>44405</v>
      </c>
      <c r="F164" s="58">
        <v>80</v>
      </c>
      <c r="G164" s="12" t="s">
        <v>1689</v>
      </c>
      <c r="H164" s="61">
        <f t="shared" si="5"/>
        <v>44405</v>
      </c>
    </row>
    <row r="165" spans="3:8" ht="13.5" customHeight="1" x14ac:dyDescent="0.2">
      <c r="C165" s="12" t="s">
        <v>96</v>
      </c>
      <c r="D165" s="57" t="s">
        <v>1180</v>
      </c>
      <c r="E165" s="60">
        <v>44405</v>
      </c>
      <c r="F165" s="58">
        <v>304.95999999999998</v>
      </c>
      <c r="G165" s="12" t="s">
        <v>1689</v>
      </c>
      <c r="H165" s="61">
        <f t="shared" si="5"/>
        <v>44405</v>
      </c>
    </row>
    <row r="166" spans="3:8" ht="13.5" customHeight="1" x14ac:dyDescent="0.2">
      <c r="C166" s="12" t="s">
        <v>159</v>
      </c>
      <c r="D166" s="57" t="s">
        <v>376</v>
      </c>
      <c r="E166" s="60">
        <v>44405</v>
      </c>
      <c r="F166" s="58">
        <v>134.36000000000001</v>
      </c>
      <c r="G166" s="12" t="s">
        <v>1689</v>
      </c>
      <c r="H166" s="61">
        <f t="shared" si="5"/>
        <v>44405</v>
      </c>
    </row>
    <row r="167" spans="3:8" ht="13.5" customHeight="1" x14ac:dyDescent="0.2">
      <c r="C167" s="12" t="s">
        <v>159</v>
      </c>
      <c r="D167" s="57" t="s">
        <v>1341</v>
      </c>
      <c r="E167" s="60">
        <v>44406</v>
      </c>
      <c r="F167" s="58">
        <v>584</v>
      </c>
      <c r="G167" s="12" t="s">
        <v>1689</v>
      </c>
      <c r="H167" s="61">
        <f t="shared" si="5"/>
        <v>44406</v>
      </c>
    </row>
    <row r="168" spans="3:8" ht="13.5" customHeight="1" x14ac:dyDescent="0.2">
      <c r="C168" s="12" t="s">
        <v>72</v>
      </c>
      <c r="D168" s="57" t="s">
        <v>778</v>
      </c>
      <c r="E168" s="60">
        <v>44406</v>
      </c>
      <c r="F168" s="58">
        <v>239.9</v>
      </c>
      <c r="G168" s="12" t="s">
        <v>1689</v>
      </c>
      <c r="H168" s="61">
        <f t="shared" si="5"/>
        <v>44406</v>
      </c>
    </row>
    <row r="169" spans="3:8" ht="13.5" customHeight="1" x14ac:dyDescent="0.2">
      <c r="C169" s="12" t="s">
        <v>131</v>
      </c>
      <c r="D169" s="57" t="s">
        <v>1236</v>
      </c>
      <c r="E169" s="60">
        <v>44406</v>
      </c>
      <c r="F169" s="58">
        <v>404.35</v>
      </c>
      <c r="G169" s="12" t="s">
        <v>1688</v>
      </c>
      <c r="H169" s="61">
        <f t="shared" si="5"/>
        <v>44406</v>
      </c>
    </row>
    <row r="170" spans="3:8" ht="13.5" customHeight="1" x14ac:dyDescent="0.2">
      <c r="C170" s="12" t="s">
        <v>622</v>
      </c>
      <c r="D170" s="57" t="s">
        <v>1273</v>
      </c>
      <c r="E170" s="60">
        <v>44406</v>
      </c>
      <c r="F170" s="58">
        <v>2160</v>
      </c>
      <c r="G170" s="12" t="s">
        <v>1689</v>
      </c>
      <c r="H170" s="61">
        <f t="shared" si="5"/>
        <v>44406</v>
      </c>
    </row>
    <row r="171" spans="3:8" ht="13.5" customHeight="1" x14ac:dyDescent="0.2">
      <c r="C171" s="12" t="s">
        <v>117</v>
      </c>
      <c r="D171" s="57" t="s">
        <v>1167</v>
      </c>
      <c r="E171" s="60">
        <v>44406</v>
      </c>
      <c r="F171" s="58">
        <v>250</v>
      </c>
      <c r="G171" s="12" t="s">
        <v>1676</v>
      </c>
      <c r="H171" s="61">
        <f t="shared" si="5"/>
        <v>44406</v>
      </c>
    </row>
    <row r="172" spans="3:8" ht="13.5" customHeight="1" x14ac:dyDescent="0.2">
      <c r="C172" s="12" t="s">
        <v>80</v>
      </c>
      <c r="D172" s="57" t="s">
        <v>236</v>
      </c>
      <c r="E172" s="60">
        <v>44406</v>
      </c>
      <c r="F172" s="58">
        <v>150</v>
      </c>
      <c r="G172" s="12" t="s">
        <v>1689</v>
      </c>
      <c r="H172" s="61">
        <f t="shared" si="5"/>
        <v>44406</v>
      </c>
    </row>
    <row r="173" spans="3:8" ht="13.5" customHeight="1" x14ac:dyDescent="0.2">
      <c r="C173" s="12" t="s">
        <v>83</v>
      </c>
      <c r="D173" s="57" t="s">
        <v>235</v>
      </c>
      <c r="E173" s="60">
        <v>44406</v>
      </c>
      <c r="F173" s="58">
        <v>400</v>
      </c>
      <c r="G173" s="12" t="s">
        <v>1689</v>
      </c>
      <c r="H173" s="61">
        <f t="shared" si="5"/>
        <v>44406</v>
      </c>
    </row>
    <row r="174" spans="3:8" ht="13.5" customHeight="1" x14ac:dyDescent="0.2">
      <c r="C174" s="12" t="s">
        <v>135</v>
      </c>
      <c r="D174" s="57" t="s">
        <v>1213</v>
      </c>
      <c r="E174" s="60">
        <v>44406</v>
      </c>
      <c r="F174" s="58">
        <v>3135</v>
      </c>
      <c r="G174" s="12" t="s">
        <v>1676</v>
      </c>
      <c r="H174" s="61">
        <f t="shared" si="5"/>
        <v>44406</v>
      </c>
    </row>
    <row r="175" spans="3:8" ht="13.5" customHeight="1" x14ac:dyDescent="0.2">
      <c r="C175" s="12" t="s">
        <v>135</v>
      </c>
      <c r="D175" s="57" t="s">
        <v>1212</v>
      </c>
      <c r="E175" s="60">
        <v>44406</v>
      </c>
      <c r="F175" s="58">
        <v>781.54</v>
      </c>
      <c r="G175" s="12" t="s">
        <v>1689</v>
      </c>
      <c r="H175" s="61">
        <f t="shared" si="5"/>
        <v>44406</v>
      </c>
    </row>
    <row r="176" spans="3:8" ht="13.5" customHeight="1" x14ac:dyDescent="0.2">
      <c r="C176" s="12" t="s">
        <v>76</v>
      </c>
      <c r="D176" s="57" t="s">
        <v>1200</v>
      </c>
      <c r="E176" s="60">
        <v>44406</v>
      </c>
      <c r="F176" s="58">
        <v>2867.09</v>
      </c>
      <c r="G176" s="12" t="s">
        <v>1689</v>
      </c>
      <c r="H176" s="61">
        <f t="shared" si="5"/>
        <v>44406</v>
      </c>
    </row>
    <row r="177" spans="3:8" ht="13.5" customHeight="1" x14ac:dyDescent="0.2">
      <c r="C177" s="12" t="s">
        <v>96</v>
      </c>
      <c r="D177" s="57" t="s">
        <v>667</v>
      </c>
      <c r="E177" s="60">
        <v>44406</v>
      </c>
      <c r="F177" s="58">
        <v>2200</v>
      </c>
      <c r="G177" s="12" t="s">
        <v>1689</v>
      </c>
      <c r="H177" s="61">
        <f t="shared" si="5"/>
        <v>44406</v>
      </c>
    </row>
    <row r="178" spans="3:8" ht="13.5" customHeight="1" x14ac:dyDescent="0.2">
      <c r="C178" s="12" t="s">
        <v>159</v>
      </c>
      <c r="D178" s="57" t="s">
        <v>1247</v>
      </c>
      <c r="E178" s="60">
        <v>44406</v>
      </c>
      <c r="F178" s="58">
        <v>829.43</v>
      </c>
      <c r="G178" s="12" t="s">
        <v>1689</v>
      </c>
      <c r="H178" s="61">
        <f t="shared" si="5"/>
        <v>44406</v>
      </c>
    </row>
    <row r="179" spans="3:8" ht="13.5" customHeight="1" x14ac:dyDescent="0.2">
      <c r="C179" s="12" t="s">
        <v>159</v>
      </c>
      <c r="D179" s="57" t="s">
        <v>1248</v>
      </c>
      <c r="E179" s="60">
        <v>44406</v>
      </c>
      <c r="F179" s="58">
        <v>220</v>
      </c>
      <c r="G179" s="12" t="s">
        <v>1689</v>
      </c>
      <c r="H179" s="61">
        <f t="shared" si="5"/>
        <v>44406</v>
      </c>
    </row>
    <row r="180" spans="3:8" ht="13.5" customHeight="1" x14ac:dyDescent="0.2">
      <c r="C180" s="12" t="s">
        <v>97</v>
      </c>
      <c r="D180" s="57" t="s">
        <v>69</v>
      </c>
      <c r="E180" s="60">
        <v>44406</v>
      </c>
      <c r="F180" s="58">
        <v>1274.4100000000001</v>
      </c>
      <c r="G180" s="12" t="s">
        <v>1689</v>
      </c>
      <c r="H180" s="61">
        <f t="shared" si="5"/>
        <v>44406</v>
      </c>
    </row>
    <row r="181" spans="3:8" ht="13.5" customHeight="1" x14ac:dyDescent="0.2">
      <c r="C181" s="12" t="s">
        <v>97</v>
      </c>
      <c r="D181" s="57" t="s">
        <v>1075</v>
      </c>
      <c r="E181" s="60">
        <v>44406</v>
      </c>
      <c r="F181" s="58">
        <v>617.64</v>
      </c>
      <c r="G181" s="12" t="s">
        <v>1689</v>
      </c>
      <c r="H181" s="61">
        <f t="shared" si="5"/>
        <v>44406</v>
      </c>
    </row>
    <row r="182" spans="3:8" ht="13.5" customHeight="1" x14ac:dyDescent="0.2">
      <c r="C182" s="12" t="s">
        <v>97</v>
      </c>
      <c r="D182" s="57" t="s">
        <v>375</v>
      </c>
      <c r="E182" s="60">
        <v>44406</v>
      </c>
      <c r="F182" s="58">
        <v>10500.77</v>
      </c>
      <c r="G182" s="12" t="s">
        <v>1689</v>
      </c>
      <c r="H182" s="61">
        <f t="shared" si="5"/>
        <v>44406</v>
      </c>
    </row>
    <row r="183" spans="3:8" ht="13.5" customHeight="1" x14ac:dyDescent="0.2">
      <c r="C183" s="12" t="s">
        <v>164</v>
      </c>
      <c r="D183" s="57" t="s">
        <v>1238</v>
      </c>
      <c r="E183" s="60">
        <v>44406</v>
      </c>
      <c r="F183" s="58">
        <v>630</v>
      </c>
      <c r="G183" s="12" t="s">
        <v>1676</v>
      </c>
      <c r="H183" s="61">
        <f t="shared" si="5"/>
        <v>44406</v>
      </c>
    </row>
    <row r="184" spans="3:8" ht="13.5" customHeight="1" x14ac:dyDescent="0.2">
      <c r="C184" s="12" t="s">
        <v>192</v>
      </c>
      <c r="D184" s="57" t="s">
        <v>1264</v>
      </c>
      <c r="E184" s="60">
        <v>44407</v>
      </c>
      <c r="F184" s="58">
        <v>531.99</v>
      </c>
      <c r="G184" s="12" t="s">
        <v>1689</v>
      </c>
      <c r="H184" s="61">
        <f t="shared" si="5"/>
        <v>44407</v>
      </c>
    </row>
    <row r="185" spans="3:8" ht="13.5" customHeight="1" x14ac:dyDescent="0.2">
      <c r="C185" s="12" t="s">
        <v>76</v>
      </c>
      <c r="D185" s="57" t="s">
        <v>1228</v>
      </c>
      <c r="E185" s="60">
        <v>44407</v>
      </c>
      <c r="F185" s="58">
        <v>3025</v>
      </c>
      <c r="G185" s="12" t="s">
        <v>1689</v>
      </c>
      <c r="H185" s="61">
        <f t="shared" si="5"/>
        <v>44407</v>
      </c>
    </row>
    <row r="186" spans="3:8" ht="13.5" customHeight="1" x14ac:dyDescent="0.2">
      <c r="C186" s="12" t="s">
        <v>72</v>
      </c>
      <c r="D186" s="57" t="s">
        <v>1202</v>
      </c>
      <c r="E186" s="60">
        <v>44407</v>
      </c>
      <c r="F186" s="58">
        <v>2000</v>
      </c>
      <c r="G186" s="12" t="s">
        <v>1688</v>
      </c>
      <c r="H186" s="61">
        <f t="shared" si="5"/>
        <v>44407</v>
      </c>
    </row>
    <row r="187" spans="3:8" ht="13.5" customHeight="1" x14ac:dyDescent="0.2">
      <c r="C187" s="12" t="s">
        <v>97</v>
      </c>
      <c r="D187" s="57" t="s">
        <v>348</v>
      </c>
      <c r="E187" s="60">
        <v>44407</v>
      </c>
      <c r="F187" s="58">
        <v>528.54</v>
      </c>
      <c r="G187" s="12" t="s">
        <v>1689</v>
      </c>
      <c r="H187" s="61">
        <f t="shared" si="5"/>
        <v>44407</v>
      </c>
    </row>
    <row r="188" spans="3:8" ht="13.5" customHeight="1" x14ac:dyDescent="0.2">
      <c r="E188" s="52"/>
      <c r="F188" s="41"/>
      <c r="H188" s="61"/>
    </row>
    <row r="189" spans="3:8" ht="13.5" customHeight="1" x14ac:dyDescent="0.2">
      <c r="E189" s="52"/>
      <c r="F189" s="41"/>
      <c r="H189" s="61"/>
    </row>
    <row r="190" spans="3:8" ht="13.5" customHeight="1" x14ac:dyDescent="0.2">
      <c r="E190" s="52"/>
      <c r="F190" s="41"/>
      <c r="H190" s="61"/>
    </row>
    <row r="191" spans="3:8" ht="13.5" customHeight="1" x14ac:dyDescent="0.2">
      <c r="E191" s="52"/>
      <c r="F191" s="41"/>
      <c r="H191" s="61"/>
    </row>
    <row r="192" spans="3:8" ht="13.5" customHeight="1" x14ac:dyDescent="0.2">
      <c r="E192" s="52"/>
      <c r="F192" s="41"/>
      <c r="H192" s="61"/>
    </row>
    <row r="193" spans="5:8" ht="13.5" customHeight="1" x14ac:dyDescent="0.2">
      <c r="E193" s="52"/>
      <c r="F193" s="41"/>
      <c r="H193" s="61"/>
    </row>
    <row r="194" spans="5:8" ht="13.5" customHeight="1" x14ac:dyDescent="0.2">
      <c r="E194" s="52"/>
      <c r="F194" s="41"/>
      <c r="H194" s="61"/>
    </row>
    <row r="195" spans="5:8" ht="13.5" customHeight="1" x14ac:dyDescent="0.2">
      <c r="E195" s="52"/>
      <c r="F195" s="41"/>
      <c r="H195" s="61"/>
    </row>
    <row r="196" spans="5:8" ht="13.5" customHeight="1" x14ac:dyDescent="0.2">
      <c r="E196" s="52"/>
      <c r="F196" s="41"/>
      <c r="H196" s="61"/>
    </row>
    <row r="197" spans="5:8" ht="13.5" customHeight="1" x14ac:dyDescent="0.2">
      <c r="E197" s="52"/>
      <c r="F197" s="41"/>
      <c r="H197" s="61"/>
    </row>
    <row r="198" spans="5:8" ht="13.5" customHeight="1" x14ac:dyDescent="0.2">
      <c r="E198" s="52"/>
      <c r="F198" s="41"/>
      <c r="H198" s="61"/>
    </row>
    <row r="199" spans="5:8" ht="13.5" customHeight="1" x14ac:dyDescent="0.2">
      <c r="E199" s="52"/>
      <c r="F199" s="41"/>
      <c r="H199" s="61"/>
    </row>
    <row r="200" spans="5:8" ht="13.5" customHeight="1" x14ac:dyDescent="0.2">
      <c r="E200" s="52"/>
      <c r="F200" s="41"/>
      <c r="H200" s="61"/>
    </row>
    <row r="201" spans="5:8" ht="13.5" customHeight="1" x14ac:dyDescent="0.2">
      <c r="E201" s="52"/>
      <c r="F201" s="41"/>
      <c r="H201" s="61"/>
    </row>
    <row r="202" spans="5:8" ht="13.5" customHeight="1" x14ac:dyDescent="0.2">
      <c r="E202" s="52"/>
      <c r="F202" s="41"/>
      <c r="H202" s="61"/>
    </row>
    <row r="203" spans="5:8" ht="13.5" customHeight="1" x14ac:dyDescent="0.2">
      <c r="E203" s="52"/>
      <c r="F203" s="41"/>
      <c r="H203" s="61"/>
    </row>
    <row r="204" spans="5:8" ht="13.5" customHeight="1" x14ac:dyDescent="0.2">
      <c r="E204" s="52"/>
      <c r="F204" s="41"/>
      <c r="H204" s="61"/>
    </row>
    <row r="205" spans="5:8" ht="13.5" customHeight="1" x14ac:dyDescent="0.2">
      <c r="E205" s="52"/>
      <c r="F205" s="41"/>
      <c r="H205" s="61"/>
    </row>
    <row r="206" spans="5:8" ht="13.5" customHeight="1" x14ac:dyDescent="0.2">
      <c r="E206" s="52"/>
      <c r="F206" s="41"/>
      <c r="H206" s="61"/>
    </row>
    <row r="207" spans="5:8" ht="13.5" customHeight="1" x14ac:dyDescent="0.2">
      <c r="E207" s="52"/>
      <c r="F207" s="41"/>
      <c r="H207" s="61"/>
    </row>
    <row r="208" spans="5:8" ht="13.5" customHeight="1" x14ac:dyDescent="0.2">
      <c r="E208" s="52"/>
      <c r="F208" s="41"/>
      <c r="H208" s="61"/>
    </row>
    <row r="209" spans="5:8" ht="13.5" customHeight="1" x14ac:dyDescent="0.2">
      <c r="E209" s="52"/>
      <c r="F209" s="41"/>
      <c r="H209" s="61"/>
    </row>
    <row r="210" spans="5:8" ht="13.5" customHeight="1" x14ac:dyDescent="0.2">
      <c r="E210" s="52"/>
      <c r="F210" s="41"/>
      <c r="H210" s="61"/>
    </row>
    <row r="211" spans="5:8" ht="13.5" customHeight="1" x14ac:dyDescent="0.2">
      <c r="E211" s="52"/>
      <c r="F211" s="41"/>
      <c r="H211" s="61"/>
    </row>
    <row r="212" spans="5:8" ht="13.5" customHeight="1" x14ac:dyDescent="0.2">
      <c r="E212" s="52"/>
      <c r="F212" s="41"/>
      <c r="H212" s="61"/>
    </row>
    <row r="213" spans="5:8" ht="13.5" customHeight="1" x14ac:dyDescent="0.2">
      <c r="E213" s="52"/>
      <c r="F213" s="41"/>
      <c r="H213" s="61"/>
    </row>
    <row r="214" spans="5:8" ht="13.5" customHeight="1" x14ac:dyDescent="0.2">
      <c r="E214" s="52"/>
      <c r="F214" s="41"/>
      <c r="H214" s="61"/>
    </row>
    <row r="215" spans="5:8" ht="13.5" customHeight="1" x14ac:dyDescent="0.2">
      <c r="E215" s="52"/>
      <c r="F215" s="41"/>
      <c r="H215" s="61"/>
    </row>
    <row r="216" spans="5:8" ht="13.5" customHeight="1" x14ac:dyDescent="0.2">
      <c r="E216" s="52"/>
      <c r="H216" s="61"/>
    </row>
    <row r="217" spans="5:8" ht="13.5" customHeight="1" x14ac:dyDescent="0.2">
      <c r="E217" s="52"/>
      <c r="H217" s="61"/>
    </row>
    <row r="218" spans="5:8" ht="13.5" customHeight="1" x14ac:dyDescent="0.2">
      <c r="E218" s="52"/>
      <c r="H218" s="61"/>
    </row>
    <row r="219" spans="5:8" ht="13.5" customHeight="1" x14ac:dyDescent="0.2">
      <c r="E219" s="52"/>
      <c r="H219" s="61"/>
    </row>
    <row r="220" spans="5:8" ht="13.5" customHeight="1" x14ac:dyDescent="0.2">
      <c r="E220" s="52"/>
      <c r="H220" s="61"/>
    </row>
    <row r="221" spans="5:8" ht="13.5" customHeight="1" x14ac:dyDescent="0.2">
      <c r="E221" s="52"/>
      <c r="H221" s="61"/>
    </row>
    <row r="222" spans="5:8" ht="13.5" customHeight="1" x14ac:dyDescent="0.2">
      <c r="E222" s="52"/>
      <c r="H222" s="61"/>
    </row>
    <row r="223" spans="5:8" ht="13.5" customHeight="1" x14ac:dyDescent="0.2">
      <c r="E223" s="52"/>
      <c r="H223" s="61"/>
    </row>
    <row r="224" spans="5:8" ht="13.5" customHeight="1" x14ac:dyDescent="0.2">
      <c r="E224" s="52"/>
      <c r="H224" s="61"/>
    </row>
    <row r="225" spans="5:8" ht="13.5" customHeight="1" x14ac:dyDescent="0.2">
      <c r="E225" s="52"/>
      <c r="H225" s="61"/>
    </row>
    <row r="226" spans="5:8" ht="13.5" customHeight="1" x14ac:dyDescent="0.2">
      <c r="E226" s="52"/>
      <c r="H226" s="61"/>
    </row>
    <row r="227" spans="5:8" ht="13.5" customHeight="1" x14ac:dyDescent="0.2">
      <c r="E227" s="52"/>
      <c r="H227" s="61"/>
    </row>
    <row r="228" spans="5:8" ht="13.5" customHeight="1" x14ac:dyDescent="0.2">
      <c r="E228" s="52"/>
      <c r="H228" s="61"/>
    </row>
    <row r="229" spans="5:8" ht="13.5" customHeight="1" x14ac:dyDescent="0.2">
      <c r="E229" s="52"/>
      <c r="H229" s="61"/>
    </row>
    <row r="230" spans="5:8" ht="13.5" customHeight="1" x14ac:dyDescent="0.2">
      <c r="E230" s="52"/>
      <c r="H230" s="61"/>
    </row>
    <row r="231" spans="5:8" ht="13.5" customHeight="1" x14ac:dyDescent="0.2">
      <c r="E231" s="52"/>
      <c r="H231" s="61"/>
    </row>
    <row r="232" spans="5:8" ht="13.5" customHeight="1" x14ac:dyDescent="0.2">
      <c r="E232" s="52"/>
      <c r="H232" s="61"/>
    </row>
    <row r="233" spans="5:8" ht="13.5" customHeight="1" x14ac:dyDescent="0.2">
      <c r="E233" s="52"/>
      <c r="H233" s="61"/>
    </row>
    <row r="234" spans="5:8" ht="13.5" customHeight="1" x14ac:dyDescent="0.2">
      <c r="E234" s="52"/>
      <c r="H234" s="61"/>
    </row>
    <row r="235" spans="5:8" ht="13.5" customHeight="1" x14ac:dyDescent="0.2">
      <c r="E235" s="52"/>
      <c r="H235" s="61"/>
    </row>
    <row r="236" spans="5:8" ht="13.5" customHeight="1" x14ac:dyDescent="0.2">
      <c r="E236" s="52"/>
      <c r="H236" s="61"/>
    </row>
    <row r="237" spans="5:8" ht="13.5" customHeight="1" x14ac:dyDescent="0.2">
      <c r="E237" s="52"/>
      <c r="H237" s="61"/>
    </row>
    <row r="238" spans="5:8" ht="13.5" customHeight="1" x14ac:dyDescent="0.2">
      <c r="E238" s="52"/>
      <c r="H238" s="61"/>
    </row>
    <row r="239" spans="5:8" ht="13.5" customHeight="1" x14ac:dyDescent="0.2">
      <c r="E239" s="52"/>
      <c r="H239" s="61"/>
    </row>
    <row r="240" spans="5:8" ht="13.5" customHeight="1" x14ac:dyDescent="0.2">
      <c r="E240" s="52"/>
      <c r="H240" s="61"/>
    </row>
    <row r="241" spans="5:8" ht="13.5" customHeight="1" x14ac:dyDescent="0.2">
      <c r="E241" s="52"/>
      <c r="H241" s="61"/>
    </row>
    <row r="242" spans="5:8" ht="13.5" customHeight="1" x14ac:dyDescent="0.2">
      <c r="E242" s="52"/>
      <c r="H242" s="61"/>
    </row>
    <row r="243" spans="5:8" ht="13.5" customHeight="1" x14ac:dyDescent="0.2">
      <c r="E243" s="52"/>
      <c r="H243" s="61"/>
    </row>
    <row r="244" spans="5:8" ht="13.5" customHeight="1" x14ac:dyDescent="0.2">
      <c r="E244" s="52"/>
      <c r="H244" s="61"/>
    </row>
    <row r="245" spans="5:8" ht="13.5" customHeight="1" x14ac:dyDescent="0.2">
      <c r="E245" s="52"/>
      <c r="H245" s="61"/>
    </row>
    <row r="246" spans="5:8" ht="13.5" customHeight="1" x14ac:dyDescent="0.2">
      <c r="E246" s="52"/>
      <c r="H246" s="61"/>
    </row>
    <row r="247" spans="5:8" ht="13.5" customHeight="1" x14ac:dyDescent="0.2">
      <c r="E247" s="52"/>
      <c r="H247" s="61"/>
    </row>
    <row r="248" spans="5:8" ht="13.5" customHeight="1" x14ac:dyDescent="0.2">
      <c r="E248" s="52"/>
      <c r="H248" s="61"/>
    </row>
    <row r="249" spans="5:8" ht="13.5" customHeight="1" x14ac:dyDescent="0.2">
      <c r="E249" s="52"/>
      <c r="H249" s="61"/>
    </row>
    <row r="250" spans="5:8" ht="13.5" customHeight="1" x14ac:dyDescent="0.2">
      <c r="E250" s="52"/>
      <c r="H250" s="61"/>
    </row>
    <row r="251" spans="5:8" ht="13.5" customHeight="1" x14ac:dyDescent="0.2">
      <c r="E251" s="52"/>
      <c r="H251" s="61"/>
    </row>
    <row r="252" spans="5:8" ht="13.5" customHeight="1" x14ac:dyDescent="0.2">
      <c r="E252" s="52"/>
      <c r="H252" s="61"/>
    </row>
    <row r="253" spans="5:8" ht="13.5" customHeight="1" x14ac:dyDescent="0.2">
      <c r="E253" s="52"/>
      <c r="H253" s="61"/>
    </row>
    <row r="254" spans="5:8" ht="13.5" customHeight="1" x14ac:dyDescent="0.2">
      <c r="E254" s="52"/>
      <c r="H254" s="61"/>
    </row>
    <row r="255" spans="5:8" ht="13.5" customHeight="1" x14ac:dyDescent="0.2">
      <c r="E255" s="52"/>
      <c r="H255" s="61"/>
    </row>
    <row r="256" spans="5:8" ht="13.5" customHeight="1" x14ac:dyDescent="0.2">
      <c r="E256" s="52"/>
      <c r="H256" s="61"/>
    </row>
    <row r="257" spans="5:8" ht="13.5" customHeight="1" x14ac:dyDescent="0.2">
      <c r="E257" s="52"/>
      <c r="H257" s="61"/>
    </row>
    <row r="258" spans="5:8" ht="13.5" customHeight="1" x14ac:dyDescent="0.2">
      <c r="E258" s="52"/>
      <c r="H258" s="61"/>
    </row>
    <row r="259" spans="5:8" ht="13.5" customHeight="1" x14ac:dyDescent="0.2">
      <c r="E259" s="52"/>
      <c r="H259" s="61"/>
    </row>
    <row r="260" spans="5:8" ht="13.5" customHeight="1" x14ac:dyDescent="0.2">
      <c r="E260" s="52"/>
      <c r="H260" s="61"/>
    </row>
    <row r="261" spans="5:8" ht="13.5" customHeight="1" x14ac:dyDescent="0.2">
      <c r="E261" s="52"/>
      <c r="H261" s="61"/>
    </row>
    <row r="262" spans="5:8" ht="13.5" customHeight="1" x14ac:dyDescent="0.2">
      <c r="E262" s="52"/>
      <c r="H262" s="61"/>
    </row>
    <row r="263" spans="5:8" ht="13.5" customHeight="1" x14ac:dyDescent="0.2">
      <c r="E263" s="52"/>
      <c r="H263" s="61"/>
    </row>
    <row r="264" spans="5:8" ht="13.5" customHeight="1" x14ac:dyDescent="0.2">
      <c r="E264" s="52"/>
      <c r="H264" s="61"/>
    </row>
    <row r="265" spans="5:8" ht="13.5" customHeight="1" x14ac:dyDescent="0.2">
      <c r="E265" s="52"/>
      <c r="H265" s="61"/>
    </row>
    <row r="266" spans="5:8" ht="13.5" customHeight="1" x14ac:dyDescent="0.2">
      <c r="E266" s="52"/>
      <c r="H266" s="61"/>
    </row>
    <row r="267" spans="5:8" ht="13.5" customHeight="1" x14ac:dyDescent="0.2">
      <c r="E267" s="52"/>
      <c r="H267" s="61"/>
    </row>
    <row r="268" spans="5:8" ht="13.5" customHeight="1" x14ac:dyDescent="0.2">
      <c r="E268" s="52"/>
      <c r="H268" s="61"/>
    </row>
    <row r="269" spans="5:8" ht="13.5" customHeight="1" x14ac:dyDescent="0.2">
      <c r="E269" s="52"/>
      <c r="H269" s="61"/>
    </row>
    <row r="270" spans="5:8" ht="13.5" customHeight="1" x14ac:dyDescent="0.2">
      <c r="E270" s="52"/>
      <c r="H270" s="61"/>
    </row>
    <row r="271" spans="5:8" ht="13.5" customHeight="1" x14ac:dyDescent="0.2">
      <c r="E271" s="52"/>
      <c r="H271" s="61"/>
    </row>
    <row r="272" spans="5:8" ht="13.5" customHeight="1" x14ac:dyDescent="0.2">
      <c r="E272" s="52"/>
      <c r="H272" s="61"/>
    </row>
    <row r="273" spans="5:8" ht="13.5" customHeight="1" x14ac:dyDescent="0.2">
      <c r="E273" s="52"/>
      <c r="H273" s="61"/>
    </row>
    <row r="274" spans="5:8" ht="13.5" customHeight="1" x14ac:dyDescent="0.2">
      <c r="E274" s="52"/>
      <c r="H274" s="61"/>
    </row>
    <row r="275" spans="5:8" ht="13.5" customHeight="1" x14ac:dyDescent="0.2">
      <c r="E275" s="52"/>
      <c r="H275" s="61"/>
    </row>
    <row r="276" spans="5:8" ht="13.5" customHeight="1" x14ac:dyDescent="0.2">
      <c r="E276" s="52"/>
      <c r="H276" s="61"/>
    </row>
    <row r="277" spans="5:8" ht="13.5" customHeight="1" x14ac:dyDescent="0.2">
      <c r="E277" s="52"/>
      <c r="H277" s="61"/>
    </row>
    <row r="278" spans="5:8" ht="13.5" customHeight="1" x14ac:dyDescent="0.2">
      <c r="E278" s="52"/>
      <c r="H278" s="61"/>
    </row>
    <row r="279" spans="5:8" ht="13.5" customHeight="1" x14ac:dyDescent="0.2">
      <c r="E279" s="52"/>
      <c r="H279" s="61"/>
    </row>
    <row r="280" spans="5:8" ht="13.5" customHeight="1" x14ac:dyDescent="0.2">
      <c r="E280" s="52"/>
      <c r="H280" s="61"/>
    </row>
    <row r="281" spans="5:8" ht="13.5" customHeight="1" x14ac:dyDescent="0.2">
      <c r="E281" s="52"/>
      <c r="H281" s="61"/>
    </row>
    <row r="282" spans="5:8" ht="13.5" customHeight="1" x14ac:dyDescent="0.2">
      <c r="E282" s="52"/>
      <c r="H282" s="61"/>
    </row>
    <row r="283" spans="5:8" ht="13.5" customHeight="1" x14ac:dyDescent="0.2">
      <c r="E283" s="52"/>
      <c r="H283" s="61"/>
    </row>
    <row r="284" spans="5:8" ht="13.5" customHeight="1" x14ac:dyDescent="0.2">
      <c r="E284" s="52"/>
      <c r="H284" s="61"/>
    </row>
    <row r="285" spans="5:8" ht="13.5" customHeight="1" x14ac:dyDescent="0.2">
      <c r="E285" s="52"/>
      <c r="H285" s="61"/>
    </row>
    <row r="286" spans="5:8" ht="13.5" customHeight="1" x14ac:dyDescent="0.2">
      <c r="E286" s="52"/>
      <c r="H286" s="61"/>
    </row>
    <row r="287" spans="5:8" ht="13.5" customHeight="1" x14ac:dyDescent="0.2">
      <c r="E287" s="52"/>
      <c r="H287" s="61"/>
    </row>
    <row r="288" spans="5:8" ht="13.5" customHeight="1" x14ac:dyDescent="0.2">
      <c r="E288" s="52"/>
      <c r="H288" s="61"/>
    </row>
    <row r="289" spans="5:8" ht="13.5" customHeight="1" x14ac:dyDescent="0.2">
      <c r="E289" s="52"/>
      <c r="H289" s="61"/>
    </row>
    <row r="290" spans="5:8" ht="13.5" customHeight="1" x14ac:dyDescent="0.2">
      <c r="E290" s="52"/>
      <c r="H290" s="61"/>
    </row>
    <row r="291" spans="5:8" ht="13.5" customHeight="1" x14ac:dyDescent="0.2">
      <c r="E291" s="52"/>
      <c r="H291" s="61"/>
    </row>
    <row r="292" spans="5:8" ht="13.5" customHeight="1" x14ac:dyDescent="0.2">
      <c r="E292" s="52"/>
      <c r="H292" s="61"/>
    </row>
    <row r="293" spans="5:8" ht="13.5" customHeight="1" x14ac:dyDescent="0.2">
      <c r="E293" s="52"/>
      <c r="H293" s="61"/>
    </row>
    <row r="294" spans="5:8" ht="13.5" customHeight="1" x14ac:dyDescent="0.2">
      <c r="E294" s="52"/>
      <c r="H294" s="61"/>
    </row>
    <row r="295" spans="5:8" ht="13.5" customHeight="1" x14ac:dyDescent="0.2">
      <c r="E295" s="52"/>
      <c r="H295" s="61"/>
    </row>
    <row r="296" spans="5:8" ht="13.5" customHeight="1" x14ac:dyDescent="0.2">
      <c r="E296" s="52"/>
      <c r="H296" s="61"/>
    </row>
    <row r="297" spans="5:8" ht="13.5" customHeight="1" x14ac:dyDescent="0.2">
      <c r="E297" s="52"/>
      <c r="H297" s="61"/>
    </row>
    <row r="298" spans="5:8" ht="13.5" customHeight="1" x14ac:dyDescent="0.2">
      <c r="E298" s="52"/>
      <c r="H298" s="61"/>
    </row>
    <row r="299" spans="5:8" ht="13.5" customHeight="1" x14ac:dyDescent="0.2">
      <c r="E299" s="52"/>
      <c r="H299" s="61"/>
    </row>
    <row r="300" spans="5:8" ht="13.5" customHeight="1" x14ac:dyDescent="0.2">
      <c r="E300" s="52"/>
      <c r="H300" s="61"/>
    </row>
    <row r="301" spans="5:8" ht="13.5" customHeight="1" x14ac:dyDescent="0.2">
      <c r="E301" s="52"/>
      <c r="H301" s="61"/>
    </row>
    <row r="302" spans="5:8" ht="13.5" customHeight="1" x14ac:dyDescent="0.2">
      <c r="E302" s="52"/>
      <c r="H302" s="61"/>
    </row>
    <row r="303" spans="5:8" ht="13.5" customHeight="1" x14ac:dyDescent="0.2">
      <c r="E303" s="52"/>
      <c r="H303" s="61"/>
    </row>
    <row r="304" spans="5:8" ht="13.5" customHeight="1" x14ac:dyDescent="0.2">
      <c r="E304" s="52"/>
      <c r="H304" s="61"/>
    </row>
    <row r="305" spans="5:8" ht="13.5" customHeight="1" x14ac:dyDescent="0.2">
      <c r="E305" s="52"/>
      <c r="H305" s="61"/>
    </row>
    <row r="306" spans="5:8" ht="13.5" customHeight="1" x14ac:dyDescent="0.2">
      <c r="E306" s="52"/>
      <c r="H306" s="61"/>
    </row>
    <row r="307" spans="5:8" ht="13.5" customHeight="1" x14ac:dyDescent="0.2">
      <c r="E307" s="52"/>
      <c r="H307" s="61"/>
    </row>
    <row r="308" spans="5:8" ht="13.5" customHeight="1" x14ac:dyDescent="0.2">
      <c r="E308" s="52"/>
      <c r="H308" s="61"/>
    </row>
    <row r="309" spans="5:8" ht="13.5" customHeight="1" x14ac:dyDescent="0.2">
      <c r="E309" s="52"/>
      <c r="H309" s="61"/>
    </row>
    <row r="310" spans="5:8" ht="13.5" customHeight="1" x14ac:dyDescent="0.2">
      <c r="E310" s="52"/>
      <c r="H310" s="61"/>
    </row>
    <row r="311" spans="5:8" ht="13.5" customHeight="1" x14ac:dyDescent="0.2">
      <c r="E311" s="52"/>
      <c r="H311" s="61"/>
    </row>
    <row r="312" spans="5:8" ht="13.5" customHeight="1" x14ac:dyDescent="0.2">
      <c r="E312" s="52"/>
      <c r="H312" s="61"/>
    </row>
    <row r="313" spans="5:8" ht="13.5" customHeight="1" x14ac:dyDescent="0.2">
      <c r="E313" s="52"/>
      <c r="H313" s="61"/>
    </row>
    <row r="314" spans="5:8" ht="13.5" customHeight="1" x14ac:dyDescent="0.2">
      <c r="E314" s="52"/>
      <c r="H314" s="61"/>
    </row>
    <row r="315" spans="5:8" ht="13.5" customHeight="1" x14ac:dyDescent="0.2">
      <c r="E315" s="52"/>
      <c r="H315" s="61"/>
    </row>
    <row r="316" spans="5:8" ht="13.5" customHeight="1" x14ac:dyDescent="0.2">
      <c r="E316" s="52"/>
      <c r="H316" s="61"/>
    </row>
    <row r="317" spans="5:8" ht="13.5" customHeight="1" x14ac:dyDescent="0.2">
      <c r="E317" s="52"/>
      <c r="H317" s="61"/>
    </row>
    <row r="318" spans="5:8" ht="13.5" customHeight="1" x14ac:dyDescent="0.2">
      <c r="E318" s="52"/>
      <c r="H318" s="61"/>
    </row>
    <row r="319" spans="5:8" ht="13.5" customHeight="1" x14ac:dyDescent="0.2">
      <c r="E319" s="52"/>
      <c r="H319" s="61"/>
    </row>
    <row r="320" spans="5:8" ht="13.5" customHeight="1" x14ac:dyDescent="0.2">
      <c r="E320" s="52"/>
      <c r="H320" s="61"/>
    </row>
    <row r="321" spans="5:8" ht="13.5" customHeight="1" x14ac:dyDescent="0.2">
      <c r="E321" s="52"/>
      <c r="H321" s="61"/>
    </row>
    <row r="322" spans="5:8" ht="13.5" customHeight="1" x14ac:dyDescent="0.2">
      <c r="E322" s="52"/>
      <c r="H322" s="61"/>
    </row>
    <row r="323" spans="5:8" ht="13.5" customHeight="1" x14ac:dyDescent="0.2">
      <c r="E323" s="52"/>
      <c r="H323" s="61"/>
    </row>
    <row r="324" spans="5:8" ht="13.5" customHeight="1" x14ac:dyDescent="0.2">
      <c r="E324" s="52"/>
      <c r="H324" s="61"/>
    </row>
    <row r="325" spans="5:8" ht="13.5" customHeight="1" x14ac:dyDescent="0.2">
      <c r="E325" s="52"/>
      <c r="H325" s="61"/>
    </row>
    <row r="326" spans="5:8" ht="13.5" customHeight="1" x14ac:dyDescent="0.2">
      <c r="E326" s="52"/>
      <c r="H326" s="61"/>
    </row>
    <row r="327" spans="5:8" ht="13.5" customHeight="1" x14ac:dyDescent="0.2">
      <c r="E327" s="52"/>
      <c r="H327" s="61"/>
    </row>
    <row r="328" spans="5:8" ht="13.5" customHeight="1" x14ac:dyDescent="0.2">
      <c r="E328" s="52"/>
      <c r="H328" s="61"/>
    </row>
    <row r="329" spans="5:8" ht="13.5" customHeight="1" x14ac:dyDescent="0.2">
      <c r="E329" s="52"/>
      <c r="H329" s="61"/>
    </row>
    <row r="330" spans="5:8" ht="13.5" customHeight="1" x14ac:dyDescent="0.2">
      <c r="E330" s="52"/>
      <c r="H330" s="61"/>
    </row>
    <row r="331" spans="5:8" ht="13.5" customHeight="1" x14ac:dyDescent="0.2">
      <c r="E331" s="52"/>
      <c r="H331" s="61"/>
    </row>
    <row r="332" spans="5:8" ht="13.5" customHeight="1" x14ac:dyDescent="0.2">
      <c r="E332" s="52"/>
      <c r="H332" s="61"/>
    </row>
    <row r="333" spans="5:8" ht="13.5" customHeight="1" x14ac:dyDescent="0.2">
      <c r="E333" s="52"/>
      <c r="H333" s="61"/>
    </row>
    <row r="334" spans="5:8" ht="13.5" customHeight="1" x14ac:dyDescent="0.2">
      <c r="E334" s="52"/>
      <c r="H334" s="61"/>
    </row>
    <row r="335" spans="5:8" ht="13.5" customHeight="1" x14ac:dyDescent="0.2">
      <c r="E335" s="52"/>
      <c r="H335" s="61"/>
    </row>
    <row r="336" spans="5:8" ht="13.5" customHeight="1" x14ac:dyDescent="0.2">
      <c r="E336" s="52"/>
      <c r="H336" s="61"/>
    </row>
    <row r="337" spans="5:8" ht="13.5" customHeight="1" x14ac:dyDescent="0.2">
      <c r="E337" s="52"/>
      <c r="H337" s="61"/>
    </row>
    <row r="338" spans="5:8" ht="13.5" customHeight="1" x14ac:dyDescent="0.2">
      <c r="E338" s="52"/>
      <c r="H338" s="61"/>
    </row>
    <row r="339" spans="5:8" ht="13.5" customHeight="1" x14ac:dyDescent="0.2">
      <c r="E339" s="52"/>
      <c r="H339" s="61"/>
    </row>
    <row r="340" spans="5:8" ht="13.5" customHeight="1" x14ac:dyDescent="0.2">
      <c r="E340" s="52"/>
      <c r="H340" s="61"/>
    </row>
    <row r="341" spans="5:8" ht="13.5" customHeight="1" x14ac:dyDescent="0.2">
      <c r="E341" s="52"/>
      <c r="H341" s="61"/>
    </row>
    <row r="342" spans="5:8" ht="13.5" customHeight="1" x14ac:dyDescent="0.2">
      <c r="E342" s="52"/>
      <c r="H342" s="61"/>
    </row>
    <row r="343" spans="5:8" ht="13.5" customHeight="1" x14ac:dyDescent="0.2">
      <c r="E343" s="52"/>
      <c r="H343" s="61"/>
    </row>
    <row r="344" spans="5:8" ht="13.5" customHeight="1" x14ac:dyDescent="0.2">
      <c r="E344" s="52"/>
      <c r="H344" s="61"/>
    </row>
    <row r="345" spans="5:8" ht="13.5" customHeight="1" x14ac:dyDescent="0.2">
      <c r="E345" s="52"/>
      <c r="H345" s="61"/>
    </row>
    <row r="346" spans="5:8" ht="13.5" customHeight="1" x14ac:dyDescent="0.2">
      <c r="E346" s="52"/>
      <c r="H346" s="61"/>
    </row>
    <row r="347" spans="5:8" ht="13.5" customHeight="1" x14ac:dyDescent="0.2">
      <c r="E347" s="52"/>
      <c r="H347" s="61"/>
    </row>
    <row r="348" spans="5:8" ht="13.5" customHeight="1" x14ac:dyDescent="0.2">
      <c r="E348" s="52"/>
      <c r="H348" s="61"/>
    </row>
    <row r="349" spans="5:8" ht="13.5" customHeight="1" x14ac:dyDescent="0.2">
      <c r="E349" s="52"/>
      <c r="H349" s="61"/>
    </row>
    <row r="350" spans="5:8" ht="13.5" customHeight="1" x14ac:dyDescent="0.2">
      <c r="E350" s="52"/>
      <c r="H350" s="61"/>
    </row>
    <row r="351" spans="5:8" ht="13.5" customHeight="1" x14ac:dyDescent="0.2">
      <c r="E351" s="52"/>
      <c r="H351" s="61"/>
    </row>
    <row r="352" spans="5:8" ht="13.5" customHeight="1" x14ac:dyDescent="0.2">
      <c r="E352" s="52"/>
      <c r="H352" s="61"/>
    </row>
    <row r="353" spans="5:8" ht="13.5" customHeight="1" x14ac:dyDescent="0.2">
      <c r="E353" s="52"/>
      <c r="H353" s="61"/>
    </row>
    <row r="354" spans="5:8" ht="13.5" customHeight="1" x14ac:dyDescent="0.2">
      <c r="E354" s="52"/>
      <c r="H354" s="61"/>
    </row>
    <row r="355" spans="5:8" ht="13.5" customHeight="1" x14ac:dyDescent="0.2">
      <c r="E355" s="52"/>
      <c r="H355" s="61"/>
    </row>
    <row r="356" spans="5:8" ht="13.5" customHeight="1" x14ac:dyDescent="0.2">
      <c r="E356" s="52"/>
      <c r="H356" s="61"/>
    </row>
    <row r="357" spans="5:8" ht="13.5" customHeight="1" x14ac:dyDescent="0.2">
      <c r="E357" s="52"/>
      <c r="H357" s="61"/>
    </row>
    <row r="358" spans="5:8" ht="13.5" customHeight="1" x14ac:dyDescent="0.2">
      <c r="E358" s="52"/>
      <c r="H358" s="61"/>
    </row>
    <row r="359" spans="5:8" ht="13.5" customHeight="1" x14ac:dyDescent="0.2">
      <c r="E359" s="52"/>
      <c r="H359" s="61"/>
    </row>
    <row r="360" spans="5:8" ht="13.5" customHeight="1" x14ac:dyDescent="0.2">
      <c r="E360" s="52"/>
      <c r="H360" s="61"/>
    </row>
    <row r="361" spans="5:8" ht="13.5" customHeight="1" x14ac:dyDescent="0.2">
      <c r="E361" s="52"/>
      <c r="H361" s="61"/>
    </row>
    <row r="362" spans="5:8" ht="13.5" customHeight="1" x14ac:dyDescent="0.2">
      <c r="E362" s="52"/>
      <c r="H362" s="61"/>
    </row>
    <row r="363" spans="5:8" ht="13.5" customHeight="1" x14ac:dyDescent="0.2">
      <c r="E363" s="52"/>
      <c r="H363" s="61"/>
    </row>
    <row r="364" spans="5:8" ht="13.5" customHeight="1" x14ac:dyDescent="0.2">
      <c r="E364" s="52"/>
      <c r="H364" s="61"/>
    </row>
    <row r="365" spans="5:8" ht="14.25" customHeight="1" x14ac:dyDescent="0.2">
      <c r="E365" s="52"/>
      <c r="H365" s="61"/>
    </row>
    <row r="366" spans="5:8" ht="14.25" customHeight="1" x14ac:dyDescent="0.2">
      <c r="E366" s="52"/>
      <c r="H366" s="61"/>
    </row>
    <row r="367" spans="5:8" ht="14.25" customHeight="1" x14ac:dyDescent="0.2">
      <c r="E367" s="52"/>
      <c r="H367" s="61"/>
    </row>
    <row r="368" spans="5:8" ht="14.25" customHeight="1" x14ac:dyDescent="0.2">
      <c r="E368" s="52"/>
      <c r="H368" s="61"/>
    </row>
    <row r="369" spans="5:8" ht="14.25" customHeight="1" x14ac:dyDescent="0.2">
      <c r="E369" s="52"/>
      <c r="H369" s="61"/>
    </row>
    <row r="370" spans="5:8" ht="14.25" customHeight="1" x14ac:dyDescent="0.2">
      <c r="E370" s="52"/>
      <c r="H370" s="61"/>
    </row>
    <row r="371" spans="5:8" ht="14.25" customHeight="1" x14ac:dyDescent="0.2">
      <c r="E371" s="52"/>
      <c r="H371" s="61"/>
    </row>
    <row r="372" spans="5:8" ht="14.25" customHeight="1" x14ac:dyDescent="0.2">
      <c r="E372" s="52"/>
      <c r="H372" s="61"/>
    </row>
    <row r="373" spans="5:8" ht="14.25" customHeight="1" x14ac:dyDescent="0.2">
      <c r="E373" s="52"/>
      <c r="H373" s="61"/>
    </row>
    <row r="374" spans="5:8" ht="14.25" customHeight="1" x14ac:dyDescent="0.2">
      <c r="E374" s="52"/>
      <c r="H374" s="61"/>
    </row>
    <row r="375" spans="5:8" ht="14.25" customHeight="1" x14ac:dyDescent="0.2">
      <c r="E375" s="52"/>
      <c r="H375" s="61"/>
    </row>
    <row r="376" spans="5:8" ht="14.25" customHeight="1" x14ac:dyDescent="0.2">
      <c r="E376" s="52"/>
      <c r="H376" s="61"/>
    </row>
    <row r="377" spans="5:8" ht="14.25" customHeight="1" x14ac:dyDescent="0.2">
      <c r="E377" s="52"/>
      <c r="H377" s="61"/>
    </row>
    <row r="378" spans="5:8" ht="14.25" customHeight="1" x14ac:dyDescent="0.2">
      <c r="E378" s="52"/>
      <c r="H378" s="61"/>
    </row>
    <row r="379" spans="5:8" ht="14.25" customHeight="1" x14ac:dyDescent="0.2">
      <c r="E379" s="52"/>
      <c r="H379" s="61"/>
    </row>
    <row r="380" spans="5:8" ht="14.25" customHeight="1" x14ac:dyDescent="0.2">
      <c r="E380" s="52"/>
      <c r="H380" s="61"/>
    </row>
    <row r="381" spans="5:8" ht="14.25" customHeight="1" x14ac:dyDescent="0.2">
      <c r="E381" s="52"/>
      <c r="H381" s="61"/>
    </row>
    <row r="382" spans="5:8" ht="14.25" customHeight="1" x14ac:dyDescent="0.2">
      <c r="E382" s="52"/>
      <c r="H382" s="61"/>
    </row>
    <row r="383" spans="5:8" ht="14.25" customHeight="1" x14ac:dyDescent="0.2">
      <c r="E383" s="52"/>
      <c r="H383" s="61"/>
    </row>
    <row r="384" spans="5:8" ht="14.25" customHeight="1" x14ac:dyDescent="0.2">
      <c r="E384" s="52"/>
      <c r="H384" s="61"/>
    </row>
    <row r="385" spans="5:8" ht="14.25" customHeight="1" x14ac:dyDescent="0.2">
      <c r="E385" s="52"/>
      <c r="H385" s="61"/>
    </row>
    <row r="386" spans="5:8" ht="14.25" customHeight="1" x14ac:dyDescent="0.2">
      <c r="E386" s="52"/>
      <c r="H386" s="61"/>
    </row>
    <row r="387" spans="5:8" ht="14.25" customHeight="1" x14ac:dyDescent="0.2">
      <c r="E387" s="52"/>
      <c r="H387" s="61"/>
    </row>
    <row r="388" spans="5:8" ht="14.25" customHeight="1" x14ac:dyDescent="0.2">
      <c r="E388" s="52"/>
      <c r="H388" s="61"/>
    </row>
    <row r="389" spans="5:8" ht="14.25" customHeight="1" x14ac:dyDescent="0.2">
      <c r="E389" s="52"/>
      <c r="H389" s="61"/>
    </row>
    <row r="390" spans="5:8" ht="14.25" customHeight="1" x14ac:dyDescent="0.2">
      <c r="E390" s="52"/>
      <c r="H390" s="61"/>
    </row>
    <row r="391" spans="5:8" ht="14.25" customHeight="1" x14ac:dyDescent="0.2">
      <c r="E391" s="52"/>
      <c r="H391" s="61"/>
    </row>
    <row r="392" spans="5:8" ht="14.25" customHeight="1" x14ac:dyDescent="0.2">
      <c r="E392" s="52"/>
      <c r="H392" s="61"/>
    </row>
    <row r="393" spans="5:8" ht="14.25" customHeight="1" x14ac:dyDescent="0.2">
      <c r="E393" s="52"/>
      <c r="H393" s="61"/>
    </row>
    <row r="394" spans="5:8" ht="14.25" customHeight="1" x14ac:dyDescent="0.2">
      <c r="E394" s="52"/>
      <c r="H394" s="61"/>
    </row>
    <row r="395" spans="5:8" ht="14.25" customHeight="1" x14ac:dyDescent="0.2">
      <c r="E395" s="52"/>
      <c r="H395" s="61"/>
    </row>
    <row r="396" spans="5:8" ht="14.25" customHeight="1" x14ac:dyDescent="0.2">
      <c r="E396" s="52"/>
      <c r="H396" s="61"/>
    </row>
    <row r="397" spans="5:8" ht="14.25" customHeight="1" x14ac:dyDescent="0.2">
      <c r="E397" s="52"/>
      <c r="H397" s="61"/>
    </row>
    <row r="398" spans="5:8" ht="14.25" customHeight="1" x14ac:dyDescent="0.2">
      <c r="E398" s="52"/>
      <c r="H398" s="61"/>
    </row>
    <row r="399" spans="5:8" ht="14.25" customHeight="1" x14ac:dyDescent="0.2">
      <c r="E399" s="52"/>
      <c r="H399" s="61"/>
    </row>
    <row r="400" spans="5:8" ht="14.25" customHeight="1" x14ac:dyDescent="0.2">
      <c r="E400" s="52"/>
      <c r="H400" s="61"/>
    </row>
    <row r="401" spans="5:8" ht="14.25" customHeight="1" x14ac:dyDescent="0.2">
      <c r="E401" s="52"/>
      <c r="H401" s="61"/>
    </row>
    <row r="402" spans="5:8" ht="14.25" customHeight="1" x14ac:dyDescent="0.2">
      <c r="E402" s="52"/>
      <c r="H402" s="61"/>
    </row>
    <row r="403" spans="5:8" ht="14.25" customHeight="1" x14ac:dyDescent="0.2">
      <c r="E403" s="52"/>
      <c r="H403" s="61"/>
    </row>
    <row r="404" spans="5:8" ht="14.25" customHeight="1" x14ac:dyDescent="0.2">
      <c r="E404" s="52"/>
      <c r="H404" s="61"/>
    </row>
    <row r="405" spans="5:8" ht="14.25" customHeight="1" x14ac:dyDescent="0.2">
      <c r="E405" s="52"/>
      <c r="H405" s="61"/>
    </row>
    <row r="406" spans="5:8" ht="14.25" customHeight="1" x14ac:dyDescent="0.2">
      <c r="E406" s="52"/>
      <c r="H406" s="61"/>
    </row>
    <row r="407" spans="5:8" ht="14.25" customHeight="1" x14ac:dyDescent="0.2">
      <c r="E407" s="52"/>
      <c r="H407" s="61"/>
    </row>
    <row r="408" spans="5:8" ht="14.25" customHeight="1" x14ac:dyDescent="0.2">
      <c r="E408" s="52"/>
      <c r="H408" s="61"/>
    </row>
    <row r="409" spans="5:8" ht="14.25" customHeight="1" x14ac:dyDescent="0.2">
      <c r="E409" s="52"/>
      <c r="H409" s="61"/>
    </row>
    <row r="410" spans="5:8" ht="14.25" customHeight="1" x14ac:dyDescent="0.2">
      <c r="E410" s="52"/>
      <c r="H410" s="61"/>
    </row>
    <row r="411" spans="5:8" ht="14.25" customHeight="1" x14ac:dyDescent="0.2">
      <c r="E411" s="52"/>
      <c r="H411" s="61"/>
    </row>
    <row r="412" spans="5:8" ht="14.25" customHeight="1" x14ac:dyDescent="0.2">
      <c r="E412" s="52"/>
      <c r="H412" s="61"/>
    </row>
    <row r="413" spans="5:8" ht="14.25" customHeight="1" x14ac:dyDescent="0.2">
      <c r="E413" s="52"/>
      <c r="H413" s="61"/>
    </row>
    <row r="414" spans="5:8" ht="14.25" customHeight="1" x14ac:dyDescent="0.2">
      <c r="E414" s="52"/>
      <c r="H414" s="61"/>
    </row>
    <row r="415" spans="5:8" ht="14.25" customHeight="1" x14ac:dyDescent="0.2">
      <c r="E415" s="52"/>
      <c r="H415" s="61"/>
    </row>
    <row r="416" spans="5:8" ht="14.25" customHeight="1" x14ac:dyDescent="0.2">
      <c r="E416" s="52"/>
      <c r="H416" s="61"/>
    </row>
    <row r="417" spans="5:8" ht="14.25" customHeight="1" x14ac:dyDescent="0.2">
      <c r="E417" s="52"/>
      <c r="H417" s="61"/>
    </row>
    <row r="418" spans="5:8" ht="14.25" customHeight="1" x14ac:dyDescent="0.2">
      <c r="E418" s="52"/>
      <c r="H418" s="61"/>
    </row>
    <row r="419" spans="5:8" ht="14.25" customHeight="1" x14ac:dyDescent="0.2">
      <c r="E419" s="52"/>
      <c r="H419" s="61"/>
    </row>
    <row r="420" spans="5:8" ht="14.25" customHeight="1" x14ac:dyDescent="0.2">
      <c r="E420" s="52"/>
      <c r="H420" s="61"/>
    </row>
    <row r="421" spans="5:8" ht="14.25" customHeight="1" x14ac:dyDescent="0.2">
      <c r="E421" s="52"/>
      <c r="H421" s="61"/>
    </row>
    <row r="422" spans="5:8" ht="14.25" customHeight="1" x14ac:dyDescent="0.2">
      <c r="E422" s="52"/>
      <c r="H422" s="61"/>
    </row>
    <row r="423" spans="5:8" ht="14.25" customHeight="1" x14ac:dyDescent="0.2">
      <c r="E423" s="52"/>
      <c r="H423" s="61"/>
    </row>
    <row r="424" spans="5:8" ht="14.25" customHeight="1" x14ac:dyDescent="0.2">
      <c r="E424" s="52"/>
      <c r="H424" s="61"/>
    </row>
    <row r="425" spans="5:8" ht="14.25" customHeight="1" x14ac:dyDescent="0.2">
      <c r="E425" s="52"/>
      <c r="H425" s="61"/>
    </row>
    <row r="426" spans="5:8" ht="14.25" customHeight="1" x14ac:dyDescent="0.2">
      <c r="E426" s="52"/>
      <c r="H426" s="61"/>
    </row>
    <row r="427" spans="5:8" ht="14.25" customHeight="1" x14ac:dyDescent="0.2">
      <c r="E427" s="52"/>
      <c r="H427" s="61"/>
    </row>
    <row r="428" spans="5:8" ht="14.25" customHeight="1" x14ac:dyDescent="0.2">
      <c r="E428" s="52"/>
      <c r="H428" s="61"/>
    </row>
    <row r="429" spans="5:8" ht="14.25" customHeight="1" x14ac:dyDescent="0.2">
      <c r="E429" s="52"/>
      <c r="H429" s="61"/>
    </row>
    <row r="430" spans="5:8" ht="14.25" customHeight="1" x14ac:dyDescent="0.2">
      <c r="E430" s="52"/>
      <c r="H430" s="61"/>
    </row>
    <row r="431" spans="5:8" ht="14.25" customHeight="1" x14ac:dyDescent="0.2">
      <c r="E431" s="52"/>
      <c r="H431" s="61"/>
    </row>
    <row r="432" spans="5:8" ht="14.25" customHeight="1" x14ac:dyDescent="0.2">
      <c r="E432" s="52"/>
      <c r="H432" s="61"/>
    </row>
    <row r="433" spans="5:8" ht="14.25" customHeight="1" x14ac:dyDescent="0.2">
      <c r="E433" s="52"/>
      <c r="H433" s="61"/>
    </row>
    <row r="434" spans="5:8" ht="14.25" customHeight="1" x14ac:dyDescent="0.2">
      <c r="E434" s="52"/>
      <c r="H434" s="61"/>
    </row>
    <row r="435" spans="5:8" ht="14.25" customHeight="1" x14ac:dyDescent="0.2">
      <c r="E435" s="52"/>
      <c r="H435" s="61"/>
    </row>
    <row r="436" spans="5:8" ht="14.25" customHeight="1" x14ac:dyDescent="0.2">
      <c r="E436" s="52"/>
      <c r="H436" s="61"/>
    </row>
    <row r="437" spans="5:8" ht="14.25" customHeight="1" x14ac:dyDescent="0.2">
      <c r="E437" s="52"/>
      <c r="H437" s="61"/>
    </row>
    <row r="438" spans="5:8" ht="14.25" customHeight="1" x14ac:dyDescent="0.2">
      <c r="E438" s="52"/>
      <c r="H438" s="61"/>
    </row>
    <row r="439" spans="5:8" ht="14.25" customHeight="1" x14ac:dyDescent="0.2">
      <c r="E439" s="52"/>
      <c r="H439" s="61"/>
    </row>
    <row r="440" spans="5:8" ht="14.25" customHeight="1" x14ac:dyDescent="0.2">
      <c r="E440" s="52"/>
      <c r="H440" s="61"/>
    </row>
    <row r="441" spans="5:8" ht="14.25" customHeight="1" x14ac:dyDescent="0.2">
      <c r="E441" s="52"/>
      <c r="H441" s="61"/>
    </row>
    <row r="442" spans="5:8" ht="14.25" customHeight="1" x14ac:dyDescent="0.2">
      <c r="E442" s="52"/>
      <c r="H442" s="61"/>
    </row>
    <row r="443" spans="5:8" ht="14.25" customHeight="1" x14ac:dyDescent="0.2">
      <c r="E443" s="52"/>
      <c r="H443" s="61"/>
    </row>
    <row r="444" spans="5:8" ht="14.25" customHeight="1" x14ac:dyDescent="0.2">
      <c r="E444" s="52"/>
      <c r="H444" s="61"/>
    </row>
    <row r="445" spans="5:8" ht="14.25" customHeight="1" x14ac:dyDescent="0.2">
      <c r="E445" s="52"/>
      <c r="H445" s="61"/>
    </row>
    <row r="446" spans="5:8" ht="14.25" customHeight="1" x14ac:dyDescent="0.2">
      <c r="E446" s="52"/>
      <c r="H446" s="61"/>
    </row>
    <row r="447" spans="5:8" ht="14.25" customHeight="1" x14ac:dyDescent="0.2">
      <c r="E447" s="52"/>
      <c r="H447" s="61"/>
    </row>
    <row r="448" spans="5:8" ht="14.25" customHeight="1" x14ac:dyDescent="0.2">
      <c r="E448" s="52"/>
      <c r="H448" s="61"/>
    </row>
    <row r="449" spans="5:8" ht="14.25" customHeight="1" x14ac:dyDescent="0.2">
      <c r="E449" s="52"/>
      <c r="H449" s="61"/>
    </row>
    <row r="450" spans="5:8" ht="14.25" customHeight="1" x14ac:dyDescent="0.2">
      <c r="E450" s="52"/>
      <c r="H450" s="61"/>
    </row>
    <row r="451" spans="5:8" ht="14.25" customHeight="1" x14ac:dyDescent="0.2">
      <c r="E451" s="52"/>
      <c r="H451" s="61"/>
    </row>
    <row r="452" spans="5:8" ht="14.25" customHeight="1" x14ac:dyDescent="0.2">
      <c r="E452" s="52"/>
      <c r="H452" s="61"/>
    </row>
    <row r="453" spans="5:8" ht="14.25" customHeight="1" x14ac:dyDescent="0.2">
      <c r="E453" s="52"/>
      <c r="H453" s="61"/>
    </row>
    <row r="454" spans="5:8" ht="14.25" customHeight="1" x14ac:dyDescent="0.2">
      <c r="E454" s="52"/>
      <c r="H454" s="61"/>
    </row>
    <row r="455" spans="5:8" ht="14.25" customHeight="1" x14ac:dyDescent="0.2">
      <c r="E455" s="52"/>
      <c r="H455" s="61"/>
    </row>
    <row r="456" spans="5:8" ht="14.25" customHeight="1" x14ac:dyDescent="0.2">
      <c r="E456" s="52"/>
      <c r="H456" s="61"/>
    </row>
    <row r="457" spans="5:8" ht="14.25" customHeight="1" x14ac:dyDescent="0.2">
      <c r="E457" s="52"/>
      <c r="H457" s="61"/>
    </row>
    <row r="458" spans="5:8" ht="14.25" customHeight="1" x14ac:dyDescent="0.2">
      <c r="E458" s="52"/>
      <c r="H458" s="61"/>
    </row>
    <row r="459" spans="5:8" ht="14.25" customHeight="1" x14ac:dyDescent="0.2">
      <c r="E459" s="52"/>
      <c r="H459" s="61"/>
    </row>
    <row r="460" spans="5:8" ht="14.25" customHeight="1" x14ac:dyDescent="0.2">
      <c r="E460" s="52"/>
      <c r="H460" s="61"/>
    </row>
    <row r="461" spans="5:8" ht="14.25" customHeight="1" x14ac:dyDescent="0.2">
      <c r="E461" s="52"/>
      <c r="H461" s="61"/>
    </row>
    <row r="462" spans="5:8" ht="14.25" customHeight="1" x14ac:dyDescent="0.2">
      <c r="E462" s="52"/>
      <c r="H462" s="61"/>
    </row>
    <row r="463" spans="5:8" ht="14.25" customHeight="1" x14ac:dyDescent="0.2">
      <c r="E463" s="52"/>
      <c r="H463" s="61"/>
    </row>
    <row r="464" spans="5:8" ht="14.25" customHeight="1" x14ac:dyDescent="0.2">
      <c r="E464" s="52"/>
      <c r="H464" s="61"/>
    </row>
    <row r="465" spans="5:8" ht="14.25" customHeight="1" x14ac:dyDescent="0.2">
      <c r="E465" s="52"/>
      <c r="H465" s="61"/>
    </row>
    <row r="466" spans="5:8" ht="14.25" customHeight="1" x14ac:dyDescent="0.2">
      <c r="E466" s="52"/>
      <c r="H466" s="61"/>
    </row>
    <row r="467" spans="5:8" ht="14.25" customHeight="1" x14ac:dyDescent="0.2">
      <c r="E467" s="52"/>
      <c r="H467" s="61"/>
    </row>
    <row r="468" spans="5:8" ht="14.25" customHeight="1" x14ac:dyDescent="0.2">
      <c r="E468" s="52"/>
      <c r="H468" s="61"/>
    </row>
    <row r="469" spans="5:8" ht="14.25" customHeight="1" x14ac:dyDescent="0.2">
      <c r="E469" s="52"/>
      <c r="H469" s="61"/>
    </row>
    <row r="470" spans="5:8" ht="14.25" customHeight="1" x14ac:dyDescent="0.2">
      <c r="E470" s="52"/>
      <c r="H470" s="61"/>
    </row>
    <row r="471" spans="5:8" ht="14.25" customHeight="1" x14ac:dyDescent="0.2">
      <c r="E471" s="52"/>
      <c r="H471" s="61"/>
    </row>
    <row r="472" spans="5:8" ht="14.25" customHeight="1" x14ac:dyDescent="0.2">
      <c r="E472" s="52"/>
      <c r="H472" s="61"/>
    </row>
    <row r="473" spans="5:8" ht="14.25" customHeight="1" x14ac:dyDescent="0.2">
      <c r="E473" s="52"/>
      <c r="H473" s="61"/>
    </row>
    <row r="474" spans="5:8" ht="14.25" customHeight="1" x14ac:dyDescent="0.2">
      <c r="E474" s="52"/>
      <c r="H474" s="61"/>
    </row>
    <row r="475" spans="5:8" ht="14.25" customHeight="1" x14ac:dyDescent="0.2">
      <c r="E475" s="52"/>
      <c r="H475" s="61"/>
    </row>
    <row r="476" spans="5:8" ht="14.25" customHeight="1" x14ac:dyDescent="0.2">
      <c r="E476" s="52"/>
      <c r="H476" s="61"/>
    </row>
    <row r="477" spans="5:8" ht="14.25" customHeight="1" x14ac:dyDescent="0.2">
      <c r="E477" s="52"/>
      <c r="H477" s="61"/>
    </row>
    <row r="478" spans="5:8" ht="14.25" customHeight="1" x14ac:dyDescent="0.2">
      <c r="E478" s="52"/>
      <c r="H478" s="61"/>
    </row>
    <row r="479" spans="5:8" ht="14.25" customHeight="1" x14ac:dyDescent="0.2">
      <c r="E479" s="52"/>
      <c r="H479" s="61"/>
    </row>
    <row r="480" spans="5:8" ht="14.25" customHeight="1" x14ac:dyDescent="0.2">
      <c r="E480" s="52"/>
      <c r="H480" s="61"/>
    </row>
    <row r="481" spans="5:8" ht="14.25" customHeight="1" x14ac:dyDescent="0.2">
      <c r="E481" s="52"/>
      <c r="H481" s="61"/>
    </row>
    <row r="482" spans="5:8" ht="14.25" customHeight="1" x14ac:dyDescent="0.2">
      <c r="E482" s="52"/>
      <c r="H482" s="61"/>
    </row>
    <row r="483" spans="5:8" ht="14.25" customHeight="1" x14ac:dyDescent="0.2">
      <c r="E483" s="52"/>
      <c r="H483" s="61"/>
    </row>
    <row r="484" spans="5:8" ht="14.25" customHeight="1" x14ac:dyDescent="0.2">
      <c r="E484" s="52"/>
      <c r="H484" s="61"/>
    </row>
    <row r="485" spans="5:8" ht="14.25" customHeight="1" x14ac:dyDescent="0.2">
      <c r="E485" s="52"/>
      <c r="H485" s="61"/>
    </row>
    <row r="486" spans="5:8" ht="14.25" customHeight="1" x14ac:dyDescent="0.2">
      <c r="E486" s="52"/>
      <c r="H486" s="61"/>
    </row>
    <row r="487" spans="5:8" ht="14.25" customHeight="1" x14ac:dyDescent="0.2">
      <c r="E487" s="52"/>
      <c r="H487" s="61"/>
    </row>
    <row r="488" spans="5:8" ht="14.25" customHeight="1" x14ac:dyDescent="0.2">
      <c r="E488" s="52"/>
      <c r="H488" s="61"/>
    </row>
    <row r="489" spans="5:8" ht="14.25" customHeight="1" x14ac:dyDescent="0.2">
      <c r="E489" s="52"/>
      <c r="H489" s="61"/>
    </row>
    <row r="490" spans="5:8" ht="14.25" customHeight="1" x14ac:dyDescent="0.2">
      <c r="E490" s="52"/>
      <c r="H490" s="61"/>
    </row>
    <row r="491" spans="5:8" ht="14.25" customHeight="1" x14ac:dyDescent="0.2">
      <c r="E491" s="52"/>
      <c r="H491" s="61"/>
    </row>
    <row r="492" spans="5:8" ht="14.25" customHeight="1" x14ac:dyDescent="0.2">
      <c r="E492" s="52"/>
      <c r="H492" s="61"/>
    </row>
    <row r="493" spans="5:8" ht="14.25" customHeight="1" x14ac:dyDescent="0.2">
      <c r="E493" s="52"/>
      <c r="H493" s="61"/>
    </row>
    <row r="494" spans="5:8" ht="14.25" customHeight="1" x14ac:dyDescent="0.2">
      <c r="E494" s="52"/>
      <c r="H494" s="61"/>
    </row>
    <row r="495" spans="5:8" ht="14.25" customHeight="1" x14ac:dyDescent="0.2">
      <c r="E495" s="52"/>
      <c r="H495" s="61"/>
    </row>
    <row r="496" spans="5:8" ht="14.25" customHeight="1" x14ac:dyDescent="0.2">
      <c r="E496" s="52"/>
      <c r="H496" s="61"/>
    </row>
    <row r="497" spans="5:8" ht="14.25" customHeight="1" x14ac:dyDescent="0.2">
      <c r="E497" s="52"/>
      <c r="F497" s="41"/>
      <c r="H497" s="61"/>
    </row>
    <row r="498" spans="5:8" ht="14.25" customHeight="1" x14ac:dyDescent="0.2">
      <c r="E498" s="52"/>
      <c r="F498" s="41"/>
      <c r="H498" s="61"/>
    </row>
    <row r="499" spans="5:8" ht="14.25" customHeight="1" x14ac:dyDescent="0.2">
      <c r="E499" s="52"/>
      <c r="F499" s="41"/>
      <c r="H499" s="61"/>
    </row>
    <row r="500" spans="5:8" ht="14.25" customHeight="1" x14ac:dyDescent="0.2">
      <c r="E500" s="52"/>
      <c r="F500" s="41"/>
      <c r="H500" s="61"/>
    </row>
    <row r="501" spans="5:8" ht="14.25" customHeight="1" x14ac:dyDescent="0.2">
      <c r="E501" s="52"/>
      <c r="F501" s="41"/>
      <c r="H501" s="61"/>
    </row>
    <row r="502" spans="5:8" ht="14.25" customHeight="1" x14ac:dyDescent="0.2">
      <c r="E502" s="52"/>
      <c r="F502" s="41"/>
      <c r="H502" s="61"/>
    </row>
    <row r="503" spans="5:8" ht="14.25" customHeight="1" x14ac:dyDescent="0.2">
      <c r="E503" s="52"/>
      <c r="F503" s="41"/>
      <c r="H503" s="61"/>
    </row>
    <row r="504" spans="5:8" ht="14.25" customHeight="1" x14ac:dyDescent="0.2">
      <c r="E504" s="52"/>
      <c r="F504" s="41"/>
      <c r="H504" s="61"/>
    </row>
    <row r="505" spans="5:8" ht="14.25" customHeight="1" x14ac:dyDescent="0.2">
      <c r="E505" s="52"/>
      <c r="F505" s="41"/>
      <c r="H505" s="61"/>
    </row>
    <row r="506" spans="5:8" ht="14.25" customHeight="1" x14ac:dyDescent="0.2">
      <c r="E506" s="52"/>
      <c r="F506" s="41"/>
      <c r="H506" s="61"/>
    </row>
    <row r="507" spans="5:8" ht="14.25" customHeight="1" x14ac:dyDescent="0.2">
      <c r="E507" s="52"/>
      <c r="F507" s="41"/>
      <c r="H507" s="61"/>
    </row>
    <row r="508" spans="5:8" ht="14.25" customHeight="1" x14ac:dyDescent="0.2">
      <c r="E508" s="52"/>
      <c r="F508" s="41"/>
      <c r="H508" s="61"/>
    </row>
    <row r="509" spans="5:8" ht="13.5" customHeight="1" x14ac:dyDescent="0.2">
      <c r="E509" s="52"/>
      <c r="F509" s="41"/>
      <c r="H509" s="61"/>
    </row>
    <row r="510" spans="5:8" ht="13.5" customHeight="1" x14ac:dyDescent="0.2">
      <c r="E510" s="52"/>
      <c r="F510" s="41"/>
      <c r="H510" s="61"/>
    </row>
    <row r="511" spans="5:8" ht="13.5" customHeight="1" x14ac:dyDescent="0.2">
      <c r="E511" s="52"/>
      <c r="F511" s="41"/>
      <c r="H511" s="61"/>
    </row>
    <row r="512" spans="5:8" ht="13.5" customHeight="1" x14ac:dyDescent="0.2">
      <c r="E512" s="52"/>
      <c r="F512" s="41"/>
      <c r="H512" s="61"/>
    </row>
    <row r="513" spans="5:8" ht="13.5" customHeight="1" x14ac:dyDescent="0.2">
      <c r="E513" s="52"/>
      <c r="F513" s="41"/>
      <c r="H513" s="61"/>
    </row>
    <row r="514" spans="5:8" ht="13.5" customHeight="1" x14ac:dyDescent="0.2">
      <c r="E514" s="52"/>
      <c r="F514" s="41"/>
      <c r="H514" s="61"/>
    </row>
    <row r="515" spans="5:8" ht="13.5" customHeight="1" x14ac:dyDescent="0.2">
      <c r="E515" s="52"/>
      <c r="F515" s="41"/>
      <c r="H515" s="61"/>
    </row>
    <row r="516" spans="5:8" ht="13.5" customHeight="1" x14ac:dyDescent="0.2">
      <c r="E516" s="52"/>
      <c r="F516" s="41"/>
      <c r="H516" s="61"/>
    </row>
    <row r="517" spans="5:8" ht="13.5" customHeight="1" x14ac:dyDescent="0.2">
      <c r="E517" s="52"/>
      <c r="F517" s="41"/>
      <c r="H517" s="61"/>
    </row>
    <row r="518" spans="5:8" ht="13.5" customHeight="1" x14ac:dyDescent="0.2">
      <c r="E518" s="52"/>
      <c r="F518" s="41"/>
      <c r="H518" s="61"/>
    </row>
    <row r="519" spans="5:8" ht="13.5" customHeight="1" x14ac:dyDescent="0.2">
      <c r="E519" s="52"/>
      <c r="F519" s="41"/>
      <c r="H519" s="61"/>
    </row>
    <row r="520" spans="5:8" ht="13.5" customHeight="1" x14ac:dyDescent="0.2">
      <c r="E520" s="52"/>
      <c r="F520" s="41"/>
      <c r="H520" s="61"/>
    </row>
    <row r="521" spans="5:8" ht="13.5" customHeight="1" x14ac:dyDescent="0.2">
      <c r="E521" s="52"/>
      <c r="F521" s="41"/>
      <c r="H521" s="61"/>
    </row>
    <row r="522" spans="5:8" ht="13.5" customHeight="1" x14ac:dyDescent="0.2">
      <c r="E522" s="52"/>
      <c r="F522" s="41"/>
      <c r="H522" s="61"/>
    </row>
    <row r="523" spans="5:8" ht="13.5" customHeight="1" x14ac:dyDescent="0.2">
      <c r="E523" s="52"/>
      <c r="F523" s="41"/>
      <c r="H523" s="61"/>
    </row>
    <row r="524" spans="5:8" ht="13.5" customHeight="1" x14ac:dyDescent="0.2">
      <c r="E524" s="52"/>
      <c r="F524" s="41"/>
      <c r="H524" s="61"/>
    </row>
    <row r="525" spans="5:8" ht="13.5" customHeight="1" x14ac:dyDescent="0.2">
      <c r="E525" s="52"/>
      <c r="F525" s="41"/>
      <c r="H525" s="61"/>
    </row>
    <row r="526" spans="5:8" ht="13.5" customHeight="1" x14ac:dyDescent="0.2">
      <c r="E526" s="52"/>
      <c r="F526" s="41"/>
      <c r="H526" s="61"/>
    </row>
    <row r="527" spans="5:8" ht="13.5" customHeight="1" x14ac:dyDescent="0.2">
      <c r="E527" s="52"/>
      <c r="F527" s="41"/>
      <c r="H527" s="61"/>
    </row>
    <row r="528" spans="5:8" ht="13.5" customHeight="1" x14ac:dyDescent="0.2">
      <c r="E528" s="52"/>
      <c r="F528" s="41"/>
      <c r="H528" s="61"/>
    </row>
    <row r="529" spans="5:8" ht="13.5" customHeight="1" x14ac:dyDescent="0.2">
      <c r="E529" s="52"/>
      <c r="F529" s="41"/>
      <c r="H529" s="61"/>
    </row>
    <row r="530" spans="5:8" ht="13.5" customHeight="1" x14ac:dyDescent="0.2">
      <c r="E530" s="52"/>
      <c r="F530" s="41"/>
      <c r="H530" s="61"/>
    </row>
    <row r="531" spans="5:8" ht="13.5" customHeight="1" x14ac:dyDescent="0.2">
      <c r="E531" s="52"/>
      <c r="F531" s="41"/>
      <c r="H531" s="61"/>
    </row>
    <row r="532" spans="5:8" ht="13.5" customHeight="1" x14ac:dyDescent="0.2">
      <c r="E532" s="52"/>
      <c r="F532" s="41"/>
      <c r="H532" s="61"/>
    </row>
    <row r="533" spans="5:8" ht="13.5" customHeight="1" x14ac:dyDescent="0.2">
      <c r="E533" s="52"/>
      <c r="H533" s="61"/>
    </row>
    <row r="534" spans="5:8" ht="13.5" customHeight="1" x14ac:dyDescent="0.2">
      <c r="E534" s="52"/>
      <c r="H534" s="61"/>
    </row>
    <row r="535" spans="5:8" ht="13.5" customHeight="1" x14ac:dyDescent="0.2">
      <c r="E535" s="52"/>
      <c r="H535" s="61"/>
    </row>
    <row r="536" spans="5:8" ht="13.5" customHeight="1" x14ac:dyDescent="0.2">
      <c r="E536" s="52"/>
      <c r="H536" s="61"/>
    </row>
    <row r="537" spans="5:8" ht="13.5" customHeight="1" x14ac:dyDescent="0.2">
      <c r="E537" s="52"/>
      <c r="H537" s="61"/>
    </row>
    <row r="538" spans="5:8" ht="13.5" customHeight="1" x14ac:dyDescent="0.2">
      <c r="E538" s="52"/>
      <c r="H538" s="61"/>
    </row>
    <row r="539" spans="5:8" ht="13.5" customHeight="1" x14ac:dyDescent="0.2">
      <c r="E539" s="52"/>
      <c r="H539" s="61"/>
    </row>
    <row r="540" spans="5:8" ht="13.5" customHeight="1" x14ac:dyDescent="0.2">
      <c r="E540" s="52"/>
      <c r="H540" s="61"/>
    </row>
    <row r="541" spans="5:8" ht="13.5" customHeight="1" x14ac:dyDescent="0.2">
      <c r="E541" s="52"/>
      <c r="H541" s="61"/>
    </row>
    <row r="542" spans="5:8" ht="13.5" customHeight="1" x14ac:dyDescent="0.2">
      <c r="E542" s="52"/>
      <c r="H542" s="61"/>
    </row>
    <row r="543" spans="5:8" ht="13.5" customHeight="1" x14ac:dyDescent="0.2">
      <c r="E543" s="52"/>
      <c r="H543" s="61"/>
    </row>
    <row r="544" spans="5:8" ht="13.5" customHeight="1" x14ac:dyDescent="0.2">
      <c r="E544" s="52"/>
      <c r="H544" s="61"/>
    </row>
    <row r="545" spans="5:8" ht="13.5" customHeight="1" x14ac:dyDescent="0.2">
      <c r="E545" s="52"/>
      <c r="H545" s="61"/>
    </row>
    <row r="546" spans="5:8" ht="13.5" customHeight="1" x14ac:dyDescent="0.2">
      <c r="E546" s="52"/>
      <c r="H546" s="61"/>
    </row>
    <row r="547" spans="5:8" ht="13.5" customHeight="1" x14ac:dyDescent="0.2">
      <c r="E547" s="52"/>
      <c r="H547" s="61"/>
    </row>
    <row r="548" spans="5:8" ht="13.5" customHeight="1" x14ac:dyDescent="0.2">
      <c r="E548" s="52"/>
      <c r="H548" s="61"/>
    </row>
    <row r="549" spans="5:8" ht="13.5" customHeight="1" x14ac:dyDescent="0.2">
      <c r="E549" s="52"/>
      <c r="H549" s="61"/>
    </row>
    <row r="550" spans="5:8" ht="13.5" customHeight="1" x14ac:dyDescent="0.2">
      <c r="E550" s="52"/>
      <c r="H550" s="61"/>
    </row>
    <row r="551" spans="5:8" ht="13.5" customHeight="1" x14ac:dyDescent="0.2">
      <c r="E551" s="52"/>
      <c r="H551" s="61"/>
    </row>
    <row r="552" spans="5:8" ht="13.5" customHeight="1" x14ac:dyDescent="0.2">
      <c r="E552" s="52"/>
      <c r="H552" s="61"/>
    </row>
    <row r="553" spans="5:8" ht="13.5" customHeight="1" x14ac:dyDescent="0.2">
      <c r="E553" s="52"/>
      <c r="H553" s="61"/>
    </row>
    <row r="554" spans="5:8" ht="13.5" customHeight="1" x14ac:dyDescent="0.2">
      <c r="E554" s="52"/>
      <c r="H554" s="61"/>
    </row>
    <row r="555" spans="5:8" ht="13.5" customHeight="1" x14ac:dyDescent="0.2">
      <c r="E555" s="52"/>
      <c r="H555" s="61"/>
    </row>
    <row r="556" spans="5:8" ht="13.5" customHeight="1" x14ac:dyDescent="0.2">
      <c r="E556" s="52"/>
      <c r="H556" s="61"/>
    </row>
    <row r="557" spans="5:8" ht="13.5" customHeight="1" x14ac:dyDescent="0.2">
      <c r="E557" s="52"/>
      <c r="H557" s="61"/>
    </row>
    <row r="558" spans="5:8" ht="13.5" customHeight="1" x14ac:dyDescent="0.2">
      <c r="E558" s="52"/>
      <c r="H558" s="61"/>
    </row>
    <row r="559" spans="5:8" ht="13.5" customHeight="1" x14ac:dyDescent="0.2">
      <c r="E559" s="52"/>
      <c r="H559" s="61"/>
    </row>
    <row r="560" spans="5:8" ht="13.5" customHeight="1" x14ac:dyDescent="0.2">
      <c r="E560" s="52"/>
      <c r="H560" s="61"/>
    </row>
    <row r="561" spans="5:8" ht="13.5" customHeight="1" x14ac:dyDescent="0.2">
      <c r="E561" s="52"/>
      <c r="H561" s="61"/>
    </row>
    <row r="562" spans="5:8" ht="13.5" customHeight="1" x14ac:dyDescent="0.2">
      <c r="E562" s="52"/>
      <c r="H562" s="61"/>
    </row>
    <row r="563" spans="5:8" ht="13.5" customHeight="1" x14ac:dyDescent="0.2">
      <c r="E563" s="52"/>
      <c r="H563" s="61"/>
    </row>
    <row r="564" spans="5:8" ht="13.5" customHeight="1" x14ac:dyDescent="0.2">
      <c r="E564" s="52"/>
      <c r="H564" s="61"/>
    </row>
    <row r="565" spans="5:8" ht="13.5" customHeight="1" x14ac:dyDescent="0.2">
      <c r="E565" s="52"/>
      <c r="H565" s="61"/>
    </row>
    <row r="566" spans="5:8" ht="13.5" customHeight="1" x14ac:dyDescent="0.2">
      <c r="E566" s="52"/>
      <c r="H566" s="61"/>
    </row>
    <row r="567" spans="5:8" ht="13.5" customHeight="1" x14ac:dyDescent="0.2">
      <c r="E567" s="52"/>
      <c r="H567" s="61"/>
    </row>
    <row r="568" spans="5:8" ht="13.5" customHeight="1" x14ac:dyDescent="0.2">
      <c r="E568" s="52"/>
      <c r="H568" s="61"/>
    </row>
    <row r="569" spans="5:8" ht="13.5" customHeight="1" x14ac:dyDescent="0.2">
      <c r="E569" s="52"/>
      <c r="H569" s="61"/>
    </row>
    <row r="570" spans="5:8" ht="13.5" customHeight="1" x14ac:dyDescent="0.2">
      <c r="E570" s="52"/>
      <c r="H570" s="61"/>
    </row>
    <row r="571" spans="5:8" ht="13.5" customHeight="1" x14ac:dyDescent="0.2">
      <c r="E571" s="52"/>
      <c r="H571" s="61"/>
    </row>
    <row r="572" spans="5:8" ht="13.5" customHeight="1" x14ac:dyDescent="0.2">
      <c r="E572" s="52"/>
      <c r="H572" s="61"/>
    </row>
    <row r="573" spans="5:8" ht="13.5" customHeight="1" x14ac:dyDescent="0.2">
      <c r="E573" s="52"/>
      <c r="H573" s="61"/>
    </row>
    <row r="574" spans="5:8" ht="13.5" customHeight="1" x14ac:dyDescent="0.2">
      <c r="E574" s="52"/>
      <c r="H574" s="61"/>
    </row>
    <row r="575" spans="5:8" ht="13.5" customHeight="1" x14ac:dyDescent="0.2">
      <c r="E575" s="52"/>
      <c r="H575" s="61"/>
    </row>
    <row r="576" spans="5:8" ht="13.5" customHeight="1" x14ac:dyDescent="0.2">
      <c r="E576" s="52"/>
      <c r="H576" s="61"/>
    </row>
    <row r="577" spans="5:8" ht="13.5" customHeight="1" x14ac:dyDescent="0.2">
      <c r="E577" s="52"/>
      <c r="H577" s="61"/>
    </row>
    <row r="578" spans="5:8" ht="13.5" customHeight="1" x14ac:dyDescent="0.2">
      <c r="E578" s="52"/>
      <c r="H578" s="61"/>
    </row>
    <row r="579" spans="5:8" ht="13.5" customHeight="1" x14ac:dyDescent="0.2">
      <c r="E579" s="52"/>
      <c r="H579" s="61"/>
    </row>
    <row r="580" spans="5:8" ht="13.5" customHeight="1" x14ac:dyDescent="0.2">
      <c r="E580" s="52"/>
      <c r="H580" s="61"/>
    </row>
    <row r="581" spans="5:8" ht="13.5" customHeight="1" x14ac:dyDescent="0.2">
      <c r="E581" s="52"/>
      <c r="H581" s="61"/>
    </row>
    <row r="582" spans="5:8" ht="13.5" customHeight="1" x14ac:dyDescent="0.2">
      <c r="E582" s="52"/>
      <c r="H582" s="61"/>
    </row>
    <row r="583" spans="5:8" ht="13.5" customHeight="1" x14ac:dyDescent="0.2">
      <c r="E583" s="52"/>
      <c r="H583" s="61"/>
    </row>
    <row r="584" spans="5:8" ht="13.5" customHeight="1" x14ac:dyDescent="0.2">
      <c r="E584" s="52"/>
      <c r="H584" s="61"/>
    </row>
    <row r="585" spans="5:8" ht="13.5" customHeight="1" x14ac:dyDescent="0.2">
      <c r="E585" s="52"/>
      <c r="H585" s="61"/>
    </row>
    <row r="586" spans="5:8" ht="13.5" customHeight="1" x14ac:dyDescent="0.2">
      <c r="E586" s="52"/>
      <c r="H586" s="61"/>
    </row>
    <row r="587" spans="5:8" ht="13.5" customHeight="1" x14ac:dyDescent="0.2">
      <c r="E587" s="52"/>
      <c r="H587" s="61"/>
    </row>
    <row r="588" spans="5:8" ht="13.5" customHeight="1" x14ac:dyDescent="0.2">
      <c r="E588" s="52"/>
      <c r="H588" s="61"/>
    </row>
    <row r="589" spans="5:8" ht="13.5" customHeight="1" x14ac:dyDescent="0.2">
      <c r="E589" s="52"/>
      <c r="H589" s="61"/>
    </row>
    <row r="590" spans="5:8" ht="13.5" customHeight="1" x14ac:dyDescent="0.2">
      <c r="E590" s="52"/>
      <c r="H590" s="61"/>
    </row>
    <row r="591" spans="5:8" ht="13.5" customHeight="1" x14ac:dyDescent="0.2">
      <c r="E591" s="52"/>
      <c r="H591" s="61"/>
    </row>
    <row r="592" spans="5:8" ht="13.5" customHeight="1" x14ac:dyDescent="0.2">
      <c r="E592" s="52"/>
      <c r="H592" s="61"/>
    </row>
    <row r="593" spans="5:8" ht="13.5" customHeight="1" x14ac:dyDescent="0.2">
      <c r="E593" s="52"/>
      <c r="H593" s="61"/>
    </row>
    <row r="594" spans="5:8" ht="13.5" customHeight="1" x14ac:dyDescent="0.2">
      <c r="E594" s="52"/>
      <c r="H594" s="61"/>
    </row>
    <row r="595" spans="5:8" ht="13.5" customHeight="1" x14ac:dyDescent="0.2">
      <c r="E595" s="52"/>
      <c r="H595" s="61"/>
    </row>
    <row r="596" spans="5:8" ht="13.5" customHeight="1" x14ac:dyDescent="0.2">
      <c r="E596" s="52"/>
      <c r="H596" s="61"/>
    </row>
    <row r="597" spans="5:8" ht="13.5" customHeight="1" x14ac:dyDescent="0.2">
      <c r="E597" s="52"/>
      <c r="H597" s="61"/>
    </row>
    <row r="598" spans="5:8" ht="13.5" customHeight="1" x14ac:dyDescent="0.2">
      <c r="E598" s="52"/>
      <c r="H598" s="61"/>
    </row>
    <row r="599" spans="5:8" ht="13.5" customHeight="1" x14ac:dyDescent="0.2">
      <c r="E599" s="52"/>
      <c r="H599" s="61"/>
    </row>
    <row r="600" spans="5:8" ht="13.5" customHeight="1" x14ac:dyDescent="0.2">
      <c r="E600" s="52"/>
      <c r="H600" s="61"/>
    </row>
    <row r="601" spans="5:8" ht="13.5" customHeight="1" x14ac:dyDescent="0.2">
      <c r="E601" s="52"/>
      <c r="H601" s="61"/>
    </row>
    <row r="602" spans="5:8" ht="13.5" customHeight="1" x14ac:dyDescent="0.2">
      <c r="E602" s="52"/>
      <c r="H602" s="61"/>
    </row>
    <row r="603" spans="5:8" ht="13.5" customHeight="1" x14ac:dyDescent="0.2">
      <c r="E603" s="52"/>
      <c r="H603" s="61"/>
    </row>
    <row r="604" spans="5:8" ht="13.5" customHeight="1" x14ac:dyDescent="0.2">
      <c r="E604" s="52"/>
      <c r="H604" s="61"/>
    </row>
    <row r="605" spans="5:8" ht="13.5" customHeight="1" x14ac:dyDescent="0.2">
      <c r="E605" s="52"/>
      <c r="H605" s="61"/>
    </row>
    <row r="606" spans="5:8" ht="13.5" customHeight="1" x14ac:dyDescent="0.2">
      <c r="E606" s="52"/>
      <c r="H606" s="61"/>
    </row>
    <row r="607" spans="5:8" ht="13.5" customHeight="1" x14ac:dyDescent="0.2">
      <c r="E607" s="52"/>
      <c r="H607" s="61"/>
    </row>
    <row r="608" spans="5:8" ht="13.5" customHeight="1" x14ac:dyDescent="0.2">
      <c r="E608" s="52"/>
      <c r="H608" s="61"/>
    </row>
    <row r="609" spans="5:8" ht="13.5" customHeight="1" x14ac:dyDescent="0.2">
      <c r="E609" s="52"/>
      <c r="H609" s="61"/>
    </row>
    <row r="610" spans="5:8" ht="13.5" customHeight="1" x14ac:dyDescent="0.2">
      <c r="E610" s="52"/>
      <c r="H610" s="61"/>
    </row>
    <row r="611" spans="5:8" ht="13.5" customHeight="1" x14ac:dyDescent="0.2">
      <c r="E611" s="52"/>
      <c r="H611" s="61"/>
    </row>
    <row r="612" spans="5:8" ht="13.5" customHeight="1" x14ac:dyDescent="0.2">
      <c r="E612" s="52"/>
      <c r="H612" s="61"/>
    </row>
    <row r="613" spans="5:8" ht="13.5" customHeight="1" x14ac:dyDescent="0.2">
      <c r="E613" s="52"/>
      <c r="H613" s="61"/>
    </row>
    <row r="614" spans="5:8" ht="13.5" customHeight="1" x14ac:dyDescent="0.2">
      <c r="E614" s="52"/>
      <c r="H614" s="61"/>
    </row>
    <row r="615" spans="5:8" ht="13.5" customHeight="1" x14ac:dyDescent="0.2">
      <c r="E615" s="52"/>
      <c r="H615" s="61"/>
    </row>
    <row r="616" spans="5:8" ht="13.5" customHeight="1" x14ac:dyDescent="0.2">
      <c r="E616" s="52"/>
      <c r="H616" s="61"/>
    </row>
    <row r="617" spans="5:8" ht="13.5" customHeight="1" x14ac:dyDescent="0.2">
      <c r="E617" s="52"/>
      <c r="H617" s="61"/>
    </row>
    <row r="618" spans="5:8" ht="13.5" customHeight="1" x14ac:dyDescent="0.2">
      <c r="E618" s="52"/>
      <c r="H618" s="61"/>
    </row>
    <row r="619" spans="5:8" ht="13.5" customHeight="1" x14ac:dyDescent="0.2">
      <c r="E619" s="52"/>
      <c r="H619" s="61"/>
    </row>
    <row r="620" spans="5:8" ht="13.5" customHeight="1" x14ac:dyDescent="0.2">
      <c r="E620" s="52"/>
      <c r="H620" s="61"/>
    </row>
    <row r="621" spans="5:8" ht="13.5" customHeight="1" x14ac:dyDescent="0.2">
      <c r="E621" s="52"/>
      <c r="H621" s="61"/>
    </row>
    <row r="622" spans="5:8" ht="13.5" customHeight="1" x14ac:dyDescent="0.2">
      <c r="E622" s="52"/>
      <c r="H622" s="61"/>
    </row>
    <row r="623" spans="5:8" ht="13.5" customHeight="1" x14ac:dyDescent="0.2">
      <c r="E623" s="52"/>
      <c r="H623" s="61"/>
    </row>
    <row r="624" spans="5:8" ht="13.5" customHeight="1" x14ac:dyDescent="0.2">
      <c r="E624" s="52"/>
      <c r="H624" s="61"/>
    </row>
    <row r="625" spans="5:8" ht="13.5" customHeight="1" x14ac:dyDescent="0.2">
      <c r="E625" s="52"/>
      <c r="H625" s="61"/>
    </row>
    <row r="626" spans="5:8" ht="13.5" customHeight="1" x14ac:dyDescent="0.2">
      <c r="E626" s="52"/>
      <c r="H626" s="61"/>
    </row>
    <row r="627" spans="5:8" ht="13.5" customHeight="1" x14ac:dyDescent="0.2">
      <c r="E627" s="52"/>
      <c r="H627" s="61"/>
    </row>
    <row r="628" spans="5:8" ht="13.5" customHeight="1" x14ac:dyDescent="0.2">
      <c r="E628" s="52"/>
      <c r="H628" s="61"/>
    </row>
    <row r="629" spans="5:8" ht="13.5" customHeight="1" x14ac:dyDescent="0.2">
      <c r="E629" s="52"/>
      <c r="H629" s="61"/>
    </row>
    <row r="630" spans="5:8" ht="13.5" customHeight="1" x14ac:dyDescent="0.2">
      <c r="E630" s="52"/>
      <c r="H630" s="61"/>
    </row>
    <row r="631" spans="5:8" ht="13.5" customHeight="1" x14ac:dyDescent="0.2">
      <c r="E631" s="52"/>
      <c r="H631" s="61"/>
    </row>
    <row r="632" spans="5:8" ht="13.5" customHeight="1" x14ac:dyDescent="0.2">
      <c r="E632" s="52"/>
      <c r="H632" s="61"/>
    </row>
    <row r="633" spans="5:8" ht="13.5" customHeight="1" x14ac:dyDescent="0.2">
      <c r="E633" s="52"/>
      <c r="H633" s="61"/>
    </row>
    <row r="634" spans="5:8" ht="13.5" customHeight="1" x14ac:dyDescent="0.2">
      <c r="E634" s="52"/>
      <c r="H634" s="61"/>
    </row>
    <row r="635" spans="5:8" ht="13.5" customHeight="1" x14ac:dyDescent="0.2">
      <c r="E635" s="52"/>
      <c r="H635" s="61"/>
    </row>
    <row r="636" spans="5:8" ht="13.5" customHeight="1" x14ac:dyDescent="0.2">
      <c r="E636" s="52"/>
      <c r="H636" s="61"/>
    </row>
    <row r="637" spans="5:8" ht="13.5" customHeight="1" x14ac:dyDescent="0.2">
      <c r="E637" s="52"/>
      <c r="H637" s="61"/>
    </row>
    <row r="638" spans="5:8" ht="13.5" customHeight="1" x14ac:dyDescent="0.2">
      <c r="E638" s="52"/>
      <c r="H638" s="61"/>
    </row>
    <row r="639" spans="5:8" ht="13.5" customHeight="1" x14ac:dyDescent="0.2">
      <c r="E639" s="52"/>
      <c r="H639" s="61"/>
    </row>
    <row r="640" spans="5:8" ht="13.5" customHeight="1" x14ac:dyDescent="0.2">
      <c r="E640" s="52"/>
      <c r="H640" s="61"/>
    </row>
    <row r="641" spans="5:8" ht="13.5" customHeight="1" x14ac:dyDescent="0.2">
      <c r="E641" s="52"/>
      <c r="H641" s="61"/>
    </row>
    <row r="642" spans="5:8" ht="13.5" customHeight="1" x14ac:dyDescent="0.2">
      <c r="E642" s="52"/>
      <c r="H642" s="61"/>
    </row>
    <row r="643" spans="5:8" ht="13.5" customHeight="1" x14ac:dyDescent="0.2">
      <c r="E643" s="52"/>
      <c r="H643" s="61"/>
    </row>
    <row r="644" spans="5:8" ht="13.5" customHeight="1" x14ac:dyDescent="0.2">
      <c r="E644" s="52"/>
      <c r="H644" s="61"/>
    </row>
    <row r="645" spans="5:8" ht="13.5" customHeight="1" x14ac:dyDescent="0.2">
      <c r="E645" s="52"/>
      <c r="H645" s="61"/>
    </row>
    <row r="646" spans="5:8" ht="13.5" customHeight="1" x14ac:dyDescent="0.2">
      <c r="E646" s="52"/>
      <c r="H646" s="61"/>
    </row>
    <row r="647" spans="5:8" ht="13.5" customHeight="1" x14ac:dyDescent="0.2">
      <c r="E647" s="52"/>
      <c r="H647" s="61"/>
    </row>
    <row r="648" spans="5:8" ht="13.5" customHeight="1" x14ac:dyDescent="0.2">
      <c r="E648" s="52"/>
      <c r="H648" s="61"/>
    </row>
    <row r="649" spans="5:8" ht="13.5" customHeight="1" x14ac:dyDescent="0.2">
      <c r="E649" s="52"/>
      <c r="H649" s="61"/>
    </row>
    <row r="650" spans="5:8" ht="13.5" customHeight="1" x14ac:dyDescent="0.2">
      <c r="E650" s="52"/>
      <c r="H650" s="61"/>
    </row>
    <row r="651" spans="5:8" ht="13.5" customHeight="1" x14ac:dyDescent="0.2">
      <c r="E651" s="52"/>
      <c r="H651" s="61"/>
    </row>
    <row r="652" spans="5:8" ht="13.5" customHeight="1" x14ac:dyDescent="0.2">
      <c r="E652" s="52"/>
      <c r="H652" s="61"/>
    </row>
    <row r="653" spans="5:8" ht="13.5" customHeight="1" x14ac:dyDescent="0.2">
      <c r="E653" s="52"/>
      <c r="H653" s="61"/>
    </row>
    <row r="654" spans="5:8" ht="13.5" customHeight="1" x14ac:dyDescent="0.2">
      <c r="E654" s="52"/>
      <c r="H654" s="61"/>
    </row>
    <row r="655" spans="5:8" ht="13.5" customHeight="1" x14ac:dyDescent="0.2">
      <c r="E655" s="52"/>
      <c r="H655" s="61"/>
    </row>
    <row r="656" spans="5:8" ht="13.5" customHeight="1" x14ac:dyDescent="0.2">
      <c r="E656" s="52"/>
      <c r="H656" s="61"/>
    </row>
    <row r="657" spans="5:8" ht="13.5" customHeight="1" x14ac:dyDescent="0.2">
      <c r="E657" s="52"/>
      <c r="H657" s="61"/>
    </row>
    <row r="658" spans="5:8" ht="13.5" customHeight="1" x14ac:dyDescent="0.2">
      <c r="E658" s="52"/>
      <c r="H658" s="61"/>
    </row>
    <row r="659" spans="5:8" ht="13.5" customHeight="1" x14ac:dyDescent="0.2">
      <c r="E659" s="52"/>
      <c r="H659" s="61"/>
    </row>
    <row r="660" spans="5:8" ht="13.5" customHeight="1" x14ac:dyDescent="0.2">
      <c r="E660" s="52"/>
      <c r="H660" s="61"/>
    </row>
    <row r="661" spans="5:8" ht="13.5" customHeight="1" x14ac:dyDescent="0.2">
      <c r="E661" s="52"/>
      <c r="H661" s="61"/>
    </row>
    <row r="662" spans="5:8" ht="13.5" customHeight="1" x14ac:dyDescent="0.2">
      <c r="E662" s="52"/>
      <c r="H662" s="61"/>
    </row>
    <row r="663" spans="5:8" ht="13.5" customHeight="1" x14ac:dyDescent="0.2">
      <c r="E663" s="52"/>
      <c r="H663" s="61"/>
    </row>
    <row r="664" spans="5:8" ht="13.5" customHeight="1" x14ac:dyDescent="0.2">
      <c r="E664" s="52"/>
      <c r="H664" s="61"/>
    </row>
    <row r="665" spans="5:8" ht="13.5" customHeight="1" x14ac:dyDescent="0.2">
      <c r="E665" s="52"/>
      <c r="H665" s="61"/>
    </row>
    <row r="666" spans="5:8" ht="13.5" customHeight="1" x14ac:dyDescent="0.2">
      <c r="E666" s="52"/>
      <c r="H666" s="61"/>
    </row>
    <row r="667" spans="5:8" ht="13.5" customHeight="1" x14ac:dyDescent="0.2">
      <c r="E667" s="52"/>
      <c r="H667" s="61"/>
    </row>
    <row r="668" spans="5:8" ht="13.5" customHeight="1" x14ac:dyDescent="0.2">
      <c r="E668" s="52"/>
      <c r="H668" s="61"/>
    </row>
    <row r="669" spans="5:8" ht="13.5" customHeight="1" x14ac:dyDescent="0.2">
      <c r="E669" s="52"/>
      <c r="H669" s="61"/>
    </row>
    <row r="670" spans="5:8" ht="13.5" customHeight="1" x14ac:dyDescent="0.2">
      <c r="E670" s="52"/>
      <c r="H670" s="61"/>
    </row>
    <row r="671" spans="5:8" ht="13.5" customHeight="1" x14ac:dyDescent="0.2">
      <c r="E671" s="52"/>
      <c r="H671" s="61"/>
    </row>
    <row r="672" spans="5:8" ht="13.5" customHeight="1" x14ac:dyDescent="0.2">
      <c r="E672" s="52"/>
      <c r="H672" s="61"/>
    </row>
    <row r="673" spans="5:8" ht="13.5" customHeight="1" x14ac:dyDescent="0.2">
      <c r="E673" s="52"/>
      <c r="H673" s="61"/>
    </row>
    <row r="674" spans="5:8" ht="13.5" customHeight="1" x14ac:dyDescent="0.2">
      <c r="E674" s="52"/>
      <c r="H674" s="61"/>
    </row>
    <row r="675" spans="5:8" ht="13.5" customHeight="1" x14ac:dyDescent="0.2">
      <c r="E675" s="52"/>
      <c r="H675" s="61"/>
    </row>
    <row r="676" spans="5:8" ht="13.5" customHeight="1" x14ac:dyDescent="0.2">
      <c r="E676" s="52"/>
      <c r="H676" s="61"/>
    </row>
    <row r="677" spans="5:8" ht="13.5" customHeight="1" x14ac:dyDescent="0.2">
      <c r="E677" s="52"/>
      <c r="H677" s="61"/>
    </row>
    <row r="678" spans="5:8" ht="13.5" customHeight="1" x14ac:dyDescent="0.2">
      <c r="E678" s="52"/>
      <c r="H678" s="61"/>
    </row>
    <row r="679" spans="5:8" ht="13.5" customHeight="1" x14ac:dyDescent="0.2">
      <c r="E679" s="52"/>
      <c r="H679" s="61"/>
    </row>
    <row r="680" spans="5:8" ht="13.5" customHeight="1" x14ac:dyDescent="0.2">
      <c r="E680" s="52"/>
      <c r="H680" s="61"/>
    </row>
    <row r="681" spans="5:8" ht="13.5" customHeight="1" x14ac:dyDescent="0.2">
      <c r="E681" s="52"/>
      <c r="H681" s="61"/>
    </row>
    <row r="682" spans="5:8" ht="13.5" customHeight="1" x14ac:dyDescent="0.2">
      <c r="E682" s="52"/>
      <c r="H682" s="61"/>
    </row>
    <row r="683" spans="5:8" ht="13.5" customHeight="1" x14ac:dyDescent="0.2">
      <c r="E683" s="52"/>
      <c r="H683" s="61"/>
    </row>
    <row r="684" spans="5:8" ht="13.5" customHeight="1" x14ac:dyDescent="0.2">
      <c r="E684" s="52"/>
      <c r="H684" s="61"/>
    </row>
    <row r="685" spans="5:8" ht="13.5" customHeight="1" x14ac:dyDescent="0.2">
      <c r="E685" s="52"/>
      <c r="H685" s="61"/>
    </row>
    <row r="686" spans="5:8" ht="13.5" customHeight="1" x14ac:dyDescent="0.2">
      <c r="E686" s="52"/>
      <c r="H686" s="61"/>
    </row>
    <row r="687" spans="5:8" ht="13.5" customHeight="1" x14ac:dyDescent="0.2">
      <c r="E687" s="52"/>
      <c r="H687" s="61"/>
    </row>
    <row r="688" spans="5:8" ht="13.5" customHeight="1" x14ac:dyDescent="0.2">
      <c r="E688" s="52"/>
      <c r="H688" s="61"/>
    </row>
    <row r="689" spans="5:8" ht="13.5" customHeight="1" x14ac:dyDescent="0.2">
      <c r="E689" s="52"/>
      <c r="H689" s="61"/>
    </row>
    <row r="690" spans="5:8" ht="13.5" customHeight="1" x14ac:dyDescent="0.2">
      <c r="E690" s="52"/>
      <c r="H690" s="61"/>
    </row>
    <row r="691" spans="5:8" ht="13.5" customHeight="1" x14ac:dyDescent="0.2">
      <c r="E691" s="52"/>
      <c r="H691" s="61"/>
    </row>
    <row r="692" spans="5:8" ht="13.5" customHeight="1" x14ac:dyDescent="0.2">
      <c r="E692" s="52"/>
      <c r="H692" s="61"/>
    </row>
    <row r="693" spans="5:8" ht="13.5" customHeight="1" x14ac:dyDescent="0.2">
      <c r="E693" s="52"/>
      <c r="H693" s="61"/>
    </row>
    <row r="694" spans="5:8" ht="13.5" customHeight="1" x14ac:dyDescent="0.2">
      <c r="E694" s="52"/>
      <c r="H694" s="61"/>
    </row>
    <row r="695" spans="5:8" ht="13.5" customHeight="1" x14ac:dyDescent="0.2">
      <c r="E695" s="52"/>
      <c r="H695" s="61"/>
    </row>
    <row r="696" spans="5:8" ht="13.5" customHeight="1" x14ac:dyDescent="0.2">
      <c r="E696" s="52"/>
      <c r="H696" s="61"/>
    </row>
    <row r="697" spans="5:8" ht="13.5" customHeight="1" x14ac:dyDescent="0.2">
      <c r="E697" s="52"/>
      <c r="H697" s="61"/>
    </row>
    <row r="698" spans="5:8" ht="13.5" customHeight="1" x14ac:dyDescent="0.2">
      <c r="E698" s="52"/>
      <c r="H698" s="61"/>
    </row>
    <row r="699" spans="5:8" ht="13.5" customHeight="1" x14ac:dyDescent="0.2">
      <c r="E699" s="52"/>
      <c r="H699" s="61"/>
    </row>
    <row r="700" spans="5:8" ht="13.5" customHeight="1" x14ac:dyDescent="0.2">
      <c r="E700" s="52"/>
      <c r="H700" s="61"/>
    </row>
    <row r="701" spans="5:8" ht="13.5" customHeight="1" x14ac:dyDescent="0.2">
      <c r="E701" s="52"/>
      <c r="H701" s="61"/>
    </row>
    <row r="702" spans="5:8" ht="13.5" customHeight="1" x14ac:dyDescent="0.2">
      <c r="E702" s="52"/>
      <c r="H702" s="61"/>
    </row>
    <row r="703" spans="5:8" ht="13.5" customHeight="1" x14ac:dyDescent="0.2">
      <c r="E703" s="52"/>
      <c r="H703" s="61"/>
    </row>
    <row r="704" spans="5:8" ht="13.5" customHeight="1" x14ac:dyDescent="0.2">
      <c r="E704" s="52"/>
      <c r="H704" s="61"/>
    </row>
    <row r="705" spans="5:8" ht="13.5" customHeight="1" x14ac:dyDescent="0.2">
      <c r="E705" s="52"/>
      <c r="H705" s="61"/>
    </row>
    <row r="706" spans="5:8" ht="13.5" customHeight="1" x14ac:dyDescent="0.2">
      <c r="E706" s="52"/>
      <c r="H706" s="61"/>
    </row>
    <row r="707" spans="5:8" ht="13.5" customHeight="1" x14ac:dyDescent="0.2">
      <c r="E707" s="52"/>
      <c r="H707" s="61"/>
    </row>
    <row r="708" spans="5:8" ht="13.5" customHeight="1" x14ac:dyDescent="0.2">
      <c r="E708" s="52"/>
      <c r="H708" s="61"/>
    </row>
    <row r="709" spans="5:8" ht="13.5" customHeight="1" x14ac:dyDescent="0.2">
      <c r="E709" s="52"/>
      <c r="H709" s="61"/>
    </row>
    <row r="710" spans="5:8" ht="13.5" customHeight="1" x14ac:dyDescent="0.2">
      <c r="E710" s="52"/>
      <c r="H710" s="61"/>
    </row>
    <row r="711" spans="5:8" ht="13.5" customHeight="1" x14ac:dyDescent="0.2">
      <c r="E711" s="52"/>
      <c r="H711" s="61"/>
    </row>
    <row r="712" spans="5:8" ht="13.5" customHeight="1" x14ac:dyDescent="0.2">
      <c r="E712" s="52"/>
      <c r="H712" s="61"/>
    </row>
    <row r="713" spans="5:8" ht="13.5" customHeight="1" x14ac:dyDescent="0.2">
      <c r="E713" s="52"/>
      <c r="H713" s="61"/>
    </row>
    <row r="714" spans="5:8" ht="13.5" customHeight="1" x14ac:dyDescent="0.2">
      <c r="E714" s="52"/>
      <c r="H714" s="61"/>
    </row>
    <row r="715" spans="5:8" ht="13.5" customHeight="1" x14ac:dyDescent="0.2">
      <c r="E715" s="52"/>
      <c r="H715" s="61"/>
    </row>
    <row r="716" spans="5:8" ht="13.5" customHeight="1" x14ac:dyDescent="0.2">
      <c r="E716" s="52"/>
      <c r="H716" s="61"/>
    </row>
    <row r="717" spans="5:8" ht="13.5" customHeight="1" x14ac:dyDescent="0.2">
      <c r="E717" s="52"/>
      <c r="H717" s="61"/>
    </row>
    <row r="718" spans="5:8" ht="13.5" customHeight="1" x14ac:dyDescent="0.2">
      <c r="E718" s="52"/>
      <c r="H718" s="61"/>
    </row>
    <row r="719" spans="5:8" ht="13.5" customHeight="1" x14ac:dyDescent="0.2">
      <c r="E719" s="52"/>
      <c r="H719" s="61"/>
    </row>
    <row r="720" spans="5:8" ht="13.5" customHeight="1" x14ac:dyDescent="0.2">
      <c r="E720" s="52"/>
      <c r="H720" s="61"/>
    </row>
    <row r="721" spans="5:8" ht="13.5" customHeight="1" x14ac:dyDescent="0.2">
      <c r="E721" s="52"/>
      <c r="H721" s="61"/>
    </row>
    <row r="722" spans="5:8" ht="13.5" customHeight="1" x14ac:dyDescent="0.2">
      <c r="E722" s="52"/>
      <c r="H722" s="61"/>
    </row>
    <row r="723" spans="5:8" ht="13.5" customHeight="1" x14ac:dyDescent="0.2">
      <c r="E723" s="52"/>
      <c r="H723" s="61"/>
    </row>
    <row r="724" spans="5:8" ht="13.5" customHeight="1" x14ac:dyDescent="0.2">
      <c r="E724" s="52"/>
      <c r="H724" s="61"/>
    </row>
    <row r="725" spans="5:8" ht="13.5" customHeight="1" x14ac:dyDescent="0.2">
      <c r="E725" s="52"/>
      <c r="H725" s="61"/>
    </row>
    <row r="726" spans="5:8" ht="13.5" customHeight="1" x14ac:dyDescent="0.2">
      <c r="E726" s="52"/>
      <c r="H726" s="61"/>
    </row>
    <row r="727" spans="5:8" ht="13.5" customHeight="1" x14ac:dyDescent="0.2">
      <c r="E727" s="52"/>
      <c r="H727" s="61"/>
    </row>
    <row r="728" spans="5:8" ht="13.5" customHeight="1" x14ac:dyDescent="0.2">
      <c r="E728" s="52"/>
      <c r="H728" s="61"/>
    </row>
    <row r="729" spans="5:8" ht="13.5" customHeight="1" x14ac:dyDescent="0.2">
      <c r="E729" s="52"/>
      <c r="H729" s="61"/>
    </row>
    <row r="730" spans="5:8" ht="13.5" customHeight="1" x14ac:dyDescent="0.2">
      <c r="E730" s="52"/>
      <c r="H730" s="61"/>
    </row>
    <row r="731" spans="5:8" ht="13.5" customHeight="1" x14ac:dyDescent="0.2">
      <c r="E731" s="52"/>
      <c r="H731" s="61"/>
    </row>
    <row r="732" spans="5:8" ht="13.5" customHeight="1" x14ac:dyDescent="0.2">
      <c r="E732" s="52"/>
      <c r="H732" s="61"/>
    </row>
    <row r="733" spans="5:8" ht="13.5" customHeight="1" x14ac:dyDescent="0.2">
      <c r="E733" s="52"/>
      <c r="H733" s="61"/>
    </row>
    <row r="734" spans="5:8" ht="13.5" customHeight="1" x14ac:dyDescent="0.2">
      <c r="E734" s="52"/>
      <c r="H734" s="61"/>
    </row>
    <row r="735" spans="5:8" ht="13.5" customHeight="1" x14ac:dyDescent="0.2">
      <c r="E735" s="52"/>
      <c r="H735" s="61"/>
    </row>
    <row r="736" spans="5:8" ht="13.5" customHeight="1" x14ac:dyDescent="0.2">
      <c r="E736" s="52"/>
      <c r="H736" s="61"/>
    </row>
    <row r="737" spans="5:8" ht="13.5" customHeight="1" x14ac:dyDescent="0.2">
      <c r="E737" s="52"/>
      <c r="H737" s="61"/>
    </row>
    <row r="738" spans="5:8" ht="13.5" customHeight="1" x14ac:dyDescent="0.2">
      <c r="E738" s="52"/>
      <c r="H738" s="61"/>
    </row>
    <row r="739" spans="5:8" ht="13.5" customHeight="1" x14ac:dyDescent="0.2">
      <c r="E739" s="52"/>
      <c r="H739" s="61"/>
    </row>
    <row r="740" spans="5:8" ht="13.5" customHeight="1" x14ac:dyDescent="0.2">
      <c r="E740" s="52"/>
      <c r="H740" s="61"/>
    </row>
    <row r="741" spans="5:8" ht="13.5" customHeight="1" x14ac:dyDescent="0.2">
      <c r="E741" s="52"/>
      <c r="H741" s="61"/>
    </row>
    <row r="742" spans="5:8" ht="13.5" customHeight="1" x14ac:dyDescent="0.2">
      <c r="E742" s="52"/>
      <c r="H742" s="61"/>
    </row>
    <row r="743" spans="5:8" ht="13.5" customHeight="1" x14ac:dyDescent="0.2">
      <c r="E743" s="52"/>
      <c r="H743" s="61"/>
    </row>
    <row r="744" spans="5:8" ht="13.5" customHeight="1" x14ac:dyDescent="0.2">
      <c r="E744" s="52"/>
      <c r="H744" s="61"/>
    </row>
    <row r="745" spans="5:8" ht="13.5" customHeight="1" x14ac:dyDescent="0.2">
      <c r="E745" s="52"/>
      <c r="H745" s="61"/>
    </row>
    <row r="746" spans="5:8" ht="13.5" customHeight="1" x14ac:dyDescent="0.2">
      <c r="E746" s="52"/>
      <c r="H746" s="61"/>
    </row>
    <row r="747" spans="5:8" ht="13.5" customHeight="1" x14ac:dyDescent="0.2">
      <c r="E747" s="52"/>
      <c r="H747" s="61"/>
    </row>
    <row r="748" spans="5:8" ht="13.5" customHeight="1" x14ac:dyDescent="0.2">
      <c r="E748" s="52"/>
      <c r="H748" s="61"/>
    </row>
    <row r="749" spans="5:8" ht="13.5" customHeight="1" x14ac:dyDescent="0.2">
      <c r="E749" s="52"/>
      <c r="H749" s="61"/>
    </row>
    <row r="750" spans="5:8" ht="13.5" customHeight="1" x14ac:dyDescent="0.2">
      <c r="E750" s="52"/>
      <c r="H750" s="61"/>
    </row>
    <row r="751" spans="5:8" ht="13.5" customHeight="1" x14ac:dyDescent="0.2">
      <c r="E751" s="52"/>
      <c r="H751" s="61"/>
    </row>
    <row r="752" spans="5:8" ht="13.5" customHeight="1" x14ac:dyDescent="0.2">
      <c r="E752" s="52"/>
      <c r="H752" s="61"/>
    </row>
    <row r="753" spans="5:8" ht="13.5" customHeight="1" x14ac:dyDescent="0.2">
      <c r="E753" s="52"/>
      <c r="H753" s="61"/>
    </row>
    <row r="754" spans="5:8" ht="13.5" customHeight="1" x14ac:dyDescent="0.2">
      <c r="E754" s="52"/>
      <c r="H754" s="61"/>
    </row>
    <row r="755" spans="5:8" ht="13.5" customHeight="1" x14ac:dyDescent="0.2">
      <c r="E755" s="52"/>
      <c r="H755" s="61"/>
    </row>
    <row r="756" spans="5:8" ht="13.5" customHeight="1" x14ac:dyDescent="0.2">
      <c r="E756" s="52"/>
      <c r="H756" s="61"/>
    </row>
    <row r="757" spans="5:8" ht="13.5" customHeight="1" x14ac:dyDescent="0.2">
      <c r="E757" s="52"/>
      <c r="H757" s="61"/>
    </row>
    <row r="758" spans="5:8" ht="13.5" customHeight="1" x14ac:dyDescent="0.2">
      <c r="E758" s="52"/>
      <c r="H758" s="61"/>
    </row>
    <row r="759" spans="5:8" ht="13.5" customHeight="1" x14ac:dyDescent="0.2">
      <c r="E759" s="52"/>
      <c r="H759" s="61"/>
    </row>
    <row r="760" spans="5:8" ht="13.5" customHeight="1" x14ac:dyDescent="0.2">
      <c r="E760" s="52"/>
      <c r="H760" s="61"/>
    </row>
    <row r="761" spans="5:8" ht="13.5" customHeight="1" x14ac:dyDescent="0.2">
      <c r="E761" s="52"/>
      <c r="H761" s="61"/>
    </row>
    <row r="762" spans="5:8" ht="13.5" customHeight="1" x14ac:dyDescent="0.2">
      <c r="E762" s="52"/>
      <c r="H762" s="61"/>
    </row>
    <row r="763" spans="5:8" ht="13.5" customHeight="1" x14ac:dyDescent="0.2">
      <c r="E763" s="52"/>
      <c r="H763" s="61"/>
    </row>
    <row r="764" spans="5:8" ht="13.5" customHeight="1" x14ac:dyDescent="0.2">
      <c r="E764" s="52"/>
      <c r="H764" s="61"/>
    </row>
    <row r="765" spans="5:8" ht="13.5" customHeight="1" x14ac:dyDescent="0.2">
      <c r="E765" s="52"/>
      <c r="H765" s="61"/>
    </row>
    <row r="766" spans="5:8" ht="13.5" customHeight="1" x14ac:dyDescent="0.2">
      <c r="E766" s="52"/>
      <c r="H766" s="61"/>
    </row>
    <row r="767" spans="5:8" ht="13.5" customHeight="1" x14ac:dyDescent="0.2">
      <c r="E767" s="52"/>
      <c r="H767" s="61"/>
    </row>
    <row r="768" spans="5:8" ht="13.5" customHeight="1" x14ac:dyDescent="0.2">
      <c r="E768" s="52"/>
      <c r="H768" s="61"/>
    </row>
    <row r="769" spans="5:8" ht="13.5" customHeight="1" x14ac:dyDescent="0.2">
      <c r="E769" s="52"/>
      <c r="H769" s="61"/>
    </row>
    <row r="770" spans="5:8" ht="13.5" customHeight="1" x14ac:dyDescent="0.2">
      <c r="E770" s="52"/>
      <c r="H770" s="61"/>
    </row>
    <row r="771" spans="5:8" ht="13.5" customHeight="1" x14ac:dyDescent="0.2">
      <c r="E771" s="52"/>
      <c r="H771" s="61"/>
    </row>
    <row r="772" spans="5:8" ht="13.5" customHeight="1" x14ac:dyDescent="0.2">
      <c r="E772" s="52"/>
      <c r="H772" s="61"/>
    </row>
    <row r="773" spans="5:8" ht="13.5" customHeight="1" x14ac:dyDescent="0.2">
      <c r="E773" s="52"/>
      <c r="H773" s="61"/>
    </row>
    <row r="774" spans="5:8" ht="13.5" customHeight="1" x14ac:dyDescent="0.2">
      <c r="E774" s="52"/>
      <c r="H774" s="61"/>
    </row>
    <row r="775" spans="5:8" ht="13.5" customHeight="1" x14ac:dyDescent="0.2">
      <c r="E775" s="52"/>
      <c r="H775" s="61"/>
    </row>
    <row r="776" spans="5:8" ht="13.5" customHeight="1" x14ac:dyDescent="0.2">
      <c r="E776" s="52"/>
      <c r="H776" s="61"/>
    </row>
    <row r="777" spans="5:8" ht="13.5" customHeight="1" x14ac:dyDescent="0.2">
      <c r="E777" s="52"/>
      <c r="H777" s="61"/>
    </row>
    <row r="778" spans="5:8" ht="13.5" customHeight="1" x14ac:dyDescent="0.2">
      <c r="E778" s="52"/>
      <c r="H778" s="61"/>
    </row>
    <row r="779" spans="5:8" ht="13.5" customHeight="1" x14ac:dyDescent="0.2">
      <c r="E779" s="52"/>
      <c r="H779" s="61"/>
    </row>
    <row r="780" spans="5:8" ht="13.5" customHeight="1" x14ac:dyDescent="0.2">
      <c r="E780" s="52"/>
      <c r="H780" s="61"/>
    </row>
    <row r="781" spans="5:8" ht="13.5" customHeight="1" x14ac:dyDescent="0.2">
      <c r="E781" s="52"/>
      <c r="H781" s="61"/>
    </row>
    <row r="782" spans="5:8" ht="13.5" customHeight="1" x14ac:dyDescent="0.2">
      <c r="E782" s="52"/>
      <c r="H782" s="61"/>
    </row>
    <row r="783" spans="5:8" ht="13.5" customHeight="1" x14ac:dyDescent="0.2">
      <c r="E783" s="52"/>
      <c r="H783" s="61"/>
    </row>
    <row r="784" spans="5:8" ht="13.5" customHeight="1" x14ac:dyDescent="0.2">
      <c r="E784" s="52"/>
      <c r="H784" s="61"/>
    </row>
    <row r="785" spans="5:11" ht="13.5" customHeight="1" x14ac:dyDescent="0.2">
      <c r="E785" s="52"/>
      <c r="H785" s="61"/>
    </row>
    <row r="786" spans="5:11" ht="13.5" customHeight="1" x14ac:dyDescent="0.2">
      <c r="E786" s="52"/>
      <c r="H786" s="61"/>
    </row>
    <row r="787" spans="5:11" ht="13.5" customHeight="1" x14ac:dyDescent="0.2">
      <c r="E787" s="52"/>
      <c r="H787" s="61"/>
    </row>
    <row r="788" spans="5:11" ht="13.5" customHeight="1" x14ac:dyDescent="0.2">
      <c r="E788" s="52"/>
      <c r="H788" s="61"/>
    </row>
    <row r="789" spans="5:11" ht="13.5" customHeight="1" x14ac:dyDescent="0.2">
      <c r="E789" s="52"/>
      <c r="H789" s="61"/>
    </row>
    <row r="790" spans="5:11" ht="13.5" customHeight="1" x14ac:dyDescent="0.2">
      <c r="E790" s="52"/>
      <c r="H790" s="61"/>
    </row>
    <row r="791" spans="5:11" ht="13.5" customHeight="1" x14ac:dyDescent="0.2">
      <c r="E791" s="52"/>
      <c r="H791" s="61"/>
    </row>
    <row r="792" spans="5:11" ht="13.5" customHeight="1" x14ac:dyDescent="0.2">
      <c r="E792" s="52"/>
      <c r="H792" s="61"/>
    </row>
    <row r="793" spans="5:11" ht="13.5" customHeight="1" x14ac:dyDescent="0.2">
      <c r="E793" s="52"/>
      <c r="H793" s="61"/>
    </row>
    <row r="794" spans="5:11" ht="13.5" customHeight="1" x14ac:dyDescent="0.2">
      <c r="E794" s="52"/>
      <c r="H794" s="61"/>
    </row>
    <row r="795" spans="5:11" ht="13.5" customHeight="1" x14ac:dyDescent="0.2">
      <c r="E795" s="52"/>
      <c r="H795" s="61"/>
    </row>
    <row r="796" spans="5:11" ht="13.5" customHeight="1" x14ac:dyDescent="0.2">
      <c r="E796" s="52"/>
      <c r="H796" s="61"/>
    </row>
    <row r="797" spans="5:11" ht="13.5" customHeight="1" x14ac:dyDescent="0.2">
      <c r="E797" s="52"/>
      <c r="H797" s="61"/>
    </row>
    <row r="798" spans="5:11" ht="13.5" customHeight="1" x14ac:dyDescent="0.2">
      <c r="E798" s="52"/>
      <c r="H798" s="61"/>
      <c r="K798"/>
    </row>
    <row r="799" spans="5:11" ht="13.5" customHeight="1" x14ac:dyDescent="0.2">
      <c r="E799" s="52"/>
      <c r="H799" s="61"/>
      <c r="K799"/>
    </row>
    <row r="800" spans="5:11" ht="13.5" customHeight="1" x14ac:dyDescent="0.2">
      <c r="E800" s="52"/>
      <c r="H800" s="61"/>
      <c r="K800"/>
    </row>
    <row r="801" spans="5:11" ht="13.5" customHeight="1" x14ac:dyDescent="0.2">
      <c r="E801" s="52"/>
      <c r="H801" s="61"/>
      <c r="K801"/>
    </row>
    <row r="802" spans="5:11" ht="13.5" customHeight="1" x14ac:dyDescent="0.2">
      <c r="E802" s="52"/>
      <c r="H802" s="61"/>
      <c r="K802"/>
    </row>
    <row r="803" spans="5:11" ht="13.5" customHeight="1" x14ac:dyDescent="0.2">
      <c r="E803" s="52"/>
      <c r="H803" s="61"/>
      <c r="K803"/>
    </row>
    <row r="804" spans="5:11" ht="13.5" customHeight="1" x14ac:dyDescent="0.2">
      <c r="E804" s="52"/>
      <c r="H804" s="61"/>
      <c r="K804"/>
    </row>
    <row r="805" spans="5:11" ht="13.5" customHeight="1" x14ac:dyDescent="0.2">
      <c r="E805" s="52"/>
      <c r="H805" s="61"/>
      <c r="K805"/>
    </row>
    <row r="806" spans="5:11" ht="13.5" customHeight="1" x14ac:dyDescent="0.2">
      <c r="E806" s="52"/>
      <c r="H806" s="61"/>
      <c r="K806"/>
    </row>
    <row r="807" spans="5:11" ht="13.5" customHeight="1" x14ac:dyDescent="0.2">
      <c r="E807" s="52"/>
      <c r="H807" s="61"/>
      <c r="K807"/>
    </row>
    <row r="808" spans="5:11" ht="13.5" customHeight="1" x14ac:dyDescent="0.2">
      <c r="E808" s="52"/>
      <c r="H808" s="61"/>
      <c r="K808"/>
    </row>
    <row r="809" spans="5:11" ht="13.5" customHeight="1" x14ac:dyDescent="0.2">
      <c r="E809" s="52"/>
      <c r="H809" s="61"/>
      <c r="K809"/>
    </row>
    <row r="810" spans="5:11" ht="13.5" customHeight="1" x14ac:dyDescent="0.2">
      <c r="E810" s="52"/>
      <c r="H810" s="61"/>
      <c r="K810"/>
    </row>
    <row r="811" spans="5:11" ht="13.5" customHeight="1" x14ac:dyDescent="0.2">
      <c r="E811" s="52"/>
      <c r="H811" s="61"/>
      <c r="K811"/>
    </row>
    <row r="812" spans="5:11" ht="13.5" customHeight="1" x14ac:dyDescent="0.2">
      <c r="E812" s="52"/>
      <c r="H812" s="61"/>
      <c r="K812"/>
    </row>
    <row r="813" spans="5:11" ht="13.5" customHeight="1" x14ac:dyDescent="0.2">
      <c r="E813" s="52"/>
      <c r="H813" s="61"/>
      <c r="K813"/>
    </row>
    <row r="814" spans="5:11" ht="13.5" customHeight="1" x14ac:dyDescent="0.2">
      <c r="E814" s="52"/>
      <c r="H814" s="61"/>
      <c r="K814"/>
    </row>
    <row r="815" spans="5:11" ht="13.5" customHeight="1" x14ac:dyDescent="0.2">
      <c r="E815" s="50"/>
      <c r="H815" s="61"/>
      <c r="K815"/>
    </row>
    <row r="816" spans="5:11" ht="13.5" customHeight="1" x14ac:dyDescent="0.2">
      <c r="E816" s="50"/>
      <c r="H816" s="61"/>
      <c r="K816"/>
    </row>
    <row r="817" spans="5:11" ht="13.5" customHeight="1" x14ac:dyDescent="0.2">
      <c r="E817" s="50"/>
      <c r="H817" s="61"/>
      <c r="K817"/>
    </row>
    <row r="818" spans="5:11" ht="13.5" customHeight="1" x14ac:dyDescent="0.2">
      <c r="E818" s="50"/>
      <c r="H818" s="61"/>
      <c r="K818"/>
    </row>
    <row r="819" spans="5:11" ht="13.5" customHeight="1" x14ac:dyDescent="0.2">
      <c r="E819" s="50"/>
      <c r="H819" s="61"/>
      <c r="K819"/>
    </row>
    <row r="820" spans="5:11" ht="13.5" customHeight="1" x14ac:dyDescent="0.2">
      <c r="E820" s="50"/>
      <c r="H820" s="61"/>
      <c r="K820"/>
    </row>
    <row r="821" spans="5:11" ht="13.5" customHeight="1" x14ac:dyDescent="0.2">
      <c r="E821" s="50"/>
      <c r="H821" s="61"/>
      <c r="K821"/>
    </row>
    <row r="822" spans="5:11" ht="13.5" customHeight="1" x14ac:dyDescent="0.2">
      <c r="E822" s="50"/>
      <c r="H822" s="61"/>
      <c r="K822"/>
    </row>
    <row r="823" spans="5:11" ht="13.5" customHeight="1" x14ac:dyDescent="0.2">
      <c r="E823" s="50"/>
      <c r="H823" s="61"/>
      <c r="K823"/>
    </row>
    <row r="824" spans="5:11" ht="13.5" customHeight="1" x14ac:dyDescent="0.2">
      <c r="E824" s="50"/>
      <c r="H824" s="61"/>
      <c r="K824"/>
    </row>
    <row r="825" spans="5:11" ht="13.5" customHeight="1" x14ac:dyDescent="0.2">
      <c r="E825" s="50"/>
      <c r="H825" s="61"/>
      <c r="K825"/>
    </row>
    <row r="826" spans="5:11" ht="13.5" customHeight="1" x14ac:dyDescent="0.2">
      <c r="E826" s="50"/>
      <c r="H826" s="61"/>
      <c r="K826"/>
    </row>
    <row r="827" spans="5:11" ht="13.5" customHeight="1" x14ac:dyDescent="0.2">
      <c r="E827" s="50"/>
      <c r="H827" s="61"/>
      <c r="K827"/>
    </row>
    <row r="828" spans="5:11" ht="13.5" customHeight="1" x14ac:dyDescent="0.2">
      <c r="E828" s="50"/>
      <c r="H828" s="61"/>
      <c r="K828"/>
    </row>
    <row r="829" spans="5:11" ht="13.5" customHeight="1" x14ac:dyDescent="0.2">
      <c r="E829" s="50"/>
      <c r="H829" s="61"/>
      <c r="K829"/>
    </row>
    <row r="830" spans="5:11" ht="13.5" customHeight="1" x14ac:dyDescent="0.2">
      <c r="E830" s="50"/>
      <c r="H830" s="61"/>
      <c r="K830"/>
    </row>
    <row r="831" spans="5:11" ht="13.5" customHeight="1" x14ac:dyDescent="0.2">
      <c r="E831" s="50"/>
      <c r="H831" s="61"/>
      <c r="K831"/>
    </row>
    <row r="832" spans="5:11" ht="13.5" customHeight="1" x14ac:dyDescent="0.2">
      <c r="E832" s="50"/>
      <c r="H832" s="61"/>
      <c r="K832"/>
    </row>
    <row r="833" spans="5:11" ht="13.5" customHeight="1" x14ac:dyDescent="0.2">
      <c r="E833" s="50"/>
      <c r="H833" s="61"/>
      <c r="K833"/>
    </row>
    <row r="834" spans="5:11" ht="13.5" customHeight="1" x14ac:dyDescent="0.2">
      <c r="E834" s="50"/>
      <c r="H834" s="61"/>
      <c r="K834"/>
    </row>
    <row r="835" spans="5:11" ht="13.5" customHeight="1" x14ac:dyDescent="0.2">
      <c r="E835" s="50"/>
      <c r="H835" s="61"/>
      <c r="K835"/>
    </row>
    <row r="836" spans="5:11" ht="13.5" customHeight="1" x14ac:dyDescent="0.2">
      <c r="E836" s="50"/>
      <c r="H836" s="61"/>
      <c r="K836"/>
    </row>
    <row r="837" spans="5:11" ht="13.5" customHeight="1" x14ac:dyDescent="0.2">
      <c r="E837" s="50"/>
      <c r="H837" s="61"/>
      <c r="K837"/>
    </row>
    <row r="838" spans="5:11" ht="13.5" customHeight="1" x14ac:dyDescent="0.2">
      <c r="E838" s="50"/>
      <c r="H838" s="61"/>
      <c r="K838"/>
    </row>
    <row r="839" spans="5:11" ht="13.5" customHeight="1" x14ac:dyDescent="0.2">
      <c r="E839" s="50"/>
      <c r="H839" s="61"/>
      <c r="K839"/>
    </row>
    <row r="840" spans="5:11" ht="13.5" customHeight="1" x14ac:dyDescent="0.2">
      <c r="E840" s="50"/>
      <c r="H840" s="61"/>
      <c r="K840"/>
    </row>
    <row r="841" spans="5:11" ht="13.5" customHeight="1" x14ac:dyDescent="0.2">
      <c r="E841" s="50"/>
      <c r="H841" s="61"/>
      <c r="K841"/>
    </row>
    <row r="842" spans="5:11" ht="13.5" customHeight="1" x14ac:dyDescent="0.2">
      <c r="E842" s="50"/>
      <c r="H842" s="61"/>
      <c r="K842"/>
    </row>
    <row r="843" spans="5:11" ht="13.5" customHeight="1" x14ac:dyDescent="0.2">
      <c r="E843" s="50"/>
      <c r="H843" s="61"/>
      <c r="K843"/>
    </row>
    <row r="844" spans="5:11" ht="13.5" customHeight="1" x14ac:dyDescent="0.2">
      <c r="E844" s="50"/>
      <c r="H844" s="61"/>
      <c r="K844"/>
    </row>
    <row r="845" spans="5:11" ht="13.5" customHeight="1" x14ac:dyDescent="0.2">
      <c r="E845" s="50"/>
      <c r="H845" s="61"/>
      <c r="K845"/>
    </row>
    <row r="846" spans="5:11" ht="13.5" customHeight="1" x14ac:dyDescent="0.2">
      <c r="E846" s="50"/>
      <c r="H846" s="61"/>
      <c r="K846"/>
    </row>
    <row r="847" spans="5:11" ht="13.5" customHeight="1" x14ac:dyDescent="0.2">
      <c r="E847" s="50"/>
      <c r="H847" s="61"/>
      <c r="K847"/>
    </row>
    <row r="848" spans="5:11" ht="13.5" customHeight="1" x14ac:dyDescent="0.2">
      <c r="E848" s="50"/>
      <c r="H848" s="61"/>
      <c r="K848"/>
    </row>
    <row r="849" spans="5:11" ht="13.5" customHeight="1" x14ac:dyDescent="0.2">
      <c r="E849" s="50"/>
      <c r="H849" s="61"/>
      <c r="K849"/>
    </row>
    <row r="850" spans="5:11" ht="13.5" customHeight="1" x14ac:dyDescent="0.2">
      <c r="E850" s="50"/>
      <c r="H850" s="61"/>
      <c r="K850"/>
    </row>
    <row r="851" spans="5:11" ht="13.5" customHeight="1" x14ac:dyDescent="0.2">
      <c r="E851" s="50"/>
      <c r="H851" s="61"/>
      <c r="K851"/>
    </row>
    <row r="852" spans="5:11" ht="13.5" customHeight="1" x14ac:dyDescent="0.2">
      <c r="E852" s="50"/>
      <c r="H852" s="61"/>
      <c r="K852"/>
    </row>
    <row r="853" spans="5:11" ht="13.5" customHeight="1" x14ac:dyDescent="0.2">
      <c r="E853" s="50"/>
      <c r="H853" s="61"/>
      <c r="K853"/>
    </row>
    <row r="854" spans="5:11" ht="13.5" customHeight="1" x14ac:dyDescent="0.2">
      <c r="E854" s="50"/>
      <c r="H854" s="61"/>
      <c r="K854"/>
    </row>
    <row r="855" spans="5:11" ht="13.5" customHeight="1" x14ac:dyDescent="0.2">
      <c r="E855" s="50"/>
      <c r="H855" s="61"/>
      <c r="K855"/>
    </row>
    <row r="856" spans="5:11" ht="13.5" customHeight="1" x14ac:dyDescent="0.2">
      <c r="E856" s="50"/>
      <c r="H856" s="61"/>
      <c r="K856"/>
    </row>
    <row r="857" spans="5:11" ht="13.5" customHeight="1" x14ac:dyDescent="0.2">
      <c r="E857" s="50"/>
      <c r="H857" s="61"/>
      <c r="K857"/>
    </row>
    <row r="858" spans="5:11" ht="13.5" customHeight="1" x14ac:dyDescent="0.2">
      <c r="E858" s="50"/>
      <c r="H858" s="61"/>
      <c r="K858"/>
    </row>
    <row r="859" spans="5:11" ht="13.5" customHeight="1" x14ac:dyDescent="0.2">
      <c r="E859" s="50"/>
      <c r="H859" s="61"/>
      <c r="K859"/>
    </row>
    <row r="860" spans="5:11" ht="13.5" customHeight="1" x14ac:dyDescent="0.2">
      <c r="E860" s="50"/>
      <c r="H860" s="61"/>
      <c r="K860"/>
    </row>
    <row r="861" spans="5:11" ht="13.5" customHeight="1" x14ac:dyDescent="0.2">
      <c r="E861" s="50"/>
      <c r="H861" s="61"/>
      <c r="K861"/>
    </row>
    <row r="862" spans="5:11" ht="13.5" customHeight="1" x14ac:dyDescent="0.2">
      <c r="E862" s="50"/>
      <c r="H862" s="61"/>
      <c r="K862"/>
    </row>
    <row r="863" spans="5:11" ht="13.5" customHeight="1" x14ac:dyDescent="0.2">
      <c r="E863" s="50"/>
      <c r="H863" s="61"/>
      <c r="K863"/>
    </row>
    <row r="864" spans="5:11" ht="13.5" customHeight="1" x14ac:dyDescent="0.2">
      <c r="E864" s="50"/>
      <c r="H864" s="61"/>
      <c r="K864"/>
    </row>
    <row r="865" spans="5:11" ht="13.5" customHeight="1" x14ac:dyDescent="0.2">
      <c r="E865" s="50"/>
      <c r="H865" s="61"/>
      <c r="K865"/>
    </row>
    <row r="866" spans="5:11" ht="13.5" customHeight="1" x14ac:dyDescent="0.2">
      <c r="E866" s="50"/>
      <c r="H866" s="61"/>
      <c r="K866"/>
    </row>
    <row r="867" spans="5:11" ht="13.5" customHeight="1" x14ac:dyDescent="0.2">
      <c r="E867" s="50"/>
      <c r="H867" s="61"/>
      <c r="K867"/>
    </row>
    <row r="868" spans="5:11" ht="13.5" customHeight="1" x14ac:dyDescent="0.2">
      <c r="E868" s="50"/>
      <c r="H868" s="61"/>
      <c r="K868"/>
    </row>
    <row r="869" spans="5:11" ht="13.5" customHeight="1" x14ac:dyDescent="0.2">
      <c r="E869" s="50"/>
      <c r="H869" s="12"/>
      <c r="K869"/>
    </row>
    <row r="870" spans="5:11" ht="13.5" customHeight="1" x14ac:dyDescent="0.2">
      <c r="E870" s="50"/>
      <c r="H870" s="12"/>
      <c r="K870"/>
    </row>
    <row r="871" spans="5:11" ht="13.5" customHeight="1" x14ac:dyDescent="0.2">
      <c r="E871" s="50"/>
      <c r="H871" s="12"/>
      <c r="K871"/>
    </row>
    <row r="872" spans="5:11" ht="13.5" customHeight="1" x14ac:dyDescent="0.2">
      <c r="E872" s="50"/>
      <c r="H872" s="12"/>
      <c r="K872"/>
    </row>
    <row r="873" spans="5:11" ht="13.5" customHeight="1" x14ac:dyDescent="0.2">
      <c r="E873" s="50"/>
      <c r="H873" s="12"/>
      <c r="K873"/>
    </row>
    <row r="874" spans="5:11" ht="13.5" customHeight="1" x14ac:dyDescent="0.2">
      <c r="E874" s="50"/>
      <c r="H874" s="12"/>
      <c r="K874"/>
    </row>
    <row r="875" spans="5:11" ht="13.5" customHeight="1" x14ac:dyDescent="0.2">
      <c r="E875" s="50"/>
      <c r="H875" s="12"/>
      <c r="K875"/>
    </row>
    <row r="876" spans="5:11" ht="13.5" customHeight="1" x14ac:dyDescent="0.2">
      <c r="E876" s="50"/>
      <c r="H876" s="12"/>
      <c r="K876"/>
    </row>
    <row r="877" spans="5:11" ht="13.5" customHeight="1" x14ac:dyDescent="0.2">
      <c r="E877" s="50"/>
      <c r="H877" s="12"/>
      <c r="K877"/>
    </row>
    <row r="878" spans="5:11" ht="13.5" customHeight="1" x14ac:dyDescent="0.2">
      <c r="E878" s="50"/>
      <c r="H878" s="12"/>
      <c r="K878"/>
    </row>
    <row r="879" spans="5:11" ht="13.5" customHeight="1" x14ac:dyDescent="0.2">
      <c r="E879" s="50"/>
      <c r="H879" s="12"/>
      <c r="K879"/>
    </row>
    <row r="880" spans="5:11" ht="13.5" customHeight="1" x14ac:dyDescent="0.2">
      <c r="E880" s="50"/>
      <c r="H880" s="12"/>
      <c r="K880"/>
    </row>
    <row r="881" spans="5:11" ht="13.5" customHeight="1" x14ac:dyDescent="0.2">
      <c r="E881" s="50"/>
      <c r="H881" s="12"/>
      <c r="K881"/>
    </row>
    <row r="882" spans="5:11" ht="13.5" customHeight="1" x14ac:dyDescent="0.2">
      <c r="E882" s="50"/>
      <c r="H882" s="12"/>
      <c r="K882"/>
    </row>
    <row r="883" spans="5:11" ht="13.5" customHeight="1" x14ac:dyDescent="0.2">
      <c r="E883" s="50"/>
      <c r="H883" s="12"/>
      <c r="K883"/>
    </row>
    <row r="884" spans="5:11" ht="13.5" customHeight="1" x14ac:dyDescent="0.2">
      <c r="E884" s="50"/>
      <c r="H884" s="12"/>
      <c r="K884"/>
    </row>
    <row r="885" spans="5:11" ht="13.5" customHeight="1" x14ac:dyDescent="0.2">
      <c r="E885" s="50"/>
      <c r="H885" s="12"/>
      <c r="K885"/>
    </row>
    <row r="886" spans="5:11" ht="13.5" customHeight="1" x14ac:dyDescent="0.2">
      <c r="E886" s="50"/>
      <c r="H886" s="12"/>
      <c r="K886"/>
    </row>
    <row r="887" spans="5:11" ht="13.5" customHeight="1" x14ac:dyDescent="0.2">
      <c r="E887" s="50"/>
      <c r="H887" s="12"/>
      <c r="K887"/>
    </row>
    <row r="888" spans="5:11" ht="13.5" customHeight="1" x14ac:dyDescent="0.2">
      <c r="E888" s="50"/>
      <c r="H888" s="12"/>
      <c r="K888"/>
    </row>
    <row r="889" spans="5:11" ht="13.5" customHeight="1" x14ac:dyDescent="0.2">
      <c r="E889" s="50"/>
      <c r="H889" s="12"/>
      <c r="K889"/>
    </row>
    <row r="890" spans="5:11" ht="13.5" customHeight="1" x14ac:dyDescent="0.2">
      <c r="E890" s="50"/>
      <c r="H890" s="12"/>
      <c r="K890"/>
    </row>
    <row r="891" spans="5:11" ht="13.5" customHeight="1" x14ac:dyDescent="0.2">
      <c r="E891" s="50"/>
      <c r="H891" s="12"/>
      <c r="K891"/>
    </row>
    <row r="892" spans="5:11" ht="13.5" customHeight="1" x14ac:dyDescent="0.2">
      <c r="E892" s="50"/>
      <c r="H892" s="12"/>
      <c r="K892"/>
    </row>
    <row r="893" spans="5:11" ht="13.5" customHeight="1" x14ac:dyDescent="0.2">
      <c r="E893" s="50"/>
      <c r="H893" s="12"/>
      <c r="K893"/>
    </row>
    <row r="894" spans="5:11" ht="13.5" customHeight="1" x14ac:dyDescent="0.2">
      <c r="E894" s="50"/>
      <c r="H894" s="12"/>
      <c r="K894"/>
    </row>
    <row r="895" spans="5:11" ht="13.5" customHeight="1" x14ac:dyDescent="0.2">
      <c r="E895" s="50"/>
      <c r="H895" s="12"/>
      <c r="K895"/>
    </row>
    <row r="896" spans="5:11" ht="13.5" customHeight="1" x14ac:dyDescent="0.2">
      <c r="E896" s="50"/>
      <c r="H896" s="12"/>
      <c r="K896"/>
    </row>
    <row r="897" spans="5:11" ht="13.5" customHeight="1" x14ac:dyDescent="0.2">
      <c r="E897" s="50"/>
      <c r="H897" s="12"/>
      <c r="K897"/>
    </row>
    <row r="898" spans="5:11" ht="13.5" customHeight="1" x14ac:dyDescent="0.2">
      <c r="E898" s="50"/>
      <c r="H898" s="12"/>
      <c r="K898"/>
    </row>
    <row r="899" spans="5:11" ht="13.5" customHeight="1" x14ac:dyDescent="0.2">
      <c r="E899" s="50"/>
      <c r="H899" s="12"/>
      <c r="K899"/>
    </row>
    <row r="900" spans="5:11" ht="13.5" customHeight="1" x14ac:dyDescent="0.2">
      <c r="E900" s="50"/>
      <c r="H900" s="12"/>
      <c r="K900"/>
    </row>
    <row r="901" spans="5:11" ht="13.5" customHeight="1" x14ac:dyDescent="0.2">
      <c r="E901" s="50"/>
      <c r="H901" s="12"/>
      <c r="K901"/>
    </row>
    <row r="902" spans="5:11" ht="13.5" customHeight="1" x14ac:dyDescent="0.2">
      <c r="E902" s="50"/>
      <c r="H902" s="12"/>
      <c r="K902"/>
    </row>
    <row r="903" spans="5:11" ht="13.5" customHeight="1" x14ac:dyDescent="0.2">
      <c r="E903" s="50"/>
      <c r="H903" s="12"/>
      <c r="K903"/>
    </row>
    <row r="904" spans="5:11" ht="13.5" customHeight="1" x14ac:dyDescent="0.2">
      <c r="E904" s="50"/>
      <c r="H904" s="12"/>
      <c r="K904"/>
    </row>
    <row r="905" spans="5:11" ht="13.5" customHeight="1" x14ac:dyDescent="0.2">
      <c r="E905" s="50"/>
      <c r="H905" s="12"/>
      <c r="K905"/>
    </row>
    <row r="906" spans="5:11" ht="13.5" customHeight="1" x14ac:dyDescent="0.2">
      <c r="E906" s="50"/>
      <c r="H906" s="12"/>
      <c r="K906"/>
    </row>
    <row r="907" spans="5:11" ht="13.5" customHeight="1" x14ac:dyDescent="0.2">
      <c r="E907" s="50"/>
      <c r="H907" s="12"/>
      <c r="K907"/>
    </row>
    <row r="908" spans="5:11" ht="13.5" customHeight="1" x14ac:dyDescent="0.2">
      <c r="E908" s="50"/>
      <c r="H908" s="12"/>
      <c r="K908"/>
    </row>
    <row r="909" spans="5:11" ht="13.5" customHeight="1" x14ac:dyDescent="0.2">
      <c r="E909" s="50"/>
      <c r="H909" s="12"/>
      <c r="K909"/>
    </row>
    <row r="910" spans="5:11" ht="13.5" customHeight="1" x14ac:dyDescent="0.2">
      <c r="E910" s="50"/>
      <c r="H910" s="12"/>
      <c r="K910"/>
    </row>
    <row r="911" spans="5:11" ht="13.5" customHeight="1" x14ac:dyDescent="0.2">
      <c r="E911" s="50"/>
      <c r="H911" s="12"/>
      <c r="K911"/>
    </row>
    <row r="912" spans="5:11" ht="13.5" customHeight="1" x14ac:dyDescent="0.2">
      <c r="E912" s="50"/>
      <c r="H912" s="12"/>
      <c r="K912"/>
    </row>
    <row r="913" spans="5:11" ht="13.5" customHeight="1" x14ac:dyDescent="0.2">
      <c r="E913" s="50"/>
      <c r="H913" s="12"/>
      <c r="K913"/>
    </row>
    <row r="914" spans="5:11" ht="13.5" customHeight="1" x14ac:dyDescent="0.2">
      <c r="E914" s="50"/>
      <c r="H914" s="12"/>
      <c r="K914"/>
    </row>
    <row r="915" spans="5:11" ht="13.5" customHeight="1" x14ac:dyDescent="0.2">
      <c r="E915" s="50"/>
      <c r="H915" s="12"/>
      <c r="K915"/>
    </row>
    <row r="916" spans="5:11" ht="13.5" customHeight="1" x14ac:dyDescent="0.2">
      <c r="E916" s="50"/>
      <c r="H916" s="12"/>
      <c r="K916"/>
    </row>
    <row r="917" spans="5:11" ht="13.5" customHeight="1" x14ac:dyDescent="0.2">
      <c r="E917" s="50"/>
      <c r="H917" s="12"/>
      <c r="K917"/>
    </row>
    <row r="918" spans="5:11" ht="13.5" customHeight="1" x14ac:dyDescent="0.2">
      <c r="E918" s="50"/>
      <c r="H918" s="12"/>
      <c r="K918"/>
    </row>
    <row r="919" spans="5:11" ht="13.5" customHeight="1" x14ac:dyDescent="0.2">
      <c r="E919" s="50"/>
      <c r="H919" s="12"/>
      <c r="K919"/>
    </row>
    <row r="920" spans="5:11" ht="13.5" customHeight="1" x14ac:dyDescent="0.2">
      <c r="E920" s="50"/>
      <c r="H920" s="12"/>
      <c r="K920"/>
    </row>
    <row r="921" spans="5:11" ht="13.5" customHeight="1" x14ac:dyDescent="0.2">
      <c r="E921" s="50"/>
      <c r="H921" s="12"/>
      <c r="K921"/>
    </row>
    <row r="922" spans="5:11" ht="13.5" customHeight="1" x14ac:dyDescent="0.2">
      <c r="E922" s="50"/>
      <c r="H922" s="12"/>
      <c r="K922"/>
    </row>
    <row r="923" spans="5:11" ht="13.5" customHeight="1" x14ac:dyDescent="0.2">
      <c r="E923" s="50"/>
      <c r="H923" s="12"/>
      <c r="K923"/>
    </row>
    <row r="924" spans="5:11" ht="13.5" customHeight="1" x14ac:dyDescent="0.2">
      <c r="E924" s="50"/>
      <c r="H924" s="12"/>
      <c r="K924"/>
    </row>
    <row r="925" spans="5:11" ht="13.5" customHeight="1" x14ac:dyDescent="0.2">
      <c r="E925" s="50"/>
      <c r="H925" s="12"/>
      <c r="K925"/>
    </row>
    <row r="926" spans="5:11" ht="13.5" customHeight="1" x14ac:dyDescent="0.2">
      <c r="E926" s="50"/>
      <c r="H926" s="12"/>
      <c r="K926"/>
    </row>
    <row r="927" spans="5:11" ht="13.5" customHeight="1" x14ac:dyDescent="0.2">
      <c r="E927" s="50"/>
      <c r="H927" s="12"/>
      <c r="K927"/>
    </row>
    <row r="928" spans="5:11" ht="13.5" customHeight="1" x14ac:dyDescent="0.2">
      <c r="E928" s="50"/>
      <c r="H928" s="12"/>
      <c r="K928"/>
    </row>
    <row r="929" spans="5:11" ht="13.5" customHeight="1" x14ac:dyDescent="0.2">
      <c r="E929" s="50"/>
      <c r="H929" s="12"/>
      <c r="K929"/>
    </row>
    <row r="930" spans="5:11" ht="13.5" customHeight="1" x14ac:dyDescent="0.2">
      <c r="E930" s="50"/>
      <c r="H930" s="12"/>
      <c r="K930"/>
    </row>
    <row r="931" spans="5:11" ht="13.5" customHeight="1" x14ac:dyDescent="0.2">
      <c r="E931" s="50"/>
      <c r="H931" s="12"/>
      <c r="K931"/>
    </row>
    <row r="932" spans="5:11" ht="13.5" customHeight="1" x14ac:dyDescent="0.2">
      <c r="E932" s="50"/>
      <c r="H932" s="12"/>
      <c r="K932"/>
    </row>
    <row r="933" spans="5:11" ht="13.5" customHeight="1" x14ac:dyDescent="0.2">
      <c r="E933" s="50"/>
      <c r="H933" s="12"/>
      <c r="K933"/>
    </row>
    <row r="934" spans="5:11" ht="13.5" customHeight="1" x14ac:dyDescent="0.2">
      <c r="E934" s="50"/>
      <c r="H934" s="12"/>
      <c r="K934"/>
    </row>
    <row r="935" spans="5:11" ht="13.5" customHeight="1" x14ac:dyDescent="0.2">
      <c r="E935" s="50"/>
      <c r="H935" s="12"/>
      <c r="K935"/>
    </row>
    <row r="936" spans="5:11" ht="13.5" customHeight="1" x14ac:dyDescent="0.2">
      <c r="E936" s="50"/>
      <c r="H936" s="12"/>
      <c r="K936"/>
    </row>
    <row r="937" spans="5:11" ht="13.5" customHeight="1" x14ac:dyDescent="0.2">
      <c r="E937" s="50"/>
      <c r="H937" s="12"/>
      <c r="K937"/>
    </row>
    <row r="938" spans="5:11" ht="13.5" customHeight="1" x14ac:dyDescent="0.2">
      <c r="E938" s="50"/>
      <c r="H938" s="12"/>
      <c r="K938"/>
    </row>
    <row r="939" spans="5:11" ht="13.5" customHeight="1" x14ac:dyDescent="0.2">
      <c r="E939" s="50"/>
      <c r="H939" s="12"/>
      <c r="K939"/>
    </row>
    <row r="940" spans="5:11" ht="13.5" customHeight="1" x14ac:dyDescent="0.2">
      <c r="E940" s="50"/>
      <c r="H940" s="12"/>
      <c r="K940"/>
    </row>
    <row r="941" spans="5:11" ht="13.5" customHeight="1" x14ac:dyDescent="0.2">
      <c r="E941" s="50"/>
      <c r="H941" s="12"/>
      <c r="K941"/>
    </row>
    <row r="942" spans="5:11" ht="13.5" customHeight="1" x14ac:dyDescent="0.2">
      <c r="E942" s="50"/>
      <c r="H942" s="12"/>
      <c r="K942"/>
    </row>
    <row r="943" spans="5:11" ht="13.5" customHeight="1" x14ac:dyDescent="0.2">
      <c r="E943" s="50"/>
      <c r="H943" s="12"/>
      <c r="K943"/>
    </row>
    <row r="944" spans="5:11" ht="13.5" customHeight="1" x14ac:dyDescent="0.2">
      <c r="E944" s="50"/>
      <c r="H944" s="12"/>
      <c r="K944"/>
    </row>
    <row r="945" spans="5:11" ht="13.5" customHeight="1" x14ac:dyDescent="0.2">
      <c r="E945" s="50"/>
      <c r="H945" s="12"/>
      <c r="K945"/>
    </row>
    <row r="946" spans="5:11" ht="13.5" customHeight="1" x14ac:dyDescent="0.2">
      <c r="E946" s="50"/>
      <c r="H946" s="12"/>
      <c r="K946"/>
    </row>
    <row r="947" spans="5:11" ht="13.5" customHeight="1" x14ac:dyDescent="0.2">
      <c r="E947" s="50"/>
      <c r="H947" s="12"/>
      <c r="K947"/>
    </row>
    <row r="948" spans="5:11" ht="13.5" customHeight="1" x14ac:dyDescent="0.2">
      <c r="E948" s="50"/>
      <c r="H948" s="12"/>
      <c r="K948"/>
    </row>
    <row r="949" spans="5:11" ht="13.5" customHeight="1" x14ac:dyDescent="0.2">
      <c r="E949" s="50"/>
      <c r="H949" s="12"/>
      <c r="K949"/>
    </row>
    <row r="950" spans="5:11" ht="13.5" customHeight="1" x14ac:dyDescent="0.2">
      <c r="E950" s="50"/>
      <c r="H950" s="12"/>
      <c r="K950"/>
    </row>
    <row r="951" spans="5:11" ht="13.5" customHeight="1" x14ac:dyDescent="0.2">
      <c r="E951" s="50"/>
      <c r="H951" s="12"/>
      <c r="K951"/>
    </row>
    <row r="952" spans="5:11" ht="13.5" customHeight="1" x14ac:dyDescent="0.2">
      <c r="E952" s="50"/>
      <c r="H952" s="12"/>
      <c r="K952"/>
    </row>
    <row r="953" spans="5:11" ht="13.5" customHeight="1" x14ac:dyDescent="0.2">
      <c r="E953" s="50"/>
      <c r="H953" s="12"/>
      <c r="K953"/>
    </row>
    <row r="954" spans="5:11" ht="13.5" customHeight="1" x14ac:dyDescent="0.2">
      <c r="E954" s="50"/>
      <c r="H954" s="12"/>
      <c r="K954"/>
    </row>
    <row r="955" spans="5:11" ht="13.5" customHeight="1" x14ac:dyDescent="0.2">
      <c r="E955" s="50"/>
      <c r="H955" s="12"/>
      <c r="K955"/>
    </row>
    <row r="956" spans="5:11" ht="13.5" customHeight="1" x14ac:dyDescent="0.2">
      <c r="E956" s="50"/>
      <c r="H956" s="12"/>
      <c r="K956"/>
    </row>
    <row r="957" spans="5:11" ht="13.5" customHeight="1" x14ac:dyDescent="0.2">
      <c r="E957" s="50"/>
      <c r="H957" s="12"/>
      <c r="K957"/>
    </row>
    <row r="958" spans="5:11" ht="13.5" customHeight="1" x14ac:dyDescent="0.2">
      <c r="E958" s="50"/>
      <c r="H958" s="12"/>
      <c r="K958"/>
    </row>
    <row r="959" spans="5:11" ht="13.5" customHeight="1" x14ac:dyDescent="0.2">
      <c r="E959" s="50"/>
      <c r="H959" s="12"/>
      <c r="K959"/>
    </row>
    <row r="960" spans="5:11" ht="13.5" customHeight="1" x14ac:dyDescent="0.2">
      <c r="E960" s="50"/>
      <c r="H960" s="12"/>
      <c r="K960"/>
    </row>
    <row r="961" spans="5:11" ht="13.5" customHeight="1" x14ac:dyDescent="0.2">
      <c r="E961" s="50"/>
      <c r="H961" s="12"/>
      <c r="K961"/>
    </row>
    <row r="962" spans="5:11" ht="13.5" customHeight="1" x14ac:dyDescent="0.2">
      <c r="E962" s="50"/>
      <c r="H962" s="12"/>
      <c r="K962"/>
    </row>
    <row r="963" spans="5:11" ht="13.5" customHeight="1" x14ac:dyDescent="0.2">
      <c r="E963" s="50"/>
      <c r="H963" s="12"/>
      <c r="K963"/>
    </row>
    <row r="964" spans="5:11" ht="13.5" customHeight="1" x14ac:dyDescent="0.2">
      <c r="E964" s="50"/>
      <c r="H964" s="12"/>
      <c r="K964"/>
    </row>
    <row r="965" spans="5:11" ht="13.5" customHeight="1" x14ac:dyDescent="0.2">
      <c r="E965" s="50"/>
      <c r="H965" s="12"/>
      <c r="K965"/>
    </row>
    <row r="966" spans="5:11" ht="13.5" customHeight="1" x14ac:dyDescent="0.2">
      <c r="E966" s="50"/>
      <c r="H966" s="12"/>
      <c r="K966"/>
    </row>
    <row r="967" spans="5:11" ht="13.5" customHeight="1" x14ac:dyDescent="0.2">
      <c r="E967" s="50"/>
      <c r="H967" s="12"/>
      <c r="K967"/>
    </row>
    <row r="968" spans="5:11" ht="13.5" customHeight="1" x14ac:dyDescent="0.2">
      <c r="E968" s="50"/>
      <c r="H968" s="12"/>
      <c r="K968"/>
    </row>
    <row r="969" spans="5:11" ht="13.5" customHeight="1" x14ac:dyDescent="0.2">
      <c r="E969" s="50"/>
      <c r="H969" s="12"/>
      <c r="K969"/>
    </row>
    <row r="970" spans="5:11" ht="14.25" customHeight="1" x14ac:dyDescent="0.2">
      <c r="E970" s="50"/>
      <c r="H970" s="12"/>
      <c r="K970"/>
    </row>
    <row r="971" spans="5:11" ht="13.5" customHeight="1" x14ac:dyDescent="0.2">
      <c r="E971" s="50"/>
      <c r="H971" s="12"/>
      <c r="K971"/>
    </row>
    <row r="972" spans="5:11" ht="13.5" customHeight="1" x14ac:dyDescent="0.2">
      <c r="E972" s="50"/>
      <c r="H972" s="12"/>
      <c r="K972"/>
    </row>
    <row r="973" spans="5:11" ht="13.5" customHeight="1" x14ac:dyDescent="0.2">
      <c r="E973" s="50"/>
      <c r="H973" s="12"/>
      <c r="K973"/>
    </row>
    <row r="974" spans="5:11" ht="13.5" customHeight="1" x14ac:dyDescent="0.2">
      <c r="E974" s="50"/>
      <c r="H974" s="12"/>
      <c r="K974"/>
    </row>
    <row r="975" spans="5:11" ht="13.5" customHeight="1" x14ac:dyDescent="0.2">
      <c r="E975" s="50"/>
      <c r="H975" s="12"/>
      <c r="K975"/>
    </row>
    <row r="976" spans="5:11" ht="13.5" customHeight="1" x14ac:dyDescent="0.2">
      <c r="E976" s="50"/>
      <c r="H976" s="12"/>
      <c r="K976"/>
    </row>
    <row r="977" spans="5:11" ht="13.5" customHeight="1" x14ac:dyDescent="0.2">
      <c r="E977" s="50"/>
      <c r="H977" s="12"/>
      <c r="K977"/>
    </row>
    <row r="978" spans="5:11" ht="13.5" customHeight="1" x14ac:dyDescent="0.2">
      <c r="E978" s="50"/>
      <c r="H978" s="12"/>
      <c r="K978"/>
    </row>
    <row r="979" spans="5:11" ht="13.5" customHeight="1" x14ac:dyDescent="0.2">
      <c r="E979" s="50"/>
      <c r="H979" s="12"/>
      <c r="K979"/>
    </row>
    <row r="980" spans="5:11" ht="13.5" customHeight="1" x14ac:dyDescent="0.2">
      <c r="E980" s="50"/>
      <c r="H980" s="12"/>
      <c r="K980"/>
    </row>
    <row r="981" spans="5:11" ht="13.5" customHeight="1" x14ac:dyDescent="0.2">
      <c r="E981" s="50"/>
      <c r="H981" s="12"/>
      <c r="K981"/>
    </row>
    <row r="982" spans="5:11" ht="13.5" customHeight="1" x14ac:dyDescent="0.2">
      <c r="E982" s="50"/>
      <c r="H982" s="12"/>
      <c r="K982"/>
    </row>
    <row r="983" spans="5:11" ht="13.5" customHeight="1" x14ac:dyDescent="0.2">
      <c r="E983" s="50"/>
      <c r="H983" s="12"/>
      <c r="K983"/>
    </row>
    <row r="984" spans="5:11" ht="13.5" customHeight="1" x14ac:dyDescent="0.2">
      <c r="E984" s="50"/>
      <c r="H984" s="12"/>
      <c r="K984"/>
    </row>
    <row r="985" spans="5:11" ht="13.5" customHeight="1" x14ac:dyDescent="0.2">
      <c r="E985" s="50"/>
      <c r="H985" s="12"/>
      <c r="K985"/>
    </row>
    <row r="986" spans="5:11" ht="13.5" customHeight="1" x14ac:dyDescent="0.2">
      <c r="E986" s="50"/>
      <c r="H986" s="12"/>
      <c r="K986"/>
    </row>
    <row r="987" spans="5:11" ht="13.5" customHeight="1" x14ac:dyDescent="0.2">
      <c r="E987" s="50"/>
      <c r="H987" s="12"/>
      <c r="K987"/>
    </row>
    <row r="988" spans="5:11" ht="13.5" customHeight="1" x14ac:dyDescent="0.2">
      <c r="E988" s="50"/>
      <c r="H988" s="12"/>
      <c r="K988"/>
    </row>
    <row r="989" spans="5:11" ht="13.5" customHeight="1" x14ac:dyDescent="0.2">
      <c r="E989" s="50"/>
      <c r="H989" s="12"/>
      <c r="K989"/>
    </row>
    <row r="990" spans="5:11" ht="13.5" customHeight="1" x14ac:dyDescent="0.2">
      <c r="E990" s="50"/>
      <c r="H990" s="12"/>
      <c r="K990"/>
    </row>
    <row r="991" spans="5:11" ht="13.5" customHeight="1" x14ac:dyDescent="0.2">
      <c r="E991" s="50"/>
      <c r="H991" s="12"/>
      <c r="K991"/>
    </row>
    <row r="992" spans="5:11" ht="13.5" customHeight="1" x14ac:dyDescent="0.2">
      <c r="E992" s="50"/>
      <c r="H992" s="12"/>
      <c r="K992"/>
    </row>
    <row r="993" spans="5:11" ht="13.5" customHeight="1" x14ac:dyDescent="0.2">
      <c r="E993" s="50"/>
      <c r="H993" s="12"/>
      <c r="K993"/>
    </row>
    <row r="994" spans="5:11" ht="13.5" customHeight="1" x14ac:dyDescent="0.2">
      <c r="E994" s="50"/>
      <c r="H994" s="12"/>
      <c r="K994"/>
    </row>
    <row r="995" spans="5:11" ht="13.5" customHeight="1" x14ac:dyDescent="0.2">
      <c r="E995" s="50"/>
      <c r="H995" s="12"/>
      <c r="K995"/>
    </row>
    <row r="996" spans="5:11" ht="13.5" customHeight="1" x14ac:dyDescent="0.2">
      <c r="E996" s="50"/>
      <c r="H996" s="12"/>
      <c r="K996"/>
    </row>
    <row r="997" spans="5:11" ht="13.5" customHeight="1" x14ac:dyDescent="0.2">
      <c r="E997" s="50"/>
      <c r="H997" s="12"/>
      <c r="K997"/>
    </row>
    <row r="998" spans="5:11" ht="13.5" customHeight="1" x14ac:dyDescent="0.2">
      <c r="E998" s="50"/>
      <c r="H998" s="12"/>
      <c r="K998"/>
    </row>
    <row r="999" spans="5:11" ht="13.5" customHeight="1" x14ac:dyDescent="0.2">
      <c r="E999" s="50"/>
      <c r="H999" s="12"/>
      <c r="K999"/>
    </row>
    <row r="1000" spans="5:11" ht="13.5" customHeight="1" x14ac:dyDescent="0.2">
      <c r="E1000" s="50"/>
      <c r="H1000" s="12"/>
      <c r="K1000"/>
    </row>
    <row r="1001" spans="5:11" ht="13.5" customHeight="1" x14ac:dyDescent="0.2">
      <c r="E1001" s="50"/>
      <c r="H1001" s="12"/>
      <c r="K1001"/>
    </row>
    <row r="1002" spans="5:11" ht="13.5" customHeight="1" x14ac:dyDescent="0.2">
      <c r="E1002" s="50"/>
      <c r="H1002" s="12"/>
      <c r="K1002"/>
    </row>
    <row r="1003" spans="5:11" ht="13.5" customHeight="1" x14ac:dyDescent="0.2">
      <c r="E1003" s="50"/>
      <c r="H1003" s="12"/>
      <c r="K1003"/>
    </row>
    <row r="1004" spans="5:11" ht="13.5" customHeight="1" x14ac:dyDescent="0.2">
      <c r="E1004" s="50"/>
      <c r="H1004" s="12"/>
      <c r="K1004"/>
    </row>
    <row r="1005" spans="5:11" ht="13.5" customHeight="1" x14ac:dyDescent="0.2">
      <c r="E1005" s="50"/>
      <c r="H1005" s="12"/>
      <c r="K1005"/>
    </row>
    <row r="1006" spans="5:11" ht="13.5" customHeight="1" x14ac:dyDescent="0.2">
      <c r="E1006" s="50"/>
      <c r="H1006" s="12"/>
      <c r="K1006"/>
    </row>
    <row r="1007" spans="5:11" ht="13.5" customHeight="1" x14ac:dyDescent="0.2">
      <c r="E1007" s="50"/>
      <c r="H1007" s="12"/>
      <c r="K1007"/>
    </row>
    <row r="1008" spans="5:11" ht="13.5" customHeight="1" x14ac:dyDescent="0.2">
      <c r="E1008" s="50"/>
      <c r="H1008" s="12"/>
      <c r="K1008"/>
    </row>
    <row r="1009" spans="5:11" ht="13.5" customHeight="1" x14ac:dyDescent="0.2">
      <c r="E1009" s="50"/>
      <c r="H1009" s="12"/>
      <c r="K1009"/>
    </row>
    <row r="1010" spans="5:11" ht="13.5" customHeight="1" x14ac:dyDescent="0.2">
      <c r="E1010" s="50"/>
      <c r="H1010" s="12"/>
      <c r="K1010"/>
    </row>
    <row r="1011" spans="5:11" ht="13.5" customHeight="1" x14ac:dyDescent="0.2">
      <c r="E1011" s="50"/>
      <c r="H1011" s="12"/>
      <c r="K1011"/>
    </row>
    <row r="1012" spans="5:11" ht="13.5" customHeight="1" x14ac:dyDescent="0.2">
      <c r="E1012" s="50"/>
      <c r="H1012" s="12"/>
      <c r="K1012"/>
    </row>
    <row r="1013" spans="5:11" ht="13.5" customHeight="1" x14ac:dyDescent="0.2">
      <c r="E1013" s="50"/>
      <c r="H1013" s="12"/>
      <c r="K1013"/>
    </row>
    <row r="1014" spans="5:11" ht="13.5" customHeight="1" x14ac:dyDescent="0.2">
      <c r="E1014" s="50"/>
      <c r="H1014" s="12"/>
      <c r="K1014"/>
    </row>
    <row r="1015" spans="5:11" ht="13.5" customHeight="1" x14ac:dyDescent="0.2">
      <c r="E1015" s="50"/>
      <c r="H1015" s="12"/>
      <c r="K1015"/>
    </row>
    <row r="1016" spans="5:11" ht="13.5" customHeight="1" x14ac:dyDescent="0.2">
      <c r="E1016" s="50"/>
      <c r="H1016" s="12"/>
      <c r="K1016"/>
    </row>
    <row r="1017" spans="5:11" ht="13.5" customHeight="1" x14ac:dyDescent="0.2">
      <c r="E1017" s="50"/>
      <c r="H1017" s="12"/>
      <c r="K1017"/>
    </row>
    <row r="1018" spans="5:11" ht="13.5" customHeight="1" x14ac:dyDescent="0.2">
      <c r="E1018" s="50"/>
      <c r="H1018" s="12"/>
      <c r="K1018"/>
    </row>
    <row r="1019" spans="5:11" ht="13.5" customHeight="1" x14ac:dyDescent="0.2">
      <c r="E1019" s="50"/>
      <c r="H1019" s="12"/>
      <c r="K1019"/>
    </row>
    <row r="1020" spans="5:11" ht="13.5" customHeight="1" x14ac:dyDescent="0.2">
      <c r="E1020" s="50"/>
      <c r="H1020" s="12"/>
      <c r="K1020"/>
    </row>
    <row r="1021" spans="5:11" ht="13.5" customHeight="1" x14ac:dyDescent="0.2">
      <c r="E1021" s="50"/>
      <c r="H1021" s="12"/>
      <c r="K1021"/>
    </row>
    <row r="1022" spans="5:11" ht="13.5" customHeight="1" x14ac:dyDescent="0.2">
      <c r="E1022" s="50"/>
      <c r="H1022" s="12"/>
      <c r="K1022"/>
    </row>
    <row r="1023" spans="5:11" ht="13.5" customHeight="1" x14ac:dyDescent="0.2">
      <c r="E1023" s="50"/>
      <c r="H1023" s="12"/>
      <c r="K1023"/>
    </row>
    <row r="1024" spans="5:11" ht="13.5" customHeight="1" x14ac:dyDescent="0.2">
      <c r="E1024" s="50"/>
      <c r="H1024" s="12"/>
      <c r="K1024"/>
    </row>
    <row r="1025" spans="5:11" ht="13.5" customHeight="1" x14ac:dyDescent="0.2">
      <c r="E1025" s="50"/>
      <c r="H1025" s="12"/>
      <c r="K1025"/>
    </row>
    <row r="1026" spans="5:11" ht="13.5" customHeight="1" x14ac:dyDescent="0.2">
      <c r="E1026" s="50"/>
      <c r="H1026" s="12"/>
      <c r="K1026"/>
    </row>
    <row r="1027" spans="5:11" ht="13.5" customHeight="1" x14ac:dyDescent="0.2">
      <c r="E1027" s="50"/>
      <c r="H1027" s="12"/>
      <c r="K1027"/>
    </row>
    <row r="1028" spans="5:11" ht="13.5" customHeight="1" x14ac:dyDescent="0.2">
      <c r="E1028" s="50"/>
      <c r="H1028" s="12"/>
      <c r="K1028"/>
    </row>
    <row r="1029" spans="5:11" ht="13.5" customHeight="1" x14ac:dyDescent="0.2">
      <c r="E1029" s="50"/>
      <c r="H1029" s="12"/>
      <c r="K1029"/>
    </row>
    <row r="1030" spans="5:11" ht="13.5" customHeight="1" x14ac:dyDescent="0.2">
      <c r="E1030" s="50"/>
      <c r="H1030" s="12"/>
      <c r="K1030"/>
    </row>
    <row r="1031" spans="5:11" ht="13.5" customHeight="1" x14ac:dyDescent="0.2">
      <c r="E1031" s="50"/>
      <c r="H1031" s="12"/>
      <c r="K1031"/>
    </row>
    <row r="1032" spans="5:11" ht="13.5" customHeight="1" x14ac:dyDescent="0.2">
      <c r="E1032" s="50"/>
      <c r="H1032" s="12"/>
      <c r="K1032"/>
    </row>
    <row r="1033" spans="5:11" ht="13.5" customHeight="1" x14ac:dyDescent="0.2">
      <c r="E1033" s="50"/>
      <c r="H1033" s="12"/>
      <c r="K1033"/>
    </row>
    <row r="1034" spans="5:11" ht="13.5" customHeight="1" x14ac:dyDescent="0.2">
      <c r="E1034" s="50"/>
      <c r="H1034" s="12"/>
      <c r="K1034"/>
    </row>
    <row r="1035" spans="5:11" ht="13.5" customHeight="1" x14ac:dyDescent="0.2">
      <c r="E1035" s="50"/>
      <c r="H1035" s="12"/>
      <c r="K1035"/>
    </row>
    <row r="1036" spans="5:11" ht="13.5" customHeight="1" x14ac:dyDescent="0.2">
      <c r="E1036" s="50"/>
      <c r="H1036" s="12"/>
      <c r="K1036"/>
    </row>
    <row r="1037" spans="5:11" ht="13.5" customHeight="1" x14ac:dyDescent="0.2">
      <c r="E1037" s="50"/>
      <c r="H1037" s="12"/>
      <c r="K1037"/>
    </row>
    <row r="1038" spans="5:11" ht="13.5" customHeight="1" x14ac:dyDescent="0.2">
      <c r="E1038" s="50"/>
      <c r="H1038" s="12"/>
      <c r="K1038"/>
    </row>
    <row r="1039" spans="5:11" ht="13.5" customHeight="1" x14ac:dyDescent="0.2">
      <c r="E1039" s="50"/>
      <c r="H1039" s="12"/>
      <c r="K1039"/>
    </row>
    <row r="1040" spans="5:11" ht="12.75" customHeight="1" x14ac:dyDescent="0.2">
      <c r="E1040" s="50"/>
      <c r="H1040" s="12"/>
      <c r="K1040"/>
    </row>
    <row r="1041" spans="5:11" ht="12.75" customHeight="1" x14ac:dyDescent="0.2">
      <c r="E1041" s="50"/>
      <c r="H1041" s="12"/>
      <c r="K1041"/>
    </row>
    <row r="1042" spans="5:11" ht="12.75" customHeight="1" x14ac:dyDescent="0.2">
      <c r="E1042" s="50"/>
      <c r="H1042" s="12"/>
      <c r="K1042"/>
    </row>
    <row r="1043" spans="5:11" ht="12.75" customHeight="1" x14ac:dyDescent="0.2">
      <c r="E1043" s="50"/>
      <c r="H1043" s="12"/>
      <c r="K1043"/>
    </row>
    <row r="1044" spans="5:11" ht="12.75" customHeight="1" x14ac:dyDescent="0.2">
      <c r="E1044" s="50"/>
      <c r="H1044" s="12"/>
      <c r="K1044"/>
    </row>
    <row r="1045" spans="5:11" ht="12.75" customHeight="1" x14ac:dyDescent="0.2">
      <c r="E1045" s="50"/>
      <c r="H1045" s="12"/>
      <c r="K1045"/>
    </row>
    <row r="1046" spans="5:11" ht="12.75" customHeight="1" x14ac:dyDescent="0.2">
      <c r="E1046" s="50"/>
      <c r="H1046" s="12"/>
      <c r="K1046"/>
    </row>
    <row r="1047" spans="5:11" ht="12.75" customHeight="1" x14ac:dyDescent="0.2">
      <c r="E1047" s="50"/>
      <c r="H1047" s="12"/>
      <c r="K1047"/>
    </row>
    <row r="1048" spans="5:11" ht="12.75" customHeight="1" x14ac:dyDescent="0.2">
      <c r="E1048" s="50"/>
      <c r="H1048" s="12"/>
      <c r="K1048"/>
    </row>
    <row r="1049" spans="5:11" ht="12.75" customHeight="1" x14ac:dyDescent="0.2">
      <c r="E1049" s="50"/>
      <c r="H1049" s="12"/>
      <c r="K1049"/>
    </row>
    <row r="1050" spans="5:11" ht="12.75" customHeight="1" x14ac:dyDescent="0.2">
      <c r="E1050" s="50"/>
      <c r="H1050" s="12"/>
      <c r="K1050"/>
    </row>
    <row r="1051" spans="5:11" ht="12.75" customHeight="1" x14ac:dyDescent="0.2">
      <c r="E1051" s="50"/>
      <c r="H1051" s="12"/>
      <c r="K1051"/>
    </row>
    <row r="1052" spans="5:11" ht="12.75" customHeight="1" x14ac:dyDescent="0.2">
      <c r="E1052" s="50"/>
      <c r="H1052" s="12"/>
      <c r="K1052"/>
    </row>
    <row r="1053" spans="5:11" ht="12.75" customHeight="1" x14ac:dyDescent="0.2">
      <c r="E1053" s="50"/>
      <c r="H1053" s="12"/>
      <c r="K1053"/>
    </row>
    <row r="1054" spans="5:11" ht="12.75" customHeight="1" x14ac:dyDescent="0.2">
      <c r="E1054" s="50"/>
      <c r="H1054" s="12"/>
      <c r="K1054"/>
    </row>
    <row r="1055" spans="5:11" ht="12.75" customHeight="1" x14ac:dyDescent="0.2">
      <c r="E1055" s="50"/>
      <c r="H1055" s="12"/>
      <c r="K1055"/>
    </row>
    <row r="1056" spans="5:11" ht="12.75" customHeight="1" x14ac:dyDescent="0.2">
      <c r="E1056" s="50"/>
      <c r="H1056" s="12"/>
      <c r="K1056"/>
    </row>
    <row r="1057" spans="5:11" ht="12.75" customHeight="1" x14ac:dyDescent="0.2">
      <c r="E1057" s="50"/>
      <c r="H1057" s="12"/>
      <c r="K1057"/>
    </row>
    <row r="1058" spans="5:11" ht="12.75" customHeight="1" x14ac:dyDescent="0.2">
      <c r="E1058" s="50"/>
      <c r="H1058" s="12"/>
      <c r="K1058"/>
    </row>
    <row r="1059" spans="5:11" ht="12.75" customHeight="1" x14ac:dyDescent="0.2">
      <c r="E1059" s="50"/>
      <c r="H1059" s="12"/>
      <c r="K1059"/>
    </row>
    <row r="1060" spans="5:11" ht="12.75" customHeight="1" x14ac:dyDescent="0.2">
      <c r="E1060" s="50"/>
      <c r="H1060" s="12"/>
      <c r="K1060"/>
    </row>
    <row r="1061" spans="5:11" ht="12.75" customHeight="1" x14ac:dyDescent="0.2">
      <c r="E1061" s="50"/>
      <c r="H1061" s="12"/>
      <c r="K1061"/>
    </row>
    <row r="1062" spans="5:11" ht="12.75" customHeight="1" x14ac:dyDescent="0.2">
      <c r="E1062" s="50"/>
      <c r="H1062" s="12"/>
      <c r="K1062"/>
    </row>
    <row r="1063" spans="5:11" ht="12.75" customHeight="1" x14ac:dyDescent="0.2">
      <c r="E1063" s="50"/>
      <c r="H1063" s="12"/>
      <c r="K1063"/>
    </row>
    <row r="1064" spans="5:11" ht="12.75" customHeight="1" x14ac:dyDescent="0.2">
      <c r="E1064" s="50"/>
      <c r="H1064" s="12"/>
      <c r="K1064"/>
    </row>
    <row r="1065" spans="5:11" ht="12.75" customHeight="1" x14ac:dyDescent="0.2">
      <c r="E1065" s="50"/>
      <c r="H1065" s="12"/>
      <c r="K1065"/>
    </row>
    <row r="1066" spans="5:11" ht="12.75" customHeight="1" x14ac:dyDescent="0.2">
      <c r="E1066" s="50"/>
      <c r="H1066" s="12"/>
      <c r="K1066"/>
    </row>
    <row r="1067" spans="5:11" ht="12.75" customHeight="1" x14ac:dyDescent="0.2">
      <c r="E1067" s="50"/>
      <c r="H1067" s="12"/>
      <c r="K1067"/>
    </row>
    <row r="1068" spans="5:11" ht="12.75" customHeight="1" x14ac:dyDescent="0.2">
      <c r="E1068" s="50"/>
      <c r="H1068" s="12"/>
      <c r="K1068"/>
    </row>
    <row r="1069" spans="5:11" ht="12.75" customHeight="1" x14ac:dyDescent="0.2">
      <c r="E1069" s="50"/>
      <c r="H1069" s="12"/>
      <c r="K1069"/>
    </row>
    <row r="1070" spans="5:11" ht="12.75" customHeight="1" x14ac:dyDescent="0.2">
      <c r="E1070" s="50"/>
      <c r="H1070" s="12"/>
      <c r="K1070"/>
    </row>
    <row r="1071" spans="5:11" ht="12.75" customHeight="1" x14ac:dyDescent="0.2">
      <c r="E1071" s="50"/>
      <c r="H1071" s="12"/>
      <c r="K1071"/>
    </row>
    <row r="1072" spans="5:11" ht="12.75" customHeight="1" x14ac:dyDescent="0.2">
      <c r="E1072" s="50"/>
      <c r="H1072" s="12"/>
      <c r="K1072"/>
    </row>
    <row r="1073" spans="5:11" ht="12.75" customHeight="1" x14ac:dyDescent="0.2">
      <c r="E1073" s="50"/>
      <c r="H1073" s="12"/>
      <c r="K1073"/>
    </row>
    <row r="1074" spans="5:11" ht="12.75" customHeight="1" x14ac:dyDescent="0.2">
      <c r="E1074" s="50"/>
      <c r="H1074" s="12"/>
      <c r="K1074"/>
    </row>
    <row r="1075" spans="5:11" ht="12.75" customHeight="1" x14ac:dyDescent="0.2">
      <c r="E1075" s="50"/>
      <c r="H1075" s="12"/>
      <c r="K1075"/>
    </row>
    <row r="1076" spans="5:11" ht="12.75" customHeight="1" x14ac:dyDescent="0.2">
      <c r="E1076" s="50"/>
      <c r="H1076" s="12"/>
      <c r="K1076"/>
    </row>
    <row r="1077" spans="5:11" ht="12.75" customHeight="1" x14ac:dyDescent="0.2">
      <c r="E1077" s="50"/>
      <c r="H1077" s="12"/>
      <c r="K1077"/>
    </row>
    <row r="1078" spans="5:11" ht="12.75" customHeight="1" x14ac:dyDescent="0.2">
      <c r="E1078" s="50"/>
      <c r="H1078" s="12"/>
      <c r="K1078"/>
    </row>
    <row r="1079" spans="5:11" ht="12.75" customHeight="1" x14ac:dyDescent="0.2">
      <c r="E1079" s="50"/>
      <c r="H1079" s="12"/>
      <c r="K1079"/>
    </row>
    <row r="1080" spans="5:11" ht="12.75" customHeight="1" x14ac:dyDescent="0.2">
      <c r="E1080" s="50"/>
      <c r="H1080" s="12"/>
      <c r="K1080"/>
    </row>
    <row r="1081" spans="5:11" ht="12.75" customHeight="1" x14ac:dyDescent="0.2">
      <c r="E1081" s="50"/>
      <c r="H1081" s="12"/>
      <c r="K1081"/>
    </row>
    <row r="1082" spans="5:11" ht="12.75" customHeight="1" x14ac:dyDescent="0.2">
      <c r="E1082" s="50"/>
      <c r="H1082" s="12"/>
      <c r="K1082"/>
    </row>
    <row r="1083" spans="5:11" ht="12.75" customHeight="1" x14ac:dyDescent="0.2">
      <c r="E1083" s="50"/>
      <c r="H1083" s="12"/>
      <c r="K1083"/>
    </row>
    <row r="1084" spans="5:11" ht="12.75" customHeight="1" x14ac:dyDescent="0.2">
      <c r="E1084" s="50"/>
      <c r="H1084" s="12"/>
      <c r="K1084"/>
    </row>
    <row r="1085" spans="5:11" ht="12.75" customHeight="1" x14ac:dyDescent="0.2">
      <c r="E1085" s="50"/>
      <c r="H1085" s="12"/>
      <c r="K1085"/>
    </row>
    <row r="1086" spans="5:11" ht="12.75" customHeight="1" x14ac:dyDescent="0.2">
      <c r="E1086" s="50"/>
      <c r="H1086" s="12"/>
      <c r="K1086"/>
    </row>
    <row r="1087" spans="5:11" ht="12.75" customHeight="1" x14ac:dyDescent="0.2">
      <c r="E1087" s="50"/>
      <c r="H1087" s="12"/>
      <c r="K1087"/>
    </row>
    <row r="1088" spans="5:11" ht="12.75" customHeight="1" x14ac:dyDescent="0.2">
      <c r="E1088" s="50"/>
      <c r="H1088" s="12"/>
      <c r="K1088"/>
    </row>
    <row r="1089" spans="5:11" ht="12.75" customHeight="1" x14ac:dyDescent="0.2">
      <c r="E1089" s="50"/>
      <c r="H1089" s="12"/>
      <c r="K1089"/>
    </row>
    <row r="1090" spans="5:11" ht="12.75" customHeight="1" x14ac:dyDescent="0.2">
      <c r="E1090" s="50"/>
      <c r="H1090" s="12"/>
      <c r="K1090"/>
    </row>
    <row r="1091" spans="5:11" ht="12.75" customHeight="1" x14ac:dyDescent="0.2">
      <c r="E1091" s="50"/>
      <c r="H1091" s="12"/>
      <c r="K1091"/>
    </row>
    <row r="1092" spans="5:11" ht="12.75" customHeight="1" x14ac:dyDescent="0.2">
      <c r="E1092" s="50"/>
      <c r="H1092" s="12"/>
      <c r="K1092"/>
    </row>
    <row r="1093" spans="5:11" ht="12.75" customHeight="1" x14ac:dyDescent="0.2">
      <c r="E1093" s="50"/>
      <c r="H1093" s="12"/>
      <c r="K1093"/>
    </row>
    <row r="1094" spans="5:11" ht="12.75" customHeight="1" x14ac:dyDescent="0.2">
      <c r="E1094" s="50"/>
      <c r="H1094" s="12"/>
      <c r="K1094"/>
    </row>
    <row r="1095" spans="5:11" ht="12.75" customHeight="1" x14ac:dyDescent="0.2">
      <c r="E1095" s="50"/>
      <c r="H1095" s="12"/>
      <c r="K1095"/>
    </row>
    <row r="1096" spans="5:11" ht="12.75" customHeight="1" x14ac:dyDescent="0.2">
      <c r="E1096" s="50"/>
      <c r="H1096" s="12"/>
      <c r="K1096"/>
    </row>
    <row r="1097" spans="5:11" ht="12.75" customHeight="1" x14ac:dyDescent="0.2">
      <c r="E1097" s="50"/>
      <c r="H1097" s="12"/>
      <c r="K1097"/>
    </row>
    <row r="1098" spans="5:11" ht="12.75" customHeight="1" x14ac:dyDescent="0.2">
      <c r="E1098" s="50"/>
      <c r="H1098" s="12"/>
      <c r="K1098"/>
    </row>
    <row r="1099" spans="5:11" ht="12.75" customHeight="1" x14ac:dyDescent="0.2">
      <c r="E1099" s="50"/>
      <c r="H1099" s="12"/>
      <c r="K1099"/>
    </row>
    <row r="1100" spans="5:11" ht="12.75" customHeight="1" x14ac:dyDescent="0.2">
      <c r="E1100" s="50"/>
      <c r="H1100" s="12"/>
      <c r="K1100"/>
    </row>
    <row r="1101" spans="5:11" ht="12.75" customHeight="1" x14ac:dyDescent="0.2">
      <c r="E1101" s="50"/>
      <c r="H1101" s="12"/>
      <c r="K1101"/>
    </row>
    <row r="1102" spans="5:11" ht="12.75" customHeight="1" x14ac:dyDescent="0.2">
      <c r="E1102" s="50"/>
      <c r="H1102" s="12"/>
      <c r="K1102"/>
    </row>
    <row r="1103" spans="5:11" ht="12.75" customHeight="1" x14ac:dyDescent="0.2">
      <c r="E1103" s="50"/>
      <c r="H1103" s="12"/>
      <c r="K1103"/>
    </row>
    <row r="1104" spans="5:11" ht="12.75" customHeight="1" x14ac:dyDescent="0.2">
      <c r="E1104" s="50"/>
      <c r="H1104" s="12"/>
      <c r="K1104"/>
    </row>
    <row r="1105" spans="5:11" ht="12.75" customHeight="1" x14ac:dyDescent="0.2">
      <c r="E1105" s="50"/>
      <c r="H1105" s="12"/>
      <c r="K1105"/>
    </row>
    <row r="1106" spans="5:11" ht="12.75" customHeight="1" x14ac:dyDescent="0.2">
      <c r="E1106" s="50"/>
      <c r="H1106" s="12"/>
      <c r="K1106"/>
    </row>
    <row r="1107" spans="5:11" ht="12.75" customHeight="1" x14ac:dyDescent="0.2">
      <c r="E1107" s="50"/>
      <c r="H1107" s="12"/>
      <c r="K1107"/>
    </row>
    <row r="1108" spans="5:11" ht="12.75" customHeight="1" x14ac:dyDescent="0.2">
      <c r="E1108" s="50"/>
      <c r="H1108" s="12"/>
      <c r="K1108"/>
    </row>
    <row r="1109" spans="5:11" ht="12.75" customHeight="1" x14ac:dyDescent="0.2">
      <c r="E1109" s="50"/>
      <c r="H1109" s="12"/>
      <c r="K1109"/>
    </row>
    <row r="1110" spans="5:11" ht="12.75" customHeight="1" x14ac:dyDescent="0.2">
      <c r="E1110" s="50"/>
      <c r="H1110" s="12"/>
      <c r="K1110"/>
    </row>
    <row r="1111" spans="5:11" ht="12.75" customHeight="1" x14ac:dyDescent="0.2">
      <c r="E1111" s="50"/>
      <c r="H1111" s="12"/>
      <c r="K1111"/>
    </row>
    <row r="1112" spans="5:11" ht="12.75" customHeight="1" x14ac:dyDescent="0.2">
      <c r="E1112" s="50"/>
      <c r="H1112" s="12"/>
      <c r="K1112"/>
    </row>
    <row r="1113" spans="5:11" ht="12.75" customHeight="1" x14ac:dyDescent="0.2">
      <c r="E1113" s="50"/>
      <c r="H1113" s="12"/>
      <c r="K1113"/>
    </row>
    <row r="1114" spans="5:11" ht="12.75" customHeight="1" x14ac:dyDescent="0.2">
      <c r="E1114" s="50"/>
      <c r="H1114" s="12"/>
      <c r="K1114"/>
    </row>
    <row r="1115" spans="5:11" ht="12.75" customHeight="1" x14ac:dyDescent="0.2">
      <c r="E1115" s="50"/>
      <c r="H1115" s="12"/>
      <c r="K1115"/>
    </row>
    <row r="1116" spans="5:11" ht="12.75" customHeight="1" x14ac:dyDescent="0.2">
      <c r="E1116" s="50"/>
      <c r="H1116" s="12"/>
      <c r="K1116"/>
    </row>
    <row r="1117" spans="5:11" ht="12.75" customHeight="1" x14ac:dyDescent="0.2">
      <c r="E1117" s="50"/>
      <c r="H1117" s="12"/>
      <c r="K1117"/>
    </row>
    <row r="1118" spans="5:11" ht="12.75" customHeight="1" x14ac:dyDescent="0.2">
      <c r="E1118" s="50"/>
      <c r="H1118" s="12"/>
      <c r="K1118"/>
    </row>
    <row r="1119" spans="5:11" ht="12.75" customHeight="1" x14ac:dyDescent="0.2">
      <c r="E1119" s="50"/>
      <c r="H1119" s="12"/>
      <c r="K1119"/>
    </row>
    <row r="1120" spans="5:11" ht="12.75" customHeight="1" x14ac:dyDescent="0.2">
      <c r="E1120" s="50"/>
      <c r="H1120" s="12"/>
      <c r="K1120"/>
    </row>
    <row r="1121" spans="5:11" ht="12.75" customHeight="1" x14ac:dyDescent="0.2">
      <c r="E1121" s="50"/>
      <c r="H1121" s="12"/>
      <c r="K1121"/>
    </row>
    <row r="1122" spans="5:11" ht="12.75" customHeight="1" x14ac:dyDescent="0.2">
      <c r="E1122" s="50"/>
      <c r="H1122" s="12"/>
      <c r="K1122"/>
    </row>
    <row r="1123" spans="5:11" ht="12.75" customHeight="1" x14ac:dyDescent="0.2">
      <c r="E1123" s="50"/>
      <c r="H1123" s="12"/>
      <c r="K1123"/>
    </row>
    <row r="1124" spans="5:11" ht="12.75" customHeight="1" x14ac:dyDescent="0.2">
      <c r="E1124" s="50"/>
      <c r="H1124" s="12"/>
      <c r="K1124"/>
    </row>
    <row r="1125" spans="5:11" ht="12.75" customHeight="1" x14ac:dyDescent="0.2">
      <c r="E1125" s="50"/>
      <c r="H1125" s="12"/>
      <c r="K1125"/>
    </row>
    <row r="1126" spans="5:11" ht="12.75" customHeight="1" x14ac:dyDescent="0.2">
      <c r="E1126" s="50"/>
      <c r="H1126" s="12"/>
      <c r="K1126"/>
    </row>
    <row r="1127" spans="5:11" ht="12.75" customHeight="1" x14ac:dyDescent="0.2">
      <c r="E1127" s="50"/>
      <c r="H1127" s="12"/>
      <c r="K1127"/>
    </row>
    <row r="1128" spans="5:11" ht="12.75" customHeight="1" x14ac:dyDescent="0.2">
      <c r="E1128" s="50"/>
      <c r="H1128" s="12"/>
      <c r="K1128"/>
    </row>
    <row r="1129" spans="5:11" ht="12.75" customHeight="1" x14ac:dyDescent="0.2">
      <c r="E1129" s="50"/>
      <c r="H1129" s="12"/>
      <c r="K1129"/>
    </row>
    <row r="1130" spans="5:11" ht="12.75" customHeight="1" x14ac:dyDescent="0.2">
      <c r="E1130" s="50"/>
      <c r="H1130" s="12"/>
      <c r="K1130"/>
    </row>
    <row r="1131" spans="5:11" ht="12.75" customHeight="1" x14ac:dyDescent="0.2">
      <c r="E1131" s="50"/>
      <c r="H1131" s="12"/>
      <c r="K1131"/>
    </row>
    <row r="1132" spans="5:11" ht="12.75" customHeight="1" x14ac:dyDescent="0.2">
      <c r="E1132" s="50"/>
      <c r="H1132" s="12"/>
      <c r="K1132"/>
    </row>
    <row r="1133" spans="5:11" ht="12.75" customHeight="1" x14ac:dyDescent="0.2">
      <c r="E1133" s="50"/>
      <c r="H1133" s="12"/>
      <c r="K1133"/>
    </row>
    <row r="1134" spans="5:11" ht="12.75" customHeight="1" x14ac:dyDescent="0.2">
      <c r="E1134" s="50"/>
      <c r="H1134" s="12"/>
      <c r="K1134"/>
    </row>
    <row r="1135" spans="5:11" ht="12.75" customHeight="1" x14ac:dyDescent="0.2">
      <c r="E1135" s="50"/>
      <c r="H1135" s="12"/>
      <c r="K1135"/>
    </row>
    <row r="1136" spans="5:11" ht="12.75" customHeight="1" x14ac:dyDescent="0.2">
      <c r="E1136" s="50"/>
      <c r="H1136" s="12"/>
      <c r="K1136"/>
    </row>
    <row r="1137" spans="5:11" ht="12.75" customHeight="1" x14ac:dyDescent="0.2">
      <c r="E1137" s="50"/>
      <c r="H1137" s="12"/>
      <c r="K1137"/>
    </row>
    <row r="1138" spans="5:11" ht="12.75" customHeight="1" x14ac:dyDescent="0.2">
      <c r="E1138" s="50"/>
      <c r="H1138" s="12"/>
      <c r="K1138"/>
    </row>
    <row r="1139" spans="5:11" ht="12.75" customHeight="1" x14ac:dyDescent="0.2">
      <c r="E1139" s="50"/>
      <c r="H1139" s="12"/>
      <c r="K1139"/>
    </row>
    <row r="1140" spans="5:11" ht="12.75" customHeight="1" x14ac:dyDescent="0.2">
      <c r="E1140" s="50"/>
      <c r="H1140" s="12"/>
      <c r="K1140"/>
    </row>
    <row r="1141" spans="5:11" ht="12.75" customHeight="1" x14ac:dyDescent="0.2">
      <c r="E1141" s="50"/>
      <c r="H1141" s="12"/>
      <c r="K1141"/>
    </row>
    <row r="1142" spans="5:11" ht="12.75" customHeight="1" x14ac:dyDescent="0.2">
      <c r="E1142" s="50"/>
      <c r="H1142" s="12"/>
      <c r="K1142"/>
    </row>
    <row r="1143" spans="5:11" ht="12.75" customHeight="1" x14ac:dyDescent="0.2">
      <c r="E1143" s="50"/>
      <c r="H1143" s="12"/>
      <c r="K1143"/>
    </row>
    <row r="1144" spans="5:11" ht="12.75" customHeight="1" x14ac:dyDescent="0.2">
      <c r="E1144" s="50"/>
      <c r="H1144" s="12"/>
      <c r="K1144"/>
    </row>
    <row r="1145" spans="5:11" ht="12.75" customHeight="1" x14ac:dyDescent="0.2">
      <c r="E1145" s="50"/>
      <c r="H1145" s="12"/>
      <c r="K1145"/>
    </row>
    <row r="1146" spans="5:11" ht="12.75" customHeight="1" x14ac:dyDescent="0.2">
      <c r="E1146" s="50"/>
      <c r="H1146" s="12"/>
      <c r="K1146"/>
    </row>
    <row r="1147" spans="5:11" ht="12.75" customHeight="1" x14ac:dyDescent="0.2">
      <c r="E1147" s="50"/>
      <c r="H1147" s="12"/>
      <c r="K1147"/>
    </row>
    <row r="1148" spans="5:11" ht="12.75" customHeight="1" x14ac:dyDescent="0.2">
      <c r="E1148" s="50"/>
      <c r="H1148" s="12"/>
      <c r="K1148"/>
    </row>
    <row r="1149" spans="5:11" ht="12.75" customHeight="1" x14ac:dyDescent="0.2">
      <c r="E1149" s="50"/>
      <c r="H1149" s="12"/>
      <c r="K1149"/>
    </row>
    <row r="1150" spans="5:11" ht="12.75" customHeight="1" x14ac:dyDescent="0.2">
      <c r="E1150" s="50"/>
      <c r="H1150" s="12"/>
      <c r="K1150"/>
    </row>
    <row r="1151" spans="5:11" ht="12.75" customHeight="1" x14ac:dyDescent="0.2">
      <c r="E1151" s="50"/>
      <c r="H1151" s="12"/>
      <c r="K1151"/>
    </row>
    <row r="1152" spans="5:11" ht="12.75" customHeight="1" x14ac:dyDescent="0.2">
      <c r="E1152" s="50"/>
      <c r="H1152" s="12"/>
      <c r="K1152"/>
    </row>
    <row r="1153" spans="5:11" ht="12.75" customHeight="1" x14ac:dyDescent="0.2">
      <c r="E1153" s="50"/>
      <c r="H1153" s="12"/>
      <c r="K1153"/>
    </row>
    <row r="1154" spans="5:11" ht="12.75" customHeight="1" x14ac:dyDescent="0.2">
      <c r="E1154" s="50"/>
      <c r="H1154" s="12"/>
      <c r="K1154"/>
    </row>
    <row r="1155" spans="5:11" ht="12.75" customHeight="1" x14ac:dyDescent="0.2">
      <c r="E1155" s="50"/>
      <c r="H1155" s="12"/>
      <c r="K1155"/>
    </row>
    <row r="1156" spans="5:11" ht="12.75" customHeight="1" x14ac:dyDescent="0.2">
      <c r="E1156" s="50"/>
      <c r="H1156" s="12"/>
      <c r="K1156"/>
    </row>
    <row r="1157" spans="5:11" ht="12.75" customHeight="1" x14ac:dyDescent="0.2">
      <c r="E1157" s="50"/>
      <c r="H1157" s="12"/>
      <c r="K1157"/>
    </row>
    <row r="1158" spans="5:11" ht="12.75" customHeight="1" x14ac:dyDescent="0.2">
      <c r="E1158" s="50"/>
      <c r="H1158" s="12"/>
      <c r="K1158"/>
    </row>
    <row r="1159" spans="5:11" ht="12.75" customHeight="1" x14ac:dyDescent="0.2">
      <c r="E1159" s="50"/>
      <c r="H1159" s="12"/>
      <c r="K1159"/>
    </row>
    <row r="1160" spans="5:11" ht="12.75" customHeight="1" x14ac:dyDescent="0.2">
      <c r="E1160" s="50"/>
      <c r="H1160" s="12"/>
      <c r="K1160"/>
    </row>
    <row r="1161" spans="5:11" ht="12.75" customHeight="1" x14ac:dyDescent="0.2">
      <c r="E1161" s="50"/>
      <c r="H1161" s="12"/>
      <c r="K1161"/>
    </row>
    <row r="1162" spans="5:11" ht="12.75" customHeight="1" x14ac:dyDescent="0.2">
      <c r="E1162" s="50"/>
      <c r="H1162" s="12"/>
      <c r="K1162"/>
    </row>
    <row r="1163" spans="5:11" ht="12.75" customHeight="1" x14ac:dyDescent="0.2">
      <c r="E1163" s="50"/>
      <c r="H1163" s="12"/>
      <c r="K1163"/>
    </row>
    <row r="1164" spans="5:11" ht="12.75" customHeight="1" x14ac:dyDescent="0.2">
      <c r="E1164" s="50"/>
      <c r="H1164" s="12"/>
      <c r="K1164"/>
    </row>
    <row r="1165" spans="5:11" ht="12.75" customHeight="1" x14ac:dyDescent="0.2">
      <c r="E1165" s="50"/>
      <c r="H1165" s="12"/>
      <c r="K1165"/>
    </row>
    <row r="1166" spans="5:11" ht="12.75" customHeight="1" x14ac:dyDescent="0.2">
      <c r="E1166" s="50"/>
      <c r="H1166" s="12"/>
      <c r="K1166"/>
    </row>
    <row r="1167" spans="5:11" ht="12.75" customHeight="1" x14ac:dyDescent="0.2">
      <c r="E1167" s="50"/>
      <c r="H1167" s="12"/>
      <c r="K1167"/>
    </row>
    <row r="1168" spans="5:11" ht="12.75" customHeight="1" x14ac:dyDescent="0.2">
      <c r="E1168" s="50"/>
      <c r="H1168" s="12"/>
      <c r="K1168"/>
    </row>
    <row r="1169" spans="5:11" ht="12.75" customHeight="1" x14ac:dyDescent="0.2">
      <c r="E1169" s="50"/>
      <c r="H1169" s="12"/>
      <c r="K1169"/>
    </row>
    <row r="1170" spans="5:11" ht="12.75" customHeight="1" x14ac:dyDescent="0.2">
      <c r="E1170" s="50"/>
      <c r="H1170" s="12"/>
      <c r="K1170"/>
    </row>
    <row r="1171" spans="5:11" ht="12.75" customHeight="1" x14ac:dyDescent="0.2">
      <c r="E1171" s="50"/>
      <c r="H1171" s="12"/>
      <c r="K1171"/>
    </row>
    <row r="1172" spans="5:11" ht="12.75" customHeight="1" x14ac:dyDescent="0.2">
      <c r="E1172" s="50"/>
      <c r="H1172" s="12"/>
      <c r="K1172"/>
    </row>
    <row r="1173" spans="5:11" ht="12.75" customHeight="1" x14ac:dyDescent="0.2">
      <c r="E1173" s="50"/>
      <c r="H1173" s="12"/>
      <c r="K1173"/>
    </row>
    <row r="1174" spans="5:11" ht="12.75" customHeight="1" x14ac:dyDescent="0.2">
      <c r="E1174" s="50"/>
      <c r="H1174" s="12"/>
      <c r="K1174"/>
    </row>
    <row r="1175" spans="5:11" ht="12.75" customHeight="1" x14ac:dyDescent="0.2">
      <c r="E1175" s="50"/>
      <c r="H1175" s="12"/>
      <c r="K1175"/>
    </row>
    <row r="1176" spans="5:11" ht="12.75" customHeight="1" x14ac:dyDescent="0.2">
      <c r="E1176" s="50"/>
      <c r="H1176" s="12"/>
      <c r="K1176"/>
    </row>
    <row r="1177" spans="5:11" ht="12.75" customHeight="1" x14ac:dyDescent="0.2">
      <c r="E1177" s="50"/>
      <c r="H1177" s="12"/>
      <c r="K1177"/>
    </row>
    <row r="1178" spans="5:11" ht="12.75" customHeight="1" x14ac:dyDescent="0.2">
      <c r="E1178" s="50"/>
      <c r="H1178" s="12"/>
      <c r="K1178"/>
    </row>
    <row r="1179" spans="5:11" ht="12.75" customHeight="1" x14ac:dyDescent="0.2">
      <c r="E1179" s="50"/>
      <c r="H1179" s="12"/>
      <c r="K1179"/>
    </row>
    <row r="1180" spans="5:11" ht="12.75" customHeight="1" x14ac:dyDescent="0.2">
      <c r="E1180" s="50"/>
      <c r="H1180" s="12"/>
      <c r="K1180"/>
    </row>
    <row r="1181" spans="5:11" ht="12.75" customHeight="1" x14ac:dyDescent="0.2">
      <c r="E1181" s="50"/>
      <c r="H1181" s="12"/>
      <c r="K1181"/>
    </row>
    <row r="1182" spans="5:11" ht="12.75" customHeight="1" x14ac:dyDescent="0.2">
      <c r="E1182" s="50"/>
      <c r="H1182" s="12"/>
      <c r="K1182"/>
    </row>
    <row r="1183" spans="5:11" ht="12.75" customHeight="1" x14ac:dyDescent="0.2">
      <c r="E1183" s="50"/>
      <c r="H1183" s="12"/>
      <c r="K1183"/>
    </row>
    <row r="1184" spans="5:11" ht="12.75" customHeight="1" x14ac:dyDescent="0.2">
      <c r="E1184" s="50"/>
      <c r="H1184" s="12"/>
      <c r="K1184"/>
    </row>
    <row r="1185" spans="5:11" ht="12.75" customHeight="1" x14ac:dyDescent="0.2">
      <c r="E1185" s="50"/>
      <c r="H1185" s="12"/>
      <c r="K1185"/>
    </row>
    <row r="1186" spans="5:11" ht="12.75" customHeight="1" x14ac:dyDescent="0.2">
      <c r="E1186" s="50"/>
      <c r="H1186" s="12"/>
      <c r="K1186"/>
    </row>
    <row r="1187" spans="5:11" ht="12.75" customHeight="1" x14ac:dyDescent="0.2">
      <c r="E1187" s="50"/>
      <c r="H1187" s="12"/>
      <c r="K1187"/>
    </row>
    <row r="1188" spans="5:11" ht="12.75" customHeight="1" x14ac:dyDescent="0.2">
      <c r="E1188" s="50"/>
      <c r="H1188" s="12"/>
      <c r="K1188"/>
    </row>
    <row r="1189" spans="5:11" ht="12.75" customHeight="1" x14ac:dyDescent="0.2">
      <c r="E1189" s="50"/>
      <c r="H1189" s="12"/>
      <c r="K1189"/>
    </row>
    <row r="1190" spans="5:11" ht="12.75" customHeight="1" x14ac:dyDescent="0.2">
      <c r="E1190" s="50"/>
      <c r="H1190" s="12"/>
      <c r="K1190"/>
    </row>
    <row r="1191" spans="5:11" ht="12.75" customHeight="1" x14ac:dyDescent="0.2">
      <c r="E1191" s="50"/>
      <c r="H1191" s="12"/>
      <c r="K1191"/>
    </row>
    <row r="1192" spans="5:11" ht="12.75" customHeight="1" x14ac:dyDescent="0.2">
      <c r="E1192" s="50"/>
      <c r="H1192" s="12"/>
      <c r="K1192"/>
    </row>
    <row r="1193" spans="5:11" ht="12.75" customHeight="1" x14ac:dyDescent="0.2">
      <c r="E1193" s="50"/>
      <c r="H1193" s="12"/>
      <c r="K1193"/>
    </row>
    <row r="1194" spans="5:11" ht="12.75" customHeight="1" x14ac:dyDescent="0.2">
      <c r="E1194" s="50"/>
      <c r="H1194" s="12"/>
      <c r="K1194"/>
    </row>
    <row r="1195" spans="5:11" ht="12.75" customHeight="1" x14ac:dyDescent="0.2">
      <c r="E1195" s="50"/>
      <c r="H1195" s="12"/>
      <c r="K1195"/>
    </row>
    <row r="1196" spans="5:11" ht="12.75" customHeight="1" x14ac:dyDescent="0.2">
      <c r="E1196" s="50"/>
      <c r="H1196" s="12"/>
      <c r="K1196"/>
    </row>
    <row r="1197" spans="5:11" ht="12.75" customHeight="1" x14ac:dyDescent="0.2">
      <c r="E1197" s="50"/>
      <c r="H1197" s="12"/>
      <c r="K1197"/>
    </row>
    <row r="1198" spans="5:11" ht="12.75" customHeight="1" x14ac:dyDescent="0.2">
      <c r="E1198" s="50"/>
      <c r="H1198" s="12"/>
      <c r="K1198"/>
    </row>
    <row r="1199" spans="5:11" ht="12.75" customHeight="1" x14ac:dyDescent="0.2">
      <c r="E1199" s="50"/>
      <c r="H1199" s="12"/>
      <c r="K1199"/>
    </row>
    <row r="1200" spans="5:11" ht="12.75" customHeight="1" x14ac:dyDescent="0.2">
      <c r="E1200" s="50"/>
      <c r="H1200" s="12"/>
      <c r="K1200"/>
    </row>
    <row r="1201" spans="5:11" ht="12.75" customHeight="1" x14ac:dyDescent="0.2">
      <c r="E1201" s="50"/>
      <c r="H1201" s="12"/>
      <c r="K1201"/>
    </row>
    <row r="1202" spans="5:11" ht="12.75" customHeight="1" x14ac:dyDescent="0.2">
      <c r="E1202" s="50"/>
      <c r="H1202" s="12"/>
      <c r="K1202"/>
    </row>
    <row r="1203" spans="5:11" ht="12.75" customHeight="1" x14ac:dyDescent="0.2">
      <c r="E1203" s="50"/>
      <c r="H1203" s="12"/>
      <c r="K1203"/>
    </row>
    <row r="1204" spans="5:11" ht="12.75" customHeight="1" x14ac:dyDescent="0.2">
      <c r="E1204" s="50"/>
      <c r="H1204" s="12"/>
      <c r="K1204"/>
    </row>
    <row r="1205" spans="5:11" ht="12.75" customHeight="1" x14ac:dyDescent="0.2">
      <c r="E1205" s="50"/>
      <c r="H1205" s="12"/>
      <c r="K1205"/>
    </row>
    <row r="1206" spans="5:11" ht="12.75" customHeight="1" x14ac:dyDescent="0.2">
      <c r="E1206" s="50"/>
      <c r="H1206" s="12"/>
      <c r="K1206"/>
    </row>
    <row r="1207" spans="5:11" ht="12.75" customHeight="1" x14ac:dyDescent="0.2">
      <c r="E1207" s="50"/>
      <c r="H1207" s="12"/>
      <c r="K1207"/>
    </row>
    <row r="1208" spans="5:11" ht="12.75" customHeight="1" x14ac:dyDescent="0.2">
      <c r="E1208" s="50"/>
      <c r="H1208" s="12"/>
      <c r="K1208"/>
    </row>
    <row r="1209" spans="5:11" ht="12.75" customHeight="1" x14ac:dyDescent="0.2">
      <c r="E1209" s="50"/>
      <c r="H1209" s="12"/>
      <c r="K1209"/>
    </row>
    <row r="1210" spans="5:11" ht="12.75" customHeight="1" x14ac:dyDescent="0.2">
      <c r="E1210" s="50"/>
      <c r="H1210" s="12"/>
      <c r="K1210"/>
    </row>
    <row r="1211" spans="5:11" ht="12.75" customHeight="1" x14ac:dyDescent="0.2">
      <c r="E1211" s="50"/>
      <c r="H1211" s="12"/>
      <c r="K1211"/>
    </row>
    <row r="1212" spans="5:11" ht="12.75" customHeight="1" x14ac:dyDescent="0.2">
      <c r="E1212" s="50"/>
      <c r="H1212" s="12"/>
      <c r="K1212"/>
    </row>
    <row r="1213" spans="5:11" ht="12.75" customHeight="1" x14ac:dyDescent="0.2">
      <c r="E1213" s="50"/>
      <c r="H1213" s="12"/>
      <c r="K1213"/>
    </row>
    <row r="1214" spans="5:11" ht="12.75" customHeight="1" x14ac:dyDescent="0.2">
      <c r="E1214" s="50"/>
      <c r="H1214" s="12"/>
      <c r="K1214"/>
    </row>
    <row r="1215" spans="5:11" ht="12.75" customHeight="1" x14ac:dyDescent="0.2">
      <c r="E1215" s="50"/>
      <c r="H1215" s="12"/>
      <c r="K1215"/>
    </row>
    <row r="1216" spans="5:11" ht="12.75" customHeight="1" x14ac:dyDescent="0.2">
      <c r="E1216" s="50"/>
      <c r="H1216" s="12"/>
      <c r="K1216"/>
    </row>
    <row r="1217" spans="5:11" ht="12.75" customHeight="1" x14ac:dyDescent="0.2">
      <c r="E1217" s="50"/>
      <c r="H1217" s="12"/>
      <c r="K1217"/>
    </row>
    <row r="1218" spans="5:11" ht="12.75" customHeight="1" x14ac:dyDescent="0.2">
      <c r="E1218" s="50"/>
      <c r="H1218" s="12"/>
      <c r="K1218"/>
    </row>
    <row r="1219" spans="5:11" ht="12.75" customHeight="1" x14ac:dyDescent="0.2">
      <c r="E1219" s="50"/>
      <c r="H1219" s="12"/>
      <c r="K1219"/>
    </row>
    <row r="1220" spans="5:11" ht="12.75" customHeight="1" x14ac:dyDescent="0.2">
      <c r="E1220" s="50"/>
      <c r="H1220" s="12"/>
      <c r="K1220"/>
    </row>
    <row r="1221" spans="5:11" ht="12.75" customHeight="1" x14ac:dyDescent="0.2">
      <c r="E1221" s="50"/>
      <c r="H1221" s="12"/>
      <c r="K1221"/>
    </row>
    <row r="1222" spans="5:11" ht="12.75" customHeight="1" x14ac:dyDescent="0.2">
      <c r="E1222" s="50"/>
      <c r="H1222" s="12"/>
      <c r="K1222"/>
    </row>
    <row r="1223" spans="5:11" ht="12.75" customHeight="1" x14ac:dyDescent="0.2">
      <c r="E1223" s="50"/>
      <c r="H1223" s="12"/>
      <c r="K1223"/>
    </row>
    <row r="1224" spans="5:11" ht="12.75" customHeight="1" x14ac:dyDescent="0.2">
      <c r="E1224" s="50"/>
      <c r="H1224" s="12"/>
      <c r="K1224"/>
    </row>
    <row r="1225" spans="5:11" ht="12.75" customHeight="1" x14ac:dyDescent="0.2">
      <c r="E1225" s="50"/>
      <c r="H1225" s="12"/>
      <c r="K1225"/>
    </row>
    <row r="1226" spans="5:11" ht="12.75" customHeight="1" x14ac:dyDescent="0.2">
      <c r="E1226" s="50"/>
      <c r="H1226" s="12"/>
      <c r="K1226"/>
    </row>
    <row r="1227" spans="5:11" ht="12.75" customHeight="1" x14ac:dyDescent="0.2">
      <c r="E1227" s="50"/>
      <c r="H1227" s="12"/>
      <c r="K1227"/>
    </row>
    <row r="1228" spans="5:11" ht="12.75" customHeight="1" x14ac:dyDescent="0.2">
      <c r="E1228" s="50"/>
      <c r="H1228" s="12"/>
      <c r="K1228"/>
    </row>
    <row r="1229" spans="5:11" ht="12.75" customHeight="1" x14ac:dyDescent="0.2">
      <c r="E1229" s="50"/>
      <c r="H1229" s="12"/>
      <c r="K1229"/>
    </row>
    <row r="1230" spans="5:11" ht="12.75" customHeight="1" x14ac:dyDescent="0.2">
      <c r="E1230" s="50"/>
      <c r="H1230" s="12"/>
      <c r="K1230"/>
    </row>
    <row r="1231" spans="5:11" ht="12.75" customHeight="1" x14ac:dyDescent="0.2">
      <c r="E1231" s="50"/>
      <c r="H1231" s="12"/>
      <c r="K1231"/>
    </row>
    <row r="1232" spans="5:11" ht="12.75" customHeight="1" x14ac:dyDescent="0.2">
      <c r="E1232" s="50"/>
      <c r="H1232" s="12"/>
      <c r="K1232"/>
    </row>
    <row r="1233" spans="5:11" ht="12.75" customHeight="1" x14ac:dyDescent="0.2">
      <c r="E1233" s="50"/>
      <c r="H1233" s="12"/>
      <c r="K1233"/>
    </row>
    <row r="1234" spans="5:11" ht="12.75" customHeight="1" x14ac:dyDescent="0.2">
      <c r="E1234" s="50"/>
      <c r="H1234" s="12"/>
      <c r="K1234"/>
    </row>
    <row r="1235" spans="5:11" ht="12.75" customHeight="1" x14ac:dyDescent="0.2">
      <c r="E1235" s="50"/>
      <c r="H1235" s="12"/>
      <c r="K1235"/>
    </row>
    <row r="1236" spans="5:11" ht="12.75" customHeight="1" x14ac:dyDescent="0.2">
      <c r="E1236" s="50"/>
      <c r="H1236" s="12"/>
      <c r="K1236"/>
    </row>
    <row r="1237" spans="5:11" ht="12.75" customHeight="1" x14ac:dyDescent="0.2">
      <c r="E1237" s="50"/>
      <c r="H1237" s="12"/>
      <c r="K1237"/>
    </row>
    <row r="1238" spans="5:11" ht="12.75" customHeight="1" x14ac:dyDescent="0.2">
      <c r="E1238" s="50"/>
      <c r="H1238" s="12"/>
      <c r="K1238"/>
    </row>
    <row r="1239" spans="5:11" ht="12.75" customHeight="1" x14ac:dyDescent="0.2">
      <c r="E1239" s="50"/>
      <c r="H1239" s="12"/>
      <c r="K1239"/>
    </row>
    <row r="1240" spans="5:11" ht="12.75" customHeight="1" x14ac:dyDescent="0.2">
      <c r="E1240" s="50"/>
      <c r="H1240" s="12"/>
      <c r="K1240"/>
    </row>
    <row r="1241" spans="5:11" ht="12.75" customHeight="1" x14ac:dyDescent="0.2">
      <c r="E1241" s="50"/>
      <c r="H1241" s="12"/>
      <c r="K1241"/>
    </row>
    <row r="1242" spans="5:11" ht="12.75" customHeight="1" x14ac:dyDescent="0.2">
      <c r="E1242" s="50"/>
      <c r="H1242" s="12"/>
      <c r="K1242"/>
    </row>
    <row r="1243" spans="5:11" ht="12.75" customHeight="1" x14ac:dyDescent="0.2">
      <c r="E1243" s="50"/>
      <c r="H1243" s="12"/>
      <c r="K1243"/>
    </row>
    <row r="1244" spans="5:11" ht="12.75" customHeight="1" x14ac:dyDescent="0.2">
      <c r="E1244" s="50"/>
      <c r="H1244" s="12"/>
      <c r="K1244"/>
    </row>
    <row r="1245" spans="5:11" ht="12.75" customHeight="1" x14ac:dyDescent="0.2">
      <c r="E1245" s="50"/>
      <c r="H1245" s="12"/>
      <c r="K1245"/>
    </row>
    <row r="1246" spans="5:11" ht="12.75" customHeight="1" x14ac:dyDescent="0.2">
      <c r="E1246" s="50"/>
      <c r="H1246" s="12"/>
      <c r="K1246"/>
    </row>
    <row r="1247" spans="5:11" ht="12.75" customHeight="1" x14ac:dyDescent="0.2">
      <c r="E1247" s="50"/>
      <c r="H1247" s="12"/>
      <c r="K1247"/>
    </row>
    <row r="1248" spans="5:11" ht="12.75" customHeight="1" x14ac:dyDescent="0.2">
      <c r="E1248" s="50"/>
      <c r="H1248" s="12"/>
      <c r="K1248"/>
    </row>
    <row r="1249" spans="5:11" ht="12.75" customHeight="1" x14ac:dyDescent="0.2">
      <c r="E1249" s="50"/>
      <c r="H1249" s="12"/>
      <c r="K1249"/>
    </row>
    <row r="1250" spans="5:11" ht="12.75" customHeight="1" x14ac:dyDescent="0.2">
      <c r="E1250" s="50"/>
      <c r="H1250" s="12"/>
      <c r="K1250"/>
    </row>
    <row r="1251" spans="5:11" ht="12.75" customHeight="1" x14ac:dyDescent="0.2">
      <c r="E1251" s="50"/>
      <c r="H1251" s="12"/>
      <c r="K1251"/>
    </row>
    <row r="1252" spans="5:11" ht="12.75" customHeight="1" x14ac:dyDescent="0.2">
      <c r="E1252" s="50"/>
      <c r="H1252" s="12"/>
      <c r="K1252"/>
    </row>
    <row r="1253" spans="5:11" ht="12.75" customHeight="1" x14ac:dyDescent="0.2">
      <c r="E1253" s="50"/>
      <c r="H1253" s="12"/>
      <c r="K1253"/>
    </row>
    <row r="1254" spans="5:11" ht="12.75" customHeight="1" x14ac:dyDescent="0.2">
      <c r="E1254" s="50"/>
      <c r="H1254" s="12"/>
      <c r="K1254"/>
    </row>
    <row r="1255" spans="5:11" ht="12.75" customHeight="1" x14ac:dyDescent="0.2">
      <c r="E1255" s="50"/>
      <c r="H1255" s="12"/>
      <c r="K1255"/>
    </row>
    <row r="1256" spans="5:11" ht="12.75" customHeight="1" x14ac:dyDescent="0.2">
      <c r="E1256" s="50"/>
      <c r="H1256" s="12"/>
      <c r="K1256"/>
    </row>
    <row r="1257" spans="5:11" ht="12.75" customHeight="1" x14ac:dyDescent="0.2">
      <c r="E1257" s="50"/>
      <c r="H1257" s="12"/>
      <c r="K1257"/>
    </row>
    <row r="1258" spans="5:11" ht="12.75" customHeight="1" x14ac:dyDescent="0.2">
      <c r="E1258" s="50"/>
      <c r="H1258" s="12"/>
      <c r="K1258"/>
    </row>
    <row r="1259" spans="5:11" ht="12.75" customHeight="1" x14ac:dyDescent="0.2">
      <c r="E1259" s="50"/>
      <c r="H1259" s="12"/>
      <c r="K1259"/>
    </row>
    <row r="1260" spans="5:11" ht="12.75" customHeight="1" x14ac:dyDescent="0.2">
      <c r="E1260" s="50"/>
      <c r="H1260" s="12"/>
      <c r="K1260"/>
    </row>
    <row r="1261" spans="5:11" ht="12.75" customHeight="1" x14ac:dyDescent="0.2">
      <c r="E1261" s="50"/>
      <c r="H1261" s="12"/>
      <c r="K1261"/>
    </row>
    <row r="1262" spans="5:11" ht="12.75" customHeight="1" x14ac:dyDescent="0.2">
      <c r="E1262" s="50"/>
      <c r="H1262" s="12"/>
      <c r="K1262"/>
    </row>
    <row r="1263" spans="5:11" ht="12.75" customHeight="1" x14ac:dyDescent="0.2">
      <c r="E1263" s="50"/>
      <c r="H1263" s="12"/>
      <c r="K1263"/>
    </row>
    <row r="1264" spans="5:11" ht="12.75" customHeight="1" x14ac:dyDescent="0.2">
      <c r="E1264" s="50"/>
      <c r="H1264" s="12"/>
      <c r="K1264"/>
    </row>
    <row r="1265" spans="5:11" ht="12.75" customHeight="1" x14ac:dyDescent="0.2">
      <c r="E1265" s="50"/>
      <c r="H1265" s="12"/>
      <c r="K1265"/>
    </row>
    <row r="1266" spans="5:11" ht="12.75" customHeight="1" x14ac:dyDescent="0.2">
      <c r="E1266" s="50"/>
      <c r="H1266" s="12"/>
      <c r="K1266"/>
    </row>
    <row r="1267" spans="5:11" ht="12.75" customHeight="1" x14ac:dyDescent="0.2">
      <c r="E1267" s="50"/>
      <c r="H1267" s="12"/>
      <c r="K1267"/>
    </row>
    <row r="1268" spans="5:11" ht="12.75" customHeight="1" x14ac:dyDescent="0.2">
      <c r="E1268" s="50"/>
      <c r="H1268" s="12"/>
      <c r="K1268"/>
    </row>
    <row r="1269" spans="5:11" ht="12.75" customHeight="1" x14ac:dyDescent="0.2">
      <c r="E1269" s="50"/>
      <c r="H1269" s="12"/>
      <c r="K1269"/>
    </row>
    <row r="1270" spans="5:11" ht="12.75" customHeight="1" x14ac:dyDescent="0.2">
      <c r="E1270" s="50"/>
      <c r="H1270" s="12"/>
      <c r="K1270"/>
    </row>
    <row r="1271" spans="5:11" ht="12.75" customHeight="1" x14ac:dyDescent="0.2">
      <c r="E1271" s="50"/>
      <c r="H1271" s="12"/>
      <c r="K1271"/>
    </row>
    <row r="1272" spans="5:11" ht="12.75" customHeight="1" x14ac:dyDescent="0.2">
      <c r="E1272" s="50"/>
      <c r="H1272" s="12"/>
      <c r="K1272"/>
    </row>
    <row r="1273" spans="5:11" ht="12.75" customHeight="1" x14ac:dyDescent="0.2">
      <c r="E1273" s="50"/>
      <c r="H1273" s="12"/>
      <c r="K1273"/>
    </row>
    <row r="1274" spans="5:11" ht="12.75" customHeight="1" x14ac:dyDescent="0.2">
      <c r="E1274" s="50"/>
      <c r="H1274" s="12"/>
      <c r="K1274"/>
    </row>
    <row r="1275" spans="5:11" ht="12.75" customHeight="1" x14ac:dyDescent="0.2">
      <c r="E1275" s="50"/>
      <c r="H1275" s="12"/>
      <c r="K1275"/>
    </row>
    <row r="1276" spans="5:11" ht="12.75" customHeight="1" x14ac:dyDescent="0.2">
      <c r="E1276" s="50"/>
      <c r="H1276" s="12"/>
      <c r="K1276"/>
    </row>
    <row r="1277" spans="5:11" ht="12.75" customHeight="1" x14ac:dyDescent="0.2">
      <c r="E1277" s="50"/>
      <c r="H1277" s="12"/>
      <c r="K1277"/>
    </row>
    <row r="1278" spans="5:11" ht="12.75" customHeight="1" x14ac:dyDescent="0.2">
      <c r="E1278" s="50"/>
      <c r="H1278" s="12"/>
      <c r="K1278"/>
    </row>
    <row r="1279" spans="5:11" ht="12.75" customHeight="1" x14ac:dyDescent="0.2">
      <c r="E1279" s="50"/>
      <c r="H1279" s="12"/>
      <c r="K1279"/>
    </row>
    <row r="1280" spans="5:11" ht="12.75" customHeight="1" x14ac:dyDescent="0.2">
      <c r="E1280" s="50"/>
      <c r="H1280" s="12"/>
      <c r="K1280"/>
    </row>
    <row r="1281" spans="5:11" ht="12.75" customHeight="1" x14ac:dyDescent="0.2">
      <c r="E1281" s="50"/>
      <c r="H1281" s="12"/>
      <c r="K1281"/>
    </row>
    <row r="1282" spans="5:11" ht="12.75" customHeight="1" x14ac:dyDescent="0.2">
      <c r="E1282" s="50"/>
      <c r="H1282" s="12"/>
      <c r="K1282"/>
    </row>
    <row r="1283" spans="5:11" ht="12.75" customHeight="1" x14ac:dyDescent="0.2">
      <c r="E1283" s="50"/>
      <c r="H1283" s="12"/>
      <c r="K1283"/>
    </row>
    <row r="1284" spans="5:11" ht="12.75" customHeight="1" x14ac:dyDescent="0.2">
      <c r="E1284" s="50"/>
      <c r="H1284" s="12"/>
      <c r="K1284"/>
    </row>
    <row r="1285" spans="5:11" ht="12.75" customHeight="1" x14ac:dyDescent="0.2">
      <c r="E1285" s="50"/>
      <c r="H1285" s="12"/>
      <c r="K1285"/>
    </row>
    <row r="1286" spans="5:11" ht="12.75" customHeight="1" x14ac:dyDescent="0.2">
      <c r="E1286" s="50"/>
      <c r="H1286" s="12"/>
      <c r="K1286"/>
    </row>
    <row r="1287" spans="5:11" ht="12.75" customHeight="1" x14ac:dyDescent="0.2">
      <c r="E1287" s="50"/>
      <c r="H1287" s="12"/>
      <c r="K1287"/>
    </row>
    <row r="1288" spans="5:11" ht="12.75" customHeight="1" x14ac:dyDescent="0.2">
      <c r="E1288" s="50"/>
      <c r="H1288" s="12"/>
      <c r="K1288"/>
    </row>
    <row r="1289" spans="5:11" ht="12.75" customHeight="1" x14ac:dyDescent="0.2">
      <c r="E1289" s="50"/>
      <c r="H1289" s="12"/>
      <c r="K1289"/>
    </row>
    <row r="1290" spans="5:11" ht="12.75" customHeight="1" x14ac:dyDescent="0.2">
      <c r="E1290" s="50"/>
      <c r="H1290" s="12"/>
      <c r="K1290"/>
    </row>
    <row r="1291" spans="5:11" ht="12.75" customHeight="1" x14ac:dyDescent="0.2">
      <c r="E1291" s="50"/>
      <c r="H1291" s="12"/>
      <c r="K1291"/>
    </row>
    <row r="1292" spans="5:11" ht="12.75" customHeight="1" x14ac:dyDescent="0.2">
      <c r="E1292" s="50"/>
      <c r="H1292" s="12"/>
      <c r="K1292"/>
    </row>
    <row r="1293" spans="5:11" ht="12.75" customHeight="1" x14ac:dyDescent="0.2">
      <c r="E1293" s="50"/>
      <c r="H1293" s="12"/>
      <c r="K1293"/>
    </row>
    <row r="1294" spans="5:11" ht="12.75" customHeight="1" x14ac:dyDescent="0.2">
      <c r="E1294" s="50"/>
      <c r="H1294" s="12"/>
      <c r="K1294"/>
    </row>
    <row r="1295" spans="5:11" ht="12.75" customHeight="1" x14ac:dyDescent="0.2">
      <c r="E1295" s="50"/>
      <c r="H1295" s="12"/>
      <c r="K1295"/>
    </row>
    <row r="1296" spans="5:11" ht="12.75" customHeight="1" x14ac:dyDescent="0.2">
      <c r="E1296" s="50"/>
      <c r="H1296" s="12"/>
      <c r="K1296"/>
    </row>
    <row r="1297" spans="5:11" ht="12.75" customHeight="1" x14ac:dyDescent="0.2">
      <c r="E1297" s="50"/>
      <c r="H1297" s="12"/>
      <c r="K1297"/>
    </row>
    <row r="1298" spans="5:11" ht="12.75" customHeight="1" x14ac:dyDescent="0.2">
      <c r="E1298" s="50"/>
      <c r="H1298" s="12"/>
      <c r="K1298"/>
    </row>
    <row r="1299" spans="5:11" ht="12.75" customHeight="1" x14ac:dyDescent="0.2">
      <c r="E1299" s="50"/>
      <c r="H1299" s="12"/>
      <c r="K1299"/>
    </row>
    <row r="1300" spans="5:11" ht="12.75" customHeight="1" x14ac:dyDescent="0.2">
      <c r="E1300" s="50"/>
      <c r="H1300" s="12"/>
      <c r="K1300"/>
    </row>
    <row r="1301" spans="5:11" ht="12.75" customHeight="1" x14ac:dyDescent="0.2">
      <c r="E1301" s="50"/>
      <c r="H1301" s="12"/>
      <c r="K1301"/>
    </row>
    <row r="1302" spans="5:11" ht="12.75" customHeight="1" x14ac:dyDescent="0.2">
      <c r="E1302" s="50"/>
      <c r="H1302" s="12"/>
      <c r="K1302"/>
    </row>
    <row r="1303" spans="5:11" ht="12.75" customHeight="1" x14ac:dyDescent="0.2">
      <c r="E1303" s="50"/>
      <c r="H1303" s="12"/>
      <c r="K1303"/>
    </row>
    <row r="1304" spans="5:11" ht="12.75" customHeight="1" x14ac:dyDescent="0.2">
      <c r="E1304" s="50"/>
      <c r="H1304" s="12"/>
      <c r="K1304"/>
    </row>
    <row r="1305" spans="5:11" ht="12.75" customHeight="1" x14ac:dyDescent="0.2">
      <c r="E1305" s="50"/>
      <c r="H1305" s="12"/>
      <c r="K1305"/>
    </row>
    <row r="1306" spans="5:11" ht="12.75" customHeight="1" x14ac:dyDescent="0.2">
      <c r="E1306" s="50"/>
      <c r="H1306" s="12"/>
      <c r="K1306"/>
    </row>
    <row r="1307" spans="5:11" ht="12.75" customHeight="1" x14ac:dyDescent="0.2">
      <c r="E1307" s="50"/>
      <c r="H1307" s="12"/>
      <c r="K1307"/>
    </row>
    <row r="1308" spans="5:11" ht="12.75" customHeight="1" x14ac:dyDescent="0.2">
      <c r="E1308" s="50"/>
      <c r="H1308" s="12"/>
      <c r="K1308"/>
    </row>
    <row r="1309" spans="5:11" ht="12.75" customHeight="1" x14ac:dyDescent="0.2">
      <c r="E1309" s="50"/>
      <c r="H1309" s="12"/>
      <c r="K1309"/>
    </row>
    <row r="1310" spans="5:11" ht="12.75" customHeight="1" x14ac:dyDescent="0.2">
      <c r="E1310" s="50"/>
      <c r="H1310" s="12"/>
      <c r="K1310"/>
    </row>
    <row r="1311" spans="5:11" ht="12.75" customHeight="1" x14ac:dyDescent="0.2">
      <c r="E1311" s="50"/>
      <c r="H1311" s="12"/>
      <c r="K1311"/>
    </row>
    <row r="1312" spans="5:11" ht="12.75" customHeight="1" x14ac:dyDescent="0.2">
      <c r="E1312" s="50"/>
      <c r="H1312" s="12"/>
      <c r="K1312"/>
    </row>
    <row r="1313" spans="5:11" ht="12.75" customHeight="1" x14ac:dyDescent="0.2">
      <c r="E1313" s="50"/>
      <c r="H1313" s="12"/>
      <c r="K1313"/>
    </row>
    <row r="1314" spans="5:11" ht="12.75" customHeight="1" x14ac:dyDescent="0.2">
      <c r="E1314" s="50"/>
      <c r="H1314" s="12"/>
      <c r="K1314"/>
    </row>
    <row r="1315" spans="5:11" ht="12.75" customHeight="1" x14ac:dyDescent="0.2">
      <c r="E1315" s="50"/>
      <c r="H1315" s="12"/>
      <c r="K1315"/>
    </row>
    <row r="1316" spans="5:11" ht="14.25" customHeight="1" x14ac:dyDescent="0.2">
      <c r="E1316" s="50"/>
      <c r="H1316" s="12"/>
      <c r="K1316"/>
    </row>
    <row r="1317" spans="5:11" ht="13.5" customHeight="1" x14ac:dyDescent="0.2">
      <c r="E1317" s="50"/>
      <c r="H1317" s="12"/>
      <c r="K1317"/>
    </row>
    <row r="1318" spans="5:11" ht="13.5" customHeight="1" x14ac:dyDescent="0.2">
      <c r="E1318" s="50"/>
      <c r="H1318" s="12"/>
      <c r="K1318"/>
    </row>
    <row r="1319" spans="5:11" ht="13.5" customHeight="1" x14ac:dyDescent="0.2">
      <c r="E1319" s="50"/>
      <c r="H1319" s="12"/>
      <c r="K1319"/>
    </row>
    <row r="1320" spans="5:11" ht="13.5" customHeight="1" x14ac:dyDescent="0.2">
      <c r="E1320" s="50"/>
      <c r="H1320" s="12"/>
      <c r="K1320"/>
    </row>
    <row r="1321" spans="5:11" ht="13.5" customHeight="1" x14ac:dyDescent="0.2">
      <c r="E1321" s="50"/>
      <c r="H1321" s="12"/>
      <c r="K1321"/>
    </row>
    <row r="1322" spans="5:11" ht="13.5" customHeight="1" x14ac:dyDescent="0.2">
      <c r="E1322" s="50"/>
      <c r="H1322" s="12"/>
      <c r="K1322"/>
    </row>
    <row r="1323" spans="5:11" ht="13.5" customHeight="1" x14ac:dyDescent="0.2">
      <c r="E1323" s="50"/>
      <c r="H1323" s="12"/>
      <c r="K1323"/>
    </row>
    <row r="1324" spans="5:11" ht="13.5" customHeight="1" x14ac:dyDescent="0.2">
      <c r="E1324" s="50"/>
      <c r="H1324" s="12"/>
      <c r="K1324"/>
    </row>
    <row r="1325" spans="5:11" ht="13.5" customHeight="1" x14ac:dyDescent="0.2">
      <c r="E1325" s="50"/>
      <c r="H1325" s="12"/>
      <c r="K1325"/>
    </row>
    <row r="1326" spans="5:11" ht="13.5" customHeight="1" x14ac:dyDescent="0.2">
      <c r="E1326" s="50"/>
      <c r="H1326" s="12"/>
      <c r="K1326"/>
    </row>
    <row r="1327" spans="5:11" ht="13.5" customHeight="1" x14ac:dyDescent="0.2">
      <c r="E1327" s="50"/>
      <c r="H1327" s="12"/>
      <c r="K1327"/>
    </row>
    <row r="1328" spans="5:11" ht="13.5" customHeight="1" x14ac:dyDescent="0.2">
      <c r="E1328" s="50"/>
      <c r="H1328" s="12"/>
      <c r="K1328"/>
    </row>
    <row r="1329" spans="5:11" ht="13.5" customHeight="1" x14ac:dyDescent="0.2">
      <c r="E1329" s="50"/>
      <c r="H1329" s="12"/>
      <c r="K1329"/>
    </row>
    <row r="1330" spans="5:11" ht="13.5" customHeight="1" x14ac:dyDescent="0.2">
      <c r="E1330" s="50"/>
      <c r="H1330" s="12"/>
      <c r="K1330"/>
    </row>
    <row r="1331" spans="5:11" ht="13.5" customHeight="1" x14ac:dyDescent="0.2">
      <c r="E1331" s="50"/>
      <c r="H1331" s="12"/>
      <c r="K1331"/>
    </row>
    <row r="1332" spans="5:11" ht="13.5" customHeight="1" x14ac:dyDescent="0.2">
      <c r="E1332" s="50"/>
      <c r="H1332" s="12"/>
      <c r="K1332"/>
    </row>
    <row r="1333" spans="5:11" ht="13.5" customHeight="1" x14ac:dyDescent="0.2">
      <c r="E1333" s="50"/>
      <c r="H1333" s="12"/>
      <c r="K1333"/>
    </row>
    <row r="1334" spans="5:11" ht="13.5" customHeight="1" x14ac:dyDescent="0.2">
      <c r="E1334" s="50"/>
      <c r="H1334" s="12"/>
      <c r="K1334"/>
    </row>
    <row r="1335" spans="5:11" ht="13.5" customHeight="1" x14ac:dyDescent="0.2">
      <c r="E1335" s="50"/>
      <c r="H1335" s="12"/>
      <c r="K1335"/>
    </row>
    <row r="1336" spans="5:11" ht="13.5" customHeight="1" x14ac:dyDescent="0.2">
      <c r="E1336" s="50"/>
      <c r="H1336" s="12"/>
      <c r="K1336"/>
    </row>
    <row r="1337" spans="5:11" ht="13.5" customHeight="1" x14ac:dyDescent="0.2">
      <c r="E1337" s="50"/>
      <c r="H1337" s="12"/>
      <c r="K1337"/>
    </row>
    <row r="1338" spans="5:11" ht="13.5" customHeight="1" x14ac:dyDescent="0.2">
      <c r="E1338" s="50"/>
      <c r="H1338" s="12"/>
      <c r="K1338"/>
    </row>
    <row r="1339" spans="5:11" ht="13.5" customHeight="1" x14ac:dyDescent="0.2">
      <c r="E1339" s="50"/>
      <c r="H1339" s="12"/>
      <c r="K1339"/>
    </row>
    <row r="1340" spans="5:11" ht="13.5" customHeight="1" x14ac:dyDescent="0.2">
      <c r="E1340" s="50"/>
      <c r="H1340" s="12"/>
      <c r="K1340"/>
    </row>
    <row r="1341" spans="5:11" ht="13.5" customHeight="1" x14ac:dyDescent="0.2">
      <c r="E1341" s="50"/>
      <c r="H1341" s="12"/>
      <c r="K1341"/>
    </row>
    <row r="1342" spans="5:11" ht="13.5" customHeight="1" x14ac:dyDescent="0.2">
      <c r="E1342" s="50"/>
      <c r="H1342" s="12"/>
      <c r="K1342"/>
    </row>
    <row r="1343" spans="5:11" ht="13.5" customHeight="1" x14ac:dyDescent="0.2">
      <c r="E1343" s="50"/>
      <c r="H1343" s="12"/>
      <c r="K1343"/>
    </row>
    <row r="1344" spans="5:11" ht="13.5" customHeight="1" x14ac:dyDescent="0.2">
      <c r="E1344" s="50"/>
      <c r="H1344" s="12"/>
      <c r="K1344"/>
    </row>
    <row r="1345" spans="5:11" ht="13.5" customHeight="1" x14ac:dyDescent="0.2">
      <c r="E1345" s="50"/>
      <c r="H1345" s="12"/>
      <c r="K1345"/>
    </row>
    <row r="1346" spans="5:11" ht="13.5" customHeight="1" x14ac:dyDescent="0.2">
      <c r="E1346" s="50"/>
      <c r="H1346" s="12"/>
      <c r="K1346"/>
    </row>
    <row r="1347" spans="5:11" ht="13.5" customHeight="1" x14ac:dyDescent="0.2">
      <c r="E1347" s="50"/>
      <c r="H1347" s="12"/>
      <c r="K1347"/>
    </row>
    <row r="1348" spans="5:11" ht="13.5" customHeight="1" x14ac:dyDescent="0.2">
      <c r="E1348" s="50"/>
      <c r="H1348" s="12"/>
      <c r="K1348"/>
    </row>
    <row r="1349" spans="5:11" ht="13.5" customHeight="1" x14ac:dyDescent="0.2">
      <c r="E1349" s="50"/>
      <c r="H1349" s="12"/>
      <c r="K1349"/>
    </row>
    <row r="1350" spans="5:11" ht="13.5" customHeight="1" x14ac:dyDescent="0.2">
      <c r="E1350" s="50"/>
      <c r="H1350" s="12"/>
      <c r="K1350"/>
    </row>
    <row r="1351" spans="5:11" ht="13.5" customHeight="1" x14ac:dyDescent="0.2">
      <c r="E1351" s="50"/>
      <c r="H1351" s="12"/>
      <c r="K1351"/>
    </row>
    <row r="1352" spans="5:11" ht="13.5" customHeight="1" x14ac:dyDescent="0.2">
      <c r="E1352" s="50"/>
      <c r="H1352" s="12"/>
      <c r="K1352"/>
    </row>
    <row r="1353" spans="5:11" ht="13.5" customHeight="1" x14ac:dyDescent="0.2">
      <c r="E1353" s="50"/>
      <c r="H1353" s="12"/>
      <c r="K1353"/>
    </row>
    <row r="1354" spans="5:11" ht="13.5" customHeight="1" x14ac:dyDescent="0.2">
      <c r="E1354" s="50"/>
      <c r="H1354" s="12"/>
      <c r="K1354"/>
    </row>
    <row r="1355" spans="5:11" ht="13.5" customHeight="1" x14ac:dyDescent="0.2">
      <c r="E1355" s="50"/>
      <c r="H1355" s="12"/>
      <c r="K1355"/>
    </row>
    <row r="1356" spans="5:11" ht="13.5" customHeight="1" x14ac:dyDescent="0.2">
      <c r="E1356" s="50"/>
      <c r="H1356" s="12"/>
      <c r="K1356"/>
    </row>
    <row r="1357" spans="5:11" ht="13.5" customHeight="1" x14ac:dyDescent="0.2">
      <c r="E1357" s="50"/>
      <c r="H1357" s="12"/>
      <c r="K1357"/>
    </row>
    <row r="1358" spans="5:11" ht="13.5" customHeight="1" x14ac:dyDescent="0.2">
      <c r="E1358" s="50"/>
      <c r="H1358" s="12"/>
      <c r="K1358"/>
    </row>
    <row r="1359" spans="5:11" ht="13.5" customHeight="1" x14ac:dyDescent="0.2">
      <c r="E1359" s="50"/>
      <c r="H1359" s="12"/>
      <c r="K1359"/>
    </row>
    <row r="1360" spans="5:11" ht="13.5" customHeight="1" x14ac:dyDescent="0.2">
      <c r="E1360" s="50"/>
      <c r="H1360" s="12"/>
      <c r="K1360"/>
    </row>
    <row r="1361" spans="5:11" ht="13.5" customHeight="1" x14ac:dyDescent="0.2">
      <c r="E1361" s="50"/>
      <c r="H1361" s="12"/>
      <c r="K1361"/>
    </row>
    <row r="1362" spans="5:11" ht="13.5" customHeight="1" x14ac:dyDescent="0.2">
      <c r="E1362" s="50"/>
      <c r="H1362" s="12"/>
      <c r="K1362"/>
    </row>
    <row r="1363" spans="5:11" ht="13.5" customHeight="1" x14ac:dyDescent="0.2">
      <c r="E1363" s="50"/>
      <c r="H1363" s="12"/>
      <c r="K1363"/>
    </row>
    <row r="1364" spans="5:11" ht="13.5" customHeight="1" x14ac:dyDescent="0.2">
      <c r="E1364" s="50"/>
      <c r="H1364" s="12"/>
      <c r="K1364"/>
    </row>
    <row r="1365" spans="5:11" ht="13.5" customHeight="1" x14ac:dyDescent="0.2">
      <c r="E1365" s="50"/>
      <c r="H1365" s="12"/>
      <c r="K1365"/>
    </row>
    <row r="1366" spans="5:11" ht="13.5" customHeight="1" x14ac:dyDescent="0.2">
      <c r="E1366" s="50"/>
      <c r="H1366" s="12"/>
      <c r="K1366"/>
    </row>
    <row r="1367" spans="5:11" ht="13.5" customHeight="1" x14ac:dyDescent="0.2">
      <c r="E1367" s="50"/>
      <c r="H1367" s="12"/>
      <c r="K1367"/>
    </row>
    <row r="1368" spans="5:11" ht="13.5" customHeight="1" x14ac:dyDescent="0.2">
      <c r="E1368" s="50"/>
      <c r="H1368" s="12"/>
      <c r="K1368"/>
    </row>
    <row r="1369" spans="5:11" ht="13.5" customHeight="1" x14ac:dyDescent="0.2">
      <c r="E1369" s="50"/>
      <c r="H1369" s="12"/>
      <c r="K1369"/>
    </row>
    <row r="1370" spans="5:11" ht="13.5" customHeight="1" x14ac:dyDescent="0.2">
      <c r="E1370" s="50"/>
      <c r="H1370" s="12"/>
      <c r="K1370"/>
    </row>
    <row r="1371" spans="5:11" ht="13.5" customHeight="1" x14ac:dyDescent="0.2">
      <c r="E1371" s="50"/>
      <c r="H1371" s="12"/>
      <c r="K1371"/>
    </row>
    <row r="1372" spans="5:11" ht="13.5" customHeight="1" x14ac:dyDescent="0.2">
      <c r="E1372" s="50"/>
      <c r="H1372" s="12"/>
      <c r="K1372"/>
    </row>
    <row r="1373" spans="5:11" ht="13.5" customHeight="1" x14ac:dyDescent="0.2">
      <c r="E1373" s="50"/>
      <c r="H1373" s="12"/>
      <c r="K1373"/>
    </row>
    <row r="1374" spans="5:11" x14ac:dyDescent="0.2">
      <c r="E1374" s="50"/>
      <c r="H1374" s="12"/>
      <c r="K1374"/>
    </row>
    <row r="1375" spans="5:11" x14ac:dyDescent="0.2">
      <c r="E1375" s="50"/>
      <c r="H1375" s="12"/>
      <c r="K1375"/>
    </row>
    <row r="1376" spans="5:11" x14ac:dyDescent="0.2">
      <c r="E1376" s="50"/>
      <c r="H1376" s="12"/>
      <c r="K1376"/>
    </row>
    <row r="1377" spans="5:11" x14ac:dyDescent="0.2">
      <c r="E1377" s="50"/>
      <c r="H1377" s="12"/>
      <c r="K1377"/>
    </row>
    <row r="1378" spans="5:11" x14ac:dyDescent="0.2">
      <c r="E1378" s="50"/>
      <c r="H1378" s="12"/>
      <c r="K1378"/>
    </row>
    <row r="1379" spans="5:11" x14ac:dyDescent="0.2">
      <c r="E1379" s="50"/>
      <c r="H1379" s="12"/>
      <c r="K1379"/>
    </row>
    <row r="1380" spans="5:11" x14ac:dyDescent="0.2">
      <c r="E1380" s="50"/>
      <c r="H1380" s="12"/>
      <c r="K1380"/>
    </row>
    <row r="1381" spans="5:11" x14ac:dyDescent="0.2">
      <c r="E1381" s="50"/>
      <c r="H1381" s="12"/>
      <c r="K1381"/>
    </row>
    <row r="1382" spans="5:11" x14ac:dyDescent="0.2">
      <c r="E1382" s="50"/>
      <c r="H1382" s="12"/>
      <c r="K1382"/>
    </row>
    <row r="1383" spans="5:11" x14ac:dyDescent="0.2">
      <c r="E1383" s="50"/>
      <c r="H1383" s="12"/>
      <c r="K1383"/>
    </row>
    <row r="1384" spans="5:11" x14ac:dyDescent="0.2">
      <c r="E1384" s="50"/>
      <c r="H1384" s="12"/>
      <c r="K1384"/>
    </row>
    <row r="1385" spans="5:11" x14ac:dyDescent="0.2">
      <c r="E1385" s="50"/>
      <c r="H1385" s="12"/>
      <c r="K1385"/>
    </row>
    <row r="1386" spans="5:11" x14ac:dyDescent="0.2">
      <c r="E1386" s="50"/>
      <c r="H1386" s="12"/>
      <c r="K1386"/>
    </row>
    <row r="1387" spans="5:11" x14ac:dyDescent="0.2">
      <c r="E1387" s="50"/>
      <c r="H1387" s="12"/>
      <c r="K1387"/>
    </row>
    <row r="1388" spans="5:11" x14ac:dyDescent="0.2">
      <c r="E1388" s="50"/>
      <c r="H1388" s="12"/>
      <c r="K1388"/>
    </row>
    <row r="1389" spans="5:11" x14ac:dyDescent="0.2">
      <c r="E1389" s="50"/>
      <c r="H1389" s="12"/>
      <c r="K1389"/>
    </row>
    <row r="1390" spans="5:11" x14ac:dyDescent="0.2">
      <c r="E1390" s="50"/>
      <c r="H1390" s="12"/>
      <c r="K1390"/>
    </row>
    <row r="1391" spans="5:11" x14ac:dyDescent="0.2">
      <c r="E1391" s="50"/>
      <c r="H1391" s="12"/>
      <c r="K1391"/>
    </row>
    <row r="1392" spans="5:11" x14ac:dyDescent="0.2">
      <c r="E1392" s="50"/>
      <c r="H1392" s="12"/>
      <c r="K1392"/>
    </row>
    <row r="1393" spans="5:11" x14ac:dyDescent="0.2">
      <c r="E1393" s="50"/>
      <c r="H1393" s="12"/>
      <c r="K1393"/>
    </row>
    <row r="1394" spans="5:11" x14ac:dyDescent="0.2">
      <c r="E1394" s="50"/>
      <c r="H1394" s="12"/>
      <c r="K1394"/>
    </row>
    <row r="1395" spans="5:11" x14ac:dyDescent="0.2">
      <c r="E1395" s="50"/>
      <c r="H1395" s="12"/>
      <c r="K1395"/>
    </row>
    <row r="1396" spans="5:11" x14ac:dyDescent="0.2">
      <c r="E1396" s="50"/>
      <c r="H1396" s="12"/>
      <c r="K1396"/>
    </row>
    <row r="1397" spans="5:11" x14ac:dyDescent="0.2">
      <c r="E1397" s="50"/>
      <c r="H1397" s="12"/>
      <c r="K1397"/>
    </row>
    <row r="1398" spans="5:11" x14ac:dyDescent="0.2">
      <c r="E1398" s="50"/>
      <c r="H1398" s="12"/>
      <c r="K1398"/>
    </row>
    <row r="1399" spans="5:11" x14ac:dyDescent="0.2">
      <c r="E1399" s="50"/>
      <c r="H1399" s="12"/>
      <c r="K1399"/>
    </row>
    <row r="1400" spans="5:11" x14ac:dyDescent="0.2">
      <c r="E1400" s="50"/>
      <c r="H1400" s="12"/>
      <c r="K1400"/>
    </row>
    <row r="1401" spans="5:11" x14ac:dyDescent="0.2">
      <c r="E1401" s="50"/>
      <c r="H1401" s="12"/>
      <c r="K1401"/>
    </row>
    <row r="1402" spans="5:11" x14ac:dyDescent="0.2">
      <c r="E1402" s="50"/>
      <c r="H1402" s="12"/>
      <c r="K1402"/>
    </row>
    <row r="1403" spans="5:11" x14ac:dyDescent="0.2">
      <c r="E1403" s="50"/>
      <c r="H1403" s="12"/>
      <c r="K1403"/>
    </row>
    <row r="1404" spans="5:11" x14ac:dyDescent="0.2">
      <c r="E1404" s="50"/>
      <c r="H1404" s="12"/>
      <c r="K1404"/>
    </row>
    <row r="1405" spans="5:11" x14ac:dyDescent="0.2">
      <c r="E1405" s="50"/>
      <c r="H1405" s="12"/>
      <c r="K1405"/>
    </row>
    <row r="1406" spans="5:11" x14ac:dyDescent="0.2">
      <c r="E1406" s="50"/>
      <c r="H1406" s="12"/>
      <c r="K1406"/>
    </row>
    <row r="1407" spans="5:11" x14ac:dyDescent="0.2">
      <c r="E1407" s="50"/>
      <c r="H1407" s="12"/>
      <c r="K1407"/>
    </row>
    <row r="1408" spans="5:11" x14ac:dyDescent="0.2">
      <c r="E1408" s="50"/>
      <c r="H1408" s="12"/>
      <c r="K1408"/>
    </row>
    <row r="1409" spans="5:11" x14ac:dyDescent="0.2">
      <c r="E1409" s="50"/>
      <c r="H1409" s="12"/>
      <c r="K1409"/>
    </row>
    <row r="1410" spans="5:11" x14ac:dyDescent="0.2">
      <c r="E1410" s="50"/>
      <c r="H1410" s="12"/>
      <c r="K1410"/>
    </row>
    <row r="1411" spans="5:11" x14ac:dyDescent="0.2">
      <c r="E1411" s="50"/>
      <c r="H1411" s="12"/>
      <c r="K1411"/>
    </row>
    <row r="1412" spans="5:11" x14ac:dyDescent="0.2">
      <c r="E1412" s="50"/>
      <c r="H1412" s="12"/>
      <c r="K1412"/>
    </row>
    <row r="1413" spans="5:11" x14ac:dyDescent="0.2">
      <c r="E1413" s="50"/>
      <c r="H1413" s="12"/>
      <c r="K1413"/>
    </row>
    <row r="1414" spans="5:11" x14ac:dyDescent="0.2">
      <c r="E1414" s="50"/>
      <c r="H1414" s="12"/>
      <c r="K1414"/>
    </row>
    <row r="1415" spans="5:11" x14ac:dyDescent="0.2">
      <c r="E1415" s="50"/>
      <c r="H1415" s="12"/>
      <c r="K1415"/>
    </row>
    <row r="1416" spans="5:11" x14ac:dyDescent="0.2">
      <c r="E1416" s="50"/>
      <c r="H1416" s="12"/>
      <c r="K1416"/>
    </row>
    <row r="1417" spans="5:11" x14ac:dyDescent="0.2">
      <c r="E1417" s="50"/>
      <c r="H1417" s="12"/>
      <c r="K1417"/>
    </row>
    <row r="1418" spans="5:11" x14ac:dyDescent="0.2">
      <c r="E1418" s="50"/>
      <c r="H1418" s="12"/>
      <c r="K1418"/>
    </row>
    <row r="1419" spans="5:11" x14ac:dyDescent="0.2">
      <c r="E1419" s="50"/>
      <c r="H1419" s="12"/>
      <c r="K1419"/>
    </row>
    <row r="1420" spans="5:11" x14ac:dyDescent="0.2">
      <c r="E1420" s="50"/>
      <c r="H1420" s="12"/>
      <c r="K1420"/>
    </row>
    <row r="1421" spans="5:11" x14ac:dyDescent="0.2">
      <c r="E1421" s="50"/>
      <c r="H1421" s="12"/>
      <c r="K1421"/>
    </row>
    <row r="1422" spans="5:11" x14ac:dyDescent="0.2">
      <c r="E1422" s="50"/>
      <c r="H1422" s="12"/>
      <c r="K1422"/>
    </row>
    <row r="1423" spans="5:11" x14ac:dyDescent="0.2">
      <c r="E1423" s="50"/>
      <c r="H1423" s="12"/>
      <c r="K1423"/>
    </row>
    <row r="1424" spans="5:11" x14ac:dyDescent="0.2">
      <c r="E1424" s="50"/>
      <c r="H1424" s="12"/>
      <c r="K1424"/>
    </row>
    <row r="1425" spans="5:11" x14ac:dyDescent="0.2">
      <c r="E1425" s="50"/>
      <c r="H1425" s="12"/>
      <c r="K1425"/>
    </row>
    <row r="1426" spans="5:11" x14ac:dyDescent="0.2">
      <c r="E1426" s="50"/>
      <c r="H1426" s="12"/>
      <c r="K1426"/>
    </row>
    <row r="1427" spans="5:11" x14ac:dyDescent="0.2">
      <c r="E1427" s="50"/>
      <c r="H1427" s="12"/>
      <c r="K1427"/>
    </row>
    <row r="1428" spans="5:11" x14ac:dyDescent="0.2">
      <c r="E1428" s="50"/>
      <c r="H1428" s="12"/>
      <c r="K1428"/>
    </row>
    <row r="1429" spans="5:11" x14ac:dyDescent="0.2">
      <c r="E1429" s="50"/>
      <c r="H1429" s="12"/>
      <c r="K1429"/>
    </row>
    <row r="1430" spans="5:11" x14ac:dyDescent="0.2">
      <c r="E1430" s="50"/>
      <c r="H1430" s="12"/>
      <c r="K1430"/>
    </row>
    <row r="1431" spans="5:11" x14ac:dyDescent="0.2">
      <c r="E1431" s="50"/>
      <c r="H1431" s="12"/>
      <c r="K1431"/>
    </row>
    <row r="1432" spans="5:11" x14ac:dyDescent="0.2">
      <c r="E1432" s="50"/>
      <c r="H1432" s="12"/>
      <c r="K1432"/>
    </row>
    <row r="1433" spans="5:11" x14ac:dyDescent="0.2">
      <c r="E1433" s="50"/>
      <c r="H1433" s="12"/>
      <c r="K1433"/>
    </row>
    <row r="1434" spans="5:11" x14ac:dyDescent="0.2">
      <c r="E1434" s="50"/>
      <c r="H1434" s="12"/>
      <c r="K1434"/>
    </row>
    <row r="1435" spans="5:11" x14ac:dyDescent="0.2">
      <c r="E1435" s="50"/>
      <c r="H1435" s="12"/>
      <c r="K1435"/>
    </row>
    <row r="1436" spans="5:11" x14ac:dyDescent="0.2">
      <c r="E1436" s="50"/>
      <c r="H1436" s="12"/>
      <c r="K1436"/>
    </row>
    <row r="1437" spans="5:11" x14ac:dyDescent="0.2">
      <c r="E1437" s="50"/>
      <c r="H1437" s="12"/>
      <c r="K1437"/>
    </row>
    <row r="1438" spans="5:11" x14ac:dyDescent="0.2">
      <c r="E1438" s="50"/>
      <c r="H1438" s="12"/>
      <c r="K1438"/>
    </row>
    <row r="1439" spans="5:11" x14ac:dyDescent="0.2">
      <c r="E1439" s="50"/>
      <c r="H1439" s="12"/>
      <c r="K1439"/>
    </row>
    <row r="1440" spans="5:11" x14ac:dyDescent="0.2">
      <c r="E1440" s="50"/>
      <c r="H1440" s="12"/>
      <c r="K1440"/>
    </row>
    <row r="1441" spans="5:11" x14ac:dyDescent="0.2">
      <c r="E1441" s="50"/>
      <c r="H1441" s="12"/>
      <c r="K1441"/>
    </row>
    <row r="1442" spans="5:11" x14ac:dyDescent="0.2">
      <c r="E1442" s="50"/>
      <c r="H1442" s="12"/>
      <c r="K1442"/>
    </row>
    <row r="1443" spans="5:11" x14ac:dyDescent="0.2">
      <c r="E1443" s="50"/>
      <c r="H1443" s="12"/>
      <c r="K1443"/>
    </row>
    <row r="1444" spans="5:11" x14ac:dyDescent="0.2">
      <c r="E1444" s="50"/>
      <c r="H1444" s="12"/>
      <c r="K1444"/>
    </row>
    <row r="1445" spans="5:11" x14ac:dyDescent="0.2">
      <c r="E1445" s="50"/>
      <c r="H1445" s="12"/>
      <c r="K1445"/>
    </row>
    <row r="1446" spans="5:11" x14ac:dyDescent="0.2">
      <c r="E1446" s="50"/>
      <c r="H1446" s="12"/>
      <c r="K1446"/>
    </row>
    <row r="1447" spans="5:11" x14ac:dyDescent="0.2">
      <c r="E1447" s="50"/>
      <c r="H1447" s="12"/>
      <c r="K1447"/>
    </row>
    <row r="1448" spans="5:11" x14ac:dyDescent="0.2">
      <c r="E1448" s="50"/>
      <c r="H1448" s="12"/>
      <c r="K1448"/>
    </row>
    <row r="1449" spans="5:11" x14ac:dyDescent="0.2">
      <c r="E1449" s="50"/>
      <c r="H1449" s="12"/>
      <c r="K1449"/>
    </row>
    <row r="1450" spans="5:11" x14ac:dyDescent="0.2">
      <c r="E1450" s="50"/>
      <c r="H1450" s="12"/>
      <c r="K1450"/>
    </row>
    <row r="1451" spans="5:11" x14ac:dyDescent="0.2">
      <c r="E1451" s="50"/>
      <c r="H1451" s="12"/>
      <c r="K1451"/>
    </row>
    <row r="1452" spans="5:11" x14ac:dyDescent="0.2">
      <c r="E1452" s="50"/>
      <c r="H1452" s="12"/>
      <c r="K1452"/>
    </row>
    <row r="1453" spans="5:11" x14ac:dyDescent="0.2">
      <c r="E1453" s="50"/>
      <c r="H1453" s="12"/>
      <c r="K1453"/>
    </row>
    <row r="1454" spans="5:11" x14ac:dyDescent="0.2">
      <c r="E1454" s="50"/>
      <c r="H1454" s="12"/>
      <c r="K1454"/>
    </row>
    <row r="1455" spans="5:11" x14ac:dyDescent="0.2">
      <c r="E1455" s="50"/>
      <c r="H1455" s="12"/>
      <c r="K1455"/>
    </row>
    <row r="1456" spans="5:11" x14ac:dyDescent="0.2">
      <c r="E1456" s="50"/>
      <c r="H1456" s="12"/>
      <c r="K1456"/>
    </row>
    <row r="1457" spans="5:11" x14ac:dyDescent="0.2">
      <c r="E1457" s="50"/>
      <c r="H1457" s="12"/>
      <c r="K1457"/>
    </row>
    <row r="1458" spans="5:11" x14ac:dyDescent="0.2">
      <c r="E1458" s="50"/>
      <c r="H1458" s="12"/>
      <c r="K1458"/>
    </row>
    <row r="1459" spans="5:11" x14ac:dyDescent="0.2">
      <c r="E1459" s="50"/>
      <c r="H1459" s="12"/>
      <c r="K1459"/>
    </row>
    <row r="1460" spans="5:11" x14ac:dyDescent="0.2">
      <c r="E1460" s="50"/>
      <c r="H1460" s="12"/>
      <c r="K1460"/>
    </row>
    <row r="1461" spans="5:11" x14ac:dyDescent="0.2">
      <c r="E1461" s="50"/>
      <c r="H1461" s="12"/>
      <c r="K1461"/>
    </row>
    <row r="1462" spans="5:11" x14ac:dyDescent="0.2">
      <c r="E1462" s="50"/>
      <c r="H1462" s="12"/>
      <c r="K1462"/>
    </row>
    <row r="1463" spans="5:11" x14ac:dyDescent="0.2">
      <c r="E1463" s="50"/>
      <c r="H1463" s="12"/>
      <c r="K1463"/>
    </row>
    <row r="1464" spans="5:11" x14ac:dyDescent="0.2">
      <c r="E1464" s="50"/>
      <c r="H1464" s="12"/>
      <c r="K1464"/>
    </row>
    <row r="1465" spans="5:11" x14ac:dyDescent="0.2">
      <c r="E1465" s="50"/>
      <c r="H1465" s="12"/>
      <c r="K1465"/>
    </row>
    <row r="1466" spans="5:11" x14ac:dyDescent="0.2">
      <c r="E1466" s="50"/>
      <c r="H1466" s="12"/>
      <c r="K1466"/>
    </row>
    <row r="1467" spans="5:11" x14ac:dyDescent="0.2">
      <c r="E1467" s="50"/>
      <c r="H1467" s="12"/>
      <c r="K1467"/>
    </row>
    <row r="1468" spans="5:11" x14ac:dyDescent="0.2">
      <c r="E1468" s="50"/>
      <c r="H1468" s="12"/>
      <c r="K1468"/>
    </row>
    <row r="1469" spans="5:11" x14ac:dyDescent="0.2">
      <c r="E1469" s="50"/>
      <c r="H1469" s="12"/>
      <c r="K1469"/>
    </row>
    <row r="1470" spans="5:11" x14ac:dyDescent="0.2">
      <c r="E1470" s="50"/>
      <c r="H1470" s="12"/>
      <c r="K1470"/>
    </row>
    <row r="1471" spans="5:11" x14ac:dyDescent="0.2">
      <c r="E1471" s="50"/>
      <c r="H1471" s="12"/>
      <c r="K1471"/>
    </row>
    <row r="1472" spans="5:11" x14ac:dyDescent="0.2">
      <c r="E1472" s="50"/>
      <c r="H1472" s="12"/>
      <c r="K1472"/>
    </row>
    <row r="1473" spans="5:11" x14ac:dyDescent="0.2">
      <c r="E1473" s="50"/>
      <c r="H1473" s="12"/>
      <c r="K1473"/>
    </row>
    <row r="1474" spans="5:11" x14ac:dyDescent="0.2">
      <c r="E1474" s="50"/>
      <c r="H1474" s="12"/>
      <c r="K1474"/>
    </row>
    <row r="1475" spans="5:11" x14ac:dyDescent="0.2">
      <c r="E1475" s="50"/>
      <c r="H1475" s="12"/>
      <c r="K1475"/>
    </row>
    <row r="1476" spans="5:11" x14ac:dyDescent="0.2">
      <c r="E1476" s="50"/>
      <c r="H1476" s="12"/>
      <c r="K1476"/>
    </row>
    <row r="1477" spans="5:11" x14ac:dyDescent="0.2">
      <c r="E1477" s="50"/>
      <c r="H1477" s="12"/>
      <c r="K1477"/>
    </row>
    <row r="1478" spans="5:11" x14ac:dyDescent="0.2">
      <c r="E1478" s="50"/>
      <c r="H1478" s="12"/>
      <c r="K1478"/>
    </row>
    <row r="1479" spans="5:11" x14ac:dyDescent="0.2">
      <c r="E1479" s="50"/>
      <c r="H1479" s="12"/>
      <c r="K1479"/>
    </row>
    <row r="1480" spans="5:11" x14ac:dyDescent="0.2">
      <c r="E1480" s="50"/>
      <c r="H1480" s="12"/>
      <c r="K1480"/>
    </row>
    <row r="1481" spans="5:11" x14ac:dyDescent="0.2">
      <c r="E1481" s="50"/>
      <c r="H1481" s="12"/>
      <c r="K1481"/>
    </row>
    <row r="1482" spans="5:11" x14ac:dyDescent="0.2">
      <c r="E1482" s="50"/>
      <c r="H1482" s="12"/>
      <c r="K1482"/>
    </row>
    <row r="1483" spans="5:11" x14ac:dyDescent="0.2">
      <c r="E1483" s="50"/>
      <c r="H1483" s="12"/>
      <c r="K1483"/>
    </row>
    <row r="1484" spans="5:11" x14ac:dyDescent="0.2">
      <c r="E1484" s="50"/>
      <c r="H1484" s="12"/>
      <c r="K1484"/>
    </row>
    <row r="1485" spans="5:11" x14ac:dyDescent="0.2">
      <c r="E1485" s="50"/>
      <c r="H1485" s="12"/>
      <c r="K1485"/>
    </row>
    <row r="1486" spans="5:11" x14ac:dyDescent="0.2">
      <c r="E1486" s="50"/>
      <c r="H1486" s="12"/>
      <c r="K1486"/>
    </row>
    <row r="1487" spans="5:11" x14ac:dyDescent="0.2">
      <c r="E1487" s="50"/>
      <c r="H1487" s="12"/>
      <c r="K1487"/>
    </row>
    <row r="1488" spans="5:11" x14ac:dyDescent="0.2">
      <c r="E1488" s="50"/>
      <c r="H1488" s="12"/>
      <c r="K1488"/>
    </row>
    <row r="1489" spans="5:11" x14ac:dyDescent="0.2">
      <c r="E1489" s="50"/>
      <c r="H1489" s="12"/>
      <c r="K1489"/>
    </row>
    <row r="1490" spans="5:11" x14ac:dyDescent="0.2">
      <c r="E1490" s="50"/>
      <c r="H1490" s="12"/>
      <c r="K1490"/>
    </row>
    <row r="1491" spans="5:11" x14ac:dyDescent="0.2">
      <c r="E1491" s="50"/>
      <c r="H1491" s="12"/>
      <c r="K1491"/>
    </row>
    <row r="1492" spans="5:11" x14ac:dyDescent="0.2">
      <c r="E1492" s="50"/>
      <c r="H1492" s="12"/>
      <c r="K1492"/>
    </row>
    <row r="1493" spans="5:11" x14ac:dyDescent="0.2">
      <c r="E1493" s="50"/>
      <c r="H1493" s="12"/>
      <c r="K1493"/>
    </row>
    <row r="1494" spans="5:11" x14ac:dyDescent="0.2">
      <c r="E1494" s="50"/>
      <c r="H1494" s="12"/>
      <c r="K1494"/>
    </row>
    <row r="1495" spans="5:11" x14ac:dyDescent="0.2">
      <c r="E1495" s="50"/>
      <c r="H1495" s="12"/>
      <c r="K1495"/>
    </row>
    <row r="1496" spans="5:11" x14ac:dyDescent="0.2">
      <c r="E1496" s="50"/>
      <c r="H1496" s="12"/>
      <c r="K1496"/>
    </row>
    <row r="1497" spans="5:11" x14ac:dyDescent="0.2">
      <c r="E1497" s="50"/>
      <c r="H1497" s="12"/>
      <c r="K1497"/>
    </row>
    <row r="1498" spans="5:11" x14ac:dyDescent="0.2">
      <c r="E1498" s="50"/>
      <c r="H1498" s="12"/>
      <c r="K1498"/>
    </row>
    <row r="1499" spans="5:11" x14ac:dyDescent="0.2">
      <c r="E1499" s="50"/>
      <c r="H1499" s="12"/>
      <c r="K1499"/>
    </row>
    <row r="1500" spans="5:11" x14ac:dyDescent="0.2">
      <c r="E1500" s="50"/>
      <c r="H1500" s="12"/>
      <c r="K1500"/>
    </row>
    <row r="1501" spans="5:11" x14ac:dyDescent="0.2">
      <c r="E1501" s="50"/>
      <c r="H1501" s="12"/>
      <c r="K1501"/>
    </row>
    <row r="1502" spans="5:11" x14ac:dyDescent="0.2">
      <c r="E1502" s="50"/>
      <c r="H1502" s="12"/>
      <c r="K1502"/>
    </row>
    <row r="1503" spans="5:11" x14ac:dyDescent="0.2">
      <c r="E1503" s="50"/>
      <c r="H1503" s="12"/>
      <c r="K1503"/>
    </row>
    <row r="1504" spans="5:11" x14ac:dyDescent="0.2">
      <c r="E1504" s="50"/>
      <c r="H1504" s="12"/>
      <c r="K1504"/>
    </row>
    <row r="1505" spans="5:11" x14ac:dyDescent="0.2">
      <c r="E1505" s="50"/>
      <c r="H1505" s="12"/>
      <c r="K1505"/>
    </row>
    <row r="1506" spans="5:11" x14ac:dyDescent="0.2">
      <c r="E1506" s="50"/>
      <c r="H1506" s="12"/>
      <c r="K1506"/>
    </row>
    <row r="1507" spans="5:11" x14ac:dyDescent="0.2">
      <c r="E1507" s="50"/>
      <c r="H1507" s="12"/>
      <c r="K1507"/>
    </row>
    <row r="1508" spans="5:11" x14ac:dyDescent="0.2">
      <c r="E1508" s="50"/>
      <c r="H1508" s="12"/>
      <c r="K1508"/>
    </row>
    <row r="1509" spans="5:11" x14ac:dyDescent="0.2">
      <c r="E1509" s="50"/>
      <c r="H1509" s="12"/>
      <c r="K1509"/>
    </row>
    <row r="1510" spans="5:11" x14ac:dyDescent="0.2">
      <c r="E1510" s="50"/>
      <c r="H1510" s="12"/>
      <c r="K1510"/>
    </row>
    <row r="1511" spans="5:11" x14ac:dyDescent="0.2">
      <c r="E1511" s="50"/>
      <c r="H1511" s="12"/>
      <c r="K1511"/>
    </row>
    <row r="1512" spans="5:11" x14ac:dyDescent="0.2">
      <c r="E1512" s="50"/>
      <c r="H1512" s="12"/>
      <c r="K1512"/>
    </row>
    <row r="1513" spans="5:11" x14ac:dyDescent="0.2">
      <c r="E1513" s="50"/>
      <c r="H1513" s="12"/>
      <c r="K1513"/>
    </row>
    <row r="1514" spans="5:11" x14ac:dyDescent="0.2">
      <c r="E1514" s="50"/>
      <c r="H1514" s="12"/>
      <c r="K1514"/>
    </row>
    <row r="1515" spans="5:11" x14ac:dyDescent="0.2">
      <c r="E1515" s="50"/>
      <c r="H1515" s="12"/>
      <c r="K1515"/>
    </row>
    <row r="1516" spans="5:11" x14ac:dyDescent="0.2">
      <c r="E1516" s="50"/>
      <c r="H1516" s="12"/>
      <c r="K1516"/>
    </row>
    <row r="1517" spans="5:11" x14ac:dyDescent="0.2">
      <c r="E1517" s="50"/>
      <c r="H1517" s="12"/>
      <c r="K1517"/>
    </row>
    <row r="1518" spans="5:11" x14ac:dyDescent="0.2">
      <c r="E1518" s="50"/>
      <c r="H1518" s="12"/>
      <c r="K1518"/>
    </row>
    <row r="1519" spans="5:11" x14ac:dyDescent="0.2">
      <c r="E1519" s="50"/>
      <c r="H1519" s="12"/>
      <c r="K1519"/>
    </row>
    <row r="1520" spans="5:11" x14ac:dyDescent="0.2">
      <c r="E1520" s="50"/>
      <c r="H1520" s="12"/>
      <c r="K1520"/>
    </row>
    <row r="1521" spans="5:11" x14ac:dyDescent="0.2">
      <c r="E1521" s="50"/>
      <c r="H1521" s="12"/>
      <c r="K1521"/>
    </row>
    <row r="1522" spans="5:11" x14ac:dyDescent="0.2">
      <c r="E1522" s="50"/>
      <c r="H1522" s="12"/>
      <c r="K1522"/>
    </row>
    <row r="1523" spans="5:11" x14ac:dyDescent="0.2">
      <c r="E1523" s="50"/>
      <c r="H1523" s="12"/>
      <c r="K1523"/>
    </row>
    <row r="1524" spans="5:11" x14ac:dyDescent="0.2">
      <c r="E1524" s="50"/>
      <c r="H1524" s="12"/>
      <c r="K1524"/>
    </row>
    <row r="1525" spans="5:11" x14ac:dyDescent="0.2">
      <c r="E1525" s="50"/>
      <c r="H1525" s="12"/>
      <c r="K1525"/>
    </row>
    <row r="1526" spans="5:11" x14ac:dyDescent="0.2">
      <c r="E1526" s="50"/>
      <c r="H1526" s="12"/>
      <c r="K1526"/>
    </row>
    <row r="1527" spans="5:11" x14ac:dyDescent="0.2">
      <c r="E1527" s="50"/>
      <c r="H1527" s="12"/>
      <c r="K1527"/>
    </row>
    <row r="1528" spans="5:11" x14ac:dyDescent="0.2">
      <c r="E1528" s="50"/>
      <c r="H1528" s="12"/>
      <c r="K1528"/>
    </row>
    <row r="1529" spans="5:11" x14ac:dyDescent="0.2">
      <c r="E1529" s="50"/>
      <c r="H1529" s="12"/>
      <c r="K1529"/>
    </row>
    <row r="1530" spans="5:11" x14ac:dyDescent="0.2">
      <c r="E1530" s="50"/>
      <c r="H1530" s="12"/>
      <c r="K1530"/>
    </row>
    <row r="1531" spans="5:11" x14ac:dyDescent="0.2">
      <c r="E1531" s="50"/>
      <c r="H1531" s="12"/>
      <c r="K1531"/>
    </row>
    <row r="1532" spans="5:11" x14ac:dyDescent="0.2">
      <c r="E1532" s="50"/>
      <c r="H1532" s="12"/>
      <c r="K1532"/>
    </row>
    <row r="1533" spans="5:11" x14ac:dyDescent="0.2">
      <c r="E1533" s="50"/>
      <c r="H1533" s="12"/>
      <c r="K1533"/>
    </row>
    <row r="1534" spans="5:11" x14ac:dyDescent="0.2">
      <c r="E1534" s="50"/>
      <c r="H1534" s="12"/>
      <c r="K1534"/>
    </row>
    <row r="1535" spans="5:11" x14ac:dyDescent="0.2">
      <c r="E1535" s="50"/>
      <c r="H1535" s="12"/>
      <c r="K1535"/>
    </row>
    <row r="1536" spans="5:11" x14ac:dyDescent="0.2">
      <c r="E1536" s="50"/>
      <c r="H1536" s="12"/>
      <c r="K1536"/>
    </row>
    <row r="1537" spans="5:11" x14ac:dyDescent="0.2">
      <c r="E1537" s="50"/>
      <c r="H1537" s="12"/>
      <c r="K1537"/>
    </row>
    <row r="1538" spans="5:11" x14ac:dyDescent="0.2">
      <c r="E1538" s="50"/>
      <c r="H1538" s="12"/>
      <c r="K1538"/>
    </row>
    <row r="1539" spans="5:11" x14ac:dyDescent="0.2">
      <c r="E1539" s="50"/>
      <c r="H1539" s="12"/>
      <c r="K1539"/>
    </row>
    <row r="1540" spans="5:11" x14ac:dyDescent="0.2">
      <c r="E1540" s="50"/>
      <c r="H1540" s="12"/>
      <c r="K1540"/>
    </row>
    <row r="1541" spans="5:11" x14ac:dyDescent="0.2">
      <c r="E1541" s="50"/>
      <c r="H1541" s="12"/>
      <c r="K1541"/>
    </row>
    <row r="1542" spans="5:11" x14ac:dyDescent="0.2">
      <c r="E1542" s="50"/>
      <c r="H1542" s="12"/>
      <c r="K1542"/>
    </row>
    <row r="1543" spans="5:11" x14ac:dyDescent="0.2">
      <c r="E1543" s="50"/>
      <c r="H1543" s="12"/>
      <c r="K1543"/>
    </row>
    <row r="1544" spans="5:11" x14ac:dyDescent="0.2">
      <c r="E1544" s="50"/>
      <c r="H1544" s="12"/>
      <c r="K1544"/>
    </row>
    <row r="1545" spans="5:11" x14ac:dyDescent="0.2">
      <c r="E1545" s="50"/>
      <c r="H1545" s="12"/>
      <c r="K1545"/>
    </row>
    <row r="1546" spans="5:11" x14ac:dyDescent="0.2">
      <c r="E1546" s="50"/>
      <c r="H1546" s="12"/>
      <c r="K1546"/>
    </row>
    <row r="1547" spans="5:11" x14ac:dyDescent="0.2">
      <c r="E1547" s="50"/>
      <c r="H1547" s="12"/>
      <c r="K1547"/>
    </row>
    <row r="1548" spans="5:11" x14ac:dyDescent="0.2">
      <c r="E1548" s="50"/>
      <c r="H1548" s="12"/>
      <c r="K1548"/>
    </row>
    <row r="1549" spans="5:11" x14ac:dyDescent="0.2">
      <c r="E1549" s="50"/>
      <c r="H1549" s="12"/>
      <c r="K1549"/>
    </row>
    <row r="1550" spans="5:11" x14ac:dyDescent="0.2">
      <c r="E1550" s="50"/>
      <c r="H1550" s="12"/>
      <c r="K1550"/>
    </row>
    <row r="1551" spans="5:11" x14ac:dyDescent="0.2">
      <c r="E1551" s="50"/>
      <c r="H1551" s="12"/>
      <c r="K1551"/>
    </row>
    <row r="1552" spans="5:11" x14ac:dyDescent="0.2">
      <c r="E1552" s="50"/>
      <c r="H1552" s="12"/>
      <c r="K1552"/>
    </row>
    <row r="1553" spans="5:11" x14ac:dyDescent="0.2">
      <c r="E1553" s="50"/>
      <c r="H1553" s="12"/>
      <c r="K1553"/>
    </row>
    <row r="1554" spans="5:11" x14ac:dyDescent="0.2">
      <c r="E1554" s="50"/>
      <c r="H1554" s="12"/>
      <c r="K1554"/>
    </row>
    <row r="1555" spans="5:11" x14ac:dyDescent="0.2">
      <c r="E1555" s="50"/>
      <c r="H1555" s="12"/>
      <c r="K1555"/>
    </row>
    <row r="1556" spans="5:11" x14ac:dyDescent="0.2">
      <c r="E1556" s="50"/>
      <c r="H1556" s="12"/>
      <c r="K1556"/>
    </row>
    <row r="1557" spans="5:11" x14ac:dyDescent="0.2">
      <c r="E1557" s="50"/>
      <c r="H1557" s="12"/>
      <c r="K1557"/>
    </row>
    <row r="1558" spans="5:11" x14ac:dyDescent="0.2">
      <c r="E1558" s="50"/>
      <c r="H1558" s="12"/>
      <c r="K1558"/>
    </row>
    <row r="1559" spans="5:11" x14ac:dyDescent="0.2">
      <c r="E1559" s="50"/>
      <c r="H1559" s="12"/>
      <c r="K1559"/>
    </row>
    <row r="1560" spans="5:11" x14ac:dyDescent="0.2">
      <c r="E1560" s="50"/>
      <c r="H1560" s="12"/>
      <c r="K1560"/>
    </row>
    <row r="1561" spans="5:11" x14ac:dyDescent="0.2">
      <c r="E1561" s="50"/>
      <c r="H1561" s="12"/>
      <c r="K1561"/>
    </row>
    <row r="1562" spans="5:11" x14ac:dyDescent="0.2">
      <c r="E1562" s="50"/>
      <c r="H1562" s="12"/>
      <c r="K1562"/>
    </row>
    <row r="1563" spans="5:11" x14ac:dyDescent="0.2">
      <c r="E1563" s="50"/>
      <c r="H1563" s="12"/>
      <c r="K1563"/>
    </row>
    <row r="1564" spans="5:11" x14ac:dyDescent="0.2">
      <c r="E1564" s="50"/>
      <c r="H1564" s="12"/>
      <c r="K1564"/>
    </row>
    <row r="1565" spans="5:11" x14ac:dyDescent="0.2">
      <c r="E1565" s="50"/>
      <c r="H1565" s="12"/>
      <c r="K1565"/>
    </row>
    <row r="1566" spans="5:11" x14ac:dyDescent="0.2">
      <c r="E1566" s="50"/>
      <c r="H1566" s="12"/>
      <c r="K1566"/>
    </row>
    <row r="1567" spans="5:11" x14ac:dyDescent="0.2">
      <c r="E1567" s="50"/>
      <c r="H1567" s="12"/>
      <c r="K1567"/>
    </row>
    <row r="1568" spans="5:11" x14ac:dyDescent="0.2">
      <c r="E1568" s="50"/>
      <c r="H1568" s="12"/>
      <c r="K1568"/>
    </row>
    <row r="1569" spans="5:11" x14ac:dyDescent="0.2">
      <c r="E1569" s="50"/>
      <c r="H1569" s="12"/>
      <c r="K1569"/>
    </row>
    <row r="1570" spans="5:11" x14ac:dyDescent="0.2">
      <c r="E1570" s="50"/>
      <c r="H1570" s="12"/>
      <c r="K1570"/>
    </row>
    <row r="1571" spans="5:11" x14ac:dyDescent="0.2">
      <c r="E1571" s="50"/>
      <c r="H1571" s="12"/>
      <c r="K1571"/>
    </row>
    <row r="1572" spans="5:11" x14ac:dyDescent="0.2">
      <c r="E1572" s="50"/>
      <c r="H1572" s="12"/>
      <c r="K1572"/>
    </row>
    <row r="1573" spans="5:11" x14ac:dyDescent="0.2">
      <c r="E1573" s="50"/>
      <c r="H1573" s="12"/>
      <c r="K1573"/>
    </row>
    <row r="1574" spans="5:11" x14ac:dyDescent="0.2">
      <c r="E1574" s="50"/>
      <c r="H1574" s="12"/>
      <c r="K1574"/>
    </row>
    <row r="1575" spans="5:11" x14ac:dyDescent="0.2">
      <c r="E1575" s="50"/>
      <c r="H1575" s="12"/>
      <c r="K1575"/>
    </row>
    <row r="1576" spans="5:11" x14ac:dyDescent="0.2">
      <c r="E1576" s="50"/>
      <c r="H1576" s="12"/>
      <c r="K1576"/>
    </row>
    <row r="1577" spans="5:11" x14ac:dyDescent="0.2">
      <c r="E1577" s="50"/>
      <c r="H1577" s="12"/>
      <c r="K1577"/>
    </row>
    <row r="1578" spans="5:11" x14ac:dyDescent="0.2">
      <c r="E1578" s="50"/>
      <c r="H1578" s="12"/>
      <c r="K1578"/>
    </row>
    <row r="1579" spans="5:11" x14ac:dyDescent="0.2">
      <c r="E1579" s="50"/>
      <c r="H1579" s="12"/>
      <c r="K1579"/>
    </row>
    <row r="1580" spans="5:11" x14ac:dyDescent="0.2">
      <c r="E1580" s="50"/>
      <c r="H1580" s="12"/>
      <c r="K1580"/>
    </row>
    <row r="1581" spans="5:11" x14ac:dyDescent="0.2">
      <c r="E1581" s="50"/>
      <c r="H1581" s="12"/>
      <c r="K1581"/>
    </row>
    <row r="1582" spans="5:11" x14ac:dyDescent="0.2">
      <c r="E1582" s="50"/>
      <c r="H1582" s="12"/>
      <c r="K1582"/>
    </row>
    <row r="1583" spans="5:11" x14ac:dyDescent="0.2">
      <c r="E1583" s="50"/>
      <c r="H1583" s="12"/>
      <c r="K1583"/>
    </row>
    <row r="1584" spans="5:11" x14ac:dyDescent="0.2">
      <c r="E1584" s="50"/>
      <c r="H1584" s="12"/>
      <c r="K1584"/>
    </row>
    <row r="1585" spans="5:11" x14ac:dyDescent="0.2">
      <c r="E1585" s="50"/>
      <c r="H1585" s="12"/>
      <c r="K1585"/>
    </row>
    <row r="1586" spans="5:11" x14ac:dyDescent="0.2">
      <c r="E1586" s="50"/>
      <c r="H1586" s="12"/>
      <c r="K1586"/>
    </row>
    <row r="1587" spans="5:11" x14ac:dyDescent="0.2">
      <c r="E1587" s="50"/>
      <c r="H1587" s="12"/>
      <c r="K1587"/>
    </row>
    <row r="1588" spans="5:11" x14ac:dyDescent="0.2">
      <c r="E1588" s="50"/>
      <c r="H1588" s="12"/>
      <c r="K1588"/>
    </row>
    <row r="1589" spans="5:11" x14ac:dyDescent="0.2">
      <c r="E1589" s="50"/>
      <c r="H1589" s="12"/>
      <c r="K1589"/>
    </row>
    <row r="1590" spans="5:11" x14ac:dyDescent="0.2">
      <c r="E1590" s="50"/>
      <c r="H1590" s="12"/>
      <c r="K1590"/>
    </row>
    <row r="1591" spans="5:11" x14ac:dyDescent="0.2">
      <c r="E1591" s="50"/>
      <c r="H1591" s="12"/>
      <c r="K1591"/>
    </row>
    <row r="1592" spans="5:11" x14ac:dyDescent="0.2">
      <c r="E1592" s="50"/>
      <c r="H1592" s="12"/>
      <c r="K1592"/>
    </row>
    <row r="1593" spans="5:11" x14ac:dyDescent="0.2">
      <c r="E1593" s="50"/>
      <c r="H1593" s="12"/>
      <c r="K1593"/>
    </row>
    <row r="1594" spans="5:11" x14ac:dyDescent="0.2">
      <c r="E1594" s="50"/>
      <c r="H1594" s="12"/>
      <c r="K1594"/>
    </row>
    <row r="1595" spans="5:11" x14ac:dyDescent="0.2">
      <c r="E1595" s="50"/>
      <c r="H1595" s="12"/>
      <c r="K1595"/>
    </row>
    <row r="1596" spans="5:11" x14ac:dyDescent="0.2">
      <c r="E1596" s="50"/>
      <c r="H1596" s="12"/>
      <c r="K1596"/>
    </row>
    <row r="1597" spans="5:11" x14ac:dyDescent="0.2">
      <c r="E1597" s="50"/>
      <c r="H1597" s="12"/>
      <c r="K1597"/>
    </row>
    <row r="1598" spans="5:11" x14ac:dyDescent="0.2">
      <c r="E1598" s="50"/>
      <c r="H1598" s="12"/>
      <c r="K1598"/>
    </row>
    <row r="1599" spans="5:11" x14ac:dyDescent="0.2">
      <c r="E1599" s="50"/>
      <c r="H1599" s="12"/>
      <c r="K1599"/>
    </row>
    <row r="1600" spans="5:11" x14ac:dyDescent="0.2">
      <c r="E1600" s="50"/>
      <c r="H1600" s="12"/>
      <c r="K1600"/>
    </row>
    <row r="1601" spans="5:11" x14ac:dyDescent="0.2">
      <c r="E1601" s="50"/>
      <c r="H1601" s="12"/>
      <c r="K1601"/>
    </row>
    <row r="1602" spans="5:11" x14ac:dyDescent="0.2">
      <c r="E1602" s="50"/>
      <c r="H1602" s="12"/>
      <c r="K1602"/>
    </row>
    <row r="1603" spans="5:11" x14ac:dyDescent="0.2">
      <c r="E1603" s="50"/>
      <c r="H1603" s="12"/>
      <c r="K1603"/>
    </row>
    <row r="1604" spans="5:11" x14ac:dyDescent="0.2">
      <c r="E1604" s="50"/>
      <c r="H1604" s="12"/>
      <c r="K1604"/>
    </row>
    <row r="1605" spans="5:11" x14ac:dyDescent="0.2">
      <c r="E1605" s="50"/>
      <c r="H1605" s="12"/>
      <c r="K1605"/>
    </row>
    <row r="1606" spans="5:11" x14ac:dyDescent="0.2">
      <c r="E1606" s="50"/>
      <c r="H1606" s="12"/>
      <c r="K1606"/>
    </row>
    <row r="1607" spans="5:11" x14ac:dyDescent="0.2">
      <c r="E1607" s="50"/>
      <c r="H1607" s="12"/>
      <c r="K1607"/>
    </row>
    <row r="1608" spans="5:11" x14ac:dyDescent="0.2">
      <c r="E1608" s="50"/>
      <c r="H1608" s="12"/>
      <c r="K1608"/>
    </row>
    <row r="1609" spans="5:11" x14ac:dyDescent="0.2">
      <c r="E1609" s="50"/>
      <c r="H1609" s="12"/>
      <c r="K1609"/>
    </row>
    <row r="1610" spans="5:11" x14ac:dyDescent="0.2">
      <c r="E1610" s="50"/>
      <c r="H1610" s="12"/>
      <c r="K1610"/>
    </row>
    <row r="1611" spans="5:11" x14ac:dyDescent="0.2">
      <c r="E1611" s="50"/>
      <c r="H1611" s="12"/>
      <c r="K1611"/>
    </row>
    <row r="1612" spans="5:11" x14ac:dyDescent="0.2">
      <c r="E1612" s="50"/>
      <c r="H1612" s="12"/>
      <c r="K1612"/>
    </row>
    <row r="1613" spans="5:11" x14ac:dyDescent="0.2">
      <c r="E1613" s="50"/>
      <c r="H1613" s="12"/>
      <c r="K1613"/>
    </row>
    <row r="1614" spans="5:11" x14ac:dyDescent="0.2">
      <c r="E1614" s="50"/>
      <c r="H1614" s="12"/>
      <c r="K1614"/>
    </row>
    <row r="1615" spans="5:11" x14ac:dyDescent="0.2">
      <c r="E1615" s="50"/>
      <c r="H1615" s="12"/>
      <c r="K1615"/>
    </row>
    <row r="1616" spans="5:11" x14ac:dyDescent="0.2">
      <c r="E1616" s="50"/>
      <c r="H1616" s="12"/>
      <c r="K1616"/>
    </row>
    <row r="1617" spans="5:11" x14ac:dyDescent="0.2">
      <c r="E1617" s="50"/>
      <c r="H1617" s="12"/>
      <c r="K1617"/>
    </row>
    <row r="1618" spans="5:11" x14ac:dyDescent="0.2">
      <c r="E1618" s="50"/>
      <c r="H1618" s="12"/>
      <c r="K1618"/>
    </row>
    <row r="1619" spans="5:11" x14ac:dyDescent="0.2">
      <c r="E1619" s="50"/>
      <c r="H1619" s="12"/>
      <c r="K1619"/>
    </row>
    <row r="1620" spans="5:11" x14ac:dyDescent="0.2">
      <c r="E1620" s="50"/>
      <c r="H1620" s="12"/>
      <c r="K1620"/>
    </row>
    <row r="1621" spans="5:11" x14ac:dyDescent="0.2">
      <c r="E1621" s="50"/>
      <c r="H1621" s="12"/>
      <c r="K1621"/>
    </row>
    <row r="1622" spans="5:11" x14ac:dyDescent="0.2">
      <c r="E1622" s="50"/>
      <c r="H1622" s="12"/>
      <c r="K1622"/>
    </row>
    <row r="1623" spans="5:11" x14ac:dyDescent="0.2">
      <c r="E1623" s="50"/>
      <c r="H1623" s="12"/>
      <c r="K1623"/>
    </row>
    <row r="1624" spans="5:11" x14ac:dyDescent="0.2">
      <c r="E1624" s="50"/>
      <c r="H1624" s="12"/>
      <c r="K1624"/>
    </row>
    <row r="1625" spans="5:11" x14ac:dyDescent="0.2">
      <c r="E1625" s="50"/>
      <c r="H1625" s="12"/>
      <c r="K1625"/>
    </row>
    <row r="1626" spans="5:11" x14ac:dyDescent="0.2">
      <c r="E1626" s="50"/>
      <c r="H1626" s="12"/>
      <c r="K1626"/>
    </row>
    <row r="1627" spans="5:11" x14ac:dyDescent="0.2">
      <c r="E1627" s="50"/>
      <c r="H1627" s="12"/>
      <c r="K1627"/>
    </row>
    <row r="1628" spans="5:11" x14ac:dyDescent="0.2">
      <c r="E1628" s="50"/>
      <c r="H1628" s="12"/>
      <c r="K1628"/>
    </row>
    <row r="1629" spans="5:11" x14ac:dyDescent="0.2">
      <c r="E1629" s="50"/>
      <c r="H1629" s="12"/>
      <c r="K1629"/>
    </row>
    <row r="1630" spans="5:11" x14ac:dyDescent="0.2">
      <c r="E1630" s="50"/>
      <c r="H1630" s="12"/>
      <c r="K1630"/>
    </row>
    <row r="1631" spans="5:11" x14ac:dyDescent="0.2">
      <c r="E1631" s="50"/>
      <c r="H1631" s="12"/>
      <c r="K1631"/>
    </row>
    <row r="1632" spans="5:11" x14ac:dyDescent="0.2">
      <c r="E1632" s="50"/>
      <c r="H1632" s="12"/>
      <c r="K1632"/>
    </row>
    <row r="1633" spans="5:11" x14ac:dyDescent="0.2">
      <c r="E1633" s="50"/>
      <c r="H1633" s="12"/>
      <c r="K1633"/>
    </row>
    <row r="1634" spans="5:11" x14ac:dyDescent="0.2">
      <c r="E1634" s="50"/>
      <c r="H1634" s="12"/>
      <c r="K1634"/>
    </row>
    <row r="1635" spans="5:11" x14ac:dyDescent="0.2">
      <c r="E1635" s="50"/>
      <c r="H1635" s="12"/>
      <c r="K1635"/>
    </row>
    <row r="1636" spans="5:11" x14ac:dyDescent="0.2">
      <c r="E1636" s="50"/>
      <c r="H1636" s="12"/>
      <c r="K1636"/>
    </row>
    <row r="1637" spans="5:11" x14ac:dyDescent="0.2">
      <c r="E1637" s="50"/>
      <c r="H1637" s="12"/>
      <c r="K1637"/>
    </row>
    <row r="1638" spans="5:11" x14ac:dyDescent="0.2">
      <c r="E1638" s="50"/>
      <c r="H1638" s="12"/>
      <c r="K1638"/>
    </row>
    <row r="1639" spans="5:11" x14ac:dyDescent="0.2">
      <c r="E1639" s="50"/>
      <c r="H1639" s="12"/>
      <c r="K1639"/>
    </row>
    <row r="1640" spans="5:11" x14ac:dyDescent="0.2">
      <c r="E1640" s="50"/>
      <c r="H1640" s="12"/>
      <c r="K1640"/>
    </row>
    <row r="1641" spans="5:11" x14ac:dyDescent="0.2">
      <c r="E1641" s="50"/>
      <c r="H1641" s="12"/>
      <c r="K1641"/>
    </row>
    <row r="1642" spans="5:11" x14ac:dyDescent="0.2">
      <c r="E1642" s="50"/>
      <c r="H1642" s="12"/>
      <c r="K1642"/>
    </row>
    <row r="1643" spans="5:11" x14ac:dyDescent="0.2">
      <c r="E1643" s="50"/>
      <c r="H1643" s="12"/>
      <c r="K1643"/>
    </row>
    <row r="1644" spans="5:11" x14ac:dyDescent="0.2">
      <c r="E1644" s="50"/>
      <c r="H1644" s="12"/>
      <c r="K1644"/>
    </row>
    <row r="1645" spans="5:11" x14ac:dyDescent="0.2">
      <c r="E1645" s="50"/>
      <c r="H1645" s="12"/>
      <c r="K1645"/>
    </row>
    <row r="1646" spans="5:11" x14ac:dyDescent="0.2">
      <c r="E1646" s="50"/>
      <c r="H1646" s="12"/>
      <c r="K1646"/>
    </row>
    <row r="1647" spans="5:11" x14ac:dyDescent="0.2">
      <c r="E1647" s="50"/>
      <c r="H1647" s="12"/>
      <c r="K1647"/>
    </row>
    <row r="1648" spans="5:11" x14ac:dyDescent="0.2">
      <c r="E1648" s="50"/>
      <c r="H1648" s="12"/>
      <c r="K1648"/>
    </row>
    <row r="1649" spans="5:11" x14ac:dyDescent="0.2">
      <c r="E1649" s="50"/>
      <c r="H1649" s="12"/>
      <c r="K1649"/>
    </row>
    <row r="1650" spans="5:11" x14ac:dyDescent="0.2">
      <c r="E1650" s="50"/>
      <c r="H1650" s="12"/>
      <c r="K1650"/>
    </row>
    <row r="1651" spans="5:11" x14ac:dyDescent="0.2">
      <c r="E1651" s="50"/>
      <c r="H1651" s="12"/>
      <c r="K1651"/>
    </row>
    <row r="1652" spans="5:11" x14ac:dyDescent="0.2">
      <c r="E1652" s="50"/>
      <c r="H1652" s="12"/>
      <c r="K1652"/>
    </row>
    <row r="1653" spans="5:11" x14ac:dyDescent="0.2">
      <c r="E1653" s="50"/>
      <c r="H1653" s="12"/>
      <c r="K1653"/>
    </row>
    <row r="1654" spans="5:11" x14ac:dyDescent="0.2">
      <c r="E1654" s="50"/>
      <c r="H1654" s="12"/>
      <c r="K1654"/>
    </row>
    <row r="1655" spans="5:11" x14ac:dyDescent="0.2">
      <c r="E1655" s="50"/>
      <c r="H1655" s="12"/>
      <c r="K1655"/>
    </row>
    <row r="1656" spans="5:11" x14ac:dyDescent="0.2">
      <c r="E1656" s="50"/>
      <c r="H1656" s="12"/>
      <c r="K1656"/>
    </row>
    <row r="1657" spans="5:11" x14ac:dyDescent="0.2">
      <c r="E1657" s="50"/>
      <c r="H1657" s="12"/>
      <c r="K1657"/>
    </row>
    <row r="1658" spans="5:11" x14ac:dyDescent="0.2">
      <c r="E1658" s="50"/>
      <c r="H1658" s="12"/>
      <c r="K1658"/>
    </row>
    <row r="1659" spans="5:11" x14ac:dyDescent="0.2">
      <c r="E1659" s="50"/>
      <c r="H1659" s="12"/>
      <c r="K1659"/>
    </row>
    <row r="1660" spans="5:11" x14ac:dyDescent="0.2">
      <c r="E1660" s="50"/>
      <c r="H1660" s="12"/>
      <c r="K1660"/>
    </row>
    <row r="1661" spans="5:11" x14ac:dyDescent="0.2">
      <c r="E1661" s="50"/>
      <c r="H1661" s="12"/>
      <c r="K1661"/>
    </row>
    <row r="1662" spans="5:11" x14ac:dyDescent="0.2">
      <c r="E1662" s="50"/>
      <c r="H1662" s="12"/>
      <c r="K1662"/>
    </row>
    <row r="1663" spans="5:11" x14ac:dyDescent="0.2">
      <c r="E1663" s="50"/>
      <c r="H1663" s="12"/>
      <c r="K1663"/>
    </row>
    <row r="1664" spans="5:11" x14ac:dyDescent="0.2">
      <c r="E1664" s="50"/>
      <c r="H1664" s="12"/>
      <c r="K1664"/>
    </row>
    <row r="1665" spans="5:11" x14ac:dyDescent="0.2">
      <c r="E1665" s="50"/>
      <c r="H1665" s="12"/>
      <c r="K1665"/>
    </row>
    <row r="1666" spans="5:11" x14ac:dyDescent="0.2">
      <c r="E1666" s="50"/>
      <c r="H1666" s="12"/>
      <c r="K1666"/>
    </row>
    <row r="1667" spans="5:11" x14ac:dyDescent="0.2">
      <c r="E1667" s="50"/>
      <c r="H1667" s="12"/>
      <c r="K1667"/>
    </row>
    <row r="1668" spans="5:11" x14ac:dyDescent="0.2">
      <c r="E1668" s="50"/>
      <c r="H1668" s="12"/>
      <c r="K1668"/>
    </row>
    <row r="1669" spans="5:11" x14ac:dyDescent="0.2">
      <c r="E1669" s="50"/>
      <c r="H1669" s="12"/>
      <c r="K1669"/>
    </row>
    <row r="1670" spans="5:11" x14ac:dyDescent="0.2">
      <c r="E1670" s="50"/>
      <c r="H1670" s="12"/>
      <c r="K1670"/>
    </row>
    <row r="1671" spans="5:11" x14ac:dyDescent="0.2">
      <c r="E1671" s="50"/>
      <c r="H1671" s="12"/>
      <c r="K1671"/>
    </row>
    <row r="1672" spans="5:11" x14ac:dyDescent="0.2">
      <c r="E1672" s="50"/>
      <c r="H1672" s="12"/>
      <c r="K1672"/>
    </row>
    <row r="1673" spans="5:11" x14ac:dyDescent="0.2">
      <c r="E1673" s="50"/>
      <c r="H1673" s="12"/>
      <c r="K1673"/>
    </row>
    <row r="1674" spans="5:11" x14ac:dyDescent="0.2">
      <c r="E1674" s="50"/>
      <c r="H1674" s="12"/>
      <c r="K1674"/>
    </row>
    <row r="1675" spans="5:11" x14ac:dyDescent="0.2">
      <c r="E1675" s="50"/>
      <c r="H1675" s="12"/>
      <c r="K1675"/>
    </row>
    <row r="1676" spans="5:11" x14ac:dyDescent="0.2">
      <c r="E1676" s="50"/>
      <c r="H1676" s="12"/>
      <c r="K1676"/>
    </row>
    <row r="1677" spans="5:11" x14ac:dyDescent="0.2">
      <c r="E1677" s="50"/>
      <c r="H1677" s="12"/>
      <c r="K1677"/>
    </row>
    <row r="1678" spans="5:11" x14ac:dyDescent="0.2">
      <c r="E1678" s="50"/>
      <c r="H1678" s="12"/>
      <c r="K1678"/>
    </row>
    <row r="1679" spans="5:11" x14ac:dyDescent="0.2">
      <c r="E1679" s="50"/>
      <c r="H1679" s="12"/>
      <c r="K1679"/>
    </row>
    <row r="1680" spans="5:11" x14ac:dyDescent="0.2">
      <c r="E1680" s="50"/>
      <c r="H1680" s="12"/>
      <c r="K1680"/>
    </row>
    <row r="1681" spans="5:11" x14ac:dyDescent="0.2">
      <c r="E1681" s="50"/>
      <c r="H1681" s="12"/>
      <c r="K1681"/>
    </row>
    <row r="1682" spans="5:11" x14ac:dyDescent="0.2">
      <c r="E1682" s="50"/>
      <c r="H1682" s="12"/>
      <c r="K1682"/>
    </row>
    <row r="1683" spans="5:11" x14ac:dyDescent="0.2">
      <c r="E1683" s="50"/>
      <c r="H1683" s="12"/>
      <c r="K1683"/>
    </row>
    <row r="1684" spans="5:11" x14ac:dyDescent="0.2">
      <c r="E1684" s="50"/>
      <c r="H1684" s="12"/>
      <c r="K1684"/>
    </row>
    <row r="1685" spans="5:11" x14ac:dyDescent="0.2">
      <c r="E1685" s="50"/>
      <c r="H1685" s="12"/>
      <c r="K1685"/>
    </row>
    <row r="1686" spans="5:11" x14ac:dyDescent="0.2">
      <c r="E1686" s="50"/>
      <c r="H1686" s="12"/>
      <c r="K1686"/>
    </row>
    <row r="1687" spans="5:11" x14ac:dyDescent="0.2">
      <c r="E1687" s="50"/>
      <c r="H1687" s="12"/>
      <c r="K1687"/>
    </row>
    <row r="1688" spans="5:11" x14ac:dyDescent="0.2">
      <c r="E1688" s="50"/>
      <c r="H1688" s="12"/>
      <c r="K1688"/>
    </row>
    <row r="1689" spans="5:11" x14ac:dyDescent="0.2">
      <c r="E1689" s="50"/>
      <c r="H1689" s="12"/>
      <c r="K1689"/>
    </row>
    <row r="1690" spans="5:11" x14ac:dyDescent="0.2">
      <c r="E1690" s="50"/>
      <c r="H1690" s="12"/>
      <c r="K1690"/>
    </row>
    <row r="1691" spans="5:11" x14ac:dyDescent="0.2">
      <c r="E1691" s="50"/>
      <c r="H1691" s="12"/>
      <c r="K1691"/>
    </row>
    <row r="1692" spans="5:11" x14ac:dyDescent="0.2">
      <c r="E1692" s="50"/>
      <c r="H1692" s="12"/>
      <c r="K1692"/>
    </row>
    <row r="1693" spans="5:11" x14ac:dyDescent="0.2">
      <c r="E1693" s="50"/>
      <c r="H1693" s="12"/>
      <c r="K1693"/>
    </row>
    <row r="1694" spans="5:11" x14ac:dyDescent="0.2">
      <c r="E1694" s="50"/>
      <c r="H1694" s="12"/>
      <c r="K1694"/>
    </row>
    <row r="1695" spans="5:11" x14ac:dyDescent="0.2">
      <c r="E1695" s="50"/>
      <c r="H1695" s="12"/>
      <c r="K1695"/>
    </row>
    <row r="1696" spans="5:11" x14ac:dyDescent="0.2">
      <c r="E1696" s="50"/>
      <c r="H1696" s="12"/>
      <c r="K1696"/>
    </row>
    <row r="1697" spans="5:11" x14ac:dyDescent="0.2">
      <c r="E1697" s="50"/>
      <c r="H1697" s="12"/>
      <c r="K1697"/>
    </row>
    <row r="1698" spans="5:11" x14ac:dyDescent="0.2">
      <c r="E1698" s="50"/>
      <c r="H1698" s="12"/>
      <c r="K1698"/>
    </row>
    <row r="1699" spans="5:11" x14ac:dyDescent="0.2">
      <c r="E1699" s="50"/>
      <c r="H1699" s="12"/>
      <c r="K1699"/>
    </row>
    <row r="1700" spans="5:11" x14ac:dyDescent="0.2">
      <c r="E1700" s="50"/>
      <c r="H1700" s="12"/>
      <c r="K1700"/>
    </row>
    <row r="1701" spans="5:11" x14ac:dyDescent="0.2">
      <c r="E1701" s="50"/>
      <c r="H1701" s="12"/>
      <c r="K1701"/>
    </row>
    <row r="1702" spans="5:11" x14ac:dyDescent="0.2">
      <c r="E1702" s="50"/>
      <c r="H1702" s="12"/>
      <c r="K1702"/>
    </row>
    <row r="1703" spans="5:11" x14ac:dyDescent="0.2">
      <c r="E1703" s="50"/>
      <c r="H1703" s="12"/>
      <c r="K1703"/>
    </row>
    <row r="1704" spans="5:11" x14ac:dyDescent="0.2">
      <c r="E1704" s="50"/>
      <c r="H1704" s="12"/>
      <c r="K1704"/>
    </row>
    <row r="1705" spans="5:11" x14ac:dyDescent="0.2">
      <c r="E1705" s="50"/>
      <c r="H1705" s="12"/>
      <c r="K1705"/>
    </row>
    <row r="1706" spans="5:11" x14ac:dyDescent="0.2">
      <c r="E1706" s="50"/>
      <c r="H1706" s="12"/>
      <c r="K1706"/>
    </row>
    <row r="1707" spans="5:11" x14ac:dyDescent="0.2">
      <c r="E1707" s="50"/>
      <c r="H1707" s="12"/>
      <c r="K1707"/>
    </row>
    <row r="1708" spans="5:11" x14ac:dyDescent="0.2">
      <c r="E1708" s="50"/>
      <c r="H1708" s="12"/>
      <c r="K1708"/>
    </row>
    <row r="1709" spans="5:11" x14ac:dyDescent="0.2">
      <c r="E1709" s="50"/>
      <c r="H1709" s="12"/>
      <c r="K1709"/>
    </row>
    <row r="1710" spans="5:11" x14ac:dyDescent="0.2">
      <c r="E1710" s="50"/>
      <c r="H1710" s="12"/>
      <c r="K1710"/>
    </row>
    <row r="1711" spans="5:11" x14ac:dyDescent="0.2">
      <c r="E1711" s="50"/>
      <c r="H1711" s="12"/>
      <c r="K1711"/>
    </row>
    <row r="1712" spans="5:11" x14ac:dyDescent="0.2">
      <c r="E1712" s="50"/>
      <c r="H1712" s="12"/>
      <c r="K1712"/>
    </row>
    <row r="1713" spans="5:11" x14ac:dyDescent="0.2">
      <c r="E1713" s="50"/>
      <c r="H1713" s="12"/>
      <c r="K1713"/>
    </row>
    <row r="1714" spans="5:11" x14ac:dyDescent="0.2">
      <c r="E1714" s="50"/>
      <c r="H1714" s="12"/>
      <c r="K1714"/>
    </row>
    <row r="1715" spans="5:11" x14ac:dyDescent="0.2">
      <c r="E1715" s="50"/>
      <c r="H1715" s="12"/>
      <c r="K1715"/>
    </row>
    <row r="1716" spans="5:11" x14ac:dyDescent="0.2">
      <c r="E1716" s="50"/>
      <c r="H1716" s="12"/>
      <c r="K1716"/>
    </row>
    <row r="1717" spans="5:11" x14ac:dyDescent="0.2">
      <c r="E1717" s="50"/>
      <c r="H1717" s="12"/>
      <c r="K1717"/>
    </row>
    <row r="1718" spans="5:11" x14ac:dyDescent="0.2">
      <c r="E1718" s="50"/>
      <c r="H1718" s="12"/>
      <c r="K1718"/>
    </row>
    <row r="1719" spans="5:11" x14ac:dyDescent="0.2">
      <c r="E1719" s="50"/>
      <c r="H1719" s="12"/>
      <c r="K1719"/>
    </row>
    <row r="1720" spans="5:11" x14ac:dyDescent="0.2">
      <c r="E1720" s="50"/>
      <c r="H1720" s="12"/>
      <c r="K1720"/>
    </row>
    <row r="1721" spans="5:11" x14ac:dyDescent="0.2">
      <c r="E1721" s="50"/>
      <c r="H1721" s="12"/>
      <c r="K1721"/>
    </row>
    <row r="1722" spans="5:11" x14ac:dyDescent="0.2">
      <c r="E1722" s="50"/>
      <c r="H1722" s="12"/>
      <c r="K1722"/>
    </row>
    <row r="1723" spans="5:11" x14ac:dyDescent="0.2">
      <c r="E1723" s="50"/>
      <c r="H1723" s="12"/>
      <c r="K1723"/>
    </row>
    <row r="1724" spans="5:11" x14ac:dyDescent="0.2">
      <c r="E1724" s="50"/>
      <c r="H1724" s="12"/>
      <c r="K1724"/>
    </row>
    <row r="1725" spans="5:11" x14ac:dyDescent="0.2">
      <c r="E1725" s="50"/>
      <c r="H1725" s="12"/>
      <c r="K1725"/>
    </row>
    <row r="1726" spans="5:11" x14ac:dyDescent="0.2">
      <c r="E1726" s="50"/>
      <c r="H1726" s="12"/>
      <c r="K1726"/>
    </row>
    <row r="1727" spans="5:11" x14ac:dyDescent="0.2">
      <c r="E1727" s="50"/>
      <c r="H1727" s="12"/>
      <c r="K1727"/>
    </row>
    <row r="1728" spans="5:11" x14ac:dyDescent="0.2">
      <c r="E1728" s="50"/>
      <c r="H1728" s="12"/>
      <c r="K1728"/>
    </row>
    <row r="1729" spans="5:11" x14ac:dyDescent="0.2">
      <c r="E1729" s="50"/>
      <c r="H1729" s="12"/>
      <c r="K1729"/>
    </row>
    <row r="1730" spans="5:11" x14ac:dyDescent="0.2">
      <c r="E1730" s="50"/>
      <c r="H1730" s="12"/>
      <c r="K1730"/>
    </row>
    <row r="1731" spans="5:11" x14ac:dyDescent="0.2">
      <c r="E1731" s="50"/>
      <c r="H1731" s="12"/>
      <c r="K1731"/>
    </row>
    <row r="1732" spans="5:11" x14ac:dyDescent="0.2">
      <c r="E1732" s="50"/>
      <c r="H1732" s="12"/>
      <c r="K1732"/>
    </row>
    <row r="1733" spans="5:11" x14ac:dyDescent="0.2">
      <c r="E1733" s="50"/>
      <c r="H1733" s="12"/>
      <c r="K1733"/>
    </row>
    <row r="1734" spans="5:11" x14ac:dyDescent="0.2">
      <c r="E1734" s="50"/>
      <c r="H1734" s="12"/>
      <c r="K1734"/>
    </row>
    <row r="1735" spans="5:11" x14ac:dyDescent="0.2">
      <c r="E1735" s="50"/>
      <c r="H1735" s="12"/>
      <c r="K1735"/>
    </row>
    <row r="1736" spans="5:11" x14ac:dyDescent="0.2">
      <c r="E1736" s="50"/>
      <c r="H1736" s="12"/>
      <c r="K1736"/>
    </row>
    <row r="1737" spans="5:11" x14ac:dyDescent="0.2">
      <c r="E1737" s="50"/>
      <c r="H1737" s="12"/>
      <c r="K1737"/>
    </row>
    <row r="1738" spans="5:11" x14ac:dyDescent="0.2">
      <c r="E1738" s="50"/>
      <c r="H1738" s="12"/>
      <c r="K1738"/>
    </row>
    <row r="1739" spans="5:11" x14ac:dyDescent="0.2">
      <c r="E1739" s="50"/>
      <c r="H1739" s="12"/>
      <c r="K1739"/>
    </row>
    <row r="1740" spans="5:11" x14ac:dyDescent="0.2">
      <c r="E1740" s="50"/>
      <c r="H1740" s="12"/>
      <c r="K1740"/>
    </row>
    <row r="1741" spans="5:11" x14ac:dyDescent="0.2">
      <c r="E1741" s="50"/>
      <c r="H1741" s="12"/>
      <c r="K1741"/>
    </row>
    <row r="1742" spans="5:11" x14ac:dyDescent="0.2">
      <c r="E1742" s="50"/>
      <c r="H1742" s="12"/>
      <c r="K1742"/>
    </row>
    <row r="1743" spans="5:11" x14ac:dyDescent="0.2">
      <c r="E1743" s="50"/>
      <c r="H1743" s="12"/>
      <c r="K1743"/>
    </row>
    <row r="1744" spans="5:11" x14ac:dyDescent="0.2">
      <c r="E1744" s="50"/>
      <c r="H1744" s="12"/>
      <c r="K1744"/>
    </row>
    <row r="1745" spans="5:11" x14ac:dyDescent="0.2">
      <c r="E1745" s="50"/>
      <c r="H1745" s="12"/>
      <c r="K1745"/>
    </row>
    <row r="1746" spans="5:11" x14ac:dyDescent="0.2">
      <c r="E1746" s="50"/>
      <c r="H1746" s="12"/>
      <c r="K1746"/>
    </row>
    <row r="1747" spans="5:11" x14ac:dyDescent="0.2">
      <c r="E1747" s="50"/>
      <c r="H1747" s="12"/>
      <c r="K1747"/>
    </row>
    <row r="1748" spans="5:11" x14ac:dyDescent="0.2">
      <c r="E1748" s="50"/>
      <c r="H1748" s="12"/>
      <c r="K1748"/>
    </row>
    <row r="1749" spans="5:11" x14ac:dyDescent="0.2">
      <c r="E1749" s="50"/>
      <c r="H1749" s="12"/>
      <c r="K1749"/>
    </row>
    <row r="1750" spans="5:11" x14ac:dyDescent="0.2">
      <c r="E1750" s="50"/>
      <c r="H1750" s="12"/>
      <c r="K1750"/>
    </row>
    <row r="1751" spans="5:11" x14ac:dyDescent="0.2">
      <c r="E1751" s="50"/>
      <c r="H1751" s="12"/>
      <c r="K1751"/>
    </row>
    <row r="1752" spans="5:11" x14ac:dyDescent="0.2">
      <c r="E1752" s="50"/>
      <c r="H1752" s="12"/>
      <c r="K1752"/>
    </row>
    <row r="1753" spans="5:11" x14ac:dyDescent="0.2">
      <c r="E1753" s="50"/>
      <c r="H1753" s="12"/>
      <c r="K1753"/>
    </row>
    <row r="1754" spans="5:11" x14ac:dyDescent="0.2">
      <c r="E1754" s="50"/>
      <c r="H1754" s="12"/>
      <c r="K1754"/>
    </row>
    <row r="1755" spans="5:11" x14ac:dyDescent="0.2">
      <c r="E1755" s="50"/>
      <c r="H1755" s="12"/>
      <c r="K1755"/>
    </row>
    <row r="1756" spans="5:11" x14ac:dyDescent="0.2">
      <c r="E1756" s="50"/>
      <c r="H1756" s="12"/>
      <c r="K1756"/>
    </row>
    <row r="1757" spans="5:11" x14ac:dyDescent="0.2">
      <c r="E1757" s="50"/>
      <c r="H1757" s="12"/>
      <c r="K1757"/>
    </row>
    <row r="1758" spans="5:11" x14ac:dyDescent="0.2">
      <c r="E1758" s="50"/>
      <c r="H1758" s="12"/>
      <c r="K1758"/>
    </row>
    <row r="1759" spans="5:11" x14ac:dyDescent="0.2">
      <c r="E1759" s="50"/>
      <c r="H1759" s="12"/>
      <c r="K1759"/>
    </row>
    <row r="1760" spans="5:11" x14ac:dyDescent="0.2">
      <c r="E1760" s="50"/>
      <c r="H1760" s="12"/>
      <c r="K1760"/>
    </row>
    <row r="1761" spans="5:11" x14ac:dyDescent="0.2">
      <c r="E1761" s="50"/>
      <c r="H1761" s="12"/>
      <c r="K1761"/>
    </row>
    <row r="1762" spans="5:11" x14ac:dyDescent="0.2">
      <c r="E1762" s="50"/>
      <c r="H1762" s="12"/>
      <c r="K1762"/>
    </row>
    <row r="1763" spans="5:11" x14ac:dyDescent="0.2">
      <c r="E1763" s="50"/>
      <c r="H1763" s="12"/>
      <c r="K1763"/>
    </row>
    <row r="1764" spans="5:11" x14ac:dyDescent="0.2">
      <c r="E1764" s="50"/>
      <c r="H1764" s="12"/>
      <c r="K1764"/>
    </row>
    <row r="1765" spans="5:11" x14ac:dyDescent="0.2">
      <c r="E1765" s="50"/>
      <c r="H1765" s="12"/>
      <c r="K1765"/>
    </row>
    <row r="1766" spans="5:11" x14ac:dyDescent="0.2">
      <c r="E1766" s="50"/>
      <c r="H1766" s="12"/>
      <c r="K1766"/>
    </row>
    <row r="1767" spans="5:11" x14ac:dyDescent="0.2">
      <c r="E1767" s="50"/>
      <c r="H1767" s="12"/>
      <c r="K1767"/>
    </row>
    <row r="1768" spans="5:11" x14ac:dyDescent="0.2">
      <c r="E1768" s="50"/>
      <c r="H1768" s="12"/>
      <c r="K1768"/>
    </row>
    <row r="1769" spans="5:11" x14ac:dyDescent="0.2">
      <c r="E1769" s="50"/>
      <c r="H1769" s="12"/>
      <c r="K1769"/>
    </row>
    <row r="1770" spans="5:11" x14ac:dyDescent="0.2">
      <c r="E1770" s="50"/>
      <c r="H1770" s="12"/>
      <c r="K1770"/>
    </row>
    <row r="1771" spans="5:11" x14ac:dyDescent="0.2">
      <c r="E1771" s="50"/>
      <c r="H1771" s="12"/>
      <c r="K1771"/>
    </row>
    <row r="1772" spans="5:11" x14ac:dyDescent="0.2">
      <c r="E1772" s="50"/>
      <c r="H1772" s="12"/>
      <c r="K1772"/>
    </row>
    <row r="1773" spans="5:11" x14ac:dyDescent="0.2">
      <c r="E1773" s="50"/>
      <c r="H1773" s="12"/>
      <c r="K1773"/>
    </row>
    <row r="1774" spans="5:11" x14ac:dyDescent="0.2">
      <c r="E1774" s="50"/>
      <c r="H1774" s="12"/>
      <c r="K1774"/>
    </row>
    <row r="1775" spans="5:11" x14ac:dyDescent="0.2">
      <c r="E1775" s="50"/>
      <c r="H1775" s="12"/>
      <c r="K1775"/>
    </row>
    <row r="1776" spans="5:11" x14ac:dyDescent="0.2">
      <c r="E1776" s="50"/>
      <c r="H1776" s="12"/>
      <c r="K1776"/>
    </row>
    <row r="1777" spans="5:11" x14ac:dyDescent="0.2">
      <c r="E1777" s="50"/>
      <c r="H1777" s="12"/>
      <c r="K1777"/>
    </row>
    <row r="1778" spans="5:11" x14ac:dyDescent="0.2">
      <c r="E1778" s="50"/>
      <c r="H1778" s="12"/>
      <c r="K1778"/>
    </row>
    <row r="1779" spans="5:11" x14ac:dyDescent="0.2">
      <c r="E1779" s="50"/>
      <c r="H1779" s="12"/>
      <c r="K1779"/>
    </row>
    <row r="1780" spans="5:11" x14ac:dyDescent="0.2">
      <c r="E1780" s="50"/>
      <c r="H1780" s="12"/>
      <c r="K1780"/>
    </row>
    <row r="1781" spans="5:11" x14ac:dyDescent="0.2">
      <c r="E1781" s="50"/>
      <c r="H1781" s="12"/>
      <c r="K1781"/>
    </row>
    <row r="1782" spans="5:11" x14ac:dyDescent="0.2">
      <c r="E1782" s="50"/>
      <c r="H1782" s="12"/>
      <c r="K1782"/>
    </row>
    <row r="1783" spans="5:11" x14ac:dyDescent="0.2">
      <c r="E1783" s="50"/>
      <c r="H1783" s="12"/>
      <c r="K1783"/>
    </row>
    <row r="1784" spans="5:11" x14ac:dyDescent="0.2">
      <c r="E1784" s="50"/>
      <c r="H1784" s="12"/>
      <c r="K1784"/>
    </row>
    <row r="1785" spans="5:11" x14ac:dyDescent="0.2">
      <c r="E1785" s="50"/>
      <c r="H1785" s="12"/>
      <c r="K1785"/>
    </row>
    <row r="1786" spans="5:11" x14ac:dyDescent="0.2">
      <c r="E1786" s="50"/>
      <c r="H1786" s="12"/>
      <c r="K1786"/>
    </row>
    <row r="1787" spans="5:11" x14ac:dyDescent="0.2">
      <c r="E1787" s="50"/>
      <c r="H1787" s="12"/>
      <c r="K1787"/>
    </row>
    <row r="1788" spans="5:11" x14ac:dyDescent="0.2">
      <c r="E1788" s="50"/>
      <c r="H1788" s="12"/>
      <c r="K1788"/>
    </row>
    <row r="1789" spans="5:11" x14ac:dyDescent="0.2">
      <c r="E1789" s="50"/>
      <c r="H1789" s="12"/>
      <c r="K1789"/>
    </row>
    <row r="1790" spans="5:11" x14ac:dyDescent="0.2">
      <c r="E1790" s="50"/>
      <c r="H1790" s="12"/>
      <c r="K1790"/>
    </row>
    <row r="1791" spans="5:11" x14ac:dyDescent="0.2">
      <c r="E1791" s="50"/>
      <c r="H1791" s="12"/>
      <c r="K1791"/>
    </row>
    <row r="1792" spans="5:11" x14ac:dyDescent="0.2">
      <c r="E1792" s="50"/>
      <c r="H1792" s="12"/>
      <c r="K1792"/>
    </row>
    <row r="1793" spans="5:11" x14ac:dyDescent="0.2">
      <c r="E1793" s="50"/>
      <c r="H1793" s="12"/>
      <c r="K1793"/>
    </row>
    <row r="1794" spans="5:11" x14ac:dyDescent="0.2">
      <c r="E1794" s="50"/>
      <c r="H1794" s="12"/>
      <c r="K1794"/>
    </row>
    <row r="1795" spans="5:11" x14ac:dyDescent="0.2">
      <c r="E1795" s="50"/>
      <c r="H1795" s="12"/>
      <c r="K1795"/>
    </row>
    <row r="1796" spans="5:11" x14ac:dyDescent="0.2">
      <c r="E1796" s="50"/>
      <c r="H1796" s="12"/>
      <c r="K1796"/>
    </row>
    <row r="1797" spans="5:11" x14ac:dyDescent="0.2">
      <c r="E1797" s="50"/>
      <c r="H1797" s="12"/>
      <c r="K1797"/>
    </row>
    <row r="1798" spans="5:11" x14ac:dyDescent="0.2">
      <c r="E1798" s="50"/>
      <c r="H1798" s="12"/>
      <c r="K1798"/>
    </row>
    <row r="1799" spans="5:11" x14ac:dyDescent="0.2">
      <c r="E1799" s="50"/>
      <c r="H1799" s="12"/>
      <c r="K1799"/>
    </row>
    <row r="1800" spans="5:11" x14ac:dyDescent="0.2">
      <c r="E1800" s="50"/>
      <c r="H1800" s="12"/>
      <c r="K1800"/>
    </row>
    <row r="1801" spans="5:11" x14ac:dyDescent="0.2">
      <c r="E1801" s="50"/>
      <c r="H1801" s="12"/>
      <c r="K1801"/>
    </row>
    <row r="1802" spans="5:11" x14ac:dyDescent="0.2">
      <c r="E1802" s="50"/>
      <c r="H1802" s="12"/>
      <c r="K1802"/>
    </row>
    <row r="1803" spans="5:11" x14ac:dyDescent="0.2">
      <c r="E1803" s="50"/>
      <c r="H1803" s="12"/>
      <c r="K1803"/>
    </row>
    <row r="1804" spans="5:11" x14ac:dyDescent="0.2">
      <c r="E1804" s="50"/>
      <c r="H1804" s="12"/>
      <c r="K1804"/>
    </row>
    <row r="1805" spans="5:11" x14ac:dyDescent="0.2">
      <c r="E1805" s="50"/>
      <c r="H1805" s="12"/>
      <c r="K1805"/>
    </row>
    <row r="1806" spans="5:11" x14ac:dyDescent="0.2">
      <c r="E1806" s="50"/>
      <c r="H1806" s="12"/>
      <c r="K1806"/>
    </row>
    <row r="1807" spans="5:11" x14ac:dyDescent="0.2">
      <c r="E1807" s="50"/>
      <c r="H1807" s="12"/>
      <c r="K1807"/>
    </row>
    <row r="1808" spans="5:11" x14ac:dyDescent="0.2">
      <c r="E1808" s="50"/>
      <c r="H1808" s="12"/>
      <c r="K1808"/>
    </row>
    <row r="1809" spans="5:11" x14ac:dyDescent="0.2">
      <c r="E1809" s="50"/>
      <c r="H1809" s="12"/>
      <c r="K1809"/>
    </row>
    <row r="1810" spans="5:11" x14ac:dyDescent="0.2">
      <c r="E1810" s="50"/>
      <c r="H1810" s="12"/>
      <c r="K1810"/>
    </row>
    <row r="1811" spans="5:11" x14ac:dyDescent="0.2">
      <c r="E1811" s="50"/>
      <c r="H1811" s="12"/>
      <c r="K1811"/>
    </row>
    <row r="1812" spans="5:11" x14ac:dyDescent="0.2">
      <c r="E1812" s="50"/>
      <c r="H1812" s="12"/>
      <c r="K1812"/>
    </row>
    <row r="1813" spans="5:11" x14ac:dyDescent="0.2">
      <c r="E1813" s="50"/>
      <c r="H1813" s="12"/>
      <c r="K1813"/>
    </row>
    <row r="1814" spans="5:11" x14ac:dyDescent="0.2">
      <c r="E1814" s="50"/>
      <c r="H1814" s="12"/>
      <c r="K1814"/>
    </row>
    <row r="1815" spans="5:11" x14ac:dyDescent="0.2">
      <c r="E1815" s="50"/>
      <c r="H1815" s="12"/>
      <c r="K1815"/>
    </row>
    <row r="1816" spans="5:11" x14ac:dyDescent="0.2">
      <c r="E1816" s="50"/>
      <c r="H1816" s="12"/>
      <c r="K1816"/>
    </row>
    <row r="1817" spans="5:11" x14ac:dyDescent="0.2">
      <c r="E1817" s="50"/>
      <c r="H1817" s="12"/>
      <c r="K1817"/>
    </row>
    <row r="1818" spans="5:11" x14ac:dyDescent="0.2">
      <c r="E1818" s="50"/>
      <c r="H1818" s="12"/>
      <c r="K1818"/>
    </row>
    <row r="1819" spans="5:11" x14ac:dyDescent="0.2">
      <c r="E1819" s="50"/>
      <c r="H1819" s="12"/>
      <c r="K1819"/>
    </row>
    <row r="1820" spans="5:11" x14ac:dyDescent="0.2">
      <c r="E1820" s="50"/>
      <c r="H1820" s="12"/>
      <c r="K1820"/>
    </row>
    <row r="1821" spans="5:11" x14ac:dyDescent="0.2">
      <c r="E1821" s="50"/>
      <c r="H1821" s="12"/>
      <c r="K1821"/>
    </row>
    <row r="1822" spans="5:11" x14ac:dyDescent="0.2">
      <c r="E1822" s="50"/>
      <c r="H1822" s="12"/>
      <c r="K1822"/>
    </row>
    <row r="1823" spans="5:11" x14ac:dyDescent="0.2">
      <c r="E1823" s="50"/>
      <c r="H1823" s="12"/>
      <c r="K1823"/>
    </row>
    <row r="1824" spans="5:11" x14ac:dyDescent="0.2">
      <c r="E1824" s="50"/>
      <c r="H1824" s="12"/>
      <c r="K1824"/>
    </row>
    <row r="1825" spans="5:11" x14ac:dyDescent="0.2">
      <c r="E1825" s="50"/>
      <c r="H1825" s="12"/>
      <c r="K1825"/>
    </row>
    <row r="1826" spans="5:11" x14ac:dyDescent="0.2">
      <c r="E1826" s="50"/>
      <c r="H1826" s="12"/>
      <c r="K1826"/>
    </row>
    <row r="1827" spans="5:11" x14ac:dyDescent="0.2">
      <c r="E1827" s="50"/>
      <c r="H1827" s="12"/>
      <c r="K1827"/>
    </row>
    <row r="1828" spans="5:11" x14ac:dyDescent="0.2">
      <c r="E1828" s="50"/>
      <c r="H1828" s="12"/>
      <c r="K1828"/>
    </row>
    <row r="1829" spans="5:11" x14ac:dyDescent="0.2">
      <c r="E1829" s="50"/>
      <c r="H1829" s="12"/>
      <c r="K1829"/>
    </row>
    <row r="1830" spans="5:11" x14ac:dyDescent="0.2">
      <c r="E1830" s="50"/>
      <c r="H1830" s="12"/>
      <c r="K1830"/>
    </row>
    <row r="1831" spans="5:11" x14ac:dyDescent="0.2">
      <c r="E1831" s="50"/>
      <c r="H1831" s="12"/>
      <c r="K1831"/>
    </row>
    <row r="1832" spans="5:11" x14ac:dyDescent="0.2">
      <c r="E1832" s="50"/>
      <c r="H1832" s="12"/>
      <c r="K1832"/>
    </row>
    <row r="1833" spans="5:11" x14ac:dyDescent="0.2">
      <c r="E1833" s="50"/>
      <c r="H1833" s="12"/>
      <c r="K1833"/>
    </row>
    <row r="1834" spans="5:11" x14ac:dyDescent="0.2">
      <c r="E1834" s="50"/>
      <c r="H1834" s="12"/>
      <c r="K1834"/>
    </row>
    <row r="1835" spans="5:11" x14ac:dyDescent="0.2">
      <c r="E1835" s="50"/>
      <c r="H1835" s="12"/>
      <c r="K1835"/>
    </row>
    <row r="1836" spans="5:11" x14ac:dyDescent="0.2">
      <c r="E1836" s="50"/>
      <c r="H1836" s="12"/>
      <c r="K1836"/>
    </row>
    <row r="1837" spans="5:11" x14ac:dyDescent="0.2">
      <c r="E1837" s="50"/>
      <c r="H1837" s="12"/>
      <c r="K1837"/>
    </row>
    <row r="1838" spans="5:11" x14ac:dyDescent="0.2">
      <c r="E1838" s="50"/>
      <c r="H1838" s="12"/>
      <c r="K1838"/>
    </row>
    <row r="1839" spans="5:11" x14ac:dyDescent="0.2">
      <c r="E1839" s="50"/>
      <c r="H1839" s="12"/>
      <c r="K1839"/>
    </row>
    <row r="1840" spans="5:11" x14ac:dyDescent="0.2">
      <c r="E1840" s="50"/>
      <c r="H1840" s="12"/>
      <c r="K1840"/>
    </row>
    <row r="1841" spans="5:11" x14ac:dyDescent="0.2">
      <c r="E1841" s="50"/>
      <c r="H1841" s="12"/>
      <c r="K1841"/>
    </row>
    <row r="1842" spans="5:11" x14ac:dyDescent="0.2">
      <c r="E1842" s="50"/>
      <c r="H1842" s="12"/>
      <c r="K1842"/>
    </row>
    <row r="1843" spans="5:11" x14ac:dyDescent="0.2">
      <c r="E1843" s="50"/>
      <c r="H1843" s="12"/>
      <c r="K1843"/>
    </row>
    <row r="1844" spans="5:11" x14ac:dyDescent="0.2">
      <c r="E1844" s="50"/>
      <c r="H1844" s="12"/>
      <c r="K1844"/>
    </row>
    <row r="1845" spans="5:11" x14ac:dyDescent="0.2">
      <c r="E1845" s="50"/>
      <c r="H1845" s="12"/>
      <c r="K1845"/>
    </row>
    <row r="1846" spans="5:11" x14ac:dyDescent="0.2">
      <c r="E1846" s="50"/>
      <c r="H1846" s="12"/>
      <c r="K1846"/>
    </row>
    <row r="1847" spans="5:11" x14ac:dyDescent="0.2">
      <c r="E1847" s="50"/>
      <c r="H1847" s="12"/>
      <c r="K1847"/>
    </row>
    <row r="1848" spans="5:11" x14ac:dyDescent="0.2">
      <c r="E1848" s="50"/>
      <c r="H1848" s="12"/>
      <c r="K1848"/>
    </row>
    <row r="1849" spans="5:11" x14ac:dyDescent="0.2">
      <c r="E1849" s="50"/>
      <c r="H1849" s="12"/>
      <c r="K1849"/>
    </row>
    <row r="1850" spans="5:11" x14ac:dyDescent="0.2">
      <c r="E1850" s="50"/>
      <c r="H1850" s="12"/>
      <c r="K1850"/>
    </row>
    <row r="1851" spans="5:11" x14ac:dyDescent="0.2">
      <c r="E1851" s="50"/>
      <c r="H1851" s="12"/>
      <c r="K1851"/>
    </row>
    <row r="1852" spans="5:11" x14ac:dyDescent="0.2">
      <c r="E1852" s="50"/>
      <c r="H1852" s="12"/>
      <c r="K1852"/>
    </row>
    <row r="1853" spans="5:11" x14ac:dyDescent="0.2">
      <c r="E1853" s="50"/>
      <c r="H1853" s="12"/>
      <c r="K1853"/>
    </row>
    <row r="1854" spans="5:11" x14ac:dyDescent="0.2">
      <c r="E1854" s="50"/>
      <c r="H1854" s="12"/>
      <c r="K1854"/>
    </row>
    <row r="1855" spans="5:11" x14ac:dyDescent="0.2">
      <c r="E1855" s="50"/>
      <c r="H1855" s="12"/>
      <c r="K1855"/>
    </row>
    <row r="1856" spans="5:11" x14ac:dyDescent="0.2">
      <c r="E1856" s="50"/>
      <c r="H1856" s="12"/>
      <c r="K1856"/>
    </row>
    <row r="1857" spans="5:11" x14ac:dyDescent="0.2">
      <c r="E1857" s="50"/>
      <c r="H1857" s="12"/>
      <c r="K1857"/>
    </row>
    <row r="1858" spans="5:11" x14ac:dyDescent="0.2">
      <c r="E1858" s="50"/>
      <c r="H1858" s="12"/>
      <c r="K1858"/>
    </row>
    <row r="1859" spans="5:11" x14ac:dyDescent="0.2">
      <c r="E1859" s="50"/>
      <c r="H1859" s="12"/>
      <c r="K1859"/>
    </row>
    <row r="1860" spans="5:11" x14ac:dyDescent="0.2">
      <c r="E1860" s="50"/>
      <c r="H1860" s="12"/>
      <c r="K1860"/>
    </row>
    <row r="1861" spans="5:11" x14ac:dyDescent="0.2">
      <c r="E1861" s="50"/>
      <c r="H1861" s="12"/>
      <c r="K1861"/>
    </row>
    <row r="1862" spans="5:11" x14ac:dyDescent="0.2">
      <c r="E1862" s="50"/>
      <c r="H1862" s="12"/>
      <c r="K1862"/>
    </row>
    <row r="1863" spans="5:11" x14ac:dyDescent="0.2">
      <c r="E1863" s="50"/>
      <c r="H1863" s="12"/>
      <c r="K1863"/>
    </row>
    <row r="1864" spans="5:11" x14ac:dyDescent="0.2">
      <c r="E1864" s="50"/>
      <c r="H1864" s="12"/>
      <c r="K1864"/>
    </row>
    <row r="1865" spans="5:11" x14ac:dyDescent="0.2">
      <c r="E1865" s="50"/>
      <c r="H1865" s="12"/>
      <c r="K1865"/>
    </row>
    <row r="1866" spans="5:11" x14ac:dyDescent="0.2">
      <c r="E1866" s="50"/>
      <c r="H1866" s="12"/>
      <c r="K1866"/>
    </row>
    <row r="1867" spans="5:11" x14ac:dyDescent="0.2">
      <c r="E1867" s="50"/>
      <c r="H1867" s="12"/>
      <c r="K1867"/>
    </row>
    <row r="1868" spans="5:11" x14ac:dyDescent="0.2">
      <c r="E1868" s="50"/>
      <c r="H1868" s="12"/>
      <c r="K1868"/>
    </row>
    <row r="1869" spans="5:11" x14ac:dyDescent="0.2">
      <c r="E1869" s="50"/>
      <c r="H1869" s="12"/>
      <c r="K1869"/>
    </row>
    <row r="1870" spans="5:11" x14ac:dyDescent="0.2">
      <c r="E1870" s="50"/>
      <c r="H1870" s="12"/>
      <c r="K1870"/>
    </row>
    <row r="1871" spans="5:11" x14ac:dyDescent="0.2">
      <c r="E1871" s="50"/>
      <c r="H1871" s="12"/>
      <c r="K1871"/>
    </row>
    <row r="1872" spans="5:11" x14ac:dyDescent="0.2">
      <c r="E1872" s="50"/>
      <c r="H1872" s="12"/>
      <c r="K1872"/>
    </row>
    <row r="1873" spans="5:11" x14ac:dyDescent="0.2">
      <c r="E1873" s="50"/>
      <c r="H1873" s="12"/>
      <c r="K1873"/>
    </row>
    <row r="1874" spans="5:11" x14ac:dyDescent="0.2">
      <c r="E1874" s="50"/>
      <c r="H1874" s="12"/>
      <c r="K1874"/>
    </row>
    <row r="1875" spans="5:11" x14ac:dyDescent="0.2">
      <c r="E1875" s="50"/>
      <c r="H1875" s="12"/>
      <c r="K1875"/>
    </row>
    <row r="1876" spans="5:11" x14ac:dyDescent="0.2">
      <c r="E1876" s="50"/>
      <c r="H1876" s="12"/>
      <c r="K1876"/>
    </row>
    <row r="1877" spans="5:11" x14ac:dyDescent="0.2">
      <c r="E1877" s="50"/>
      <c r="H1877" s="12"/>
      <c r="K1877"/>
    </row>
    <row r="1878" spans="5:11" x14ac:dyDescent="0.2">
      <c r="E1878" s="50"/>
      <c r="H1878" s="12"/>
      <c r="K1878"/>
    </row>
    <row r="1879" spans="5:11" x14ac:dyDescent="0.2">
      <c r="E1879" s="50"/>
      <c r="H1879" s="12"/>
      <c r="K1879"/>
    </row>
    <row r="1880" spans="5:11" x14ac:dyDescent="0.2">
      <c r="E1880" s="50"/>
      <c r="H1880" s="12"/>
      <c r="K1880"/>
    </row>
    <row r="1881" spans="5:11" x14ac:dyDescent="0.2">
      <c r="E1881" s="50"/>
      <c r="H1881" s="12"/>
      <c r="K1881"/>
    </row>
    <row r="1882" spans="5:11" x14ac:dyDescent="0.2">
      <c r="E1882" s="50"/>
      <c r="H1882" s="12"/>
      <c r="K1882"/>
    </row>
    <row r="1883" spans="5:11" x14ac:dyDescent="0.2">
      <c r="E1883" s="50"/>
      <c r="H1883" s="12"/>
      <c r="K1883"/>
    </row>
    <row r="1884" spans="5:11" x14ac:dyDescent="0.2">
      <c r="E1884" s="50"/>
      <c r="H1884" s="12"/>
      <c r="K1884"/>
    </row>
    <row r="1885" spans="5:11" x14ac:dyDescent="0.2">
      <c r="E1885" s="50"/>
      <c r="H1885" s="12"/>
      <c r="K1885"/>
    </row>
    <row r="1886" spans="5:11" x14ac:dyDescent="0.2">
      <c r="E1886" s="50"/>
      <c r="H1886" s="12"/>
      <c r="K1886"/>
    </row>
    <row r="1887" spans="5:11" x14ac:dyDescent="0.2">
      <c r="E1887" s="50"/>
      <c r="H1887" s="12"/>
      <c r="K1887"/>
    </row>
    <row r="1888" spans="5:11" x14ac:dyDescent="0.2">
      <c r="E1888" s="50"/>
      <c r="H1888" s="12"/>
      <c r="K1888"/>
    </row>
    <row r="1889" spans="5:11" x14ac:dyDescent="0.2">
      <c r="E1889" s="50"/>
      <c r="H1889" s="12"/>
      <c r="K1889"/>
    </row>
    <row r="1890" spans="5:11" x14ac:dyDescent="0.2">
      <c r="E1890" s="50"/>
      <c r="H1890" s="12"/>
      <c r="K1890"/>
    </row>
    <row r="1891" spans="5:11" x14ac:dyDescent="0.2">
      <c r="E1891" s="50"/>
      <c r="H1891" s="12"/>
      <c r="K1891"/>
    </row>
    <row r="1892" spans="5:11" x14ac:dyDescent="0.2">
      <c r="E1892" s="50"/>
      <c r="H1892" s="12"/>
      <c r="K1892"/>
    </row>
    <row r="1893" spans="5:11" x14ac:dyDescent="0.2">
      <c r="E1893" s="50"/>
      <c r="H1893" s="12"/>
      <c r="K1893"/>
    </row>
    <row r="1894" spans="5:11" x14ac:dyDescent="0.2">
      <c r="E1894" s="50"/>
      <c r="H1894" s="12"/>
      <c r="K1894"/>
    </row>
    <row r="1895" spans="5:11" x14ac:dyDescent="0.2">
      <c r="E1895" s="50"/>
      <c r="H1895" s="12"/>
      <c r="K1895"/>
    </row>
    <row r="1896" spans="5:11" x14ac:dyDescent="0.2">
      <c r="E1896" s="50"/>
      <c r="H1896" s="12"/>
      <c r="K1896"/>
    </row>
    <row r="1897" spans="5:11" x14ac:dyDescent="0.2">
      <c r="E1897" s="50"/>
      <c r="H1897" s="12"/>
      <c r="K1897"/>
    </row>
    <row r="1898" spans="5:11" x14ac:dyDescent="0.2">
      <c r="E1898" s="50"/>
      <c r="H1898" s="12"/>
      <c r="K1898"/>
    </row>
    <row r="1899" spans="5:11" x14ac:dyDescent="0.2">
      <c r="E1899" s="50"/>
      <c r="H1899" s="12"/>
      <c r="K1899"/>
    </row>
    <row r="1900" spans="5:11" x14ac:dyDescent="0.2">
      <c r="E1900" s="50"/>
      <c r="H1900" s="12"/>
      <c r="K1900"/>
    </row>
    <row r="1901" spans="5:11" x14ac:dyDescent="0.2">
      <c r="E1901" s="50"/>
      <c r="H1901" s="12"/>
      <c r="K1901"/>
    </row>
    <row r="1902" spans="5:11" x14ac:dyDescent="0.2">
      <c r="E1902" s="50"/>
      <c r="H1902" s="12"/>
      <c r="K1902"/>
    </row>
    <row r="1903" spans="5:11" x14ac:dyDescent="0.2">
      <c r="E1903" s="50"/>
      <c r="H1903" s="12"/>
      <c r="K1903"/>
    </row>
    <row r="1904" spans="5:11" x14ac:dyDescent="0.2">
      <c r="E1904" s="50"/>
      <c r="H1904" s="12"/>
      <c r="K1904"/>
    </row>
    <row r="1905" spans="5:11" x14ac:dyDescent="0.2">
      <c r="E1905" s="50"/>
      <c r="H1905" s="12"/>
      <c r="K1905"/>
    </row>
    <row r="1906" spans="5:11" x14ac:dyDescent="0.2">
      <c r="E1906" s="50"/>
      <c r="H1906" s="12"/>
      <c r="K1906"/>
    </row>
    <row r="1907" spans="5:11" x14ac:dyDescent="0.2">
      <c r="E1907" s="50"/>
      <c r="H1907" s="12"/>
      <c r="K1907"/>
    </row>
    <row r="1908" spans="5:11" x14ac:dyDescent="0.2">
      <c r="E1908" s="50"/>
      <c r="H1908" s="12"/>
      <c r="K1908"/>
    </row>
    <row r="1909" spans="5:11" x14ac:dyDescent="0.2">
      <c r="E1909" s="50"/>
      <c r="H1909" s="12"/>
      <c r="K1909"/>
    </row>
    <row r="1910" spans="5:11" x14ac:dyDescent="0.2">
      <c r="E1910" s="50"/>
      <c r="H1910" s="12"/>
      <c r="K1910"/>
    </row>
    <row r="1911" spans="5:11" x14ac:dyDescent="0.2">
      <c r="E1911" s="50"/>
      <c r="H1911" s="12"/>
      <c r="K1911"/>
    </row>
    <row r="1912" spans="5:11" x14ac:dyDescent="0.2">
      <c r="E1912" s="50"/>
      <c r="H1912" s="12"/>
      <c r="K1912"/>
    </row>
    <row r="1913" spans="5:11" x14ac:dyDescent="0.2">
      <c r="E1913" s="50"/>
      <c r="H1913" s="12"/>
      <c r="K1913"/>
    </row>
    <row r="1914" spans="5:11" x14ac:dyDescent="0.2">
      <c r="E1914" s="50"/>
      <c r="H1914" s="12"/>
      <c r="K1914"/>
    </row>
    <row r="1915" spans="5:11" x14ac:dyDescent="0.2">
      <c r="E1915" s="50"/>
      <c r="H1915" s="12"/>
      <c r="K1915"/>
    </row>
    <row r="1916" spans="5:11" x14ac:dyDescent="0.2">
      <c r="E1916" s="50"/>
      <c r="H1916" s="12"/>
      <c r="K1916"/>
    </row>
    <row r="1917" spans="5:11" x14ac:dyDescent="0.2">
      <c r="E1917" s="50"/>
      <c r="H1917" s="12"/>
      <c r="K1917"/>
    </row>
    <row r="1918" spans="5:11" x14ac:dyDescent="0.2">
      <c r="E1918" s="50"/>
      <c r="H1918" s="12"/>
      <c r="K1918"/>
    </row>
    <row r="1919" spans="5:11" x14ac:dyDescent="0.2">
      <c r="E1919" s="50"/>
      <c r="H1919" s="12"/>
      <c r="K1919"/>
    </row>
    <row r="1920" spans="5:11" x14ac:dyDescent="0.2">
      <c r="E1920" s="50"/>
      <c r="H1920" s="12"/>
      <c r="K1920"/>
    </row>
    <row r="1921" spans="5:11" x14ac:dyDescent="0.2">
      <c r="E1921" s="50"/>
      <c r="H1921" s="12"/>
      <c r="K1921"/>
    </row>
    <row r="1922" spans="5:11" x14ac:dyDescent="0.2">
      <c r="E1922" s="50"/>
      <c r="H1922" s="12"/>
      <c r="K1922"/>
    </row>
    <row r="1923" spans="5:11" x14ac:dyDescent="0.2">
      <c r="E1923" s="50"/>
      <c r="H1923" s="12"/>
      <c r="K1923"/>
    </row>
    <row r="1924" spans="5:11" x14ac:dyDescent="0.2">
      <c r="E1924" s="50"/>
      <c r="H1924" s="12"/>
      <c r="K1924"/>
    </row>
    <row r="1925" spans="5:11" x14ac:dyDescent="0.2">
      <c r="E1925" s="50"/>
      <c r="H1925" s="12"/>
      <c r="K1925"/>
    </row>
    <row r="1926" spans="5:11" x14ac:dyDescent="0.2">
      <c r="E1926" s="50"/>
      <c r="H1926" s="12"/>
      <c r="K1926"/>
    </row>
    <row r="1927" spans="5:11" x14ac:dyDescent="0.2">
      <c r="E1927" s="50"/>
      <c r="H1927" s="12"/>
      <c r="K1927"/>
    </row>
    <row r="1928" spans="5:11" x14ac:dyDescent="0.2">
      <c r="E1928" s="50"/>
      <c r="H1928" s="12"/>
      <c r="K1928"/>
    </row>
    <row r="1929" spans="5:11" x14ac:dyDescent="0.2">
      <c r="E1929" s="50"/>
      <c r="H1929" s="12"/>
      <c r="K1929"/>
    </row>
    <row r="1930" spans="5:11" x14ac:dyDescent="0.2">
      <c r="E1930" s="50"/>
      <c r="H1930" s="12"/>
      <c r="K1930"/>
    </row>
    <row r="1931" spans="5:11" x14ac:dyDescent="0.2">
      <c r="E1931" s="50"/>
      <c r="H1931" s="12"/>
      <c r="K1931"/>
    </row>
    <row r="1932" spans="5:11" x14ac:dyDescent="0.2">
      <c r="E1932" s="50"/>
      <c r="H1932" s="12"/>
      <c r="K1932"/>
    </row>
    <row r="1933" spans="5:11" x14ac:dyDescent="0.2">
      <c r="E1933" s="50"/>
      <c r="H1933" s="12"/>
      <c r="K1933"/>
    </row>
    <row r="1934" spans="5:11" x14ac:dyDescent="0.2">
      <c r="E1934" s="50"/>
      <c r="H1934" s="12"/>
      <c r="K1934"/>
    </row>
    <row r="1935" spans="5:11" x14ac:dyDescent="0.2">
      <c r="E1935" s="50"/>
      <c r="H1935" s="12"/>
      <c r="K1935"/>
    </row>
    <row r="1936" spans="5:11" x14ac:dyDescent="0.2">
      <c r="E1936" s="50"/>
      <c r="H1936" s="12"/>
      <c r="K1936"/>
    </row>
    <row r="1937" spans="5:11" x14ac:dyDescent="0.2">
      <c r="E1937" s="50"/>
      <c r="H1937" s="12"/>
      <c r="K1937"/>
    </row>
    <row r="1938" spans="5:11" x14ac:dyDescent="0.2">
      <c r="E1938" s="50"/>
      <c r="H1938" s="12"/>
      <c r="K1938"/>
    </row>
    <row r="1939" spans="5:11" x14ac:dyDescent="0.2">
      <c r="E1939" s="50"/>
      <c r="H1939" s="12"/>
      <c r="K1939"/>
    </row>
    <row r="1940" spans="5:11" x14ac:dyDescent="0.2">
      <c r="E1940" s="50"/>
      <c r="H1940" s="12"/>
      <c r="K1940"/>
    </row>
    <row r="1941" spans="5:11" x14ac:dyDescent="0.2">
      <c r="E1941" s="50"/>
      <c r="H1941" s="12"/>
      <c r="K1941"/>
    </row>
    <row r="1942" spans="5:11" x14ac:dyDescent="0.2">
      <c r="E1942" s="50"/>
      <c r="H1942" s="12"/>
      <c r="K1942"/>
    </row>
    <row r="1943" spans="5:11" x14ac:dyDescent="0.2">
      <c r="E1943" s="50"/>
      <c r="H1943" s="12"/>
      <c r="K1943"/>
    </row>
    <row r="1944" spans="5:11" x14ac:dyDescent="0.2">
      <c r="E1944" s="50"/>
      <c r="H1944" s="12"/>
      <c r="K1944"/>
    </row>
    <row r="1945" spans="5:11" x14ac:dyDescent="0.2">
      <c r="E1945" s="50"/>
      <c r="H1945" s="12"/>
      <c r="K1945"/>
    </row>
    <row r="1946" spans="5:11" x14ac:dyDescent="0.2">
      <c r="E1946" s="50"/>
      <c r="H1946" s="12"/>
      <c r="K1946"/>
    </row>
    <row r="1947" spans="5:11" x14ac:dyDescent="0.2">
      <c r="E1947" s="50"/>
      <c r="H1947" s="12"/>
      <c r="K1947"/>
    </row>
    <row r="1948" spans="5:11" x14ac:dyDescent="0.2">
      <c r="E1948" s="50"/>
      <c r="H1948" s="12"/>
      <c r="K1948"/>
    </row>
    <row r="1949" spans="5:11" x14ac:dyDescent="0.2">
      <c r="E1949" s="50"/>
      <c r="H1949" s="12"/>
      <c r="K1949"/>
    </row>
    <row r="1950" spans="5:11" x14ac:dyDescent="0.2">
      <c r="E1950" s="50"/>
      <c r="H1950" s="12"/>
      <c r="K1950"/>
    </row>
    <row r="1951" spans="5:11" x14ac:dyDescent="0.2">
      <c r="E1951" s="50"/>
      <c r="H1951" s="12"/>
      <c r="K1951"/>
    </row>
    <row r="1952" spans="5:11" x14ac:dyDescent="0.2">
      <c r="E1952" s="50"/>
      <c r="H1952" s="12"/>
      <c r="K1952"/>
    </row>
    <row r="1953" spans="5:11" x14ac:dyDescent="0.2">
      <c r="E1953" s="50"/>
      <c r="H1953" s="12"/>
      <c r="K1953"/>
    </row>
    <row r="1954" spans="5:11" x14ac:dyDescent="0.2">
      <c r="E1954" s="50"/>
      <c r="H1954" s="12"/>
      <c r="K1954"/>
    </row>
    <row r="1955" spans="5:11" x14ac:dyDescent="0.2">
      <c r="E1955" s="50"/>
      <c r="H1955" s="12"/>
      <c r="K1955"/>
    </row>
    <row r="1956" spans="5:11" x14ac:dyDescent="0.2">
      <c r="E1956" s="50"/>
      <c r="H1956" s="12"/>
      <c r="K1956"/>
    </row>
    <row r="1957" spans="5:11" x14ac:dyDescent="0.2">
      <c r="E1957" s="50"/>
      <c r="H1957" s="12"/>
      <c r="K1957"/>
    </row>
    <row r="1958" spans="5:11" x14ac:dyDescent="0.2">
      <c r="E1958" s="50"/>
      <c r="H1958" s="12"/>
      <c r="K1958"/>
    </row>
    <row r="1959" spans="5:11" x14ac:dyDescent="0.2">
      <c r="E1959" s="50"/>
      <c r="H1959" s="12"/>
      <c r="K1959"/>
    </row>
    <row r="1960" spans="5:11" x14ac:dyDescent="0.2">
      <c r="E1960" s="50"/>
      <c r="H1960" s="12"/>
      <c r="K1960"/>
    </row>
    <row r="1961" spans="5:11" x14ac:dyDescent="0.2">
      <c r="E1961" s="50"/>
      <c r="H1961" s="12"/>
      <c r="K1961"/>
    </row>
    <row r="1962" spans="5:11" x14ac:dyDescent="0.2">
      <c r="E1962" s="50"/>
      <c r="H1962" s="12"/>
      <c r="K1962"/>
    </row>
    <row r="1963" spans="5:11" x14ac:dyDescent="0.2">
      <c r="E1963" s="50"/>
      <c r="H1963" s="12"/>
      <c r="K1963"/>
    </row>
    <row r="1964" spans="5:11" x14ac:dyDescent="0.2">
      <c r="E1964" s="50"/>
      <c r="H1964" s="12"/>
      <c r="K1964"/>
    </row>
    <row r="1965" spans="5:11" x14ac:dyDescent="0.2">
      <c r="E1965" s="50"/>
      <c r="H1965" s="12"/>
      <c r="K1965"/>
    </row>
    <row r="1966" spans="5:11" x14ac:dyDescent="0.2">
      <c r="E1966" s="50"/>
      <c r="H1966" s="12"/>
      <c r="K1966"/>
    </row>
    <row r="1967" spans="5:11" x14ac:dyDescent="0.2">
      <c r="E1967" s="50"/>
      <c r="H1967" s="12"/>
      <c r="K1967"/>
    </row>
    <row r="1968" spans="5:11" x14ac:dyDescent="0.2">
      <c r="E1968" s="50"/>
      <c r="H1968" s="12"/>
      <c r="K1968"/>
    </row>
    <row r="1969" spans="5:11" x14ac:dyDescent="0.2">
      <c r="E1969" s="50"/>
      <c r="H1969" s="12"/>
      <c r="K1969"/>
    </row>
    <row r="1970" spans="5:11" x14ac:dyDescent="0.2">
      <c r="E1970" s="50"/>
      <c r="H1970" s="12"/>
      <c r="K1970"/>
    </row>
    <row r="1971" spans="5:11" x14ac:dyDescent="0.2">
      <c r="E1971" s="50"/>
      <c r="H1971" s="12"/>
      <c r="K1971"/>
    </row>
    <row r="1972" spans="5:11" x14ac:dyDescent="0.2">
      <c r="E1972" s="50"/>
      <c r="H1972" s="12"/>
      <c r="K1972"/>
    </row>
    <row r="1973" spans="5:11" x14ac:dyDescent="0.2">
      <c r="E1973" s="50"/>
      <c r="H1973" s="12"/>
      <c r="K1973"/>
    </row>
    <row r="1974" spans="5:11" x14ac:dyDescent="0.2">
      <c r="E1974" s="50"/>
      <c r="H1974" s="12"/>
      <c r="K1974"/>
    </row>
    <row r="1975" spans="5:11" x14ac:dyDescent="0.2">
      <c r="E1975" s="50"/>
      <c r="H1975" s="12"/>
      <c r="K1975"/>
    </row>
    <row r="1976" spans="5:11" x14ac:dyDescent="0.2">
      <c r="E1976" s="50"/>
      <c r="H1976" s="12"/>
      <c r="K1976"/>
    </row>
    <row r="1977" spans="5:11" x14ac:dyDescent="0.2">
      <c r="E1977" s="50"/>
      <c r="H1977" s="12"/>
      <c r="K1977"/>
    </row>
    <row r="1978" spans="5:11" x14ac:dyDescent="0.2">
      <c r="E1978" s="50"/>
      <c r="H1978" s="12"/>
      <c r="K1978"/>
    </row>
    <row r="1979" spans="5:11" x14ac:dyDescent="0.2">
      <c r="E1979" s="50"/>
      <c r="H1979" s="12"/>
      <c r="K1979"/>
    </row>
    <row r="1980" spans="5:11" x14ac:dyDescent="0.2">
      <c r="E1980" s="50"/>
      <c r="H1980" s="12"/>
      <c r="K1980"/>
    </row>
    <row r="1981" spans="5:11" x14ac:dyDescent="0.2">
      <c r="E1981" s="50"/>
      <c r="H1981" s="12"/>
      <c r="K1981"/>
    </row>
    <row r="1982" spans="5:11" x14ac:dyDescent="0.2">
      <c r="E1982" s="50"/>
      <c r="H1982" s="12"/>
      <c r="K1982"/>
    </row>
    <row r="1983" spans="5:11" x14ac:dyDescent="0.2">
      <c r="E1983" s="50"/>
      <c r="H1983" s="12"/>
      <c r="K1983"/>
    </row>
    <row r="1984" spans="5:11" x14ac:dyDescent="0.2">
      <c r="E1984" s="50"/>
      <c r="H1984" s="12"/>
      <c r="K1984"/>
    </row>
    <row r="1985" spans="5:11" x14ac:dyDescent="0.2">
      <c r="E1985" s="50"/>
      <c r="H1985" s="12"/>
      <c r="K1985"/>
    </row>
    <row r="1986" spans="5:11" x14ac:dyDescent="0.2">
      <c r="E1986" s="50"/>
      <c r="H1986" s="12"/>
      <c r="K1986"/>
    </row>
    <row r="1987" spans="5:11" x14ac:dyDescent="0.2">
      <c r="E1987" s="50"/>
      <c r="H1987" s="12"/>
      <c r="K1987"/>
    </row>
    <row r="1988" spans="5:11" x14ac:dyDescent="0.2">
      <c r="E1988" s="50"/>
      <c r="H1988" s="12"/>
      <c r="K1988"/>
    </row>
    <row r="1989" spans="5:11" x14ac:dyDescent="0.2">
      <c r="E1989" s="50"/>
      <c r="H1989" s="12"/>
      <c r="K1989"/>
    </row>
    <row r="1990" spans="5:11" x14ac:dyDescent="0.2">
      <c r="E1990" s="50"/>
      <c r="H1990" s="12"/>
      <c r="K1990"/>
    </row>
    <row r="1991" spans="5:11" x14ac:dyDescent="0.2">
      <c r="E1991" s="50"/>
      <c r="H1991" s="12"/>
      <c r="K1991"/>
    </row>
    <row r="1992" spans="5:11" x14ac:dyDescent="0.2">
      <c r="E1992" s="50"/>
      <c r="H1992" s="12"/>
      <c r="K1992"/>
    </row>
    <row r="1993" spans="5:11" x14ac:dyDescent="0.2">
      <c r="E1993" s="50"/>
      <c r="H1993" s="12"/>
      <c r="K1993"/>
    </row>
    <row r="1994" spans="5:11" x14ac:dyDescent="0.2">
      <c r="E1994" s="50"/>
      <c r="H1994" s="12"/>
      <c r="K1994"/>
    </row>
    <row r="1995" spans="5:11" x14ac:dyDescent="0.2">
      <c r="E1995" s="50"/>
      <c r="H1995" s="12"/>
      <c r="K1995"/>
    </row>
    <row r="1996" spans="5:11" x14ac:dyDescent="0.2">
      <c r="E1996" s="50"/>
      <c r="H1996" s="12"/>
      <c r="K1996"/>
    </row>
    <row r="1997" spans="5:11" x14ac:dyDescent="0.2">
      <c r="E1997" s="50"/>
      <c r="H1997" s="12"/>
      <c r="K1997"/>
    </row>
    <row r="1998" spans="5:11" x14ac:dyDescent="0.2">
      <c r="E1998" s="50"/>
      <c r="H1998" s="12"/>
      <c r="K1998"/>
    </row>
    <row r="1999" spans="5:11" x14ac:dyDescent="0.2">
      <c r="E1999" s="50"/>
      <c r="H1999" s="12"/>
      <c r="K1999"/>
    </row>
    <row r="2000" spans="5:11" x14ac:dyDescent="0.2">
      <c r="E2000" s="50"/>
      <c r="H2000" s="12"/>
      <c r="K2000"/>
    </row>
    <row r="2001" spans="5:11" x14ac:dyDescent="0.2">
      <c r="E2001" s="50"/>
      <c r="H2001" s="12"/>
      <c r="K2001"/>
    </row>
    <row r="2002" spans="5:11" x14ac:dyDescent="0.2">
      <c r="E2002" s="50"/>
      <c r="H2002" s="12"/>
      <c r="K2002"/>
    </row>
    <row r="2003" spans="5:11" x14ac:dyDescent="0.2">
      <c r="E2003" s="50"/>
      <c r="H2003" s="12"/>
      <c r="K2003"/>
    </row>
    <row r="2004" spans="5:11" x14ac:dyDescent="0.2">
      <c r="E2004" s="50"/>
      <c r="H2004" s="12"/>
      <c r="K2004"/>
    </row>
    <row r="2005" spans="5:11" x14ac:dyDescent="0.2">
      <c r="E2005" s="50"/>
      <c r="H2005" s="12"/>
      <c r="K2005"/>
    </row>
    <row r="2006" spans="5:11" x14ac:dyDescent="0.2">
      <c r="E2006" s="50"/>
      <c r="H2006" s="12"/>
      <c r="K2006"/>
    </row>
    <row r="2007" spans="5:11" x14ac:dyDescent="0.2">
      <c r="E2007" s="50"/>
      <c r="H2007" s="12"/>
      <c r="K2007"/>
    </row>
    <row r="2008" spans="5:11" x14ac:dyDescent="0.2">
      <c r="E2008" s="50"/>
      <c r="H2008" s="12"/>
      <c r="K2008"/>
    </row>
    <row r="2009" spans="5:11" x14ac:dyDescent="0.2">
      <c r="E2009" s="50"/>
      <c r="H2009" s="12"/>
      <c r="K2009"/>
    </row>
    <row r="2010" spans="5:11" x14ac:dyDescent="0.2">
      <c r="E2010" s="50"/>
      <c r="H2010" s="12"/>
      <c r="K2010"/>
    </row>
    <row r="2011" spans="5:11" x14ac:dyDescent="0.2">
      <c r="E2011" s="50"/>
      <c r="H2011" s="12"/>
      <c r="K2011"/>
    </row>
    <row r="2012" spans="5:11" x14ac:dyDescent="0.2">
      <c r="E2012" s="50"/>
      <c r="H2012" s="12"/>
      <c r="K2012"/>
    </row>
    <row r="2013" spans="5:11" x14ac:dyDescent="0.2">
      <c r="E2013" s="50"/>
      <c r="H2013" s="12"/>
      <c r="K2013"/>
    </row>
    <row r="2014" spans="5:11" x14ac:dyDescent="0.2">
      <c r="E2014" s="50"/>
      <c r="H2014" s="12"/>
      <c r="K2014"/>
    </row>
    <row r="2015" spans="5:11" x14ac:dyDescent="0.2">
      <c r="E2015" s="50"/>
      <c r="H2015" s="12"/>
      <c r="K2015"/>
    </row>
    <row r="2016" spans="5:11" x14ac:dyDescent="0.2">
      <c r="E2016" s="50"/>
      <c r="H2016" s="12"/>
      <c r="K2016"/>
    </row>
    <row r="2017" spans="5:11" x14ac:dyDescent="0.2">
      <c r="E2017" s="50"/>
      <c r="H2017" s="12"/>
      <c r="K2017"/>
    </row>
    <row r="2018" spans="5:11" x14ac:dyDescent="0.2">
      <c r="E2018" s="50"/>
      <c r="H2018" s="12"/>
      <c r="K2018"/>
    </row>
    <row r="2019" spans="5:11" x14ac:dyDescent="0.2">
      <c r="E2019" s="50"/>
      <c r="H2019" s="12"/>
      <c r="K2019"/>
    </row>
    <row r="2020" spans="5:11" x14ac:dyDescent="0.2">
      <c r="E2020" s="50"/>
      <c r="H2020" s="12"/>
      <c r="K2020"/>
    </row>
    <row r="2021" spans="5:11" x14ac:dyDescent="0.2">
      <c r="E2021" s="50"/>
      <c r="H2021" s="12"/>
      <c r="K2021"/>
    </row>
    <row r="2022" spans="5:11" x14ac:dyDescent="0.2">
      <c r="E2022" s="50"/>
      <c r="H2022" s="12"/>
      <c r="K2022"/>
    </row>
    <row r="2023" spans="5:11" x14ac:dyDescent="0.2">
      <c r="E2023" s="50"/>
      <c r="H2023" s="12"/>
      <c r="K2023"/>
    </row>
    <row r="2024" spans="5:11" x14ac:dyDescent="0.2">
      <c r="E2024" s="50"/>
      <c r="H2024" s="12"/>
      <c r="K2024"/>
    </row>
    <row r="2025" spans="5:11" x14ac:dyDescent="0.2">
      <c r="E2025" s="50"/>
      <c r="H2025" s="12"/>
      <c r="K2025"/>
    </row>
    <row r="2026" spans="5:11" x14ac:dyDescent="0.2">
      <c r="E2026" s="50"/>
      <c r="H2026" s="12"/>
      <c r="K2026"/>
    </row>
    <row r="2027" spans="5:11" x14ac:dyDescent="0.2">
      <c r="E2027" s="50"/>
      <c r="H2027" s="12"/>
      <c r="K2027"/>
    </row>
    <row r="2028" spans="5:11" x14ac:dyDescent="0.2">
      <c r="E2028" s="50"/>
      <c r="H2028" s="12"/>
      <c r="K2028"/>
    </row>
    <row r="2029" spans="5:11" x14ac:dyDescent="0.2">
      <c r="E2029" s="50"/>
      <c r="H2029" s="12"/>
      <c r="K2029"/>
    </row>
    <row r="2030" spans="5:11" x14ac:dyDescent="0.2">
      <c r="E2030" s="50"/>
      <c r="H2030" s="12"/>
      <c r="K2030"/>
    </row>
    <row r="2031" spans="5:11" x14ac:dyDescent="0.2">
      <c r="E2031" s="50"/>
      <c r="H2031" s="12"/>
      <c r="K2031"/>
    </row>
    <row r="2032" spans="5:11" x14ac:dyDescent="0.2">
      <c r="E2032" s="50"/>
      <c r="H2032" s="12"/>
      <c r="K2032"/>
    </row>
    <row r="2033" spans="5:11" x14ac:dyDescent="0.2">
      <c r="E2033" s="50"/>
      <c r="H2033" s="12"/>
      <c r="K2033"/>
    </row>
    <row r="2034" spans="5:11" x14ac:dyDescent="0.2">
      <c r="E2034" s="50"/>
      <c r="H2034" s="12"/>
      <c r="K2034"/>
    </row>
    <row r="2035" spans="5:11" x14ac:dyDescent="0.2">
      <c r="E2035" s="50"/>
      <c r="H2035" s="12"/>
      <c r="K2035"/>
    </row>
    <row r="2036" spans="5:11" x14ac:dyDescent="0.2">
      <c r="E2036" s="50"/>
      <c r="H2036" s="12"/>
      <c r="K2036"/>
    </row>
    <row r="2037" spans="5:11" x14ac:dyDescent="0.2">
      <c r="E2037" s="50"/>
      <c r="H2037" s="12"/>
      <c r="K2037"/>
    </row>
    <row r="2038" spans="5:11" x14ac:dyDescent="0.2">
      <c r="E2038" s="50"/>
      <c r="H2038" s="12"/>
      <c r="K2038"/>
    </row>
    <row r="2039" spans="5:11" x14ac:dyDescent="0.2">
      <c r="E2039" s="50"/>
      <c r="H2039" s="12"/>
      <c r="K2039"/>
    </row>
    <row r="2040" spans="5:11" x14ac:dyDescent="0.2">
      <c r="E2040" s="50"/>
      <c r="H2040" s="12"/>
      <c r="K2040"/>
    </row>
    <row r="2041" spans="5:11" x14ac:dyDescent="0.2">
      <c r="E2041" s="50"/>
      <c r="H2041" s="12"/>
      <c r="K2041"/>
    </row>
    <row r="2042" spans="5:11" x14ac:dyDescent="0.2">
      <c r="E2042" s="50"/>
      <c r="H2042" s="12"/>
      <c r="K2042"/>
    </row>
    <row r="2043" spans="5:11" x14ac:dyDescent="0.2">
      <c r="E2043" s="50"/>
      <c r="H2043" s="12"/>
      <c r="K2043"/>
    </row>
    <row r="2044" spans="5:11" x14ac:dyDescent="0.2">
      <c r="E2044" s="50"/>
      <c r="H2044" s="12"/>
      <c r="K2044"/>
    </row>
    <row r="2045" spans="5:11" x14ac:dyDescent="0.2">
      <c r="E2045" s="50"/>
      <c r="H2045" s="12"/>
      <c r="K2045"/>
    </row>
    <row r="2046" spans="5:11" x14ac:dyDescent="0.2">
      <c r="E2046" s="50"/>
      <c r="H2046" s="12"/>
      <c r="K2046"/>
    </row>
    <row r="2047" spans="5:11" x14ac:dyDescent="0.2">
      <c r="E2047" s="50"/>
      <c r="H2047" s="12"/>
      <c r="K2047"/>
    </row>
    <row r="2048" spans="5:11" x14ac:dyDescent="0.2">
      <c r="E2048" s="50"/>
      <c r="H2048" s="12"/>
      <c r="K2048"/>
    </row>
    <row r="2049" spans="5:11" x14ac:dyDescent="0.2">
      <c r="E2049" s="50"/>
      <c r="H2049" s="12"/>
      <c r="K2049"/>
    </row>
    <row r="2050" spans="5:11" x14ac:dyDescent="0.2">
      <c r="E2050" s="50"/>
      <c r="H2050" s="12"/>
      <c r="K2050"/>
    </row>
    <row r="2051" spans="5:11" x14ac:dyDescent="0.2">
      <c r="E2051" s="50"/>
      <c r="H2051" s="12"/>
      <c r="K2051"/>
    </row>
    <row r="2052" spans="5:11" x14ac:dyDescent="0.2">
      <c r="E2052" s="50"/>
      <c r="H2052" s="12"/>
      <c r="K2052"/>
    </row>
    <row r="2053" spans="5:11" x14ac:dyDescent="0.2">
      <c r="E2053" s="50"/>
      <c r="H2053" s="12"/>
      <c r="K2053"/>
    </row>
    <row r="2054" spans="5:11" x14ac:dyDescent="0.2">
      <c r="E2054" s="50"/>
      <c r="H2054" s="12"/>
      <c r="K2054"/>
    </row>
    <row r="2055" spans="5:11" x14ac:dyDescent="0.2">
      <c r="E2055" s="50"/>
      <c r="H2055" s="12"/>
      <c r="K2055"/>
    </row>
    <row r="2056" spans="5:11" x14ac:dyDescent="0.2">
      <c r="E2056" s="50"/>
      <c r="H2056" s="12"/>
      <c r="K2056"/>
    </row>
    <row r="2057" spans="5:11" x14ac:dyDescent="0.2">
      <c r="E2057" s="50"/>
      <c r="H2057" s="12"/>
      <c r="K2057"/>
    </row>
    <row r="2058" spans="5:11" x14ac:dyDescent="0.2">
      <c r="E2058" s="50"/>
      <c r="H2058" s="12"/>
      <c r="K2058"/>
    </row>
    <row r="2059" spans="5:11" x14ac:dyDescent="0.2">
      <c r="E2059" s="50"/>
      <c r="H2059" s="12"/>
      <c r="K2059"/>
    </row>
    <row r="2060" spans="5:11" x14ac:dyDescent="0.2">
      <c r="E2060" s="50"/>
      <c r="H2060" s="12"/>
      <c r="K2060"/>
    </row>
    <row r="2061" spans="5:11" x14ac:dyDescent="0.2">
      <c r="E2061" s="50"/>
      <c r="H2061" s="12"/>
      <c r="K2061"/>
    </row>
    <row r="2062" spans="5:11" x14ac:dyDescent="0.2">
      <c r="E2062" s="50"/>
      <c r="H2062" s="12"/>
      <c r="K2062"/>
    </row>
    <row r="2063" spans="5:11" x14ac:dyDescent="0.2">
      <c r="E2063" s="50"/>
      <c r="H2063" s="12"/>
      <c r="K2063"/>
    </row>
    <row r="2064" spans="5:11" x14ac:dyDescent="0.2">
      <c r="E2064" s="50"/>
      <c r="H2064" s="12"/>
      <c r="K2064"/>
    </row>
    <row r="2065" spans="5:11" x14ac:dyDescent="0.2">
      <c r="E2065" s="50"/>
      <c r="H2065" s="12"/>
      <c r="K2065"/>
    </row>
    <row r="2066" spans="5:11" x14ac:dyDescent="0.2">
      <c r="E2066" s="50"/>
      <c r="H2066" s="12"/>
      <c r="K2066"/>
    </row>
    <row r="2067" spans="5:11" x14ac:dyDescent="0.2">
      <c r="E2067" s="50"/>
      <c r="H2067" s="12"/>
      <c r="K2067"/>
    </row>
    <row r="2068" spans="5:11" x14ac:dyDescent="0.2">
      <c r="E2068" s="50"/>
      <c r="H2068" s="12"/>
      <c r="K2068"/>
    </row>
    <row r="2069" spans="5:11" x14ac:dyDescent="0.2">
      <c r="E2069" s="50"/>
      <c r="H2069" s="12"/>
      <c r="K2069"/>
    </row>
    <row r="2070" spans="5:11" x14ac:dyDescent="0.2">
      <c r="E2070" s="50"/>
      <c r="H2070" s="12"/>
      <c r="K2070"/>
    </row>
    <row r="2071" spans="5:11" x14ac:dyDescent="0.2">
      <c r="E2071" s="50"/>
      <c r="H2071" s="12"/>
      <c r="K2071"/>
    </row>
    <row r="2072" spans="5:11" x14ac:dyDescent="0.2">
      <c r="E2072" s="50"/>
      <c r="H2072" s="12"/>
      <c r="K2072"/>
    </row>
    <row r="2073" spans="5:11" x14ac:dyDescent="0.2">
      <c r="E2073" s="50"/>
      <c r="H2073" s="12"/>
      <c r="K2073"/>
    </row>
    <row r="2074" spans="5:11" x14ac:dyDescent="0.2">
      <c r="E2074" s="50"/>
      <c r="H2074" s="12"/>
      <c r="K2074"/>
    </row>
    <row r="2075" spans="5:11" x14ac:dyDescent="0.2">
      <c r="E2075" s="50"/>
      <c r="H2075" s="12"/>
      <c r="K2075"/>
    </row>
    <row r="2076" spans="5:11" x14ac:dyDescent="0.2">
      <c r="E2076" s="50"/>
      <c r="H2076" s="12"/>
      <c r="K2076"/>
    </row>
    <row r="2077" spans="5:11" x14ac:dyDescent="0.2">
      <c r="E2077" s="50"/>
      <c r="H2077" s="12"/>
      <c r="K2077"/>
    </row>
    <row r="2078" spans="5:11" x14ac:dyDescent="0.2">
      <c r="E2078" s="50"/>
      <c r="H2078" s="12"/>
      <c r="K2078"/>
    </row>
    <row r="2079" spans="5:11" x14ac:dyDescent="0.2">
      <c r="E2079" s="50"/>
      <c r="H2079" s="12"/>
      <c r="K2079"/>
    </row>
    <row r="2080" spans="5:11" x14ac:dyDescent="0.2">
      <c r="E2080" s="50"/>
      <c r="H2080" s="12"/>
      <c r="K2080"/>
    </row>
    <row r="2081" spans="5:11" x14ac:dyDescent="0.2">
      <c r="E2081" s="50"/>
      <c r="H2081" s="12"/>
      <c r="K2081"/>
    </row>
    <row r="2082" spans="5:11" x14ac:dyDescent="0.2">
      <c r="E2082" s="50"/>
      <c r="H2082" s="12"/>
      <c r="K2082"/>
    </row>
    <row r="2083" spans="5:11" x14ac:dyDescent="0.2">
      <c r="E2083" s="50"/>
      <c r="H2083" s="12"/>
      <c r="K2083"/>
    </row>
    <row r="2084" spans="5:11" x14ac:dyDescent="0.2">
      <c r="E2084" s="50"/>
      <c r="H2084" s="12"/>
      <c r="K2084"/>
    </row>
    <row r="2085" spans="5:11" x14ac:dyDescent="0.2">
      <c r="E2085" s="50"/>
      <c r="H2085" s="12"/>
      <c r="K2085"/>
    </row>
    <row r="2086" spans="5:11" x14ac:dyDescent="0.2">
      <c r="E2086" s="50"/>
      <c r="H2086" s="12"/>
      <c r="K2086"/>
    </row>
    <row r="2087" spans="5:11" x14ac:dyDescent="0.2">
      <c r="E2087" s="50"/>
      <c r="H2087" s="12"/>
      <c r="K2087"/>
    </row>
    <row r="2088" spans="5:11" x14ac:dyDescent="0.2">
      <c r="E2088" s="50"/>
      <c r="H2088" s="12"/>
      <c r="K2088"/>
    </row>
    <row r="2089" spans="5:11" x14ac:dyDescent="0.2">
      <c r="E2089" s="50"/>
      <c r="H2089" s="12"/>
      <c r="K2089"/>
    </row>
    <row r="2090" spans="5:11" x14ac:dyDescent="0.2">
      <c r="E2090" s="50"/>
      <c r="H2090" s="12"/>
      <c r="K2090"/>
    </row>
    <row r="2091" spans="5:11" x14ac:dyDescent="0.2">
      <c r="E2091" s="50"/>
      <c r="H2091" s="12"/>
      <c r="K2091"/>
    </row>
    <row r="2092" spans="5:11" x14ac:dyDescent="0.2">
      <c r="E2092" s="50"/>
      <c r="H2092" s="12"/>
      <c r="K2092"/>
    </row>
    <row r="2093" spans="5:11" x14ac:dyDescent="0.2">
      <c r="E2093" s="50"/>
      <c r="H2093" s="12"/>
      <c r="K2093"/>
    </row>
    <row r="2094" spans="5:11" x14ac:dyDescent="0.2">
      <c r="E2094" s="50"/>
      <c r="H2094" s="12"/>
      <c r="K2094"/>
    </row>
    <row r="2095" spans="5:11" x14ac:dyDescent="0.2">
      <c r="E2095" s="50"/>
      <c r="H2095" s="12"/>
      <c r="K2095"/>
    </row>
    <row r="2096" spans="5:11" x14ac:dyDescent="0.2">
      <c r="E2096" s="50"/>
      <c r="H2096" s="12"/>
      <c r="K2096"/>
    </row>
    <row r="2097" spans="5:11" x14ac:dyDescent="0.2">
      <c r="E2097" s="50"/>
      <c r="H2097" s="12"/>
      <c r="K2097"/>
    </row>
    <row r="2098" spans="5:11" x14ac:dyDescent="0.2">
      <c r="E2098" s="50"/>
      <c r="H2098" s="12"/>
      <c r="K2098"/>
    </row>
    <row r="2099" spans="5:11" x14ac:dyDescent="0.2">
      <c r="E2099" s="50"/>
      <c r="H2099" s="12"/>
      <c r="K2099"/>
    </row>
    <row r="2100" spans="5:11" x14ac:dyDescent="0.2">
      <c r="E2100" s="50"/>
      <c r="H2100" s="12"/>
      <c r="K2100"/>
    </row>
    <row r="2101" spans="5:11" x14ac:dyDescent="0.2">
      <c r="E2101" s="50"/>
      <c r="H2101" s="12"/>
      <c r="K2101"/>
    </row>
    <row r="2102" spans="5:11" x14ac:dyDescent="0.2">
      <c r="E2102" s="50"/>
      <c r="H2102" s="12"/>
      <c r="K2102"/>
    </row>
    <row r="2103" spans="5:11" x14ac:dyDescent="0.2">
      <c r="E2103" s="50"/>
      <c r="H2103" s="12"/>
      <c r="K2103"/>
    </row>
    <row r="2104" spans="5:11" x14ac:dyDescent="0.2">
      <c r="E2104" s="50"/>
      <c r="H2104" s="12"/>
      <c r="K2104"/>
    </row>
    <row r="2105" spans="5:11" x14ac:dyDescent="0.2">
      <c r="E2105" s="50"/>
      <c r="H2105" s="12"/>
      <c r="K2105"/>
    </row>
    <row r="2106" spans="5:11" x14ac:dyDescent="0.2">
      <c r="E2106" s="50"/>
      <c r="H2106" s="12"/>
      <c r="K2106"/>
    </row>
    <row r="2107" spans="5:11" x14ac:dyDescent="0.2">
      <c r="E2107" s="50"/>
      <c r="H2107" s="12"/>
      <c r="K2107"/>
    </row>
    <row r="2108" spans="5:11" x14ac:dyDescent="0.2">
      <c r="E2108" s="50"/>
      <c r="H2108" s="12"/>
      <c r="K2108"/>
    </row>
    <row r="2109" spans="5:11" x14ac:dyDescent="0.2">
      <c r="E2109" s="50"/>
      <c r="H2109" s="12"/>
      <c r="K2109"/>
    </row>
    <row r="2110" spans="5:11" x14ac:dyDescent="0.2">
      <c r="E2110" s="50"/>
      <c r="H2110" s="12"/>
      <c r="K2110"/>
    </row>
    <row r="2111" spans="5:11" x14ac:dyDescent="0.2">
      <c r="E2111" s="50"/>
      <c r="H2111" s="12"/>
      <c r="K2111"/>
    </row>
    <row r="2112" spans="5:11" x14ac:dyDescent="0.2">
      <c r="E2112" s="50"/>
      <c r="H2112" s="12"/>
      <c r="K2112"/>
    </row>
    <row r="2113" spans="5:11" x14ac:dyDescent="0.2">
      <c r="E2113" s="50"/>
      <c r="H2113" s="12"/>
      <c r="K2113"/>
    </row>
    <row r="2114" spans="5:11" x14ac:dyDescent="0.2">
      <c r="E2114" s="50"/>
      <c r="H2114" s="12"/>
      <c r="K2114"/>
    </row>
    <row r="2115" spans="5:11" x14ac:dyDescent="0.2">
      <c r="E2115" s="50"/>
      <c r="H2115" s="12"/>
      <c r="K2115"/>
    </row>
    <row r="2116" spans="5:11" x14ac:dyDescent="0.2">
      <c r="E2116" s="50"/>
      <c r="H2116" s="12"/>
      <c r="K2116"/>
    </row>
    <row r="2117" spans="5:11" x14ac:dyDescent="0.2">
      <c r="E2117" s="50"/>
      <c r="H2117" s="12"/>
      <c r="K2117"/>
    </row>
    <row r="2118" spans="5:11" x14ac:dyDescent="0.2">
      <c r="E2118" s="50"/>
      <c r="H2118" s="12"/>
      <c r="K2118"/>
    </row>
    <row r="2119" spans="5:11" x14ac:dyDescent="0.2">
      <c r="E2119" s="50"/>
      <c r="H2119" s="12"/>
      <c r="K2119"/>
    </row>
    <row r="2120" spans="5:11" x14ac:dyDescent="0.2">
      <c r="E2120" s="50"/>
      <c r="H2120" s="12"/>
      <c r="K2120"/>
    </row>
    <row r="2121" spans="5:11" x14ac:dyDescent="0.2">
      <c r="E2121" s="50"/>
      <c r="H2121" s="12"/>
      <c r="K2121"/>
    </row>
    <row r="2122" spans="5:11" x14ac:dyDescent="0.2">
      <c r="E2122" s="50"/>
      <c r="H2122" s="12"/>
      <c r="K2122"/>
    </row>
    <row r="2123" spans="5:11" x14ac:dyDescent="0.2">
      <c r="E2123" s="50"/>
      <c r="H2123" s="12"/>
      <c r="K2123"/>
    </row>
    <row r="2124" spans="5:11" x14ac:dyDescent="0.2">
      <c r="E2124" s="50"/>
      <c r="H2124" s="12"/>
      <c r="K2124"/>
    </row>
    <row r="2125" spans="5:11" x14ac:dyDescent="0.2">
      <c r="E2125" s="50"/>
      <c r="H2125" s="12"/>
      <c r="K2125"/>
    </row>
    <row r="2126" spans="5:11" x14ac:dyDescent="0.2">
      <c r="E2126" s="50"/>
      <c r="H2126" s="12"/>
      <c r="K2126"/>
    </row>
    <row r="2127" spans="5:11" x14ac:dyDescent="0.2">
      <c r="E2127" s="50"/>
      <c r="H2127" s="12"/>
      <c r="K2127"/>
    </row>
    <row r="2128" spans="5:11" x14ac:dyDescent="0.2">
      <c r="E2128" s="50"/>
      <c r="H2128" s="12"/>
      <c r="K2128"/>
    </row>
    <row r="2129" spans="5:11" x14ac:dyDescent="0.2">
      <c r="E2129" s="50"/>
      <c r="H2129" s="12"/>
      <c r="K2129"/>
    </row>
    <row r="2130" spans="5:11" x14ac:dyDescent="0.2">
      <c r="E2130" s="50"/>
      <c r="H2130" s="12"/>
      <c r="K2130"/>
    </row>
    <row r="2131" spans="5:11" x14ac:dyDescent="0.2">
      <c r="E2131" s="50"/>
      <c r="H2131" s="12"/>
      <c r="K2131"/>
    </row>
    <row r="2132" spans="5:11" x14ac:dyDescent="0.2">
      <c r="E2132" s="50"/>
      <c r="H2132" s="12"/>
      <c r="K2132"/>
    </row>
    <row r="2133" spans="5:11" x14ac:dyDescent="0.2">
      <c r="E2133" s="50"/>
      <c r="H2133" s="12"/>
      <c r="K2133"/>
    </row>
    <row r="2134" spans="5:11" x14ac:dyDescent="0.2">
      <c r="E2134" s="50"/>
      <c r="H2134" s="12"/>
      <c r="K2134"/>
    </row>
    <row r="2135" spans="5:11" x14ac:dyDescent="0.2">
      <c r="E2135" s="50"/>
      <c r="H2135" s="12"/>
      <c r="K2135"/>
    </row>
    <row r="2136" spans="5:11" x14ac:dyDescent="0.2">
      <c r="E2136" s="50"/>
      <c r="H2136" s="12"/>
      <c r="K2136"/>
    </row>
    <row r="2137" spans="5:11" x14ac:dyDescent="0.2">
      <c r="E2137" s="50"/>
      <c r="H2137" s="12"/>
      <c r="K2137"/>
    </row>
    <row r="2138" spans="5:11" x14ac:dyDescent="0.2">
      <c r="E2138" s="50"/>
      <c r="H2138" s="12"/>
      <c r="K2138"/>
    </row>
    <row r="2139" spans="5:11" x14ac:dyDescent="0.2">
      <c r="E2139" s="50"/>
      <c r="H2139" s="12"/>
      <c r="K2139"/>
    </row>
    <row r="2140" spans="5:11" x14ac:dyDescent="0.2">
      <c r="E2140" s="50"/>
      <c r="H2140" s="12"/>
      <c r="K2140"/>
    </row>
    <row r="2141" spans="5:11" x14ac:dyDescent="0.2">
      <c r="E2141" s="50"/>
      <c r="H2141" s="12"/>
      <c r="K2141"/>
    </row>
    <row r="2142" spans="5:11" x14ac:dyDescent="0.2">
      <c r="E2142" s="50"/>
      <c r="H2142" s="12"/>
      <c r="K2142"/>
    </row>
    <row r="2143" spans="5:11" x14ac:dyDescent="0.2">
      <c r="E2143" s="50"/>
      <c r="H2143" s="12"/>
      <c r="K2143"/>
    </row>
    <row r="2144" spans="5:11" x14ac:dyDescent="0.2">
      <c r="E2144" s="50"/>
      <c r="H2144" s="12"/>
      <c r="K2144"/>
    </row>
    <row r="2145" spans="5:11" x14ac:dyDescent="0.2">
      <c r="E2145" s="50"/>
      <c r="H2145" s="12"/>
      <c r="K2145"/>
    </row>
    <row r="2146" spans="5:11" x14ac:dyDescent="0.2">
      <c r="E2146" s="50"/>
      <c r="H2146" s="12"/>
      <c r="K2146"/>
    </row>
    <row r="2147" spans="5:11" x14ac:dyDescent="0.2">
      <c r="E2147" s="50"/>
      <c r="H2147" s="12"/>
      <c r="K2147"/>
    </row>
    <row r="2148" spans="5:11" x14ac:dyDescent="0.2">
      <c r="E2148" s="50"/>
      <c r="H2148" s="12"/>
      <c r="K2148"/>
    </row>
    <row r="2149" spans="5:11" x14ac:dyDescent="0.2">
      <c r="E2149" s="50"/>
      <c r="H2149" s="12"/>
      <c r="K2149"/>
    </row>
    <row r="2150" spans="5:11" x14ac:dyDescent="0.2">
      <c r="E2150" s="50"/>
      <c r="H2150" s="12"/>
      <c r="K2150"/>
    </row>
    <row r="2151" spans="5:11" x14ac:dyDescent="0.2">
      <c r="E2151" s="50"/>
      <c r="H2151" s="12"/>
      <c r="K2151"/>
    </row>
    <row r="2152" spans="5:11" x14ac:dyDescent="0.2">
      <c r="E2152" s="50"/>
      <c r="H2152" s="12"/>
      <c r="K2152"/>
    </row>
    <row r="2153" spans="5:11" x14ac:dyDescent="0.2">
      <c r="E2153" s="50"/>
      <c r="H2153" s="12"/>
      <c r="K2153"/>
    </row>
    <row r="2154" spans="5:11" x14ac:dyDescent="0.2">
      <c r="E2154" s="50"/>
      <c r="H2154" s="12"/>
      <c r="K2154"/>
    </row>
    <row r="2155" spans="5:11" x14ac:dyDescent="0.2">
      <c r="E2155" s="50"/>
      <c r="H2155" s="12"/>
      <c r="K2155"/>
    </row>
    <row r="2156" spans="5:11" x14ac:dyDescent="0.2">
      <c r="E2156" s="50"/>
      <c r="H2156" s="12"/>
      <c r="K2156"/>
    </row>
    <row r="2157" spans="5:11" x14ac:dyDescent="0.2">
      <c r="E2157" s="50"/>
      <c r="H2157" s="12"/>
      <c r="K2157"/>
    </row>
    <row r="2158" spans="5:11" x14ac:dyDescent="0.2">
      <c r="E2158" s="50"/>
      <c r="H2158" s="12"/>
      <c r="K2158"/>
    </row>
    <row r="2159" spans="5:11" x14ac:dyDescent="0.2">
      <c r="E2159" s="50"/>
      <c r="H2159" s="12"/>
      <c r="K2159"/>
    </row>
    <row r="2160" spans="5:11" x14ac:dyDescent="0.2">
      <c r="E2160" s="50"/>
      <c r="H2160" s="12"/>
      <c r="K2160"/>
    </row>
    <row r="2161" spans="5:11" x14ac:dyDescent="0.2">
      <c r="E2161" s="50"/>
      <c r="H2161" s="12"/>
      <c r="K2161"/>
    </row>
    <row r="2162" spans="5:11" x14ac:dyDescent="0.2">
      <c r="E2162" s="50"/>
      <c r="H2162" s="12"/>
      <c r="K2162"/>
    </row>
    <row r="2163" spans="5:11" x14ac:dyDescent="0.2">
      <c r="E2163" s="50"/>
      <c r="H2163" s="12"/>
      <c r="K2163"/>
    </row>
    <row r="2164" spans="5:11" x14ac:dyDescent="0.2">
      <c r="E2164" s="50"/>
      <c r="H2164" s="12"/>
      <c r="K2164"/>
    </row>
    <row r="2165" spans="5:11" x14ac:dyDescent="0.2">
      <c r="E2165" s="50"/>
      <c r="H2165" s="12"/>
      <c r="K2165"/>
    </row>
    <row r="2166" spans="5:11" x14ac:dyDescent="0.2">
      <c r="E2166" s="50"/>
      <c r="H2166" s="12"/>
      <c r="K2166"/>
    </row>
    <row r="2167" spans="5:11" x14ac:dyDescent="0.2">
      <c r="E2167" s="50"/>
      <c r="H2167" s="12"/>
      <c r="K2167"/>
    </row>
    <row r="2168" spans="5:11" x14ac:dyDescent="0.2">
      <c r="E2168" s="50"/>
      <c r="H2168" s="12"/>
      <c r="K2168"/>
    </row>
    <row r="2169" spans="5:11" x14ac:dyDescent="0.2">
      <c r="E2169" s="50"/>
      <c r="H2169" s="12"/>
      <c r="K2169"/>
    </row>
    <row r="2170" spans="5:11" x14ac:dyDescent="0.2">
      <c r="E2170" s="50"/>
      <c r="H2170" s="12"/>
      <c r="K2170"/>
    </row>
    <row r="2171" spans="5:11" x14ac:dyDescent="0.2">
      <c r="E2171" s="50"/>
      <c r="H2171" s="12"/>
      <c r="K2171"/>
    </row>
    <row r="2172" spans="5:11" x14ac:dyDescent="0.2">
      <c r="E2172" s="50"/>
      <c r="H2172" s="12"/>
      <c r="K2172"/>
    </row>
    <row r="2173" spans="5:11" x14ac:dyDescent="0.2">
      <c r="E2173" s="50"/>
      <c r="H2173" s="12"/>
      <c r="K2173"/>
    </row>
    <row r="2174" spans="5:11" x14ac:dyDescent="0.2">
      <c r="E2174" s="50"/>
      <c r="H2174" s="12"/>
      <c r="K2174"/>
    </row>
    <row r="2175" spans="5:11" x14ac:dyDescent="0.2">
      <c r="E2175" s="50"/>
      <c r="H2175" s="12"/>
      <c r="K2175"/>
    </row>
    <row r="2176" spans="5:11" x14ac:dyDescent="0.2">
      <c r="E2176" s="50"/>
      <c r="H2176" s="12"/>
      <c r="K2176"/>
    </row>
    <row r="2177" spans="5:11" x14ac:dyDescent="0.2">
      <c r="E2177" s="50"/>
      <c r="H2177" s="12"/>
      <c r="K2177"/>
    </row>
    <row r="2178" spans="5:11" x14ac:dyDescent="0.2">
      <c r="E2178" s="50"/>
      <c r="H2178" s="12"/>
      <c r="K2178"/>
    </row>
    <row r="2179" spans="5:11" x14ac:dyDescent="0.2">
      <c r="E2179" s="50"/>
      <c r="H2179" s="12"/>
      <c r="K2179"/>
    </row>
    <row r="2180" spans="5:11" x14ac:dyDescent="0.2">
      <c r="E2180" s="50"/>
      <c r="H2180" s="12"/>
      <c r="K2180"/>
    </row>
    <row r="2181" spans="5:11" x14ac:dyDescent="0.2">
      <c r="E2181" s="50"/>
      <c r="H2181" s="12"/>
      <c r="K2181"/>
    </row>
    <row r="2182" spans="5:11" x14ac:dyDescent="0.2">
      <c r="E2182" s="50"/>
      <c r="H2182" s="12"/>
      <c r="K2182"/>
    </row>
    <row r="2183" spans="5:11" x14ac:dyDescent="0.2">
      <c r="E2183" s="50"/>
      <c r="H2183" s="12"/>
      <c r="K2183"/>
    </row>
    <row r="2184" spans="5:11" x14ac:dyDescent="0.2">
      <c r="E2184" s="50"/>
      <c r="H2184" s="12"/>
      <c r="K2184"/>
    </row>
    <row r="2185" spans="5:11" x14ac:dyDescent="0.2">
      <c r="E2185" s="50"/>
      <c r="H2185" s="12"/>
      <c r="K2185"/>
    </row>
    <row r="2186" spans="5:11" x14ac:dyDescent="0.2">
      <c r="E2186" s="50"/>
      <c r="H2186" s="12"/>
      <c r="K2186"/>
    </row>
    <row r="2187" spans="5:11" x14ac:dyDescent="0.2">
      <c r="E2187" s="50"/>
      <c r="H2187" s="12"/>
      <c r="K2187"/>
    </row>
    <row r="2188" spans="5:11" x14ac:dyDescent="0.2">
      <c r="E2188" s="50"/>
      <c r="H2188" s="12"/>
      <c r="K2188"/>
    </row>
    <row r="2189" spans="5:11" x14ac:dyDescent="0.2">
      <c r="E2189" s="50"/>
      <c r="H2189" s="12"/>
      <c r="K2189"/>
    </row>
    <row r="2190" spans="5:11" x14ac:dyDescent="0.2">
      <c r="E2190" s="50"/>
      <c r="H2190" s="12"/>
      <c r="K2190"/>
    </row>
    <row r="2191" spans="5:11" x14ac:dyDescent="0.2">
      <c r="E2191" s="50"/>
      <c r="H2191" s="12"/>
      <c r="K2191"/>
    </row>
    <row r="2192" spans="5:11" x14ac:dyDescent="0.2">
      <c r="E2192" s="50"/>
      <c r="H2192" s="12"/>
      <c r="K2192"/>
    </row>
    <row r="2193" spans="5:11" x14ac:dyDescent="0.2">
      <c r="E2193" s="50"/>
      <c r="H2193" s="12"/>
      <c r="K2193"/>
    </row>
    <row r="2194" spans="5:11" x14ac:dyDescent="0.2">
      <c r="E2194" s="50"/>
      <c r="H2194" s="12"/>
      <c r="K2194"/>
    </row>
    <row r="2195" spans="5:11" x14ac:dyDescent="0.2">
      <c r="E2195" s="50"/>
      <c r="H2195" s="12"/>
      <c r="K2195"/>
    </row>
    <row r="2196" spans="5:11" x14ac:dyDescent="0.2">
      <c r="E2196" s="50"/>
      <c r="H2196" s="12"/>
      <c r="K2196"/>
    </row>
    <row r="2197" spans="5:11" x14ac:dyDescent="0.2">
      <c r="E2197" s="50"/>
      <c r="H2197" s="12"/>
      <c r="K2197"/>
    </row>
    <row r="2198" spans="5:11" x14ac:dyDescent="0.2">
      <c r="E2198" s="50"/>
      <c r="H2198" s="12"/>
      <c r="K2198"/>
    </row>
    <row r="2199" spans="5:11" x14ac:dyDescent="0.2">
      <c r="E2199" s="50"/>
      <c r="H2199" s="12"/>
      <c r="K2199"/>
    </row>
    <row r="2200" spans="5:11" x14ac:dyDescent="0.2">
      <c r="E2200" s="50"/>
      <c r="H2200" s="12"/>
      <c r="K2200"/>
    </row>
    <row r="2201" spans="5:11" x14ac:dyDescent="0.2">
      <c r="E2201" s="50"/>
      <c r="H2201" s="12"/>
      <c r="K2201"/>
    </row>
    <row r="2202" spans="5:11" x14ac:dyDescent="0.2">
      <c r="E2202" s="50"/>
      <c r="H2202" s="12"/>
      <c r="K2202"/>
    </row>
    <row r="2203" spans="5:11" x14ac:dyDescent="0.2">
      <c r="E2203" s="50"/>
      <c r="H2203" s="12"/>
      <c r="K2203"/>
    </row>
    <row r="2204" spans="5:11" x14ac:dyDescent="0.2">
      <c r="E2204" s="50"/>
      <c r="H2204" s="12"/>
      <c r="K2204"/>
    </row>
    <row r="2205" spans="5:11" x14ac:dyDescent="0.2">
      <c r="E2205" s="50"/>
      <c r="H2205" s="12"/>
      <c r="K2205"/>
    </row>
    <row r="2206" spans="5:11" x14ac:dyDescent="0.2">
      <c r="E2206" s="50"/>
      <c r="H2206" s="12"/>
      <c r="K2206"/>
    </row>
    <row r="2207" spans="5:11" x14ac:dyDescent="0.2">
      <c r="E2207" s="50"/>
      <c r="H2207" s="12"/>
      <c r="K2207"/>
    </row>
    <row r="2208" spans="5:11" x14ac:dyDescent="0.2">
      <c r="E2208" s="50"/>
      <c r="H2208" s="12"/>
      <c r="K2208"/>
    </row>
    <row r="2209" spans="5:11" x14ac:dyDescent="0.2">
      <c r="E2209" s="50"/>
      <c r="H2209" s="12"/>
      <c r="K2209"/>
    </row>
    <row r="2210" spans="5:11" x14ac:dyDescent="0.2">
      <c r="E2210" s="50"/>
      <c r="H2210" s="12"/>
      <c r="K2210"/>
    </row>
    <row r="2211" spans="5:11" x14ac:dyDescent="0.2">
      <c r="E2211" s="50"/>
      <c r="H2211" s="12"/>
      <c r="K2211"/>
    </row>
    <row r="2212" spans="5:11" x14ac:dyDescent="0.2">
      <c r="E2212" s="50"/>
      <c r="H2212" s="12"/>
      <c r="K2212"/>
    </row>
    <row r="2213" spans="5:11" x14ac:dyDescent="0.2">
      <c r="E2213" s="50"/>
      <c r="H2213" s="12"/>
      <c r="K2213"/>
    </row>
    <row r="2214" spans="5:11" x14ac:dyDescent="0.2">
      <c r="E2214" s="50"/>
      <c r="H2214" s="12"/>
      <c r="K2214"/>
    </row>
    <row r="2215" spans="5:11" x14ac:dyDescent="0.2">
      <c r="E2215" s="50"/>
      <c r="H2215" s="12"/>
      <c r="K2215"/>
    </row>
    <row r="2216" spans="5:11" x14ac:dyDescent="0.2">
      <c r="E2216" s="50"/>
      <c r="H2216" s="12"/>
      <c r="K2216"/>
    </row>
    <row r="2217" spans="5:11" x14ac:dyDescent="0.2">
      <c r="E2217" s="50"/>
      <c r="H2217" s="12"/>
      <c r="K2217"/>
    </row>
    <row r="2218" spans="5:11" x14ac:dyDescent="0.2">
      <c r="E2218" s="50"/>
      <c r="H2218" s="12"/>
      <c r="K2218"/>
    </row>
    <row r="2219" spans="5:11" x14ac:dyDescent="0.2">
      <c r="E2219" s="50"/>
      <c r="H2219" s="12"/>
      <c r="K2219"/>
    </row>
    <row r="2220" spans="5:11" x14ac:dyDescent="0.2">
      <c r="E2220" s="50"/>
      <c r="H2220" s="12"/>
      <c r="K2220"/>
    </row>
    <row r="2221" spans="5:11" x14ac:dyDescent="0.2">
      <c r="E2221" s="50"/>
      <c r="H2221" s="12"/>
      <c r="K2221"/>
    </row>
    <row r="2222" spans="5:11" x14ac:dyDescent="0.2">
      <c r="E2222" s="50"/>
      <c r="H2222" s="12"/>
      <c r="K2222"/>
    </row>
    <row r="2223" spans="5:11" x14ac:dyDescent="0.2">
      <c r="E2223" s="50"/>
      <c r="H2223" s="12"/>
      <c r="K2223"/>
    </row>
    <row r="2224" spans="5:11" x14ac:dyDescent="0.2">
      <c r="E2224" s="50"/>
      <c r="H2224" s="12"/>
      <c r="K2224"/>
    </row>
    <row r="2225" spans="5:11" x14ac:dyDescent="0.2">
      <c r="E2225" s="50"/>
      <c r="H2225" s="12"/>
      <c r="K2225"/>
    </row>
    <row r="2226" spans="5:11" x14ac:dyDescent="0.2">
      <c r="E2226" s="50"/>
      <c r="H2226" s="12"/>
      <c r="K2226"/>
    </row>
    <row r="2227" spans="5:11" x14ac:dyDescent="0.2">
      <c r="E2227" s="50"/>
      <c r="H2227" s="12"/>
      <c r="K2227"/>
    </row>
    <row r="2228" spans="5:11" x14ac:dyDescent="0.2">
      <c r="E2228" s="50"/>
      <c r="H2228" s="12"/>
      <c r="K2228"/>
    </row>
    <row r="2229" spans="5:11" x14ac:dyDescent="0.2">
      <c r="E2229" s="50"/>
      <c r="H2229" s="12"/>
      <c r="K2229"/>
    </row>
    <row r="2230" spans="5:11" x14ac:dyDescent="0.2">
      <c r="E2230" s="50"/>
      <c r="H2230" s="12"/>
      <c r="K2230"/>
    </row>
    <row r="2231" spans="5:11" x14ac:dyDescent="0.2">
      <c r="E2231" s="50"/>
      <c r="H2231" s="12"/>
      <c r="K2231"/>
    </row>
    <row r="2232" spans="5:11" x14ac:dyDescent="0.2">
      <c r="E2232" s="50"/>
      <c r="H2232" s="12"/>
      <c r="K2232"/>
    </row>
    <row r="2233" spans="5:11" x14ac:dyDescent="0.2">
      <c r="E2233" s="50"/>
      <c r="H2233" s="12"/>
      <c r="K2233"/>
    </row>
    <row r="2234" spans="5:11" x14ac:dyDescent="0.2">
      <c r="E2234" s="50"/>
      <c r="H2234" s="12"/>
      <c r="K2234"/>
    </row>
    <row r="2235" spans="5:11" x14ac:dyDescent="0.2">
      <c r="E2235" s="50"/>
      <c r="H2235" s="12"/>
      <c r="K2235"/>
    </row>
    <row r="2236" spans="5:11" x14ac:dyDescent="0.2">
      <c r="E2236" s="50"/>
      <c r="H2236" s="12"/>
      <c r="K2236"/>
    </row>
    <row r="2237" spans="5:11" x14ac:dyDescent="0.2">
      <c r="E2237" s="50"/>
      <c r="H2237" s="12"/>
      <c r="K2237"/>
    </row>
    <row r="2238" spans="5:11" x14ac:dyDescent="0.2">
      <c r="E2238" s="50"/>
      <c r="H2238" s="12"/>
      <c r="K2238"/>
    </row>
    <row r="2239" spans="5:11" x14ac:dyDescent="0.2">
      <c r="E2239" s="50"/>
      <c r="H2239" s="12"/>
      <c r="K2239"/>
    </row>
    <row r="2240" spans="5:11" x14ac:dyDescent="0.2">
      <c r="E2240" s="50"/>
      <c r="H2240" s="12"/>
      <c r="K2240"/>
    </row>
    <row r="2241" spans="5:11" x14ac:dyDescent="0.2">
      <c r="E2241" s="50"/>
      <c r="H2241" s="12"/>
      <c r="K2241"/>
    </row>
    <row r="2242" spans="5:11" x14ac:dyDescent="0.2">
      <c r="E2242" s="50"/>
      <c r="H2242" s="12"/>
      <c r="K2242"/>
    </row>
    <row r="2243" spans="5:11" x14ac:dyDescent="0.2">
      <c r="E2243" s="50"/>
      <c r="H2243" s="12"/>
      <c r="K2243"/>
    </row>
    <row r="2244" spans="5:11" x14ac:dyDescent="0.2">
      <c r="E2244" s="50"/>
      <c r="H2244" s="12"/>
      <c r="K2244"/>
    </row>
    <row r="2245" spans="5:11" x14ac:dyDescent="0.2">
      <c r="E2245" s="50"/>
      <c r="H2245" s="12"/>
      <c r="K2245"/>
    </row>
    <row r="2246" spans="5:11" x14ac:dyDescent="0.2">
      <c r="E2246" s="50"/>
      <c r="H2246" s="12"/>
      <c r="K2246"/>
    </row>
    <row r="2247" spans="5:11" x14ac:dyDescent="0.2">
      <c r="E2247" s="50"/>
      <c r="H2247" s="12"/>
      <c r="K2247"/>
    </row>
    <row r="2248" spans="5:11" x14ac:dyDescent="0.2">
      <c r="E2248" s="50"/>
      <c r="H2248" s="12"/>
      <c r="K2248"/>
    </row>
    <row r="2249" spans="5:11" x14ac:dyDescent="0.2">
      <c r="E2249" s="50"/>
      <c r="H2249" s="12"/>
      <c r="K2249"/>
    </row>
    <row r="2250" spans="5:11" x14ac:dyDescent="0.2">
      <c r="E2250" s="50"/>
      <c r="H2250" s="12"/>
      <c r="K2250"/>
    </row>
    <row r="2251" spans="5:11" x14ac:dyDescent="0.2">
      <c r="E2251" s="50"/>
      <c r="H2251" s="12"/>
      <c r="K2251"/>
    </row>
    <row r="2252" spans="5:11" x14ac:dyDescent="0.2">
      <c r="E2252" s="50"/>
      <c r="H2252" s="12"/>
      <c r="K2252"/>
    </row>
    <row r="2253" spans="5:11" x14ac:dyDescent="0.2">
      <c r="E2253" s="50"/>
      <c r="H2253" s="12"/>
      <c r="K2253"/>
    </row>
    <row r="2254" spans="5:11" x14ac:dyDescent="0.2">
      <c r="E2254" s="50"/>
      <c r="H2254" s="12"/>
      <c r="K2254"/>
    </row>
    <row r="2255" spans="5:11" x14ac:dyDescent="0.2">
      <c r="E2255" s="50"/>
      <c r="H2255" s="12"/>
      <c r="K2255"/>
    </row>
    <row r="2256" spans="5:11" x14ac:dyDescent="0.2">
      <c r="E2256" s="50"/>
      <c r="H2256" s="12"/>
      <c r="K2256"/>
    </row>
    <row r="2257" spans="5:11" x14ac:dyDescent="0.2">
      <c r="E2257" s="50"/>
      <c r="H2257" s="12"/>
      <c r="K2257"/>
    </row>
    <row r="2258" spans="5:11" x14ac:dyDescent="0.2">
      <c r="E2258" s="50"/>
      <c r="H2258" s="12"/>
      <c r="K2258"/>
    </row>
    <row r="2259" spans="5:11" x14ac:dyDescent="0.2">
      <c r="E2259" s="50"/>
      <c r="H2259" s="12"/>
      <c r="K2259"/>
    </row>
    <row r="2260" spans="5:11" x14ac:dyDescent="0.2">
      <c r="E2260" s="50"/>
      <c r="H2260" s="12"/>
      <c r="K2260"/>
    </row>
    <row r="2261" spans="5:11" x14ac:dyDescent="0.2">
      <c r="E2261" s="50"/>
      <c r="H2261" s="12"/>
      <c r="K2261"/>
    </row>
    <row r="2262" spans="5:11" x14ac:dyDescent="0.2">
      <c r="E2262" s="50"/>
      <c r="H2262" s="12"/>
      <c r="K2262"/>
    </row>
    <row r="2263" spans="5:11" x14ac:dyDescent="0.2">
      <c r="E2263" s="50"/>
      <c r="H2263" s="12"/>
      <c r="K2263"/>
    </row>
    <row r="2264" spans="5:11" x14ac:dyDescent="0.2">
      <c r="E2264" s="50"/>
      <c r="H2264" s="12"/>
      <c r="K2264"/>
    </row>
    <row r="2265" spans="5:11" x14ac:dyDescent="0.2">
      <c r="E2265" s="50"/>
      <c r="H2265" s="12"/>
      <c r="K2265"/>
    </row>
    <row r="2266" spans="5:11" x14ac:dyDescent="0.2">
      <c r="E2266" s="50"/>
      <c r="H2266" s="12"/>
      <c r="K2266"/>
    </row>
    <row r="2267" spans="5:11" x14ac:dyDescent="0.2">
      <c r="E2267" s="50"/>
      <c r="H2267" s="12"/>
      <c r="K2267"/>
    </row>
    <row r="2268" spans="5:11" x14ac:dyDescent="0.2">
      <c r="E2268" s="50"/>
      <c r="H2268" s="12"/>
      <c r="K2268"/>
    </row>
    <row r="2269" spans="5:11" x14ac:dyDescent="0.2">
      <c r="E2269" s="50"/>
      <c r="H2269" s="12"/>
      <c r="K2269"/>
    </row>
    <row r="2270" spans="5:11" x14ac:dyDescent="0.2">
      <c r="E2270" s="50"/>
      <c r="H2270" s="12"/>
      <c r="K2270"/>
    </row>
    <row r="2271" spans="5:11" x14ac:dyDescent="0.2">
      <c r="E2271" s="50"/>
      <c r="H2271" s="12"/>
      <c r="K2271"/>
    </row>
    <row r="2272" spans="5:11" x14ac:dyDescent="0.2">
      <c r="E2272" s="50"/>
      <c r="H2272" s="12"/>
      <c r="K2272"/>
    </row>
    <row r="2273" spans="5:11" x14ac:dyDescent="0.2">
      <c r="E2273" s="50"/>
      <c r="H2273" s="12"/>
      <c r="K2273"/>
    </row>
    <row r="2274" spans="5:11" x14ac:dyDescent="0.2">
      <c r="E2274" s="50"/>
      <c r="H2274" s="12"/>
      <c r="K2274"/>
    </row>
    <row r="2275" spans="5:11" x14ac:dyDescent="0.2">
      <c r="E2275" s="50"/>
      <c r="H2275" s="12"/>
      <c r="K2275"/>
    </row>
    <row r="2276" spans="5:11" x14ac:dyDescent="0.2">
      <c r="E2276" s="50"/>
      <c r="H2276" s="12"/>
      <c r="K2276"/>
    </row>
    <row r="2277" spans="5:11" x14ac:dyDescent="0.2">
      <c r="E2277" s="50"/>
      <c r="H2277" s="12"/>
      <c r="K2277"/>
    </row>
    <row r="2278" spans="5:11" x14ac:dyDescent="0.2">
      <c r="E2278" s="50"/>
      <c r="H2278" s="12"/>
      <c r="K2278"/>
    </row>
    <row r="2279" spans="5:11" x14ac:dyDescent="0.2">
      <c r="E2279" s="50"/>
      <c r="H2279" s="12"/>
      <c r="K2279"/>
    </row>
    <row r="2280" spans="5:11" x14ac:dyDescent="0.2">
      <c r="E2280" s="50"/>
      <c r="H2280" s="12"/>
      <c r="K2280"/>
    </row>
    <row r="2281" spans="5:11" x14ac:dyDescent="0.2">
      <c r="E2281" s="50"/>
      <c r="H2281" s="12"/>
      <c r="K2281"/>
    </row>
    <row r="2282" spans="5:11" x14ac:dyDescent="0.2">
      <c r="E2282" s="50"/>
      <c r="H2282" s="12"/>
      <c r="K2282"/>
    </row>
    <row r="2283" spans="5:11" x14ac:dyDescent="0.2">
      <c r="E2283" s="50"/>
      <c r="H2283" s="12"/>
      <c r="K2283"/>
    </row>
    <row r="2284" spans="5:11" x14ac:dyDescent="0.2">
      <c r="E2284" s="50"/>
      <c r="H2284" s="12"/>
      <c r="K2284"/>
    </row>
    <row r="2285" spans="5:11" x14ac:dyDescent="0.2">
      <c r="E2285" s="50"/>
      <c r="H2285" s="12"/>
      <c r="K2285"/>
    </row>
    <row r="2286" spans="5:11" x14ac:dyDescent="0.2">
      <c r="E2286" s="50"/>
      <c r="H2286" s="12"/>
      <c r="K2286"/>
    </row>
    <row r="2287" spans="5:11" x14ac:dyDescent="0.2">
      <c r="E2287" s="50"/>
      <c r="H2287" s="12"/>
      <c r="K2287"/>
    </row>
    <row r="2288" spans="5:11" x14ac:dyDescent="0.2">
      <c r="E2288" s="50"/>
      <c r="H2288" s="12"/>
      <c r="K2288"/>
    </row>
    <row r="2289" spans="5:11" x14ac:dyDescent="0.2">
      <c r="E2289" s="50"/>
      <c r="H2289" s="12"/>
      <c r="K2289"/>
    </row>
    <row r="2290" spans="5:11" x14ac:dyDescent="0.2">
      <c r="E2290" s="50"/>
      <c r="H2290" s="12"/>
      <c r="K2290"/>
    </row>
    <row r="2291" spans="5:11" x14ac:dyDescent="0.2">
      <c r="E2291" s="50"/>
      <c r="H2291" s="12"/>
      <c r="K2291"/>
    </row>
    <row r="2292" spans="5:11" x14ac:dyDescent="0.2">
      <c r="E2292" s="50"/>
      <c r="H2292" s="12"/>
      <c r="K2292"/>
    </row>
    <row r="2293" spans="5:11" x14ac:dyDescent="0.2">
      <c r="E2293" s="50"/>
      <c r="H2293" s="12"/>
      <c r="K2293"/>
    </row>
    <row r="2294" spans="5:11" x14ac:dyDescent="0.2">
      <c r="E2294" s="50"/>
      <c r="H2294" s="12"/>
      <c r="K2294"/>
    </row>
    <row r="2295" spans="5:11" x14ac:dyDescent="0.2">
      <c r="E2295" s="50"/>
      <c r="H2295" s="12"/>
      <c r="K2295"/>
    </row>
    <row r="2296" spans="5:11" x14ac:dyDescent="0.2">
      <c r="E2296" s="50"/>
      <c r="H2296" s="12"/>
      <c r="K2296"/>
    </row>
    <row r="2297" spans="5:11" x14ac:dyDescent="0.2">
      <c r="E2297" s="50"/>
      <c r="H2297" s="12"/>
      <c r="K2297"/>
    </row>
    <row r="2298" spans="5:11" x14ac:dyDescent="0.2">
      <c r="E2298" s="50"/>
      <c r="H2298" s="12"/>
      <c r="K2298"/>
    </row>
    <row r="2299" spans="5:11" x14ac:dyDescent="0.2">
      <c r="E2299" s="50"/>
      <c r="H2299" s="12"/>
      <c r="K2299"/>
    </row>
    <row r="2300" spans="5:11" x14ac:dyDescent="0.2">
      <c r="E2300" s="50"/>
      <c r="H2300" s="12"/>
      <c r="K2300"/>
    </row>
    <row r="2301" spans="5:11" x14ac:dyDescent="0.2">
      <c r="E2301" s="50"/>
      <c r="H2301" s="12"/>
      <c r="K2301"/>
    </row>
    <row r="2302" spans="5:11" x14ac:dyDescent="0.2">
      <c r="E2302" s="50"/>
      <c r="H2302" s="12"/>
      <c r="K2302"/>
    </row>
    <row r="2303" spans="5:11" x14ac:dyDescent="0.2">
      <c r="E2303" s="50"/>
      <c r="H2303" s="12"/>
      <c r="K2303"/>
    </row>
    <row r="2304" spans="5:11" x14ac:dyDescent="0.2">
      <c r="E2304" s="50"/>
      <c r="H2304" s="12"/>
      <c r="K2304"/>
    </row>
    <row r="2305" spans="5:11" x14ac:dyDescent="0.2">
      <c r="E2305" s="50"/>
      <c r="H2305" s="12"/>
      <c r="K2305"/>
    </row>
    <row r="2306" spans="5:11" x14ac:dyDescent="0.2">
      <c r="E2306" s="50"/>
      <c r="H2306" s="12"/>
      <c r="K2306"/>
    </row>
    <row r="2307" spans="5:11" x14ac:dyDescent="0.2">
      <c r="E2307" s="50"/>
      <c r="H2307" s="12"/>
      <c r="K2307"/>
    </row>
    <row r="2308" spans="5:11" x14ac:dyDescent="0.2">
      <c r="E2308" s="50"/>
      <c r="H2308" s="12"/>
      <c r="K2308"/>
    </row>
    <row r="2309" spans="5:11" x14ac:dyDescent="0.2">
      <c r="E2309" s="50"/>
      <c r="H2309" s="12"/>
      <c r="K2309"/>
    </row>
    <row r="2310" spans="5:11" x14ac:dyDescent="0.2">
      <c r="E2310" s="50"/>
      <c r="H2310" s="12"/>
      <c r="K2310"/>
    </row>
    <row r="2311" spans="5:11" x14ac:dyDescent="0.2">
      <c r="E2311" s="50"/>
      <c r="H2311" s="12"/>
      <c r="K2311"/>
    </row>
    <row r="2312" spans="5:11" x14ac:dyDescent="0.2">
      <c r="E2312" s="50"/>
      <c r="H2312" s="12"/>
      <c r="K2312"/>
    </row>
    <row r="2313" spans="5:11" x14ac:dyDescent="0.2">
      <c r="E2313" s="50"/>
      <c r="H2313" s="12"/>
      <c r="K2313"/>
    </row>
    <row r="2314" spans="5:11" x14ac:dyDescent="0.2">
      <c r="E2314" s="50"/>
      <c r="H2314" s="12"/>
      <c r="K2314"/>
    </row>
    <row r="2315" spans="5:11" x14ac:dyDescent="0.2">
      <c r="E2315" s="50"/>
      <c r="H2315" s="12"/>
      <c r="K2315"/>
    </row>
    <row r="2316" spans="5:11" x14ac:dyDescent="0.2">
      <c r="E2316" s="50"/>
      <c r="H2316" s="12"/>
      <c r="K2316"/>
    </row>
    <row r="2317" spans="5:11" x14ac:dyDescent="0.2">
      <c r="E2317" s="50"/>
      <c r="H2317" s="12"/>
      <c r="K2317"/>
    </row>
    <row r="2318" spans="5:11" x14ac:dyDescent="0.2">
      <c r="E2318" s="50"/>
      <c r="H2318" s="12"/>
      <c r="K2318"/>
    </row>
    <row r="2319" spans="5:11" x14ac:dyDescent="0.2">
      <c r="E2319" s="50"/>
      <c r="H2319" s="12"/>
      <c r="K2319"/>
    </row>
    <row r="2320" spans="5:11" x14ac:dyDescent="0.2">
      <c r="E2320" s="50"/>
      <c r="H2320" s="12"/>
      <c r="K2320"/>
    </row>
    <row r="2321" spans="5:11" x14ac:dyDescent="0.2">
      <c r="E2321" s="50"/>
      <c r="H2321" s="12"/>
      <c r="K2321"/>
    </row>
    <row r="2322" spans="5:11" x14ac:dyDescent="0.2">
      <c r="E2322" s="50"/>
      <c r="H2322" s="12"/>
      <c r="K2322"/>
    </row>
    <row r="2323" spans="5:11" x14ac:dyDescent="0.2">
      <c r="E2323" s="50"/>
      <c r="H2323" s="12"/>
      <c r="K2323"/>
    </row>
    <row r="2324" spans="5:11" x14ac:dyDescent="0.2">
      <c r="E2324" s="50"/>
      <c r="H2324" s="12"/>
      <c r="K2324"/>
    </row>
    <row r="2325" spans="5:11" x14ac:dyDescent="0.2">
      <c r="E2325" s="50"/>
      <c r="H2325" s="12"/>
      <c r="K2325"/>
    </row>
    <row r="2326" spans="5:11" x14ac:dyDescent="0.2">
      <c r="E2326" s="50"/>
      <c r="H2326" s="12"/>
      <c r="K2326"/>
    </row>
    <row r="2327" spans="5:11" x14ac:dyDescent="0.2">
      <c r="E2327" s="50"/>
      <c r="H2327" s="12"/>
      <c r="K2327"/>
    </row>
    <row r="2328" spans="5:11" x14ac:dyDescent="0.2">
      <c r="E2328" s="50"/>
      <c r="H2328" s="12"/>
      <c r="K2328"/>
    </row>
    <row r="2329" spans="5:11" x14ac:dyDescent="0.2">
      <c r="E2329" s="50"/>
      <c r="H2329" s="12"/>
      <c r="K2329"/>
    </row>
    <row r="2330" spans="5:11" x14ac:dyDescent="0.2">
      <c r="E2330" s="50"/>
      <c r="H2330" s="12"/>
      <c r="K2330"/>
    </row>
    <row r="2331" spans="5:11" x14ac:dyDescent="0.2">
      <c r="E2331" s="50"/>
      <c r="H2331" s="12"/>
      <c r="K2331"/>
    </row>
    <row r="2332" spans="5:11" x14ac:dyDescent="0.2">
      <c r="E2332" s="50"/>
      <c r="H2332" s="12"/>
      <c r="K2332"/>
    </row>
    <row r="2333" spans="5:11" x14ac:dyDescent="0.2">
      <c r="E2333" s="50"/>
      <c r="H2333" s="12"/>
      <c r="K2333"/>
    </row>
    <row r="2334" spans="5:11" x14ac:dyDescent="0.2">
      <c r="E2334" s="50"/>
      <c r="H2334" s="12"/>
      <c r="K2334"/>
    </row>
    <row r="2335" spans="5:11" x14ac:dyDescent="0.2">
      <c r="E2335" s="50"/>
      <c r="H2335" s="12"/>
      <c r="K2335"/>
    </row>
    <row r="2336" spans="5:11" x14ac:dyDescent="0.2">
      <c r="E2336" s="50"/>
      <c r="H2336" s="12"/>
      <c r="K2336"/>
    </row>
    <row r="2337" spans="5:11" x14ac:dyDescent="0.2">
      <c r="E2337" s="50"/>
      <c r="H2337" s="12"/>
      <c r="K2337"/>
    </row>
    <row r="2338" spans="5:11" x14ac:dyDescent="0.2">
      <c r="E2338" s="50"/>
      <c r="H2338" s="12"/>
      <c r="K2338"/>
    </row>
    <row r="2339" spans="5:11" x14ac:dyDescent="0.2">
      <c r="E2339" s="50"/>
      <c r="H2339" s="12"/>
      <c r="K2339"/>
    </row>
    <row r="2340" spans="5:11" x14ac:dyDescent="0.2">
      <c r="E2340" s="50"/>
      <c r="H2340" s="12"/>
      <c r="K2340"/>
    </row>
    <row r="2341" spans="5:11" x14ac:dyDescent="0.2">
      <c r="E2341" s="50"/>
      <c r="H2341" s="12"/>
      <c r="K2341"/>
    </row>
    <row r="2342" spans="5:11" x14ac:dyDescent="0.2">
      <c r="E2342" s="50"/>
      <c r="H2342" s="12"/>
      <c r="K2342"/>
    </row>
    <row r="2343" spans="5:11" x14ac:dyDescent="0.2">
      <c r="E2343" s="50"/>
      <c r="H2343" s="12"/>
      <c r="K2343"/>
    </row>
    <row r="2344" spans="5:11" x14ac:dyDescent="0.2">
      <c r="E2344" s="50"/>
      <c r="H2344" s="12"/>
      <c r="K2344"/>
    </row>
    <row r="2345" spans="5:11" x14ac:dyDescent="0.2">
      <c r="E2345" s="50"/>
      <c r="H2345" s="12"/>
      <c r="K2345"/>
    </row>
    <row r="2346" spans="5:11" x14ac:dyDescent="0.2">
      <c r="E2346" s="50"/>
      <c r="H2346" s="12"/>
      <c r="K2346"/>
    </row>
    <row r="2347" spans="5:11" x14ac:dyDescent="0.2">
      <c r="E2347" s="50"/>
      <c r="H2347" s="12"/>
      <c r="K2347"/>
    </row>
    <row r="2348" spans="5:11" x14ac:dyDescent="0.2">
      <c r="E2348" s="50"/>
      <c r="H2348" s="12"/>
      <c r="K2348"/>
    </row>
    <row r="2349" spans="5:11" x14ac:dyDescent="0.2">
      <c r="E2349" s="50"/>
      <c r="H2349" s="12"/>
      <c r="K2349"/>
    </row>
    <row r="2350" spans="5:11" x14ac:dyDescent="0.2">
      <c r="E2350" s="50"/>
      <c r="H2350" s="12"/>
      <c r="K2350"/>
    </row>
    <row r="2351" spans="5:11" x14ac:dyDescent="0.2">
      <c r="E2351" s="50"/>
      <c r="H2351" s="12"/>
      <c r="K2351"/>
    </row>
    <row r="2352" spans="5:11" x14ac:dyDescent="0.2">
      <c r="E2352" s="50"/>
      <c r="H2352" s="12"/>
      <c r="K2352"/>
    </row>
    <row r="2353" spans="5:11" x14ac:dyDescent="0.2">
      <c r="E2353" s="50"/>
      <c r="H2353" s="12"/>
      <c r="K2353"/>
    </row>
    <row r="2354" spans="5:11" x14ac:dyDescent="0.2">
      <c r="E2354" s="50"/>
      <c r="H2354" s="12"/>
      <c r="K2354"/>
    </row>
    <row r="2355" spans="5:11" x14ac:dyDescent="0.2">
      <c r="E2355" s="50"/>
      <c r="H2355" s="12"/>
      <c r="K2355"/>
    </row>
    <row r="2356" spans="5:11" x14ac:dyDescent="0.2">
      <c r="E2356" s="50"/>
      <c r="H2356" s="12"/>
      <c r="K2356"/>
    </row>
    <row r="2357" spans="5:11" x14ac:dyDescent="0.2">
      <c r="E2357" s="50"/>
      <c r="H2357" s="12"/>
      <c r="K2357"/>
    </row>
    <row r="2358" spans="5:11" x14ac:dyDescent="0.2">
      <c r="E2358" s="50"/>
      <c r="H2358" s="12"/>
      <c r="K2358"/>
    </row>
    <row r="2359" spans="5:11" x14ac:dyDescent="0.2">
      <c r="E2359" s="50"/>
      <c r="H2359" s="12"/>
      <c r="K2359"/>
    </row>
    <row r="2360" spans="5:11" x14ac:dyDescent="0.2">
      <c r="E2360" s="50"/>
      <c r="H2360" s="12"/>
      <c r="K2360"/>
    </row>
    <row r="2361" spans="5:11" x14ac:dyDescent="0.2">
      <c r="E2361" s="50"/>
      <c r="H2361" s="12"/>
      <c r="K2361"/>
    </row>
    <row r="2362" spans="5:11" x14ac:dyDescent="0.2">
      <c r="E2362" s="50"/>
      <c r="H2362" s="12"/>
      <c r="K2362"/>
    </row>
    <row r="2363" spans="5:11" x14ac:dyDescent="0.2">
      <c r="E2363" s="50"/>
      <c r="H2363" s="12"/>
      <c r="K2363"/>
    </row>
    <row r="2364" spans="5:11" x14ac:dyDescent="0.2">
      <c r="E2364" s="50"/>
      <c r="H2364" s="12"/>
      <c r="K2364"/>
    </row>
    <row r="2365" spans="5:11" x14ac:dyDescent="0.2">
      <c r="E2365" s="50"/>
      <c r="H2365" s="12"/>
      <c r="K2365"/>
    </row>
    <row r="2366" spans="5:11" x14ac:dyDescent="0.2">
      <c r="E2366" s="50"/>
      <c r="H2366" s="12"/>
      <c r="K2366"/>
    </row>
    <row r="2367" spans="5:11" x14ac:dyDescent="0.2">
      <c r="E2367" s="50"/>
      <c r="H2367" s="12"/>
      <c r="K2367"/>
    </row>
    <row r="2368" spans="5:11" x14ac:dyDescent="0.2">
      <c r="E2368" s="50"/>
      <c r="H2368" s="12"/>
      <c r="K2368"/>
    </row>
    <row r="2369" spans="5:11" x14ac:dyDescent="0.2">
      <c r="E2369" s="50"/>
      <c r="H2369" s="12"/>
      <c r="K2369"/>
    </row>
    <row r="2370" spans="5:11" x14ac:dyDescent="0.2">
      <c r="E2370" s="50"/>
      <c r="H2370" s="12"/>
      <c r="K2370"/>
    </row>
    <row r="2371" spans="5:11" x14ac:dyDescent="0.2">
      <c r="E2371" s="50"/>
      <c r="H2371" s="12"/>
      <c r="K2371"/>
    </row>
    <row r="2372" spans="5:11" x14ac:dyDescent="0.2">
      <c r="E2372" s="50"/>
      <c r="H2372" s="12"/>
      <c r="K2372"/>
    </row>
    <row r="2373" spans="5:11" x14ac:dyDescent="0.2">
      <c r="E2373" s="50"/>
      <c r="H2373" s="12"/>
      <c r="K2373"/>
    </row>
    <row r="2374" spans="5:11" x14ac:dyDescent="0.2">
      <c r="E2374" s="50"/>
      <c r="H2374" s="12"/>
      <c r="K2374"/>
    </row>
    <row r="2375" spans="5:11" x14ac:dyDescent="0.2">
      <c r="E2375" s="50"/>
      <c r="H2375" s="12"/>
      <c r="K2375"/>
    </row>
    <row r="2376" spans="5:11" x14ac:dyDescent="0.2">
      <c r="E2376" s="50"/>
      <c r="H2376" s="12"/>
      <c r="K2376"/>
    </row>
    <row r="2377" spans="5:11" x14ac:dyDescent="0.2">
      <c r="E2377" s="50"/>
      <c r="H2377" s="12"/>
      <c r="K2377"/>
    </row>
    <row r="2378" spans="5:11" x14ac:dyDescent="0.2">
      <c r="E2378" s="50"/>
      <c r="H2378" s="12"/>
      <c r="K2378"/>
    </row>
    <row r="2379" spans="5:11" x14ac:dyDescent="0.2">
      <c r="E2379" s="50"/>
      <c r="H2379" s="12"/>
      <c r="K2379"/>
    </row>
    <row r="2380" spans="5:11" x14ac:dyDescent="0.2">
      <c r="E2380" s="50"/>
      <c r="H2380" s="12"/>
      <c r="K2380"/>
    </row>
    <row r="2381" spans="5:11" x14ac:dyDescent="0.2">
      <c r="E2381" s="50"/>
      <c r="H2381" s="12"/>
      <c r="K2381"/>
    </row>
    <row r="2382" spans="5:11" x14ac:dyDescent="0.2">
      <c r="E2382" s="50"/>
      <c r="H2382" s="12"/>
      <c r="K2382"/>
    </row>
    <row r="2383" spans="5:11" x14ac:dyDescent="0.2">
      <c r="E2383" s="50"/>
      <c r="H2383" s="12"/>
      <c r="K2383"/>
    </row>
    <row r="2384" spans="5:11" x14ac:dyDescent="0.2">
      <c r="E2384" s="50"/>
      <c r="H2384" s="12"/>
      <c r="K2384"/>
    </row>
    <row r="2385" spans="5:11" x14ac:dyDescent="0.2">
      <c r="E2385" s="50"/>
      <c r="H2385" s="12"/>
      <c r="K2385"/>
    </row>
    <row r="2386" spans="5:11" x14ac:dyDescent="0.2">
      <c r="E2386" s="50"/>
      <c r="H2386" s="12"/>
      <c r="K2386"/>
    </row>
    <row r="2387" spans="5:11" x14ac:dyDescent="0.2">
      <c r="E2387" s="50"/>
      <c r="H2387" s="12"/>
      <c r="K2387"/>
    </row>
    <row r="2388" spans="5:11" x14ac:dyDescent="0.2">
      <c r="E2388" s="50"/>
      <c r="H2388" s="12"/>
      <c r="K2388"/>
    </row>
    <row r="2389" spans="5:11" x14ac:dyDescent="0.2">
      <c r="E2389" s="50"/>
      <c r="H2389" s="12"/>
      <c r="K2389"/>
    </row>
    <row r="2390" spans="5:11" x14ac:dyDescent="0.2">
      <c r="E2390" s="50"/>
      <c r="H2390" s="12"/>
      <c r="K2390"/>
    </row>
    <row r="2391" spans="5:11" x14ac:dyDescent="0.2">
      <c r="E2391" s="50"/>
      <c r="H2391" s="12"/>
      <c r="K2391"/>
    </row>
    <row r="2392" spans="5:11" x14ac:dyDescent="0.2">
      <c r="E2392" s="50"/>
      <c r="H2392" s="12"/>
      <c r="K2392"/>
    </row>
    <row r="2393" spans="5:11" x14ac:dyDescent="0.2">
      <c r="E2393" s="50"/>
      <c r="H2393" s="12"/>
      <c r="K2393"/>
    </row>
    <row r="2394" spans="5:11" x14ac:dyDescent="0.2">
      <c r="E2394" s="50"/>
      <c r="H2394" s="12"/>
      <c r="K2394"/>
    </row>
    <row r="2395" spans="5:11" x14ac:dyDescent="0.2">
      <c r="E2395" s="50"/>
      <c r="H2395" s="12"/>
      <c r="K2395"/>
    </row>
    <row r="2396" spans="5:11" x14ac:dyDescent="0.2">
      <c r="E2396" s="50"/>
      <c r="H2396" s="12"/>
      <c r="K2396"/>
    </row>
    <row r="2397" spans="5:11" x14ac:dyDescent="0.2">
      <c r="E2397" s="50"/>
      <c r="H2397" s="12"/>
      <c r="K2397"/>
    </row>
    <row r="2398" spans="5:11" x14ac:dyDescent="0.2">
      <c r="E2398" s="50"/>
      <c r="H2398" s="12"/>
      <c r="K2398"/>
    </row>
    <row r="2399" spans="5:11" x14ac:dyDescent="0.2">
      <c r="E2399" s="50"/>
      <c r="H2399" s="12"/>
      <c r="K2399"/>
    </row>
    <row r="2400" spans="5:11" x14ac:dyDescent="0.2">
      <c r="E2400" s="50"/>
      <c r="H2400" s="12"/>
      <c r="K2400"/>
    </row>
    <row r="2401" spans="5:11" x14ac:dyDescent="0.2">
      <c r="E2401" s="50"/>
      <c r="H2401" s="12"/>
      <c r="K2401"/>
    </row>
    <row r="2402" spans="5:11" x14ac:dyDescent="0.2">
      <c r="E2402" s="50"/>
      <c r="H2402" s="12"/>
      <c r="K2402"/>
    </row>
    <row r="2403" spans="5:11" x14ac:dyDescent="0.2">
      <c r="E2403" s="50"/>
      <c r="H2403" s="12"/>
      <c r="K2403"/>
    </row>
    <row r="2404" spans="5:11" x14ac:dyDescent="0.2">
      <c r="E2404" s="50"/>
      <c r="H2404" s="12"/>
      <c r="K2404"/>
    </row>
    <row r="2405" spans="5:11" x14ac:dyDescent="0.2">
      <c r="E2405" s="50"/>
      <c r="H2405" s="12"/>
      <c r="K2405"/>
    </row>
    <row r="2406" spans="5:11" x14ac:dyDescent="0.2">
      <c r="E2406" s="50"/>
      <c r="H2406" s="12"/>
      <c r="K2406"/>
    </row>
    <row r="2407" spans="5:11" x14ac:dyDescent="0.2">
      <c r="E2407" s="50"/>
      <c r="H2407" s="12"/>
      <c r="K2407"/>
    </row>
    <row r="2408" spans="5:11" x14ac:dyDescent="0.2">
      <c r="E2408" s="50"/>
      <c r="H2408" s="12"/>
      <c r="K2408"/>
    </row>
    <row r="2409" spans="5:11" x14ac:dyDescent="0.2">
      <c r="E2409" s="50"/>
      <c r="H2409" s="12"/>
      <c r="K2409"/>
    </row>
    <row r="2410" spans="5:11" x14ac:dyDescent="0.2">
      <c r="E2410" s="50"/>
      <c r="H2410" s="12"/>
      <c r="K2410"/>
    </row>
    <row r="2411" spans="5:11" x14ac:dyDescent="0.2">
      <c r="E2411" s="50"/>
      <c r="H2411" s="12"/>
      <c r="K2411"/>
    </row>
    <row r="2412" spans="5:11" x14ac:dyDescent="0.2">
      <c r="E2412" s="50"/>
      <c r="H2412" s="12"/>
      <c r="K2412"/>
    </row>
    <row r="2413" spans="5:11" x14ac:dyDescent="0.2">
      <c r="E2413" s="50"/>
      <c r="H2413" s="12"/>
      <c r="K2413"/>
    </row>
    <row r="2414" spans="5:11" x14ac:dyDescent="0.2">
      <c r="E2414" s="50"/>
      <c r="H2414" s="12"/>
      <c r="K2414"/>
    </row>
    <row r="2415" spans="5:11" x14ac:dyDescent="0.2">
      <c r="E2415" s="50"/>
      <c r="H2415" s="12"/>
      <c r="K2415"/>
    </row>
    <row r="2416" spans="5:11" x14ac:dyDescent="0.2">
      <c r="E2416" s="50"/>
      <c r="H2416" s="12"/>
      <c r="K2416"/>
    </row>
    <row r="2417" spans="5:11" x14ac:dyDescent="0.2">
      <c r="E2417" s="50"/>
      <c r="H2417" s="12"/>
      <c r="K2417"/>
    </row>
    <row r="2418" spans="5:11" x14ac:dyDescent="0.2">
      <c r="E2418" s="50"/>
      <c r="H2418" s="12"/>
      <c r="K2418"/>
    </row>
    <row r="2419" spans="5:11" x14ac:dyDescent="0.2">
      <c r="E2419" s="50"/>
      <c r="H2419" s="12"/>
      <c r="K2419"/>
    </row>
    <row r="2420" spans="5:11" x14ac:dyDescent="0.2">
      <c r="E2420" s="50"/>
      <c r="H2420" s="12"/>
      <c r="K2420"/>
    </row>
    <row r="2421" spans="5:11" x14ac:dyDescent="0.2">
      <c r="E2421" s="50"/>
      <c r="H2421" s="12"/>
      <c r="K2421"/>
    </row>
    <row r="2422" spans="5:11" x14ac:dyDescent="0.2">
      <c r="E2422" s="50"/>
      <c r="H2422" s="12"/>
      <c r="K2422"/>
    </row>
    <row r="2423" spans="5:11" x14ac:dyDescent="0.2">
      <c r="E2423" s="50"/>
      <c r="H2423" s="12"/>
      <c r="K2423"/>
    </row>
    <row r="2424" spans="5:11" x14ac:dyDescent="0.2">
      <c r="E2424" s="50"/>
      <c r="H2424" s="12"/>
      <c r="K2424"/>
    </row>
    <row r="2425" spans="5:11" x14ac:dyDescent="0.2">
      <c r="E2425" s="50"/>
      <c r="H2425" s="12"/>
      <c r="K2425"/>
    </row>
    <row r="2426" spans="5:11" x14ac:dyDescent="0.2">
      <c r="E2426" s="50"/>
      <c r="H2426" s="12"/>
      <c r="K2426"/>
    </row>
    <row r="2427" spans="5:11" x14ac:dyDescent="0.2">
      <c r="E2427" s="50"/>
      <c r="H2427" s="12"/>
      <c r="K2427"/>
    </row>
    <row r="2428" spans="5:11" x14ac:dyDescent="0.2">
      <c r="E2428" s="50"/>
      <c r="H2428" s="12"/>
      <c r="K2428"/>
    </row>
    <row r="2429" spans="5:11" x14ac:dyDescent="0.2">
      <c r="E2429" s="50"/>
      <c r="H2429" s="12"/>
      <c r="K2429"/>
    </row>
    <row r="2430" spans="5:11" x14ac:dyDescent="0.2">
      <c r="E2430" s="50"/>
      <c r="H2430" s="12"/>
      <c r="K2430"/>
    </row>
    <row r="2431" spans="5:11" x14ac:dyDescent="0.2">
      <c r="E2431" s="50"/>
      <c r="H2431" s="12"/>
      <c r="K2431"/>
    </row>
    <row r="2432" spans="5:11" x14ac:dyDescent="0.2">
      <c r="E2432" s="50"/>
      <c r="H2432" s="12"/>
      <c r="K2432"/>
    </row>
    <row r="2433" spans="5:11" x14ac:dyDescent="0.2">
      <c r="E2433" s="50"/>
      <c r="H2433" s="12"/>
      <c r="K2433"/>
    </row>
    <row r="2434" spans="5:11" x14ac:dyDescent="0.2">
      <c r="E2434" s="50"/>
      <c r="H2434" s="12"/>
      <c r="K2434"/>
    </row>
    <row r="2435" spans="5:11" x14ac:dyDescent="0.2">
      <c r="E2435" s="50"/>
      <c r="H2435" s="12"/>
      <c r="K2435"/>
    </row>
    <row r="2436" spans="5:11" x14ac:dyDescent="0.2">
      <c r="E2436" s="50"/>
      <c r="H2436" s="12"/>
      <c r="K2436"/>
    </row>
    <row r="2437" spans="5:11" x14ac:dyDescent="0.2">
      <c r="E2437" s="50"/>
      <c r="H2437" s="12"/>
      <c r="K2437"/>
    </row>
    <row r="2438" spans="5:11" x14ac:dyDescent="0.2">
      <c r="E2438" s="50"/>
      <c r="H2438" s="12"/>
      <c r="K2438"/>
    </row>
    <row r="2439" spans="5:11" x14ac:dyDescent="0.2">
      <c r="E2439" s="50"/>
      <c r="H2439" s="12"/>
      <c r="K2439"/>
    </row>
    <row r="2440" spans="5:11" x14ac:dyDescent="0.2">
      <c r="E2440" s="50"/>
      <c r="H2440" s="12"/>
      <c r="K2440"/>
    </row>
    <row r="2441" spans="5:11" x14ac:dyDescent="0.2">
      <c r="E2441" s="50"/>
      <c r="H2441" s="12"/>
      <c r="K2441"/>
    </row>
    <row r="2442" spans="5:11" x14ac:dyDescent="0.2">
      <c r="E2442" s="50"/>
      <c r="H2442" s="12"/>
      <c r="K2442"/>
    </row>
    <row r="2443" spans="5:11" x14ac:dyDescent="0.2">
      <c r="E2443" s="50"/>
      <c r="H2443" s="12"/>
      <c r="K2443"/>
    </row>
    <row r="2444" spans="5:11" x14ac:dyDescent="0.2">
      <c r="E2444" s="50"/>
      <c r="H2444" s="12"/>
      <c r="K2444"/>
    </row>
    <row r="2445" spans="5:11" x14ac:dyDescent="0.2">
      <c r="E2445" s="50"/>
      <c r="H2445" s="12"/>
      <c r="K2445"/>
    </row>
    <row r="2446" spans="5:11" x14ac:dyDescent="0.2">
      <c r="E2446" s="50"/>
      <c r="H2446" s="12"/>
      <c r="K2446"/>
    </row>
    <row r="2447" spans="5:11" x14ac:dyDescent="0.2">
      <c r="E2447" s="50"/>
      <c r="H2447" s="12"/>
      <c r="K2447"/>
    </row>
    <row r="2448" spans="5:11" x14ac:dyDescent="0.2">
      <c r="E2448" s="50"/>
      <c r="H2448" s="12"/>
      <c r="K2448"/>
    </row>
    <row r="2449" spans="5:11" x14ac:dyDescent="0.2">
      <c r="E2449" s="50"/>
      <c r="H2449" s="12"/>
      <c r="K2449"/>
    </row>
    <row r="2450" spans="5:11" x14ac:dyDescent="0.2">
      <c r="E2450" s="50"/>
      <c r="H2450" s="12"/>
      <c r="K2450"/>
    </row>
    <row r="2451" spans="5:11" x14ac:dyDescent="0.2">
      <c r="E2451" s="50"/>
      <c r="H2451" s="12"/>
      <c r="K2451"/>
    </row>
    <row r="2452" spans="5:11" x14ac:dyDescent="0.2">
      <c r="E2452" s="50"/>
      <c r="H2452" s="12"/>
      <c r="K2452"/>
    </row>
    <row r="2453" spans="5:11" x14ac:dyDescent="0.2">
      <c r="E2453" s="50"/>
      <c r="H2453" s="12"/>
      <c r="K2453"/>
    </row>
    <row r="2454" spans="5:11" x14ac:dyDescent="0.2">
      <c r="E2454" s="50"/>
      <c r="H2454" s="12"/>
      <c r="K2454"/>
    </row>
    <row r="2455" spans="5:11" x14ac:dyDescent="0.2">
      <c r="E2455" s="50"/>
      <c r="H2455" s="12"/>
      <c r="K2455"/>
    </row>
    <row r="2456" spans="5:11" x14ac:dyDescent="0.2">
      <c r="E2456" s="50"/>
      <c r="H2456" s="12"/>
      <c r="K2456"/>
    </row>
    <row r="2457" spans="5:11" x14ac:dyDescent="0.2">
      <c r="E2457" s="50"/>
      <c r="H2457" s="12"/>
      <c r="K2457"/>
    </row>
    <row r="2458" spans="5:11" x14ac:dyDescent="0.2">
      <c r="E2458" s="50"/>
      <c r="H2458" s="12"/>
      <c r="K2458"/>
    </row>
    <row r="2459" spans="5:11" x14ac:dyDescent="0.2">
      <c r="E2459" s="50"/>
      <c r="H2459" s="12"/>
      <c r="K2459"/>
    </row>
    <row r="2460" spans="5:11" x14ac:dyDescent="0.2">
      <c r="E2460" s="50"/>
      <c r="H2460" s="12"/>
      <c r="K2460"/>
    </row>
    <row r="2461" spans="5:11" x14ac:dyDescent="0.2">
      <c r="E2461" s="50"/>
      <c r="H2461" s="12"/>
      <c r="K2461"/>
    </row>
    <row r="2462" spans="5:11" x14ac:dyDescent="0.2">
      <c r="E2462" s="50"/>
      <c r="H2462" s="12"/>
      <c r="K2462"/>
    </row>
    <row r="2463" spans="5:11" x14ac:dyDescent="0.2">
      <c r="E2463" s="50"/>
      <c r="H2463" s="12"/>
      <c r="K2463"/>
    </row>
    <row r="2464" spans="5:11" x14ac:dyDescent="0.2">
      <c r="E2464" s="50"/>
      <c r="H2464" s="12"/>
      <c r="K2464"/>
    </row>
    <row r="2465" spans="5:11" x14ac:dyDescent="0.2">
      <c r="E2465" s="50"/>
      <c r="H2465" s="12"/>
      <c r="K2465"/>
    </row>
    <row r="2466" spans="5:11" x14ac:dyDescent="0.2">
      <c r="E2466" s="50"/>
      <c r="H2466" s="12"/>
      <c r="K2466"/>
    </row>
    <row r="2467" spans="5:11" x14ac:dyDescent="0.2">
      <c r="E2467" s="50"/>
      <c r="H2467" s="12"/>
      <c r="K2467"/>
    </row>
    <row r="2468" spans="5:11" x14ac:dyDescent="0.2">
      <c r="E2468" s="50"/>
      <c r="H2468" s="12"/>
      <c r="K2468"/>
    </row>
    <row r="2469" spans="5:11" x14ac:dyDescent="0.2">
      <c r="E2469" s="50"/>
      <c r="H2469" s="12"/>
      <c r="K2469"/>
    </row>
    <row r="2470" spans="5:11" x14ac:dyDescent="0.2">
      <c r="E2470" s="50"/>
      <c r="H2470" s="12"/>
      <c r="K2470"/>
    </row>
    <row r="2471" spans="5:11" x14ac:dyDescent="0.2">
      <c r="E2471" s="50"/>
      <c r="H2471" s="12"/>
      <c r="K2471"/>
    </row>
    <row r="2472" spans="5:11" x14ac:dyDescent="0.2">
      <c r="E2472" s="50"/>
      <c r="H2472" s="12"/>
      <c r="K2472"/>
    </row>
    <row r="2473" spans="5:11" x14ac:dyDescent="0.2">
      <c r="E2473" s="50"/>
      <c r="H2473" s="12"/>
      <c r="K2473"/>
    </row>
    <row r="2474" spans="5:11" x14ac:dyDescent="0.2">
      <c r="E2474" s="50"/>
      <c r="H2474" s="12"/>
      <c r="K2474"/>
    </row>
    <row r="2475" spans="5:11" x14ac:dyDescent="0.2">
      <c r="E2475" s="50"/>
      <c r="H2475" s="12"/>
      <c r="K2475"/>
    </row>
    <row r="2476" spans="5:11" x14ac:dyDescent="0.2">
      <c r="E2476" s="50"/>
      <c r="H2476" s="12"/>
      <c r="K2476"/>
    </row>
    <row r="2477" spans="5:11" x14ac:dyDescent="0.2">
      <c r="E2477" s="50"/>
      <c r="H2477" s="12"/>
      <c r="K2477"/>
    </row>
    <row r="2478" spans="5:11" x14ac:dyDescent="0.2">
      <c r="E2478" s="50"/>
      <c r="H2478" s="12"/>
      <c r="K2478"/>
    </row>
    <row r="2479" spans="5:11" x14ac:dyDescent="0.2">
      <c r="E2479" s="50"/>
      <c r="H2479" s="12"/>
      <c r="K2479"/>
    </row>
    <row r="2480" spans="5:11" x14ac:dyDescent="0.2">
      <c r="E2480" s="50"/>
      <c r="H2480" s="12"/>
      <c r="K2480"/>
    </row>
    <row r="2481" spans="5:11" x14ac:dyDescent="0.2">
      <c r="E2481" s="50"/>
      <c r="H2481" s="12"/>
      <c r="K2481"/>
    </row>
    <row r="2482" spans="5:11" x14ac:dyDescent="0.2">
      <c r="E2482" s="50"/>
      <c r="H2482" s="12"/>
      <c r="K2482"/>
    </row>
    <row r="2483" spans="5:11" x14ac:dyDescent="0.2">
      <c r="E2483" s="50"/>
      <c r="H2483" s="12"/>
      <c r="K2483"/>
    </row>
    <row r="2484" spans="5:11" x14ac:dyDescent="0.2">
      <c r="E2484" s="50"/>
      <c r="H2484" s="12"/>
      <c r="K2484"/>
    </row>
    <row r="2485" spans="5:11" x14ac:dyDescent="0.2">
      <c r="E2485" s="50"/>
      <c r="H2485" s="12"/>
      <c r="K2485"/>
    </row>
    <row r="2486" spans="5:11" x14ac:dyDescent="0.2">
      <c r="E2486" s="50"/>
      <c r="H2486" s="12"/>
      <c r="K2486"/>
    </row>
    <row r="2487" spans="5:11" x14ac:dyDescent="0.2">
      <c r="E2487" s="50"/>
      <c r="H2487" s="12"/>
      <c r="K2487"/>
    </row>
    <row r="2488" spans="5:11" x14ac:dyDescent="0.2">
      <c r="E2488" s="50"/>
      <c r="H2488" s="12"/>
      <c r="K2488"/>
    </row>
    <row r="2489" spans="5:11" x14ac:dyDescent="0.2">
      <c r="E2489" s="50"/>
      <c r="H2489" s="12"/>
      <c r="K2489"/>
    </row>
    <row r="2490" spans="5:11" x14ac:dyDescent="0.2">
      <c r="E2490" s="50"/>
      <c r="H2490" s="12"/>
      <c r="K2490"/>
    </row>
    <row r="2491" spans="5:11" x14ac:dyDescent="0.2">
      <c r="E2491" s="50"/>
      <c r="H2491" s="12"/>
      <c r="K2491"/>
    </row>
    <row r="2492" spans="5:11" x14ac:dyDescent="0.2">
      <c r="E2492" s="50"/>
      <c r="H2492" s="12"/>
      <c r="K2492"/>
    </row>
    <row r="2493" spans="5:11" x14ac:dyDescent="0.2">
      <c r="E2493" s="50"/>
      <c r="H2493" s="12"/>
      <c r="K2493"/>
    </row>
    <row r="2494" spans="5:11" x14ac:dyDescent="0.2">
      <c r="E2494" s="50"/>
      <c r="H2494" s="12"/>
      <c r="K2494"/>
    </row>
    <row r="2495" spans="5:11" x14ac:dyDescent="0.2">
      <c r="E2495" s="50"/>
      <c r="H2495" s="12"/>
      <c r="K2495"/>
    </row>
    <row r="2496" spans="5:11" x14ac:dyDescent="0.2">
      <c r="E2496" s="50"/>
      <c r="H2496" s="12"/>
      <c r="K2496"/>
    </row>
    <row r="2497" spans="5:11" x14ac:dyDescent="0.2">
      <c r="E2497" s="50"/>
      <c r="H2497" s="12"/>
      <c r="K2497"/>
    </row>
    <row r="2498" spans="5:11" x14ac:dyDescent="0.2">
      <c r="E2498" s="50"/>
      <c r="H2498" s="12"/>
      <c r="K2498"/>
    </row>
    <row r="2499" spans="5:11" x14ac:dyDescent="0.2">
      <c r="E2499" s="50"/>
      <c r="H2499" s="12"/>
      <c r="K2499"/>
    </row>
    <row r="2500" spans="5:11" x14ac:dyDescent="0.2">
      <c r="E2500" s="50"/>
      <c r="H2500" s="12"/>
      <c r="K2500"/>
    </row>
    <row r="2501" spans="5:11" x14ac:dyDescent="0.2">
      <c r="E2501" s="50"/>
      <c r="H2501" s="12"/>
      <c r="K2501"/>
    </row>
    <row r="2502" spans="5:11" x14ac:dyDescent="0.2">
      <c r="E2502" s="50"/>
      <c r="H2502" s="12"/>
      <c r="K2502"/>
    </row>
    <row r="2503" spans="5:11" x14ac:dyDescent="0.2">
      <c r="E2503" s="50"/>
      <c r="H2503" s="12"/>
      <c r="K2503"/>
    </row>
    <row r="2504" spans="5:11" x14ac:dyDescent="0.2">
      <c r="E2504" s="50"/>
      <c r="H2504" s="12"/>
      <c r="K2504"/>
    </row>
    <row r="2505" spans="5:11" x14ac:dyDescent="0.2">
      <c r="E2505" s="50"/>
      <c r="H2505" s="12"/>
      <c r="K2505"/>
    </row>
    <row r="2506" spans="5:11" x14ac:dyDescent="0.2">
      <c r="E2506" s="50"/>
      <c r="H2506" s="12"/>
      <c r="K2506"/>
    </row>
    <row r="2507" spans="5:11" x14ac:dyDescent="0.2">
      <c r="E2507" s="50"/>
      <c r="H2507" s="12"/>
      <c r="K2507"/>
    </row>
    <row r="2508" spans="5:11" x14ac:dyDescent="0.2">
      <c r="E2508" s="50"/>
      <c r="H2508" s="12"/>
      <c r="K2508"/>
    </row>
    <row r="2509" spans="5:11" x14ac:dyDescent="0.2">
      <c r="E2509" s="50"/>
      <c r="H2509" s="12"/>
      <c r="K2509"/>
    </row>
    <row r="2510" spans="5:11" x14ac:dyDescent="0.2">
      <c r="E2510" s="50"/>
      <c r="H2510" s="12"/>
      <c r="K2510"/>
    </row>
    <row r="2511" spans="5:11" x14ac:dyDescent="0.2">
      <c r="E2511" s="50"/>
      <c r="H2511" s="12"/>
      <c r="K2511"/>
    </row>
    <row r="2512" spans="5:11" x14ac:dyDescent="0.2">
      <c r="E2512" s="50"/>
      <c r="H2512" s="12"/>
      <c r="K2512"/>
    </row>
    <row r="2513" spans="5:11" x14ac:dyDescent="0.2">
      <c r="E2513" s="50"/>
      <c r="H2513" s="12"/>
      <c r="K2513"/>
    </row>
    <row r="2514" spans="5:11" x14ac:dyDescent="0.2">
      <c r="E2514" s="50"/>
      <c r="H2514" s="12"/>
      <c r="K2514"/>
    </row>
    <row r="2515" spans="5:11" x14ac:dyDescent="0.2">
      <c r="E2515" s="50"/>
      <c r="H2515" s="12"/>
      <c r="K2515"/>
    </row>
    <row r="2516" spans="5:11" x14ac:dyDescent="0.2">
      <c r="E2516" s="50"/>
      <c r="H2516" s="12"/>
      <c r="K2516"/>
    </row>
    <row r="2517" spans="5:11" x14ac:dyDescent="0.2">
      <c r="E2517" s="50"/>
      <c r="H2517" s="12"/>
      <c r="K2517"/>
    </row>
    <row r="2518" spans="5:11" x14ac:dyDescent="0.2">
      <c r="E2518" s="50"/>
      <c r="H2518" s="12"/>
      <c r="K2518"/>
    </row>
    <row r="2519" spans="5:11" x14ac:dyDescent="0.2">
      <c r="E2519" s="50"/>
      <c r="H2519" s="12"/>
      <c r="K2519"/>
    </row>
    <row r="2520" spans="5:11" x14ac:dyDescent="0.2">
      <c r="E2520" s="50"/>
      <c r="H2520" s="12"/>
      <c r="K2520"/>
    </row>
    <row r="2521" spans="5:11" x14ac:dyDescent="0.2">
      <c r="E2521" s="50"/>
      <c r="H2521" s="12"/>
      <c r="K2521"/>
    </row>
    <row r="2522" spans="5:11" x14ac:dyDescent="0.2">
      <c r="E2522" s="50"/>
      <c r="H2522" s="12"/>
      <c r="K2522"/>
    </row>
    <row r="2523" spans="5:11" x14ac:dyDescent="0.2">
      <c r="E2523" s="50"/>
      <c r="H2523" s="12"/>
      <c r="K2523"/>
    </row>
    <row r="2524" spans="5:11" x14ac:dyDescent="0.2">
      <c r="E2524" s="50"/>
      <c r="H2524" s="12"/>
      <c r="K2524"/>
    </row>
    <row r="2525" spans="5:11" x14ac:dyDescent="0.2">
      <c r="E2525" s="50"/>
      <c r="H2525" s="12"/>
      <c r="K2525"/>
    </row>
    <row r="2526" spans="5:11" x14ac:dyDescent="0.2">
      <c r="E2526" s="50"/>
      <c r="H2526" s="12"/>
      <c r="K2526"/>
    </row>
    <row r="2527" spans="5:11" x14ac:dyDescent="0.2">
      <c r="E2527" s="50"/>
      <c r="H2527" s="12"/>
      <c r="K2527"/>
    </row>
    <row r="2528" spans="5:11" x14ac:dyDescent="0.2">
      <c r="E2528" s="50"/>
      <c r="H2528" s="12"/>
      <c r="K2528"/>
    </row>
    <row r="2529" spans="5:11" x14ac:dyDescent="0.2">
      <c r="E2529" s="50"/>
      <c r="H2529" s="12"/>
      <c r="K2529"/>
    </row>
    <row r="2530" spans="5:11" x14ac:dyDescent="0.2">
      <c r="E2530" s="50"/>
      <c r="H2530" s="12"/>
      <c r="K2530"/>
    </row>
    <row r="2531" spans="5:11" x14ac:dyDescent="0.2">
      <c r="E2531" s="50"/>
      <c r="H2531" s="12"/>
      <c r="K2531"/>
    </row>
    <row r="2532" spans="5:11" x14ac:dyDescent="0.2">
      <c r="E2532" s="50"/>
      <c r="H2532" s="12"/>
      <c r="K2532"/>
    </row>
    <row r="2533" spans="5:11" x14ac:dyDescent="0.2">
      <c r="E2533" s="50"/>
      <c r="H2533" s="12"/>
      <c r="K2533"/>
    </row>
    <row r="2534" spans="5:11" x14ac:dyDescent="0.2">
      <c r="E2534" s="50"/>
      <c r="H2534" s="12"/>
      <c r="K2534"/>
    </row>
    <row r="2535" spans="5:11" x14ac:dyDescent="0.2">
      <c r="E2535" s="50"/>
      <c r="H2535" s="12"/>
      <c r="K2535"/>
    </row>
    <row r="2536" spans="5:11" x14ac:dyDescent="0.2">
      <c r="E2536" s="50"/>
      <c r="H2536" s="12"/>
      <c r="K2536"/>
    </row>
    <row r="2537" spans="5:11" x14ac:dyDescent="0.2">
      <c r="E2537" s="50"/>
      <c r="H2537" s="12"/>
      <c r="K2537"/>
    </row>
    <row r="2538" spans="5:11" x14ac:dyDescent="0.2">
      <c r="E2538" s="50"/>
      <c r="H2538" s="12"/>
      <c r="K2538"/>
    </row>
    <row r="2539" spans="5:11" x14ac:dyDescent="0.2">
      <c r="E2539" s="50"/>
      <c r="H2539" s="12"/>
      <c r="K2539"/>
    </row>
    <row r="2540" spans="5:11" x14ac:dyDescent="0.2">
      <c r="E2540" s="50"/>
      <c r="H2540" s="12"/>
      <c r="K2540"/>
    </row>
    <row r="2541" spans="5:11" x14ac:dyDescent="0.2">
      <c r="E2541" s="50"/>
      <c r="H2541" s="12"/>
      <c r="K2541"/>
    </row>
    <row r="2542" spans="5:11" x14ac:dyDescent="0.2">
      <c r="E2542" s="50"/>
      <c r="H2542" s="12"/>
      <c r="K2542"/>
    </row>
    <row r="2543" spans="5:11" x14ac:dyDescent="0.2">
      <c r="E2543" s="50"/>
      <c r="H2543" s="12"/>
      <c r="K2543"/>
    </row>
    <row r="2544" spans="5:11" x14ac:dyDescent="0.2">
      <c r="E2544" s="50"/>
      <c r="H2544" s="12"/>
      <c r="K2544"/>
    </row>
    <row r="2545" spans="5:11" x14ac:dyDescent="0.2">
      <c r="E2545" s="50"/>
      <c r="H2545" s="12"/>
      <c r="K2545"/>
    </row>
    <row r="2546" spans="5:11" x14ac:dyDescent="0.2">
      <c r="E2546" s="50"/>
      <c r="H2546" s="12"/>
      <c r="K2546"/>
    </row>
    <row r="2547" spans="5:11" x14ac:dyDescent="0.2">
      <c r="E2547" s="50"/>
      <c r="H2547" s="12"/>
      <c r="K2547"/>
    </row>
    <row r="2548" spans="5:11" x14ac:dyDescent="0.2">
      <c r="E2548" s="50"/>
      <c r="H2548" s="12"/>
      <c r="K2548"/>
    </row>
    <row r="2549" spans="5:11" x14ac:dyDescent="0.2">
      <c r="E2549" s="50"/>
      <c r="H2549" s="12"/>
      <c r="K2549"/>
    </row>
    <row r="2550" spans="5:11" x14ac:dyDescent="0.2">
      <c r="E2550" s="50"/>
      <c r="H2550" s="12"/>
      <c r="K2550"/>
    </row>
    <row r="2551" spans="5:11" x14ac:dyDescent="0.2">
      <c r="E2551" s="50"/>
      <c r="H2551" s="12"/>
      <c r="K2551"/>
    </row>
    <row r="2552" spans="5:11" x14ac:dyDescent="0.2">
      <c r="E2552" s="50"/>
      <c r="H2552" s="12"/>
      <c r="K2552"/>
    </row>
    <row r="2553" spans="5:11" x14ac:dyDescent="0.2">
      <c r="E2553" s="50"/>
      <c r="H2553" s="12"/>
      <c r="K2553"/>
    </row>
    <row r="2554" spans="5:11" x14ac:dyDescent="0.2">
      <c r="E2554" s="50"/>
      <c r="H2554" s="12"/>
      <c r="K2554"/>
    </row>
    <row r="2555" spans="5:11" x14ac:dyDescent="0.2">
      <c r="E2555" s="50"/>
      <c r="H2555" s="12"/>
      <c r="K2555"/>
    </row>
    <row r="2556" spans="5:11" x14ac:dyDescent="0.2">
      <c r="E2556" s="50"/>
      <c r="H2556" s="12"/>
      <c r="K2556"/>
    </row>
    <row r="2557" spans="5:11" x14ac:dyDescent="0.2">
      <c r="E2557" s="50"/>
      <c r="H2557" s="12"/>
      <c r="K2557"/>
    </row>
    <row r="2558" spans="5:11" x14ac:dyDescent="0.2">
      <c r="E2558" s="50"/>
      <c r="H2558" s="12"/>
      <c r="K2558"/>
    </row>
    <row r="2559" spans="5:11" x14ac:dyDescent="0.2">
      <c r="E2559" s="50"/>
      <c r="H2559" s="12"/>
      <c r="K2559"/>
    </row>
    <row r="2560" spans="5:11" x14ac:dyDescent="0.2">
      <c r="E2560" s="50"/>
      <c r="H2560" s="12"/>
      <c r="K2560"/>
    </row>
    <row r="2561" spans="5:11" x14ac:dyDescent="0.2">
      <c r="E2561" s="50"/>
      <c r="H2561" s="12"/>
      <c r="K2561"/>
    </row>
    <row r="2562" spans="5:11" x14ac:dyDescent="0.2">
      <c r="E2562" s="50"/>
      <c r="H2562" s="12"/>
      <c r="K2562"/>
    </row>
    <row r="2563" spans="5:11" x14ac:dyDescent="0.2">
      <c r="E2563" s="50"/>
      <c r="H2563" s="12"/>
      <c r="K2563"/>
    </row>
    <row r="2564" spans="5:11" x14ac:dyDescent="0.2">
      <c r="E2564" s="50"/>
      <c r="H2564" s="12"/>
      <c r="K2564"/>
    </row>
    <row r="2565" spans="5:11" x14ac:dyDescent="0.2">
      <c r="E2565" s="50"/>
      <c r="H2565" s="12"/>
      <c r="K2565"/>
    </row>
    <row r="2566" spans="5:11" x14ac:dyDescent="0.2">
      <c r="E2566" s="50"/>
      <c r="H2566" s="12"/>
      <c r="K2566"/>
    </row>
    <row r="2567" spans="5:11" x14ac:dyDescent="0.2">
      <c r="E2567" s="50"/>
      <c r="H2567" s="12"/>
      <c r="K2567"/>
    </row>
    <row r="2568" spans="5:11" x14ac:dyDescent="0.2">
      <c r="E2568" s="50"/>
      <c r="H2568" s="12"/>
      <c r="K2568"/>
    </row>
    <row r="2569" spans="5:11" x14ac:dyDescent="0.2">
      <c r="E2569" s="50"/>
      <c r="H2569" s="12"/>
      <c r="K2569"/>
    </row>
    <row r="2570" spans="5:11" x14ac:dyDescent="0.2">
      <c r="E2570" s="50"/>
      <c r="H2570" s="12"/>
      <c r="K2570"/>
    </row>
    <row r="2571" spans="5:11" x14ac:dyDescent="0.2">
      <c r="E2571" s="50"/>
      <c r="H2571" s="12"/>
      <c r="K2571"/>
    </row>
    <row r="2572" spans="5:11" x14ac:dyDescent="0.2">
      <c r="E2572" s="50"/>
      <c r="H2572" s="12"/>
      <c r="K2572"/>
    </row>
    <row r="2573" spans="5:11" x14ac:dyDescent="0.2">
      <c r="E2573" s="50"/>
      <c r="H2573" s="12"/>
      <c r="K2573"/>
    </row>
    <row r="2574" spans="5:11" x14ac:dyDescent="0.2">
      <c r="E2574" s="50"/>
      <c r="H2574" s="12"/>
      <c r="K2574"/>
    </row>
    <row r="2575" spans="5:11" x14ac:dyDescent="0.2">
      <c r="E2575" s="50"/>
      <c r="H2575" s="12"/>
      <c r="K2575"/>
    </row>
    <row r="2576" spans="5:11" x14ac:dyDescent="0.2">
      <c r="E2576" s="50"/>
      <c r="H2576" s="12"/>
      <c r="K2576"/>
    </row>
    <row r="2577" spans="5:11" x14ac:dyDescent="0.2">
      <c r="E2577" s="50"/>
      <c r="H2577" s="12"/>
      <c r="K2577"/>
    </row>
    <row r="2578" spans="5:11" x14ac:dyDescent="0.2">
      <c r="E2578" s="50"/>
      <c r="H2578" s="12"/>
      <c r="K2578"/>
    </row>
    <row r="2579" spans="5:11" x14ac:dyDescent="0.2">
      <c r="E2579" s="50"/>
      <c r="H2579" s="12"/>
      <c r="K2579"/>
    </row>
    <row r="2580" spans="5:11" x14ac:dyDescent="0.2">
      <c r="E2580" s="50"/>
      <c r="H2580" s="12"/>
      <c r="K2580"/>
    </row>
    <row r="2581" spans="5:11" x14ac:dyDescent="0.2">
      <c r="E2581" s="50"/>
      <c r="H2581" s="12"/>
      <c r="K2581"/>
    </row>
    <row r="2582" spans="5:11" x14ac:dyDescent="0.2">
      <c r="E2582" s="50"/>
      <c r="H2582" s="12"/>
      <c r="K2582"/>
    </row>
    <row r="2583" spans="5:11" x14ac:dyDescent="0.2">
      <c r="E2583" s="50"/>
      <c r="H2583" s="12"/>
      <c r="K2583"/>
    </row>
    <row r="2584" spans="5:11" x14ac:dyDescent="0.2">
      <c r="E2584" s="50"/>
      <c r="H2584" s="12"/>
      <c r="K2584"/>
    </row>
    <row r="2585" spans="5:11" x14ac:dyDescent="0.2">
      <c r="E2585" s="50"/>
      <c r="H2585" s="12"/>
      <c r="K2585"/>
    </row>
    <row r="2586" spans="5:11" x14ac:dyDescent="0.2">
      <c r="E2586" s="50"/>
      <c r="H2586" s="12"/>
      <c r="K2586"/>
    </row>
    <row r="2587" spans="5:11" x14ac:dyDescent="0.2">
      <c r="E2587" s="50"/>
      <c r="H2587" s="12"/>
      <c r="K2587"/>
    </row>
    <row r="2588" spans="5:11" x14ac:dyDescent="0.2">
      <c r="E2588" s="50"/>
      <c r="H2588" s="12"/>
      <c r="K2588"/>
    </row>
    <row r="2589" spans="5:11" x14ac:dyDescent="0.2">
      <c r="E2589" s="50"/>
      <c r="H2589" s="12"/>
      <c r="K2589"/>
    </row>
    <row r="2590" spans="5:11" x14ac:dyDescent="0.2">
      <c r="E2590" s="50"/>
      <c r="H2590" s="12"/>
      <c r="K2590"/>
    </row>
    <row r="2591" spans="5:11" x14ac:dyDescent="0.2">
      <c r="E2591" s="50"/>
      <c r="H2591" s="12"/>
      <c r="K2591"/>
    </row>
    <row r="2592" spans="5:11" x14ac:dyDescent="0.2">
      <c r="E2592" s="50"/>
      <c r="H2592" s="12"/>
      <c r="K2592"/>
    </row>
    <row r="2593" spans="5:11" x14ac:dyDescent="0.2">
      <c r="E2593" s="50"/>
      <c r="H2593" s="12"/>
      <c r="K2593"/>
    </row>
    <row r="2594" spans="5:11" x14ac:dyDescent="0.2">
      <c r="E2594" s="50"/>
      <c r="H2594" s="12"/>
      <c r="K2594"/>
    </row>
    <row r="2595" spans="5:11" x14ac:dyDescent="0.2">
      <c r="E2595" s="50"/>
      <c r="H2595" s="12"/>
      <c r="K2595"/>
    </row>
    <row r="2596" spans="5:11" x14ac:dyDescent="0.2">
      <c r="E2596" s="50"/>
      <c r="H2596" s="12"/>
      <c r="K2596"/>
    </row>
    <row r="2597" spans="5:11" x14ac:dyDescent="0.2">
      <c r="E2597" s="50"/>
      <c r="H2597" s="12"/>
      <c r="K2597"/>
    </row>
    <row r="2598" spans="5:11" x14ac:dyDescent="0.2">
      <c r="E2598" s="50"/>
      <c r="H2598" s="12"/>
      <c r="K2598"/>
    </row>
    <row r="2599" spans="5:11" x14ac:dyDescent="0.2">
      <c r="E2599" s="50"/>
      <c r="H2599" s="12"/>
      <c r="K2599"/>
    </row>
    <row r="2600" spans="5:11" x14ac:dyDescent="0.2">
      <c r="E2600" s="50"/>
      <c r="H2600" s="12"/>
      <c r="K2600"/>
    </row>
    <row r="2601" spans="5:11" x14ac:dyDescent="0.2">
      <c r="E2601" s="50"/>
      <c r="H2601" s="12"/>
      <c r="K2601"/>
    </row>
    <row r="2602" spans="5:11" x14ac:dyDescent="0.2">
      <c r="E2602" s="50"/>
      <c r="H2602" s="12"/>
      <c r="K2602"/>
    </row>
    <row r="2603" spans="5:11" x14ac:dyDescent="0.2">
      <c r="E2603" s="50"/>
      <c r="H2603" s="12"/>
      <c r="K2603"/>
    </row>
    <row r="2604" spans="5:11" x14ac:dyDescent="0.2">
      <c r="E2604" s="50"/>
      <c r="H2604" s="12"/>
      <c r="K2604"/>
    </row>
    <row r="2605" spans="5:11" x14ac:dyDescent="0.2">
      <c r="E2605" s="50"/>
      <c r="H2605" s="12"/>
      <c r="K2605"/>
    </row>
    <row r="2606" spans="5:11" x14ac:dyDescent="0.2">
      <c r="E2606" s="50"/>
      <c r="H2606" s="12"/>
      <c r="K2606"/>
    </row>
    <row r="2607" spans="5:11" x14ac:dyDescent="0.2">
      <c r="E2607" s="50"/>
      <c r="H2607" s="12"/>
      <c r="K2607"/>
    </row>
    <row r="2608" spans="5:11" x14ac:dyDescent="0.2">
      <c r="E2608" s="50"/>
      <c r="H2608" s="12"/>
      <c r="K2608"/>
    </row>
    <row r="2609" spans="5:11" x14ac:dyDescent="0.2">
      <c r="E2609" s="50"/>
      <c r="H2609" s="12"/>
      <c r="K2609"/>
    </row>
    <row r="2610" spans="5:11" x14ac:dyDescent="0.2">
      <c r="E2610" s="50"/>
      <c r="H2610" s="12"/>
      <c r="K2610"/>
    </row>
    <row r="2611" spans="5:11" x14ac:dyDescent="0.2">
      <c r="E2611" s="50"/>
      <c r="H2611" s="12"/>
      <c r="K2611"/>
    </row>
    <row r="2612" spans="5:11" x14ac:dyDescent="0.2">
      <c r="E2612" s="50"/>
      <c r="H2612" s="12"/>
      <c r="K2612"/>
    </row>
    <row r="2613" spans="5:11" x14ac:dyDescent="0.2">
      <c r="E2613" s="50"/>
      <c r="H2613" s="12"/>
      <c r="K2613"/>
    </row>
    <row r="2614" spans="5:11" x14ac:dyDescent="0.2">
      <c r="E2614" s="50"/>
      <c r="H2614" s="12"/>
      <c r="K2614"/>
    </row>
    <row r="2615" spans="5:11" x14ac:dyDescent="0.2">
      <c r="E2615" s="50"/>
      <c r="H2615" s="12"/>
      <c r="K2615"/>
    </row>
    <row r="2616" spans="5:11" x14ac:dyDescent="0.2">
      <c r="E2616" s="50"/>
      <c r="H2616" s="12"/>
      <c r="K2616"/>
    </row>
    <row r="2617" spans="5:11" x14ac:dyDescent="0.2">
      <c r="E2617" s="50"/>
      <c r="H2617" s="12"/>
      <c r="K2617"/>
    </row>
    <row r="2618" spans="5:11" x14ac:dyDescent="0.2">
      <c r="E2618" s="50"/>
      <c r="H2618" s="12"/>
      <c r="K2618"/>
    </row>
    <row r="2619" spans="5:11" x14ac:dyDescent="0.2">
      <c r="E2619" s="50"/>
      <c r="H2619" s="12"/>
      <c r="K2619"/>
    </row>
    <row r="2620" spans="5:11" x14ac:dyDescent="0.2">
      <c r="E2620" s="50"/>
      <c r="H2620" s="12"/>
      <c r="K2620"/>
    </row>
    <row r="2621" spans="5:11" x14ac:dyDescent="0.2">
      <c r="E2621" s="50"/>
      <c r="H2621" s="12"/>
      <c r="K2621"/>
    </row>
    <row r="2622" spans="5:11" x14ac:dyDescent="0.2">
      <c r="E2622" s="50"/>
      <c r="H2622" s="12"/>
      <c r="K2622"/>
    </row>
    <row r="2623" spans="5:11" x14ac:dyDescent="0.2">
      <c r="E2623" s="50"/>
      <c r="H2623" s="12"/>
      <c r="K2623"/>
    </row>
    <row r="2624" spans="5:11" x14ac:dyDescent="0.2">
      <c r="E2624" s="50"/>
      <c r="H2624" s="12"/>
      <c r="K2624"/>
    </row>
    <row r="2625" spans="5:11" x14ac:dyDescent="0.2">
      <c r="E2625" s="50"/>
      <c r="H2625" s="12"/>
      <c r="K2625"/>
    </row>
    <row r="2626" spans="5:11" x14ac:dyDescent="0.2">
      <c r="E2626" s="50"/>
      <c r="H2626" s="12"/>
      <c r="K2626"/>
    </row>
    <row r="2627" spans="5:11" x14ac:dyDescent="0.2">
      <c r="E2627" s="50"/>
      <c r="H2627" s="12"/>
      <c r="K2627"/>
    </row>
    <row r="2628" spans="5:11" x14ac:dyDescent="0.2">
      <c r="E2628" s="50"/>
      <c r="H2628" s="12"/>
      <c r="K2628"/>
    </row>
    <row r="2629" spans="5:11" x14ac:dyDescent="0.2">
      <c r="E2629" s="50"/>
      <c r="H2629" s="12"/>
      <c r="K2629"/>
    </row>
    <row r="2630" spans="5:11" x14ac:dyDescent="0.2">
      <c r="E2630" s="50"/>
      <c r="H2630" s="12"/>
      <c r="K2630"/>
    </row>
    <row r="2631" spans="5:11" x14ac:dyDescent="0.2">
      <c r="E2631" s="50"/>
      <c r="H2631" s="12"/>
      <c r="K2631"/>
    </row>
    <row r="2632" spans="5:11" x14ac:dyDescent="0.2">
      <c r="E2632" s="50"/>
      <c r="H2632" s="12"/>
      <c r="K2632"/>
    </row>
    <row r="2633" spans="5:11" x14ac:dyDescent="0.2">
      <c r="E2633" s="50"/>
      <c r="H2633" s="12"/>
      <c r="K2633"/>
    </row>
    <row r="2634" spans="5:11" x14ac:dyDescent="0.2">
      <c r="E2634" s="50"/>
      <c r="H2634" s="12"/>
      <c r="K2634"/>
    </row>
    <row r="2635" spans="5:11" x14ac:dyDescent="0.2">
      <c r="E2635" s="50"/>
      <c r="H2635" s="12"/>
      <c r="K2635"/>
    </row>
    <row r="2636" spans="5:11" x14ac:dyDescent="0.2">
      <c r="E2636" s="50"/>
      <c r="H2636" s="12"/>
      <c r="K2636"/>
    </row>
    <row r="2637" spans="5:11" x14ac:dyDescent="0.2">
      <c r="E2637" s="50"/>
      <c r="H2637" s="12"/>
      <c r="K2637"/>
    </row>
    <row r="2638" spans="5:11" x14ac:dyDescent="0.2">
      <c r="E2638" s="50"/>
      <c r="H2638" s="12"/>
      <c r="K2638"/>
    </row>
    <row r="2639" spans="5:11" x14ac:dyDescent="0.2">
      <c r="E2639" s="50"/>
      <c r="H2639" s="12"/>
      <c r="K2639"/>
    </row>
    <row r="2640" spans="5:11" x14ac:dyDescent="0.2">
      <c r="E2640" s="50"/>
      <c r="H2640" s="12"/>
      <c r="K2640"/>
    </row>
    <row r="2641" spans="5:11" x14ac:dyDescent="0.2">
      <c r="E2641" s="50"/>
      <c r="H2641" s="12"/>
      <c r="K2641"/>
    </row>
    <row r="2642" spans="5:11" x14ac:dyDescent="0.2">
      <c r="E2642" s="50"/>
      <c r="H2642" s="12"/>
      <c r="K2642"/>
    </row>
    <row r="2643" spans="5:11" x14ac:dyDescent="0.2">
      <c r="E2643" s="50"/>
      <c r="H2643" s="12"/>
      <c r="K2643"/>
    </row>
    <row r="2644" spans="5:11" x14ac:dyDescent="0.2">
      <c r="E2644" s="50"/>
      <c r="H2644" s="12"/>
      <c r="K2644"/>
    </row>
    <row r="2645" spans="5:11" x14ac:dyDescent="0.2">
      <c r="E2645" s="50"/>
      <c r="H2645" s="12"/>
      <c r="K2645"/>
    </row>
    <row r="2646" spans="5:11" x14ac:dyDescent="0.2">
      <c r="E2646" s="50"/>
      <c r="H2646" s="12"/>
      <c r="K2646"/>
    </row>
    <row r="2647" spans="5:11" x14ac:dyDescent="0.2">
      <c r="E2647" s="50"/>
      <c r="H2647" s="12"/>
      <c r="K2647"/>
    </row>
    <row r="2648" spans="5:11" x14ac:dyDescent="0.2">
      <c r="E2648" s="50"/>
      <c r="H2648" s="12"/>
      <c r="K2648"/>
    </row>
    <row r="2649" spans="5:11" x14ac:dyDescent="0.2">
      <c r="E2649" s="50"/>
      <c r="H2649" s="12"/>
      <c r="K2649"/>
    </row>
    <row r="2650" spans="5:11" x14ac:dyDescent="0.2">
      <c r="E2650" s="50"/>
      <c r="H2650" s="12"/>
      <c r="K2650"/>
    </row>
    <row r="2651" spans="5:11" x14ac:dyDescent="0.2">
      <c r="E2651" s="50"/>
      <c r="H2651" s="12"/>
      <c r="K2651"/>
    </row>
    <row r="2652" spans="5:11" x14ac:dyDescent="0.2">
      <c r="E2652" s="50"/>
      <c r="H2652" s="12"/>
      <c r="K2652"/>
    </row>
    <row r="2653" spans="5:11" x14ac:dyDescent="0.2">
      <c r="E2653" s="50"/>
      <c r="H2653" s="12"/>
      <c r="K2653"/>
    </row>
    <row r="2654" spans="5:11" x14ac:dyDescent="0.2">
      <c r="E2654" s="50"/>
      <c r="H2654" s="12"/>
      <c r="K2654"/>
    </row>
    <row r="2655" spans="5:11" x14ac:dyDescent="0.2">
      <c r="E2655" s="50"/>
      <c r="H2655" s="12"/>
      <c r="K2655"/>
    </row>
    <row r="2656" spans="5:11" x14ac:dyDescent="0.2">
      <c r="E2656" s="50"/>
      <c r="H2656" s="12"/>
      <c r="K2656"/>
    </row>
    <row r="2657" spans="5:11" x14ac:dyDescent="0.2">
      <c r="E2657" s="50"/>
      <c r="H2657" s="12"/>
      <c r="K2657"/>
    </row>
    <row r="2658" spans="5:11" x14ac:dyDescent="0.2">
      <c r="E2658" s="50"/>
      <c r="H2658" s="12"/>
      <c r="K2658"/>
    </row>
    <row r="2659" spans="5:11" x14ac:dyDescent="0.2">
      <c r="E2659" s="50"/>
      <c r="H2659" s="12"/>
      <c r="K2659"/>
    </row>
    <row r="2660" spans="5:11" x14ac:dyDescent="0.2">
      <c r="E2660" s="50"/>
      <c r="H2660" s="12"/>
      <c r="K2660"/>
    </row>
    <row r="2661" spans="5:11" x14ac:dyDescent="0.2">
      <c r="E2661" s="50"/>
      <c r="H2661" s="12"/>
      <c r="K2661"/>
    </row>
    <row r="2662" spans="5:11" x14ac:dyDescent="0.2">
      <c r="E2662" s="50"/>
      <c r="H2662" s="12"/>
      <c r="K2662"/>
    </row>
    <row r="2663" spans="5:11" x14ac:dyDescent="0.2">
      <c r="E2663" s="50"/>
      <c r="H2663" s="12"/>
      <c r="K2663"/>
    </row>
    <row r="2664" spans="5:11" x14ac:dyDescent="0.2">
      <c r="E2664" s="50"/>
      <c r="H2664" s="12"/>
      <c r="K2664"/>
    </row>
    <row r="2665" spans="5:11" x14ac:dyDescent="0.2">
      <c r="E2665" s="50"/>
      <c r="H2665" s="12"/>
      <c r="K2665"/>
    </row>
    <row r="2666" spans="5:11" x14ac:dyDescent="0.2">
      <c r="E2666" s="50"/>
      <c r="H2666" s="12"/>
      <c r="K2666"/>
    </row>
    <row r="2667" spans="5:11" x14ac:dyDescent="0.2">
      <c r="E2667" s="50"/>
      <c r="H2667" s="12"/>
      <c r="K2667"/>
    </row>
    <row r="2668" spans="5:11" x14ac:dyDescent="0.2">
      <c r="E2668" s="50"/>
      <c r="H2668" s="12"/>
      <c r="K2668"/>
    </row>
    <row r="2669" spans="5:11" x14ac:dyDescent="0.2">
      <c r="E2669" s="50"/>
      <c r="H2669" s="12"/>
      <c r="K2669"/>
    </row>
    <row r="2670" spans="5:11" x14ac:dyDescent="0.2">
      <c r="E2670" s="50"/>
      <c r="H2670" s="12"/>
      <c r="K2670"/>
    </row>
    <row r="2671" spans="5:11" x14ac:dyDescent="0.2">
      <c r="E2671" s="50"/>
      <c r="H2671" s="12"/>
      <c r="K2671"/>
    </row>
    <row r="2672" spans="5:11" x14ac:dyDescent="0.2">
      <c r="E2672" s="50"/>
      <c r="H2672" s="12"/>
      <c r="K2672"/>
    </row>
    <row r="2673" spans="5:11" x14ac:dyDescent="0.2">
      <c r="E2673" s="50"/>
      <c r="H2673" s="12"/>
      <c r="K2673"/>
    </row>
    <row r="2674" spans="5:11" x14ac:dyDescent="0.2">
      <c r="E2674" s="50"/>
      <c r="H2674" s="12"/>
      <c r="K2674"/>
    </row>
    <row r="2675" spans="5:11" x14ac:dyDescent="0.2">
      <c r="E2675" s="50"/>
      <c r="H2675" s="12"/>
      <c r="K2675"/>
    </row>
    <row r="2676" spans="5:11" x14ac:dyDescent="0.2">
      <c r="E2676" s="50"/>
      <c r="H2676" s="12"/>
      <c r="K2676"/>
    </row>
    <row r="2677" spans="5:11" x14ac:dyDescent="0.2">
      <c r="E2677" s="50"/>
      <c r="H2677" s="12"/>
      <c r="K2677"/>
    </row>
    <row r="2678" spans="5:11" x14ac:dyDescent="0.2">
      <c r="E2678" s="50"/>
      <c r="H2678" s="12"/>
      <c r="K2678"/>
    </row>
    <row r="2679" spans="5:11" x14ac:dyDescent="0.2">
      <c r="E2679" s="50"/>
      <c r="H2679" s="12"/>
      <c r="K2679"/>
    </row>
    <row r="2680" spans="5:11" x14ac:dyDescent="0.2">
      <c r="E2680" s="50"/>
      <c r="H2680" s="12"/>
      <c r="K2680"/>
    </row>
    <row r="2681" spans="5:11" x14ac:dyDescent="0.2">
      <c r="E2681" s="50"/>
      <c r="H2681" s="12"/>
      <c r="K2681"/>
    </row>
    <row r="2682" spans="5:11" x14ac:dyDescent="0.2">
      <c r="E2682" s="50"/>
      <c r="H2682" s="12"/>
      <c r="K2682"/>
    </row>
    <row r="2683" spans="5:11" x14ac:dyDescent="0.2">
      <c r="E2683" s="50"/>
      <c r="H2683" s="12"/>
      <c r="K2683"/>
    </row>
    <row r="2684" spans="5:11" x14ac:dyDescent="0.2">
      <c r="E2684" s="50"/>
      <c r="H2684" s="12"/>
      <c r="K2684"/>
    </row>
    <row r="2685" spans="5:11" x14ac:dyDescent="0.2">
      <c r="E2685" s="50"/>
      <c r="H2685" s="12"/>
      <c r="K2685"/>
    </row>
    <row r="2686" spans="5:11" x14ac:dyDescent="0.2">
      <c r="E2686" s="50"/>
      <c r="H2686" s="12"/>
      <c r="K2686"/>
    </row>
    <row r="2687" spans="5:11" x14ac:dyDescent="0.2">
      <c r="E2687" s="50"/>
      <c r="H2687" s="12"/>
      <c r="K2687"/>
    </row>
    <row r="2688" spans="5:11" x14ac:dyDescent="0.2">
      <c r="E2688" s="50"/>
      <c r="H2688" s="12"/>
      <c r="K2688"/>
    </row>
    <row r="2689" spans="5:11" x14ac:dyDescent="0.2">
      <c r="E2689" s="50"/>
      <c r="H2689" s="12"/>
      <c r="K2689"/>
    </row>
    <row r="2690" spans="5:11" x14ac:dyDescent="0.2">
      <c r="E2690" s="50"/>
      <c r="H2690" s="12"/>
      <c r="K2690"/>
    </row>
    <row r="2691" spans="5:11" x14ac:dyDescent="0.2">
      <c r="E2691" s="50"/>
      <c r="H2691" s="12"/>
      <c r="K2691"/>
    </row>
    <row r="2692" spans="5:11" x14ac:dyDescent="0.2">
      <c r="E2692" s="50"/>
      <c r="H2692" s="12"/>
      <c r="K2692"/>
    </row>
    <row r="2693" spans="5:11" x14ac:dyDescent="0.2">
      <c r="E2693" s="50"/>
      <c r="H2693" s="12"/>
      <c r="K2693"/>
    </row>
    <row r="2694" spans="5:11" x14ac:dyDescent="0.2">
      <c r="E2694" s="50"/>
      <c r="H2694" s="12"/>
      <c r="K2694"/>
    </row>
    <row r="2695" spans="5:11" x14ac:dyDescent="0.2">
      <c r="E2695" s="50"/>
      <c r="H2695" s="12"/>
      <c r="K2695"/>
    </row>
    <row r="2696" spans="5:11" x14ac:dyDescent="0.2">
      <c r="E2696" s="50"/>
      <c r="H2696" s="12"/>
      <c r="K2696"/>
    </row>
    <row r="2697" spans="5:11" x14ac:dyDescent="0.2">
      <c r="E2697" s="50"/>
      <c r="H2697" s="12"/>
      <c r="K2697"/>
    </row>
    <row r="2698" spans="5:11" x14ac:dyDescent="0.2">
      <c r="E2698" s="50"/>
      <c r="H2698" s="12"/>
      <c r="K2698"/>
    </row>
    <row r="2699" spans="5:11" x14ac:dyDescent="0.2">
      <c r="E2699" s="50"/>
      <c r="H2699" s="12"/>
      <c r="K2699"/>
    </row>
    <row r="2700" spans="5:11" x14ac:dyDescent="0.2">
      <c r="E2700" s="50"/>
      <c r="H2700" s="12"/>
      <c r="K2700"/>
    </row>
    <row r="2701" spans="5:11" x14ac:dyDescent="0.2">
      <c r="E2701" s="50"/>
      <c r="H2701" s="12"/>
      <c r="K2701"/>
    </row>
    <row r="2702" spans="5:11" x14ac:dyDescent="0.2">
      <c r="E2702" s="50"/>
      <c r="H2702" s="12"/>
      <c r="K2702"/>
    </row>
    <row r="2703" spans="5:11" x14ac:dyDescent="0.2">
      <c r="E2703" s="50"/>
      <c r="H2703" s="12"/>
      <c r="K2703"/>
    </row>
    <row r="2704" spans="5:11" x14ac:dyDescent="0.2">
      <c r="E2704" s="50"/>
      <c r="H2704" s="12"/>
      <c r="K2704"/>
    </row>
    <row r="2705" spans="5:11" x14ac:dyDescent="0.2">
      <c r="E2705" s="50"/>
      <c r="H2705" s="12"/>
      <c r="K2705"/>
    </row>
    <row r="2706" spans="5:11" x14ac:dyDescent="0.2">
      <c r="E2706" s="50"/>
      <c r="H2706" s="12"/>
      <c r="K2706"/>
    </row>
    <row r="2707" spans="5:11" x14ac:dyDescent="0.2">
      <c r="E2707" s="50"/>
      <c r="H2707" s="12"/>
      <c r="K2707"/>
    </row>
    <row r="2708" spans="5:11" x14ac:dyDescent="0.2">
      <c r="E2708" s="50"/>
      <c r="H2708" s="12"/>
      <c r="K2708"/>
    </row>
    <row r="2709" spans="5:11" x14ac:dyDescent="0.2">
      <c r="E2709" s="50"/>
      <c r="H2709" s="12"/>
      <c r="K2709"/>
    </row>
    <row r="2710" spans="5:11" x14ac:dyDescent="0.2">
      <c r="E2710" s="50"/>
      <c r="H2710" s="12"/>
      <c r="K2710"/>
    </row>
    <row r="2711" spans="5:11" x14ac:dyDescent="0.2">
      <c r="E2711" s="50"/>
      <c r="H2711" s="12"/>
      <c r="K2711"/>
    </row>
    <row r="2712" spans="5:11" x14ac:dyDescent="0.2">
      <c r="E2712" s="50"/>
      <c r="H2712" s="12"/>
      <c r="K2712"/>
    </row>
    <row r="2713" spans="5:11" x14ac:dyDescent="0.2">
      <c r="E2713" s="50"/>
      <c r="H2713" s="12"/>
      <c r="K2713"/>
    </row>
    <row r="2714" spans="5:11" x14ac:dyDescent="0.2">
      <c r="E2714" s="50"/>
      <c r="H2714" s="12"/>
      <c r="K2714"/>
    </row>
    <row r="2715" spans="5:11" x14ac:dyDescent="0.2">
      <c r="E2715" s="50"/>
      <c r="H2715" s="12"/>
      <c r="K2715"/>
    </row>
    <row r="2716" spans="5:11" x14ac:dyDescent="0.2">
      <c r="E2716" s="50"/>
      <c r="H2716" s="12"/>
      <c r="K2716"/>
    </row>
    <row r="2717" spans="5:11" x14ac:dyDescent="0.2">
      <c r="E2717" s="50"/>
      <c r="H2717" s="12"/>
      <c r="K2717"/>
    </row>
    <row r="2718" spans="5:11" x14ac:dyDescent="0.2">
      <c r="E2718" s="50"/>
      <c r="H2718" s="12"/>
      <c r="K2718"/>
    </row>
    <row r="2719" spans="5:11" x14ac:dyDescent="0.2">
      <c r="E2719" s="50"/>
      <c r="H2719" s="12"/>
      <c r="K2719"/>
    </row>
    <row r="2720" spans="5:11" x14ac:dyDescent="0.2">
      <c r="E2720" s="50"/>
      <c r="H2720" s="12"/>
      <c r="K2720"/>
    </row>
    <row r="2721" spans="5:11" x14ac:dyDescent="0.2">
      <c r="E2721" s="50"/>
      <c r="H2721" s="12"/>
      <c r="K2721"/>
    </row>
    <row r="2722" spans="5:11" x14ac:dyDescent="0.2">
      <c r="E2722" s="50"/>
      <c r="H2722" s="12"/>
      <c r="K2722"/>
    </row>
    <row r="2723" spans="5:11" x14ac:dyDescent="0.2">
      <c r="E2723" s="50"/>
      <c r="H2723" s="12"/>
      <c r="K2723"/>
    </row>
    <row r="2724" spans="5:11" x14ac:dyDescent="0.2">
      <c r="E2724" s="50"/>
      <c r="H2724" s="12"/>
      <c r="K2724"/>
    </row>
    <row r="2725" spans="5:11" x14ac:dyDescent="0.2">
      <c r="E2725" s="50"/>
      <c r="H2725" s="12"/>
      <c r="K2725"/>
    </row>
    <row r="2726" spans="5:11" x14ac:dyDescent="0.2">
      <c r="E2726" s="50"/>
      <c r="H2726" s="12"/>
      <c r="K2726"/>
    </row>
    <row r="2727" spans="5:11" x14ac:dyDescent="0.2">
      <c r="E2727" s="50"/>
      <c r="H2727" s="12"/>
      <c r="K2727"/>
    </row>
    <row r="2728" spans="5:11" x14ac:dyDescent="0.2">
      <c r="E2728" s="50"/>
      <c r="H2728" s="12"/>
      <c r="K2728"/>
    </row>
    <row r="2729" spans="5:11" x14ac:dyDescent="0.2">
      <c r="E2729" s="50"/>
      <c r="H2729" s="12"/>
      <c r="K2729"/>
    </row>
    <row r="2730" spans="5:11" x14ac:dyDescent="0.2">
      <c r="E2730" s="50"/>
      <c r="H2730" s="12"/>
      <c r="K2730"/>
    </row>
    <row r="2731" spans="5:11" x14ac:dyDescent="0.2">
      <c r="E2731" s="50"/>
      <c r="H2731" s="12"/>
      <c r="K2731"/>
    </row>
    <row r="2732" spans="5:11" x14ac:dyDescent="0.2">
      <c r="E2732" s="50"/>
      <c r="H2732" s="12"/>
      <c r="K2732"/>
    </row>
    <row r="2733" spans="5:11" x14ac:dyDescent="0.2">
      <c r="E2733" s="50"/>
      <c r="H2733" s="12"/>
      <c r="K2733"/>
    </row>
    <row r="2734" spans="5:11" x14ac:dyDescent="0.2">
      <c r="E2734" s="50"/>
      <c r="H2734" s="12"/>
      <c r="K2734"/>
    </row>
    <row r="2735" spans="5:11" x14ac:dyDescent="0.2">
      <c r="E2735" s="50"/>
      <c r="H2735" s="12"/>
      <c r="K2735"/>
    </row>
    <row r="2736" spans="5:11" x14ac:dyDescent="0.2">
      <c r="E2736" s="50"/>
      <c r="H2736" s="12"/>
      <c r="K2736"/>
    </row>
    <row r="2737" spans="5:11" x14ac:dyDescent="0.2">
      <c r="E2737" s="50"/>
      <c r="H2737" s="12"/>
      <c r="K2737"/>
    </row>
    <row r="2738" spans="5:11" x14ac:dyDescent="0.2">
      <c r="E2738" s="50"/>
      <c r="H2738" s="12"/>
      <c r="K2738"/>
    </row>
    <row r="2739" spans="5:11" x14ac:dyDescent="0.2">
      <c r="E2739" s="50"/>
      <c r="H2739" s="12"/>
      <c r="K2739"/>
    </row>
    <row r="2740" spans="5:11" x14ac:dyDescent="0.2">
      <c r="E2740" s="50"/>
      <c r="H2740" s="12"/>
      <c r="K2740"/>
    </row>
    <row r="2741" spans="5:11" x14ac:dyDescent="0.2">
      <c r="E2741" s="50"/>
      <c r="H2741" s="12"/>
      <c r="K2741"/>
    </row>
    <row r="2742" spans="5:11" x14ac:dyDescent="0.2">
      <c r="E2742" s="50"/>
      <c r="H2742" s="12"/>
      <c r="K2742"/>
    </row>
    <row r="2743" spans="5:11" x14ac:dyDescent="0.2">
      <c r="E2743" s="50"/>
      <c r="H2743" s="12"/>
      <c r="K2743"/>
    </row>
    <row r="2744" spans="5:11" x14ac:dyDescent="0.2">
      <c r="E2744" s="50"/>
      <c r="H2744" s="12"/>
      <c r="K2744"/>
    </row>
    <row r="2745" spans="5:11" x14ac:dyDescent="0.2">
      <c r="E2745" s="50"/>
      <c r="H2745" s="12"/>
      <c r="K2745"/>
    </row>
    <row r="2746" spans="5:11" x14ac:dyDescent="0.2">
      <c r="E2746" s="50"/>
      <c r="H2746" s="12"/>
      <c r="K2746"/>
    </row>
    <row r="2747" spans="5:11" x14ac:dyDescent="0.2">
      <c r="E2747" s="50"/>
      <c r="H2747" s="12"/>
      <c r="K2747"/>
    </row>
    <row r="2748" spans="5:11" x14ac:dyDescent="0.2">
      <c r="E2748" s="50"/>
      <c r="H2748" s="12"/>
      <c r="K2748"/>
    </row>
    <row r="2749" spans="5:11" x14ac:dyDescent="0.2">
      <c r="E2749" s="50"/>
      <c r="H2749" s="12"/>
      <c r="K2749"/>
    </row>
    <row r="2750" spans="5:11" x14ac:dyDescent="0.2">
      <c r="E2750" s="50"/>
      <c r="H2750" s="12"/>
      <c r="K2750"/>
    </row>
    <row r="2751" spans="5:11" x14ac:dyDescent="0.2">
      <c r="E2751" s="50"/>
      <c r="H2751" s="12"/>
      <c r="K2751"/>
    </row>
    <row r="2752" spans="5:11" x14ac:dyDescent="0.2">
      <c r="E2752" s="50"/>
      <c r="H2752" s="12"/>
      <c r="K2752"/>
    </row>
    <row r="2753" spans="5:11" x14ac:dyDescent="0.2">
      <c r="E2753" s="50"/>
      <c r="H2753" s="12"/>
      <c r="K2753"/>
    </row>
    <row r="2754" spans="5:11" x14ac:dyDescent="0.2">
      <c r="E2754" s="50"/>
      <c r="H2754" s="12"/>
      <c r="K2754"/>
    </row>
    <row r="2755" spans="5:11" x14ac:dyDescent="0.2">
      <c r="E2755" s="50"/>
      <c r="H2755" s="12"/>
      <c r="K2755"/>
    </row>
    <row r="2756" spans="5:11" x14ac:dyDescent="0.2">
      <c r="E2756" s="50"/>
      <c r="H2756" s="12"/>
      <c r="K2756"/>
    </row>
    <row r="2757" spans="5:11" x14ac:dyDescent="0.2">
      <c r="E2757" s="50"/>
      <c r="H2757" s="12"/>
      <c r="K2757"/>
    </row>
    <row r="2758" spans="5:11" x14ac:dyDescent="0.2">
      <c r="E2758" s="50"/>
      <c r="H2758" s="12"/>
      <c r="K2758"/>
    </row>
    <row r="2759" spans="5:11" x14ac:dyDescent="0.2">
      <c r="E2759" s="50"/>
      <c r="H2759" s="12"/>
      <c r="K2759"/>
    </row>
    <row r="2760" spans="5:11" x14ac:dyDescent="0.2">
      <c r="E2760" s="50"/>
      <c r="H2760" s="12"/>
      <c r="K2760"/>
    </row>
    <row r="2761" spans="5:11" x14ac:dyDescent="0.2">
      <c r="E2761" s="50"/>
      <c r="H2761" s="12"/>
      <c r="K2761"/>
    </row>
    <row r="2762" spans="5:11" x14ac:dyDescent="0.2">
      <c r="E2762" s="50"/>
      <c r="H2762" s="12"/>
      <c r="K2762"/>
    </row>
    <row r="2763" spans="5:11" x14ac:dyDescent="0.2">
      <c r="E2763" s="50"/>
      <c r="H2763" s="12"/>
      <c r="K2763"/>
    </row>
    <row r="2764" spans="5:11" x14ac:dyDescent="0.2">
      <c r="E2764" s="50"/>
      <c r="H2764" s="12"/>
      <c r="K2764"/>
    </row>
    <row r="2765" spans="5:11" x14ac:dyDescent="0.2">
      <c r="E2765" s="50"/>
      <c r="H2765" s="12"/>
      <c r="K2765"/>
    </row>
    <row r="2766" spans="5:11" x14ac:dyDescent="0.2">
      <c r="E2766" s="50"/>
      <c r="H2766" s="12"/>
      <c r="K2766"/>
    </row>
    <row r="2767" spans="5:11" x14ac:dyDescent="0.2">
      <c r="E2767" s="50"/>
      <c r="H2767" s="12"/>
      <c r="K2767"/>
    </row>
    <row r="2768" spans="5:11" x14ac:dyDescent="0.2">
      <c r="E2768" s="50"/>
      <c r="H2768" s="12"/>
      <c r="K2768"/>
    </row>
    <row r="2769" spans="5:11" x14ac:dyDescent="0.2">
      <c r="E2769" s="50"/>
      <c r="H2769" s="12"/>
      <c r="K2769"/>
    </row>
    <row r="2770" spans="5:11" x14ac:dyDescent="0.2">
      <c r="E2770" s="50"/>
      <c r="H2770" s="12"/>
      <c r="K2770"/>
    </row>
    <row r="2771" spans="5:11" x14ac:dyDescent="0.2">
      <c r="E2771" s="50"/>
      <c r="H2771" s="12"/>
      <c r="K2771"/>
    </row>
    <row r="2772" spans="5:11" x14ac:dyDescent="0.2">
      <c r="E2772" s="50"/>
      <c r="H2772" s="12"/>
      <c r="K2772"/>
    </row>
    <row r="2773" spans="5:11" x14ac:dyDescent="0.2">
      <c r="E2773" s="50"/>
      <c r="H2773" s="12"/>
      <c r="K2773"/>
    </row>
    <row r="2774" spans="5:11" x14ac:dyDescent="0.2">
      <c r="E2774" s="50"/>
      <c r="H2774" s="12"/>
      <c r="K2774"/>
    </row>
    <row r="2775" spans="5:11" x14ac:dyDescent="0.2">
      <c r="E2775" s="50"/>
      <c r="H2775" s="12"/>
      <c r="K2775"/>
    </row>
    <row r="2776" spans="5:11" x14ac:dyDescent="0.2">
      <c r="E2776" s="50"/>
      <c r="H2776" s="12"/>
      <c r="K2776"/>
    </row>
    <row r="2777" spans="5:11" x14ac:dyDescent="0.2">
      <c r="E2777" s="50"/>
      <c r="H2777" s="12"/>
      <c r="K2777"/>
    </row>
    <row r="2778" spans="5:11" x14ac:dyDescent="0.2">
      <c r="E2778" s="50"/>
      <c r="H2778" s="12"/>
      <c r="K2778"/>
    </row>
    <row r="2779" spans="5:11" x14ac:dyDescent="0.2">
      <c r="E2779" s="50"/>
      <c r="H2779" s="12"/>
      <c r="K2779"/>
    </row>
    <row r="2780" spans="5:11" x14ac:dyDescent="0.2">
      <c r="E2780" s="50"/>
      <c r="H2780" s="12"/>
      <c r="K2780"/>
    </row>
    <row r="2781" spans="5:11" x14ac:dyDescent="0.2">
      <c r="E2781" s="50"/>
      <c r="H2781" s="12"/>
      <c r="K2781"/>
    </row>
    <row r="2782" spans="5:11" x14ac:dyDescent="0.2">
      <c r="E2782" s="50"/>
      <c r="H2782" s="12"/>
      <c r="K2782"/>
    </row>
    <row r="2783" spans="5:11" x14ac:dyDescent="0.2">
      <c r="E2783" s="50"/>
      <c r="H2783" s="12"/>
      <c r="K2783"/>
    </row>
    <row r="2784" spans="5:11" x14ac:dyDescent="0.2">
      <c r="E2784" s="50"/>
      <c r="H2784" s="12"/>
      <c r="K2784"/>
    </row>
    <row r="2785" spans="5:11" x14ac:dyDescent="0.2">
      <c r="E2785" s="50"/>
      <c r="H2785" s="12"/>
      <c r="K2785"/>
    </row>
    <row r="2786" spans="5:11" x14ac:dyDescent="0.2">
      <c r="E2786" s="50"/>
      <c r="H2786" s="12"/>
      <c r="K2786"/>
    </row>
    <row r="2787" spans="5:11" x14ac:dyDescent="0.2">
      <c r="E2787" s="50"/>
      <c r="H2787" s="12"/>
      <c r="K2787"/>
    </row>
    <row r="2788" spans="5:11" x14ac:dyDescent="0.2">
      <c r="E2788" s="50"/>
      <c r="H2788" s="12"/>
      <c r="K2788"/>
    </row>
    <row r="2789" spans="5:11" x14ac:dyDescent="0.2">
      <c r="E2789" s="50"/>
      <c r="H2789" s="12"/>
      <c r="K2789"/>
    </row>
    <row r="2790" spans="5:11" x14ac:dyDescent="0.2">
      <c r="E2790" s="50"/>
      <c r="H2790" s="12"/>
      <c r="K2790"/>
    </row>
    <row r="2791" spans="5:11" x14ac:dyDescent="0.2">
      <c r="E2791" s="50"/>
      <c r="H2791" s="12"/>
      <c r="K2791"/>
    </row>
    <row r="2792" spans="5:11" x14ac:dyDescent="0.2">
      <c r="E2792" s="50"/>
      <c r="H2792" s="12"/>
      <c r="K2792"/>
    </row>
    <row r="2793" spans="5:11" x14ac:dyDescent="0.2">
      <c r="E2793" s="50"/>
      <c r="H2793" s="12"/>
      <c r="K2793"/>
    </row>
    <row r="2794" spans="5:11" x14ac:dyDescent="0.2">
      <c r="E2794" s="50"/>
      <c r="H2794" s="12"/>
      <c r="K2794"/>
    </row>
    <row r="2795" spans="5:11" x14ac:dyDescent="0.2">
      <c r="E2795" s="50"/>
      <c r="H2795" s="12"/>
      <c r="K2795"/>
    </row>
    <row r="2796" spans="5:11" x14ac:dyDescent="0.2">
      <c r="E2796" s="50"/>
      <c r="H2796" s="12"/>
      <c r="K2796"/>
    </row>
    <row r="2797" spans="5:11" x14ac:dyDescent="0.2">
      <c r="E2797" s="50"/>
      <c r="H2797" s="12"/>
      <c r="K2797"/>
    </row>
    <row r="2798" spans="5:11" x14ac:dyDescent="0.2">
      <c r="E2798" s="50"/>
      <c r="H2798" s="12"/>
      <c r="K2798"/>
    </row>
    <row r="2799" spans="5:11" x14ac:dyDescent="0.2">
      <c r="E2799" s="50"/>
      <c r="H2799" s="12"/>
      <c r="K2799"/>
    </row>
    <row r="2800" spans="5:11" x14ac:dyDescent="0.2">
      <c r="E2800" s="50"/>
      <c r="H2800" s="12"/>
      <c r="K2800"/>
    </row>
    <row r="2801" spans="5:11" x14ac:dyDescent="0.2">
      <c r="E2801" s="50"/>
      <c r="H2801" s="12"/>
      <c r="K2801"/>
    </row>
    <row r="2802" spans="5:11" x14ac:dyDescent="0.2">
      <c r="E2802" s="50"/>
      <c r="H2802" s="12"/>
      <c r="K2802"/>
    </row>
    <row r="2803" spans="5:11" x14ac:dyDescent="0.2">
      <c r="E2803" s="50"/>
      <c r="H2803" s="12"/>
      <c r="K2803"/>
    </row>
    <row r="2804" spans="5:11" x14ac:dyDescent="0.2">
      <c r="E2804" s="50"/>
      <c r="H2804" s="12"/>
      <c r="K2804"/>
    </row>
    <row r="2805" spans="5:11" x14ac:dyDescent="0.2">
      <c r="E2805" s="50"/>
      <c r="H2805" s="12"/>
      <c r="K2805"/>
    </row>
    <row r="2806" spans="5:11" x14ac:dyDescent="0.2">
      <c r="E2806" s="50"/>
      <c r="H2806" s="12"/>
      <c r="K2806"/>
    </row>
    <row r="2807" spans="5:11" x14ac:dyDescent="0.2">
      <c r="E2807" s="50"/>
      <c r="H2807" s="12"/>
      <c r="K2807"/>
    </row>
    <row r="2808" spans="5:11" x14ac:dyDescent="0.2">
      <c r="E2808" s="50"/>
      <c r="H2808" s="12"/>
      <c r="K2808"/>
    </row>
    <row r="2809" spans="5:11" x14ac:dyDescent="0.2">
      <c r="E2809" s="50"/>
      <c r="H2809" s="12"/>
      <c r="K2809"/>
    </row>
    <row r="2810" spans="5:11" x14ac:dyDescent="0.2">
      <c r="E2810" s="50"/>
      <c r="H2810" s="12"/>
      <c r="K2810"/>
    </row>
    <row r="2811" spans="5:11" x14ac:dyDescent="0.2">
      <c r="E2811" s="50"/>
      <c r="H2811" s="12"/>
      <c r="K2811"/>
    </row>
    <row r="2812" spans="5:11" x14ac:dyDescent="0.2">
      <c r="E2812" s="50"/>
      <c r="H2812" s="12"/>
      <c r="K2812"/>
    </row>
    <row r="2813" spans="5:11" x14ac:dyDescent="0.2">
      <c r="E2813" s="50"/>
      <c r="H2813" s="12"/>
      <c r="K2813"/>
    </row>
    <row r="2814" spans="5:11" x14ac:dyDescent="0.2">
      <c r="E2814" s="50"/>
      <c r="H2814" s="12"/>
      <c r="K2814"/>
    </row>
    <row r="2815" spans="5:11" x14ac:dyDescent="0.2">
      <c r="E2815" s="50"/>
      <c r="H2815" s="12"/>
      <c r="K2815"/>
    </row>
    <row r="2816" spans="5:11" x14ac:dyDescent="0.2">
      <c r="E2816" s="50"/>
      <c r="H2816" s="12"/>
      <c r="K2816"/>
    </row>
    <row r="2817" spans="5:11" x14ac:dyDescent="0.2">
      <c r="E2817" s="50"/>
      <c r="H2817" s="12"/>
      <c r="K2817"/>
    </row>
    <row r="2818" spans="5:11" x14ac:dyDescent="0.2">
      <c r="E2818" s="50"/>
      <c r="H2818" s="12"/>
      <c r="K2818"/>
    </row>
    <row r="2819" spans="5:11" x14ac:dyDescent="0.2">
      <c r="E2819" s="50"/>
      <c r="H2819" s="12"/>
      <c r="K2819"/>
    </row>
    <row r="2820" spans="5:11" x14ac:dyDescent="0.2">
      <c r="E2820" s="50"/>
      <c r="H2820" s="12"/>
      <c r="K2820"/>
    </row>
    <row r="2821" spans="5:11" x14ac:dyDescent="0.2">
      <c r="E2821" s="50"/>
      <c r="H2821" s="12"/>
      <c r="K2821"/>
    </row>
    <row r="2822" spans="5:11" x14ac:dyDescent="0.2">
      <c r="E2822" s="50"/>
      <c r="H2822" s="12"/>
      <c r="K2822"/>
    </row>
    <row r="2823" spans="5:11" x14ac:dyDescent="0.2">
      <c r="E2823" s="50"/>
      <c r="H2823" s="12"/>
      <c r="K2823"/>
    </row>
    <row r="2824" spans="5:11" x14ac:dyDescent="0.2">
      <c r="E2824" s="50"/>
      <c r="H2824" s="12"/>
      <c r="K2824"/>
    </row>
    <row r="2825" spans="5:11" x14ac:dyDescent="0.2">
      <c r="E2825" s="50"/>
      <c r="H2825" s="12"/>
      <c r="K2825"/>
    </row>
    <row r="2826" spans="5:11" x14ac:dyDescent="0.2">
      <c r="E2826" s="50"/>
      <c r="H2826" s="12"/>
      <c r="K2826"/>
    </row>
    <row r="2827" spans="5:11" x14ac:dyDescent="0.2">
      <c r="E2827" s="50"/>
      <c r="H2827" s="12"/>
      <c r="K2827"/>
    </row>
    <row r="2828" spans="5:11" x14ac:dyDescent="0.2">
      <c r="E2828" s="50"/>
      <c r="H2828" s="12"/>
      <c r="K2828"/>
    </row>
    <row r="2829" spans="5:11" x14ac:dyDescent="0.2">
      <c r="E2829" s="50"/>
      <c r="H2829" s="12"/>
      <c r="K2829"/>
    </row>
    <row r="2830" spans="5:11" x14ac:dyDescent="0.2">
      <c r="E2830" s="50"/>
      <c r="H2830" s="12"/>
      <c r="K2830"/>
    </row>
    <row r="2831" spans="5:11" x14ac:dyDescent="0.2">
      <c r="E2831" s="50"/>
      <c r="H2831" s="12"/>
      <c r="K2831"/>
    </row>
    <row r="2832" spans="5:11" x14ac:dyDescent="0.2">
      <c r="E2832" s="50"/>
      <c r="H2832" s="12"/>
      <c r="K2832"/>
    </row>
    <row r="2833" spans="5:11" x14ac:dyDescent="0.2">
      <c r="E2833" s="50"/>
      <c r="H2833" s="12"/>
      <c r="K2833"/>
    </row>
    <row r="2834" spans="5:11" x14ac:dyDescent="0.2">
      <c r="E2834" s="50"/>
      <c r="H2834" s="12"/>
      <c r="K2834"/>
    </row>
    <row r="2835" spans="5:11" x14ac:dyDescent="0.2">
      <c r="E2835" s="50"/>
      <c r="H2835" s="12"/>
      <c r="K2835"/>
    </row>
    <row r="2836" spans="5:11" x14ac:dyDescent="0.2">
      <c r="E2836" s="50"/>
      <c r="H2836" s="12"/>
      <c r="K2836"/>
    </row>
    <row r="2837" spans="5:11" x14ac:dyDescent="0.2">
      <c r="E2837" s="50"/>
      <c r="H2837" s="12"/>
      <c r="K2837"/>
    </row>
    <row r="2838" spans="5:11" x14ac:dyDescent="0.2">
      <c r="E2838" s="50"/>
      <c r="H2838" s="12"/>
      <c r="K2838"/>
    </row>
    <row r="2839" spans="5:11" x14ac:dyDescent="0.2">
      <c r="E2839" s="50"/>
      <c r="H2839" s="12"/>
      <c r="K2839"/>
    </row>
    <row r="2840" spans="5:11" x14ac:dyDescent="0.2">
      <c r="E2840" s="50"/>
      <c r="H2840" s="12"/>
      <c r="K2840"/>
    </row>
    <row r="2841" spans="5:11" x14ac:dyDescent="0.2">
      <c r="E2841" s="50"/>
      <c r="H2841" s="12"/>
      <c r="K2841"/>
    </row>
    <row r="2842" spans="5:11" x14ac:dyDescent="0.2">
      <c r="E2842" s="50"/>
      <c r="H2842" s="12"/>
      <c r="K2842"/>
    </row>
    <row r="2843" spans="5:11" x14ac:dyDescent="0.2">
      <c r="E2843" s="50"/>
      <c r="H2843" s="12"/>
      <c r="K2843"/>
    </row>
    <row r="2844" spans="5:11" x14ac:dyDescent="0.2">
      <c r="E2844" s="50"/>
      <c r="H2844" s="12"/>
      <c r="K2844"/>
    </row>
    <row r="2845" spans="5:11" x14ac:dyDescent="0.2">
      <c r="E2845" s="50"/>
      <c r="H2845" s="12"/>
      <c r="K2845"/>
    </row>
    <row r="2846" spans="5:11" x14ac:dyDescent="0.2">
      <c r="E2846" s="50"/>
      <c r="H2846" s="12"/>
      <c r="K2846"/>
    </row>
    <row r="2847" spans="5:11" x14ac:dyDescent="0.2">
      <c r="E2847" s="50"/>
      <c r="H2847" s="12"/>
      <c r="K2847"/>
    </row>
    <row r="2848" spans="5:11" x14ac:dyDescent="0.2">
      <c r="E2848" s="50"/>
      <c r="H2848" s="12"/>
      <c r="K2848"/>
    </row>
    <row r="2849" spans="5:11" x14ac:dyDescent="0.2">
      <c r="E2849" s="50"/>
      <c r="H2849" s="12"/>
      <c r="K2849"/>
    </row>
    <row r="2850" spans="5:11" x14ac:dyDescent="0.2">
      <c r="E2850" s="50"/>
      <c r="H2850" s="12"/>
      <c r="K2850"/>
    </row>
    <row r="2851" spans="5:11" x14ac:dyDescent="0.2">
      <c r="E2851" s="50"/>
      <c r="H2851" s="12"/>
      <c r="K2851"/>
    </row>
    <row r="2852" spans="5:11" x14ac:dyDescent="0.2">
      <c r="E2852" s="50"/>
      <c r="H2852" s="12"/>
      <c r="K2852"/>
    </row>
    <row r="2853" spans="5:11" x14ac:dyDescent="0.2">
      <c r="E2853" s="50"/>
      <c r="H2853" s="12"/>
      <c r="K2853"/>
    </row>
    <row r="2854" spans="5:11" x14ac:dyDescent="0.2">
      <c r="E2854" s="50"/>
      <c r="H2854" s="12"/>
      <c r="K2854"/>
    </row>
    <row r="2855" spans="5:11" x14ac:dyDescent="0.2">
      <c r="E2855" s="50"/>
      <c r="H2855" s="12"/>
      <c r="K2855"/>
    </row>
    <row r="2856" spans="5:11" x14ac:dyDescent="0.2">
      <c r="E2856" s="50"/>
      <c r="F2856" s="41"/>
      <c r="H2856" s="12"/>
      <c r="K2856"/>
    </row>
    <row r="2857" spans="5:11" x14ac:dyDescent="0.2">
      <c r="E2857" s="50"/>
      <c r="H2857" s="12"/>
      <c r="K2857"/>
    </row>
    <row r="2858" spans="5:11" x14ac:dyDescent="0.2">
      <c r="E2858" s="50"/>
      <c r="H2858" s="12"/>
      <c r="K2858"/>
    </row>
    <row r="2859" spans="5:11" x14ac:dyDescent="0.2">
      <c r="E2859" s="50"/>
      <c r="H2859" s="12"/>
      <c r="K2859"/>
    </row>
    <row r="2860" spans="5:11" x14ac:dyDescent="0.2">
      <c r="E2860" s="50"/>
      <c r="H2860" s="12"/>
      <c r="K2860"/>
    </row>
    <row r="2861" spans="5:11" x14ac:dyDescent="0.2">
      <c r="E2861" s="50"/>
      <c r="H2861" s="12"/>
      <c r="K2861"/>
    </row>
    <row r="2862" spans="5:11" x14ac:dyDescent="0.2">
      <c r="E2862" s="50"/>
      <c r="H2862" s="12"/>
      <c r="K2862"/>
    </row>
    <row r="2863" spans="5:11" x14ac:dyDescent="0.2">
      <c r="E2863" s="50"/>
      <c r="H2863" s="12"/>
      <c r="K2863"/>
    </row>
    <row r="2864" spans="5:11" x14ac:dyDescent="0.2">
      <c r="E2864" s="50"/>
      <c r="H2864" s="12"/>
      <c r="K2864"/>
    </row>
    <row r="2865" spans="5:11" x14ac:dyDescent="0.2">
      <c r="E2865" s="50"/>
      <c r="H2865" s="12"/>
      <c r="K2865"/>
    </row>
    <row r="2866" spans="5:11" x14ac:dyDescent="0.2">
      <c r="E2866" s="50"/>
      <c r="H2866" s="12"/>
      <c r="K2866"/>
    </row>
    <row r="2867" spans="5:11" x14ac:dyDescent="0.2">
      <c r="E2867" s="50"/>
      <c r="H2867" s="12"/>
      <c r="K2867"/>
    </row>
    <row r="2868" spans="5:11" x14ac:dyDescent="0.2">
      <c r="E2868" s="50"/>
      <c r="H2868" s="12"/>
      <c r="K2868"/>
    </row>
    <row r="2869" spans="5:11" x14ac:dyDescent="0.2">
      <c r="E2869" s="50"/>
      <c r="H2869" s="12"/>
      <c r="K2869"/>
    </row>
    <row r="2870" spans="5:11" x14ac:dyDescent="0.2">
      <c r="E2870" s="50"/>
      <c r="H2870" s="12"/>
      <c r="K2870"/>
    </row>
    <row r="2871" spans="5:11" x14ac:dyDescent="0.2">
      <c r="E2871" s="50"/>
      <c r="H2871" s="12"/>
      <c r="K2871"/>
    </row>
    <row r="2872" spans="5:11" x14ac:dyDescent="0.2">
      <c r="E2872" s="50"/>
      <c r="H2872" s="12"/>
      <c r="K2872"/>
    </row>
    <row r="2873" spans="5:11" x14ac:dyDescent="0.2">
      <c r="E2873" s="50"/>
      <c r="H2873" s="12"/>
      <c r="K2873"/>
    </row>
    <row r="2874" spans="5:11" x14ac:dyDescent="0.2">
      <c r="E2874" s="50"/>
      <c r="H2874" s="12"/>
      <c r="K2874"/>
    </row>
    <row r="2875" spans="5:11" x14ac:dyDescent="0.2">
      <c r="E2875" s="50"/>
      <c r="H2875" s="12"/>
      <c r="K2875"/>
    </row>
    <row r="2876" spans="5:11" x14ac:dyDescent="0.2">
      <c r="E2876" s="50"/>
      <c r="H2876" s="12"/>
      <c r="K2876"/>
    </row>
    <row r="2877" spans="5:11" x14ac:dyDescent="0.2">
      <c r="E2877" s="50"/>
      <c r="H2877" s="12"/>
      <c r="K2877"/>
    </row>
    <row r="2878" spans="5:11" x14ac:dyDescent="0.2">
      <c r="E2878" s="50"/>
      <c r="H2878" s="12"/>
      <c r="K2878"/>
    </row>
    <row r="2879" spans="5:11" x14ac:dyDescent="0.2">
      <c r="E2879" s="50"/>
      <c r="H2879" s="12"/>
      <c r="K2879"/>
    </row>
    <row r="2880" spans="5:11" x14ac:dyDescent="0.2">
      <c r="E2880" s="50"/>
      <c r="H2880" s="12"/>
      <c r="K2880"/>
    </row>
    <row r="2881" spans="1:9" x14ac:dyDescent="0.2">
      <c r="A2881" s="43"/>
      <c r="B2881" s="43"/>
      <c r="C2881" s="43"/>
      <c r="D2881" s="28" t="s">
        <v>55</v>
      </c>
      <c r="E2881" s="53" t="s">
        <v>43</v>
      </c>
      <c r="G2881" s="29"/>
      <c r="H2881" s="12"/>
    </row>
    <row r="2882" spans="1:9" ht="12" customHeight="1" x14ac:dyDescent="0.2">
      <c r="A2882" s="45" t="s">
        <v>0</v>
      </c>
      <c r="D2882" s="27" t="s">
        <v>17</v>
      </c>
      <c r="E2882" s="63">
        <v>44378</v>
      </c>
      <c r="G2882" s="26" t="s">
        <v>12</v>
      </c>
      <c r="H2882" s="123">
        <v>44378</v>
      </c>
      <c r="I2882" s="12" t="s">
        <v>53</v>
      </c>
    </row>
    <row r="2883" spans="1:9" x14ac:dyDescent="0.2">
      <c r="A2883" s="46" t="s">
        <v>41</v>
      </c>
      <c r="D2883" s="27" t="s">
        <v>17</v>
      </c>
      <c r="E2883" s="63">
        <v>44379</v>
      </c>
      <c r="G2883" s="26" t="s">
        <v>20</v>
      </c>
      <c r="H2883" s="123">
        <v>44379</v>
      </c>
      <c r="I2883" s="12" t="s">
        <v>53</v>
      </c>
    </row>
    <row r="2884" spans="1:9" x14ac:dyDescent="0.2">
      <c r="D2884" s="27" t="s">
        <v>17</v>
      </c>
      <c r="E2884" s="63">
        <v>44380</v>
      </c>
      <c r="G2884" s="26" t="s">
        <v>21</v>
      </c>
      <c r="H2884" s="123">
        <v>44382</v>
      </c>
      <c r="I2884" s="12" t="s">
        <v>53</v>
      </c>
    </row>
    <row r="2885" spans="1:9" x14ac:dyDescent="0.2">
      <c r="D2885" s="27" t="s">
        <v>17</v>
      </c>
      <c r="E2885" s="63">
        <v>44381</v>
      </c>
      <c r="G2885" s="26" t="s">
        <v>19</v>
      </c>
      <c r="H2885" s="123">
        <v>44382</v>
      </c>
      <c r="I2885" s="12" t="s">
        <v>53</v>
      </c>
    </row>
    <row r="2886" spans="1:9" x14ac:dyDescent="0.2">
      <c r="D2886" s="27" t="s">
        <v>17</v>
      </c>
      <c r="E2886" s="63">
        <v>44382</v>
      </c>
      <c r="G2886" s="26" t="s">
        <v>14</v>
      </c>
      <c r="H2886" s="123">
        <v>44382</v>
      </c>
      <c r="I2886" s="12" t="s">
        <v>53</v>
      </c>
    </row>
    <row r="2887" spans="1:9" x14ac:dyDescent="0.2">
      <c r="D2887" s="27" t="s">
        <v>17</v>
      </c>
      <c r="E2887" s="63">
        <v>44383</v>
      </c>
      <c r="G2887" s="26" t="s">
        <v>15</v>
      </c>
      <c r="H2887" s="123">
        <v>44383</v>
      </c>
      <c r="I2887" s="12" t="s">
        <v>53</v>
      </c>
    </row>
    <row r="2888" spans="1:9" x14ac:dyDescent="0.2">
      <c r="D2888" s="27" t="s">
        <v>17</v>
      </c>
      <c r="E2888" s="63">
        <v>44384</v>
      </c>
      <c r="G2888" s="26" t="s">
        <v>16</v>
      </c>
      <c r="H2888" s="123">
        <v>44384</v>
      </c>
      <c r="I2888" s="12" t="s">
        <v>53</v>
      </c>
    </row>
    <row r="2889" spans="1:9" x14ac:dyDescent="0.2">
      <c r="D2889" s="27" t="s">
        <v>17</v>
      </c>
      <c r="E2889" s="63">
        <v>44385</v>
      </c>
      <c r="G2889" s="26" t="s">
        <v>25</v>
      </c>
      <c r="H2889" s="123">
        <v>44385</v>
      </c>
      <c r="I2889" s="12" t="s">
        <v>53</v>
      </c>
    </row>
    <row r="2890" spans="1:9" x14ac:dyDescent="0.2">
      <c r="D2890" s="27" t="s">
        <v>17</v>
      </c>
      <c r="E2890" s="63">
        <v>44386</v>
      </c>
      <c r="G2890" s="26" t="s">
        <v>26</v>
      </c>
      <c r="H2890" s="123">
        <v>44386</v>
      </c>
      <c r="I2890" s="12" t="s">
        <v>53</v>
      </c>
    </row>
    <row r="2891" spans="1:9" x14ac:dyDescent="0.2">
      <c r="D2891" s="27" t="s">
        <v>17</v>
      </c>
      <c r="E2891" s="63">
        <v>44387</v>
      </c>
      <c r="G2891" s="26" t="s">
        <v>36</v>
      </c>
      <c r="H2891" s="123">
        <v>44389</v>
      </c>
      <c r="I2891" s="12" t="s">
        <v>53</v>
      </c>
    </row>
    <row r="2892" spans="1:9" x14ac:dyDescent="0.2">
      <c r="D2892" s="27" t="s">
        <v>17</v>
      </c>
      <c r="E2892" s="63">
        <v>44388</v>
      </c>
      <c r="G2892" s="26" t="s">
        <v>31</v>
      </c>
      <c r="H2892" s="123">
        <v>44389</v>
      </c>
      <c r="I2892" s="12" t="s">
        <v>53</v>
      </c>
    </row>
    <row r="2893" spans="1:9" x14ac:dyDescent="0.2">
      <c r="D2893" s="27" t="s">
        <v>17</v>
      </c>
      <c r="E2893" s="63">
        <v>44389</v>
      </c>
      <c r="G2893" s="26" t="s">
        <v>29</v>
      </c>
      <c r="H2893" s="123">
        <v>44389</v>
      </c>
      <c r="I2893" s="12" t="s">
        <v>53</v>
      </c>
    </row>
    <row r="2894" spans="1:9" x14ac:dyDescent="0.2">
      <c r="D2894" s="27" t="s">
        <v>17</v>
      </c>
      <c r="E2894" s="63">
        <v>44390</v>
      </c>
      <c r="G2894" s="26" t="s">
        <v>32</v>
      </c>
      <c r="H2894" s="123">
        <v>44390</v>
      </c>
      <c r="I2894" s="12" t="s">
        <v>53</v>
      </c>
    </row>
    <row r="2895" spans="1:9" x14ac:dyDescent="0.2">
      <c r="D2895" s="27" t="s">
        <v>17</v>
      </c>
      <c r="E2895" s="63">
        <v>44391</v>
      </c>
      <c r="G2895" s="26" t="s">
        <v>33</v>
      </c>
      <c r="H2895" s="123">
        <v>44391</v>
      </c>
      <c r="I2895" s="12" t="s">
        <v>53</v>
      </c>
    </row>
    <row r="2896" spans="1:9" x14ac:dyDescent="0.2">
      <c r="D2896" s="27" t="s">
        <v>17</v>
      </c>
      <c r="E2896" s="63">
        <v>44392</v>
      </c>
      <c r="G2896" s="26" t="s">
        <v>34</v>
      </c>
      <c r="H2896" s="123">
        <v>44392</v>
      </c>
      <c r="I2896" s="12" t="s">
        <v>53</v>
      </c>
    </row>
    <row r="2897" spans="4:9" x14ac:dyDescent="0.2">
      <c r="D2897" s="27" t="s">
        <v>17</v>
      </c>
      <c r="E2897" s="63">
        <v>44393</v>
      </c>
      <c r="G2897" s="26" t="s">
        <v>7</v>
      </c>
      <c r="H2897" s="123">
        <v>44393</v>
      </c>
      <c r="I2897" s="12" t="s">
        <v>53</v>
      </c>
    </row>
    <row r="2898" spans="4:9" x14ac:dyDescent="0.2">
      <c r="D2898" s="27" t="s">
        <v>17</v>
      </c>
      <c r="E2898" s="63">
        <v>44394</v>
      </c>
      <c r="G2898" s="26" t="s">
        <v>8</v>
      </c>
      <c r="H2898" s="123">
        <v>44396</v>
      </c>
      <c r="I2898" s="12" t="s">
        <v>53</v>
      </c>
    </row>
    <row r="2899" spans="4:9" x14ac:dyDescent="0.2">
      <c r="D2899" s="27" t="s">
        <v>17</v>
      </c>
      <c r="E2899" s="63">
        <v>44395</v>
      </c>
      <c r="G2899" s="26" t="s">
        <v>9</v>
      </c>
      <c r="H2899" s="123">
        <v>44396</v>
      </c>
      <c r="I2899" s="12" t="s">
        <v>53</v>
      </c>
    </row>
    <row r="2900" spans="4:9" x14ac:dyDescent="0.2">
      <c r="D2900" s="27" t="s">
        <v>17</v>
      </c>
      <c r="E2900" s="63">
        <v>44396</v>
      </c>
      <c r="G2900" s="26" t="s">
        <v>52</v>
      </c>
      <c r="H2900" s="123">
        <v>44396</v>
      </c>
      <c r="I2900" s="12" t="s">
        <v>53</v>
      </c>
    </row>
    <row r="2901" spans="4:9" x14ac:dyDescent="0.2">
      <c r="D2901" s="27" t="s">
        <v>17</v>
      </c>
      <c r="E2901" s="63">
        <v>44397</v>
      </c>
      <c r="G2901" s="26" t="s">
        <v>30</v>
      </c>
      <c r="H2901" s="123">
        <v>44397</v>
      </c>
      <c r="I2901" s="12" t="s">
        <v>53</v>
      </c>
    </row>
    <row r="2902" spans="4:9" x14ac:dyDescent="0.2">
      <c r="D2902" s="27" t="s">
        <v>17</v>
      </c>
      <c r="E2902" s="63">
        <v>44398</v>
      </c>
      <c r="G2902" s="26" t="s">
        <v>51</v>
      </c>
      <c r="H2902" s="123">
        <v>44398</v>
      </c>
      <c r="I2902" s="12" t="s">
        <v>53</v>
      </c>
    </row>
    <row r="2903" spans="4:9" x14ac:dyDescent="0.2">
      <c r="D2903" s="27" t="s">
        <v>17</v>
      </c>
      <c r="E2903" s="63">
        <v>44399</v>
      </c>
      <c r="G2903" s="26" t="s">
        <v>38</v>
      </c>
      <c r="H2903" s="123">
        <v>44399</v>
      </c>
      <c r="I2903" s="12" t="s">
        <v>53</v>
      </c>
    </row>
    <row r="2904" spans="4:9" x14ac:dyDescent="0.2">
      <c r="D2904" s="27" t="s">
        <v>17</v>
      </c>
      <c r="E2904" s="63">
        <v>44400</v>
      </c>
      <c r="G2904" s="26" t="s">
        <v>39</v>
      </c>
      <c r="H2904" s="123">
        <v>44400</v>
      </c>
      <c r="I2904" s="12" t="s">
        <v>53</v>
      </c>
    </row>
    <row r="2905" spans="4:9" x14ac:dyDescent="0.2">
      <c r="D2905" s="27" t="s">
        <v>17</v>
      </c>
      <c r="E2905" s="63">
        <v>44401</v>
      </c>
      <c r="G2905" s="26" t="s">
        <v>27</v>
      </c>
      <c r="H2905" s="123">
        <v>44403</v>
      </c>
      <c r="I2905" s="12" t="s">
        <v>53</v>
      </c>
    </row>
    <row r="2906" spans="4:9" x14ac:dyDescent="0.2">
      <c r="D2906" s="27" t="s">
        <v>17</v>
      </c>
      <c r="E2906" s="63">
        <v>44402</v>
      </c>
      <c r="G2906" s="26" t="s">
        <v>28</v>
      </c>
      <c r="H2906" s="123">
        <v>44403</v>
      </c>
      <c r="I2906" s="12" t="s">
        <v>53</v>
      </c>
    </row>
    <row r="2907" spans="4:9" x14ac:dyDescent="0.2">
      <c r="D2907" s="27" t="s">
        <v>17</v>
      </c>
      <c r="E2907" s="63">
        <v>44403</v>
      </c>
      <c r="G2907" s="26" t="s">
        <v>18</v>
      </c>
      <c r="H2907" s="123">
        <v>44403</v>
      </c>
      <c r="I2907" s="12" t="s">
        <v>53</v>
      </c>
    </row>
    <row r="2908" spans="4:9" x14ac:dyDescent="0.2">
      <c r="D2908" s="27" t="s">
        <v>17</v>
      </c>
      <c r="E2908" s="63">
        <v>44404</v>
      </c>
      <c r="G2908" s="26" t="s">
        <v>6</v>
      </c>
      <c r="H2908" s="123">
        <v>44404</v>
      </c>
      <c r="I2908" s="12" t="s">
        <v>53</v>
      </c>
    </row>
    <row r="2909" spans="4:9" x14ac:dyDescent="0.2">
      <c r="D2909" s="27" t="s">
        <v>17</v>
      </c>
      <c r="E2909" s="63">
        <v>44405</v>
      </c>
      <c r="G2909" s="26" t="s">
        <v>22</v>
      </c>
      <c r="H2909" s="123">
        <v>44405</v>
      </c>
      <c r="I2909" s="12" t="s">
        <v>53</v>
      </c>
    </row>
    <row r="2910" spans="4:9" x14ac:dyDescent="0.2">
      <c r="D2910" s="27" t="s">
        <v>17</v>
      </c>
      <c r="E2910" s="63">
        <v>44406</v>
      </c>
      <c r="G2910" s="26" t="s">
        <v>45</v>
      </c>
      <c r="H2910" s="123">
        <v>44406</v>
      </c>
      <c r="I2910" s="12" t="s">
        <v>53</v>
      </c>
    </row>
    <row r="2911" spans="4:9" x14ac:dyDescent="0.2">
      <c r="D2911" s="27" t="s">
        <v>17</v>
      </c>
      <c r="E2911" s="63">
        <v>44407</v>
      </c>
      <c r="G2911" s="26" t="s">
        <v>13</v>
      </c>
      <c r="H2911" s="123">
        <v>44407</v>
      </c>
      <c r="I2911" s="12" t="s">
        <v>53</v>
      </c>
    </row>
    <row r="2912" spans="4:9" x14ac:dyDescent="0.2">
      <c r="D2912" s="27" t="s">
        <v>17</v>
      </c>
      <c r="E2912" s="63"/>
      <c r="G2912" s="26"/>
      <c r="H2912" s="123"/>
      <c r="I2912" s="12" t="s">
        <v>53</v>
      </c>
    </row>
    <row r="2913" spans="4:9" x14ac:dyDescent="0.2">
      <c r="D2913" s="27" t="s">
        <v>44</v>
      </c>
      <c r="E2913" s="59">
        <v>44380</v>
      </c>
      <c r="G2913" s="26" t="s">
        <v>1</v>
      </c>
      <c r="H2913" s="65">
        <v>44380</v>
      </c>
      <c r="I2913" s="12"/>
    </row>
    <row r="2914" spans="4:9" x14ac:dyDescent="0.2">
      <c r="D2914" s="27" t="s">
        <v>44</v>
      </c>
      <c r="E2914" s="59">
        <v>44381</v>
      </c>
      <c r="G2914" s="26" t="s">
        <v>10</v>
      </c>
      <c r="H2914" s="65">
        <v>44381</v>
      </c>
    </row>
    <row r="2915" spans="4:9" x14ac:dyDescent="0.2">
      <c r="D2915" s="27" t="s">
        <v>44</v>
      </c>
      <c r="E2915" s="59">
        <v>44387</v>
      </c>
      <c r="G2915" s="26" t="s">
        <v>11</v>
      </c>
      <c r="H2915" s="65">
        <v>44387</v>
      </c>
    </row>
    <row r="2916" spans="4:9" x14ac:dyDescent="0.2">
      <c r="D2916" s="27" t="s">
        <v>44</v>
      </c>
      <c r="E2916" s="59">
        <v>44388</v>
      </c>
      <c r="G2916" s="26" t="s">
        <v>23</v>
      </c>
      <c r="H2916" s="65">
        <v>44388</v>
      </c>
    </row>
    <row r="2917" spans="4:9" x14ac:dyDescent="0.2">
      <c r="D2917" s="27" t="s">
        <v>44</v>
      </c>
      <c r="E2917" s="59">
        <v>44394</v>
      </c>
      <c r="G2917" s="26" t="s">
        <v>4</v>
      </c>
      <c r="H2917" s="65">
        <v>44394</v>
      </c>
    </row>
    <row r="2918" spans="4:9" x14ac:dyDescent="0.2">
      <c r="D2918" s="27" t="s">
        <v>44</v>
      </c>
      <c r="E2918" s="59">
        <v>44395</v>
      </c>
      <c r="G2918" s="26" t="s">
        <v>24</v>
      </c>
      <c r="H2918" s="65">
        <v>44395</v>
      </c>
    </row>
    <row r="2919" spans="4:9" x14ac:dyDescent="0.2">
      <c r="D2919" s="27" t="s">
        <v>44</v>
      </c>
      <c r="E2919" s="59">
        <v>44401</v>
      </c>
      <c r="G2919" s="26" t="s">
        <v>37</v>
      </c>
      <c r="H2919" s="65">
        <v>44401</v>
      </c>
    </row>
    <row r="2920" spans="4:9" x14ac:dyDescent="0.2">
      <c r="D2920" s="27" t="s">
        <v>44</v>
      </c>
      <c r="E2920" s="59">
        <v>44402</v>
      </c>
      <c r="H2920" s="65">
        <v>44402</v>
      </c>
    </row>
    <row r="2921" spans="4:9" x14ac:dyDescent="0.2">
      <c r="D2921" s="27" t="s">
        <v>44</v>
      </c>
      <c r="E2921" s="59"/>
      <c r="H2921" s="65"/>
    </row>
    <row r="2922" spans="4:9" x14ac:dyDescent="0.2">
      <c r="D2922" s="27"/>
      <c r="E2922" s="59"/>
      <c r="H2922" s="65"/>
    </row>
    <row r="2923" spans="4:9" x14ac:dyDescent="0.2">
      <c r="D2923" s="27"/>
      <c r="H2923" s="35"/>
    </row>
    <row r="2928" spans="4:9" x14ac:dyDescent="0.2">
      <c r="I2928" s="30"/>
    </row>
    <row r="2929" spans="9:9" x14ac:dyDescent="0.2">
      <c r="I2929" s="30"/>
    </row>
    <row r="2930" spans="9:9" x14ac:dyDescent="0.2">
      <c r="I2930" s="30"/>
    </row>
    <row r="2931" spans="9:9" x14ac:dyDescent="0.2">
      <c r="I2931" s="30"/>
    </row>
    <row r="2932" spans="9:9" x14ac:dyDescent="0.2">
      <c r="I2932" s="30"/>
    </row>
    <row r="2933" spans="9:9" x14ac:dyDescent="0.2">
      <c r="I2933" s="30"/>
    </row>
    <row r="2934" spans="9:9" x14ac:dyDescent="0.2">
      <c r="I2934" s="30"/>
    </row>
    <row r="2935" spans="9:9" x14ac:dyDescent="0.2">
      <c r="I2935" s="30"/>
    </row>
    <row r="2936" spans="9:9" x14ac:dyDescent="0.2">
      <c r="I2936" s="30"/>
    </row>
    <row r="2937" spans="9:9" x14ac:dyDescent="0.2">
      <c r="I2937" s="30"/>
    </row>
    <row r="2938" spans="9:9" x14ac:dyDescent="0.2">
      <c r="I2938" s="30"/>
    </row>
    <row r="2939" spans="9:9" x14ac:dyDescent="0.2">
      <c r="I2939" s="30"/>
    </row>
    <row r="2940" spans="9:9" x14ac:dyDescent="0.2">
      <c r="I2940" s="30"/>
    </row>
    <row r="2941" spans="9:9" x14ac:dyDescent="0.2">
      <c r="I2941" s="30"/>
    </row>
    <row r="2942" spans="9:9" x14ac:dyDescent="0.2">
      <c r="I2942" s="30"/>
    </row>
    <row r="2943" spans="9:9" x14ac:dyDescent="0.2">
      <c r="I2943" s="30"/>
    </row>
    <row r="2944" spans="9:9" x14ac:dyDescent="0.2">
      <c r="I2944" s="30"/>
    </row>
    <row r="2945" spans="9:9" x14ac:dyDescent="0.2">
      <c r="I2945" s="30"/>
    </row>
    <row r="2946" spans="9:9" x14ac:dyDescent="0.2">
      <c r="I2946" s="30"/>
    </row>
    <row r="2947" spans="9:9" x14ac:dyDescent="0.2">
      <c r="I2947" s="30"/>
    </row>
    <row r="2948" spans="9:9" x14ac:dyDescent="0.2">
      <c r="I2948" s="30"/>
    </row>
    <row r="2949" spans="9:9" x14ac:dyDescent="0.2">
      <c r="I2949" s="30"/>
    </row>
    <row r="2950" spans="9:9" x14ac:dyDescent="0.2">
      <c r="I2950" s="30"/>
    </row>
    <row r="2951" spans="9:9" x14ac:dyDescent="0.2">
      <c r="I2951" s="30"/>
    </row>
    <row r="2952" spans="9:9" x14ac:dyDescent="0.2">
      <c r="I2952" s="30"/>
    </row>
    <row r="2953" spans="9:9" x14ac:dyDescent="0.2">
      <c r="I2953" s="30"/>
    </row>
    <row r="2954" spans="9:9" x14ac:dyDescent="0.2">
      <c r="I2954" s="30"/>
    </row>
    <row r="2955" spans="9:9" x14ac:dyDescent="0.2">
      <c r="I2955" s="30"/>
    </row>
    <row r="2956" spans="9:9" x14ac:dyDescent="0.2">
      <c r="I2956" s="30"/>
    </row>
    <row r="2957" spans="9:9" x14ac:dyDescent="0.2">
      <c r="I2957" s="30"/>
    </row>
    <row r="2958" spans="9:9" x14ac:dyDescent="0.2">
      <c r="I2958" s="30"/>
    </row>
  </sheetData>
  <autoFilter ref="A1:H157" xr:uid="{00000000-0009-0000-0000-00000A000000}"/>
  <pageMargins left="0.19685039370078741" right="0.19685039370078741" top="0.19685039370078741" bottom="0.19685039370078741" header="0.51181102362204722" footer="0.51181102362204722"/>
  <pageSetup paperSize="9" scale="9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</sheetPr>
  <dimension ref="A1:AF50"/>
  <sheetViews>
    <sheetView zoomScale="75" zoomScaleNormal="75" workbookViewId="0">
      <pane xSplit="1" ySplit="4" topLeftCell="K5" activePane="bottomRight" state="frozen"/>
      <selection activeCell="F32" sqref="F32:F35"/>
      <selection pane="topRight" activeCell="F32" sqref="F32:F35"/>
      <selection pane="bottomLeft" activeCell="F32" sqref="F32:F35"/>
      <selection pane="bottomRight" activeCell="L20" sqref="L20"/>
    </sheetView>
  </sheetViews>
  <sheetFormatPr defaultColWidth="15.7109375" defaultRowHeight="12.75" x14ac:dyDescent="0.2"/>
  <cols>
    <col min="1" max="1" width="15.7109375" customWidth="1"/>
    <col min="2" max="12" width="15.7109375" style="1" customWidth="1"/>
    <col min="13" max="24" width="15.7109375" customWidth="1"/>
  </cols>
  <sheetData>
    <row r="1" spans="1:23" s="2" customFormat="1" x14ac:dyDescent="0.2">
      <c r="B1" s="2" t="str">
        <f>IF(B5=1,"Domingo",IF(B5=2,"Segunda",IF(B5=3,"Terça",IF(B5=4,"Quarta",IF(B5=5,"Quinta",IF(B5=6,"Sexta",IF(B5=7,"Sábado",0)))))))</f>
        <v>Quinta</v>
      </c>
      <c r="C1" s="2" t="str">
        <f t="shared" ref="C1:V1" si="0">IF(C5=1,"Domingo",IF(C5=2,"Segunda",IF(C5=3,"Terça",IF(C5=4,"Quarta",IF(C5=5,"Quinta",IF(C5=6,"Sexta",IF(C5=7,"Sábado",0)))))))</f>
        <v>Sexta</v>
      </c>
      <c r="D1" s="2" t="str">
        <f t="shared" si="0"/>
        <v>Segunda</v>
      </c>
      <c r="E1" s="2" t="str">
        <f t="shared" si="0"/>
        <v>Terça</v>
      </c>
      <c r="F1" s="2" t="str">
        <f t="shared" si="0"/>
        <v>Quarta</v>
      </c>
      <c r="G1" s="2" t="str">
        <f t="shared" si="0"/>
        <v>Quinta</v>
      </c>
      <c r="H1" s="2" t="str">
        <f t="shared" si="0"/>
        <v>Sexta</v>
      </c>
      <c r="I1" s="2" t="str">
        <f t="shared" si="0"/>
        <v>Segunda</v>
      </c>
      <c r="J1" s="2" t="str">
        <f t="shared" si="0"/>
        <v>Terça</v>
      </c>
      <c r="K1" s="2" t="str">
        <f t="shared" si="0"/>
        <v>Quarta</v>
      </c>
      <c r="L1" s="2" t="str">
        <f t="shared" si="0"/>
        <v>Quinta</v>
      </c>
      <c r="M1" s="2" t="str">
        <f t="shared" si="0"/>
        <v>Sexta</v>
      </c>
      <c r="N1" s="2" t="str">
        <f t="shared" si="0"/>
        <v>Segunda</v>
      </c>
      <c r="O1" s="2" t="str">
        <f t="shared" si="0"/>
        <v>Terça</v>
      </c>
      <c r="P1" s="2" t="str">
        <f t="shared" si="0"/>
        <v>Quarta</v>
      </c>
      <c r="Q1" s="2" t="str">
        <f t="shared" si="0"/>
        <v>Quinta</v>
      </c>
      <c r="R1" s="2" t="str">
        <f t="shared" si="0"/>
        <v>Sexta</v>
      </c>
      <c r="S1" s="2" t="str">
        <f t="shared" si="0"/>
        <v>Segunda</v>
      </c>
      <c r="T1" s="2" t="str">
        <f t="shared" si="0"/>
        <v>Terça</v>
      </c>
      <c r="U1" s="2" t="str">
        <f t="shared" si="0"/>
        <v>Quarta</v>
      </c>
      <c r="V1" s="2" t="str">
        <f t="shared" si="0"/>
        <v>Quinta</v>
      </c>
      <c r="W1" s="2" t="str">
        <f>IF(W5=1,"Domingo",IF(W5=2,"Segunda",IF(W5=3,"Terça",IF(W5=4,"Quarta",IF(W5=5,"Quinta",IF(W5=6,"Sexta",IF(W5=7,"Sábado",0)))))))</f>
        <v>Sexta</v>
      </c>
    </row>
    <row r="2" spans="1:23" s="3" customFormat="1" x14ac:dyDescent="0.2">
      <c r="A2" s="4" t="s">
        <v>2</v>
      </c>
      <c r="B2" s="3">
        <f t="shared" ref="B2:V2" si="1">B29</f>
        <v>44378</v>
      </c>
      <c r="C2" s="3">
        <f t="shared" si="1"/>
        <v>44379</v>
      </c>
      <c r="D2" s="3">
        <f t="shared" si="1"/>
        <v>44382</v>
      </c>
      <c r="E2" s="3">
        <f t="shared" si="1"/>
        <v>44383</v>
      </c>
      <c r="F2" s="3">
        <f t="shared" si="1"/>
        <v>44384</v>
      </c>
      <c r="G2" s="3">
        <f t="shared" si="1"/>
        <v>44385</v>
      </c>
      <c r="H2" s="3">
        <f t="shared" si="1"/>
        <v>44386</v>
      </c>
      <c r="I2" s="3">
        <f t="shared" si="1"/>
        <v>44389</v>
      </c>
      <c r="J2" s="3">
        <f t="shared" si="1"/>
        <v>44390</v>
      </c>
      <c r="K2" s="3">
        <f t="shared" si="1"/>
        <v>44391</v>
      </c>
      <c r="L2" s="3">
        <f t="shared" si="1"/>
        <v>44392</v>
      </c>
      <c r="M2" s="3">
        <f t="shared" si="1"/>
        <v>44393</v>
      </c>
      <c r="N2" s="3">
        <f t="shared" si="1"/>
        <v>44396</v>
      </c>
      <c r="O2" s="3">
        <f t="shared" si="1"/>
        <v>44397</v>
      </c>
      <c r="P2" s="3">
        <f t="shared" si="1"/>
        <v>44398</v>
      </c>
      <c r="Q2" s="3">
        <f t="shared" si="1"/>
        <v>44399</v>
      </c>
      <c r="R2" s="3">
        <f t="shared" si="1"/>
        <v>44400</v>
      </c>
      <c r="S2" s="3">
        <f t="shared" si="1"/>
        <v>44403</v>
      </c>
      <c r="T2" s="3">
        <f t="shared" si="1"/>
        <v>44404</v>
      </c>
      <c r="U2" s="3">
        <f t="shared" si="1"/>
        <v>44405</v>
      </c>
      <c r="V2" s="3">
        <f t="shared" si="1"/>
        <v>44406</v>
      </c>
      <c r="W2" s="3">
        <f>W29</f>
        <v>44407</v>
      </c>
    </row>
    <row r="3" spans="1:23" ht="3.75" customHeight="1" thickBo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23" ht="14.25" thickTop="1" thickBot="1" x14ac:dyDescent="0.25">
      <c r="A4" s="7" t="s">
        <v>40</v>
      </c>
      <c r="B4" s="8">
        <f>Fluxo_06_21!W38</f>
        <v>-19015.479999999974</v>
      </c>
      <c r="C4" s="8">
        <f>B38</f>
        <v>-20273.509999999977</v>
      </c>
      <c r="D4" s="8">
        <f>C38</f>
        <v>-8546.1699999999764</v>
      </c>
      <c r="E4" s="8">
        <f>D38</f>
        <v>-11082.439999999981</v>
      </c>
      <c r="F4" s="8">
        <f>E38</f>
        <v>-21265.199999999983</v>
      </c>
      <c r="G4" s="8">
        <f>F38</f>
        <v>-4284.9499999999825</v>
      </c>
      <c r="H4" s="8">
        <f t="shared" ref="H4:U4" si="2">G38</f>
        <v>-15627.579999999982</v>
      </c>
      <c r="I4" s="8">
        <f t="shared" si="2"/>
        <v>-14082.209999999983</v>
      </c>
      <c r="J4" s="8">
        <f t="shared" si="2"/>
        <v>-18369.809999999983</v>
      </c>
      <c r="K4" s="8">
        <f t="shared" si="2"/>
        <v>-9984.4199999999837</v>
      </c>
      <c r="L4" s="8">
        <f t="shared" si="2"/>
        <v>-17079.529999999984</v>
      </c>
      <c r="M4" s="8">
        <f t="shared" si="2"/>
        <v>-17364.529999999984</v>
      </c>
      <c r="N4" s="8">
        <f t="shared" si="2"/>
        <v>-18724.529999999984</v>
      </c>
      <c r="O4" s="8">
        <f t="shared" si="2"/>
        <v>-21628.209999999985</v>
      </c>
      <c r="P4" s="8">
        <f t="shared" si="2"/>
        <v>-15326.599999999984</v>
      </c>
      <c r="Q4" s="8">
        <f t="shared" si="2"/>
        <v>12827.840000000015</v>
      </c>
      <c r="R4" s="8">
        <f t="shared" si="2"/>
        <v>21307.930000000015</v>
      </c>
      <c r="S4" s="8">
        <f t="shared" si="2"/>
        <v>22990.120000000017</v>
      </c>
      <c r="T4" s="8">
        <f t="shared" si="2"/>
        <v>20285.110000000015</v>
      </c>
      <c r="U4" s="8">
        <f t="shared" si="2"/>
        <v>29606.950000000019</v>
      </c>
      <c r="V4" s="8">
        <f>U38</f>
        <v>16232.99000000002</v>
      </c>
      <c r="W4" s="8">
        <f>V38</f>
        <v>-4364.1399999999776</v>
      </c>
    </row>
    <row r="5" spans="1:23" ht="6.95" customHeight="1" thickTop="1" x14ac:dyDescent="0.2">
      <c r="A5" s="9"/>
      <c r="B5" s="10">
        <f t="shared" ref="B5:V5" si="3">WEEKDAY(B2)</f>
        <v>5</v>
      </c>
      <c r="C5" s="10">
        <f t="shared" si="3"/>
        <v>6</v>
      </c>
      <c r="D5" s="10">
        <f t="shared" si="3"/>
        <v>2</v>
      </c>
      <c r="E5" s="10">
        <f t="shared" si="3"/>
        <v>3</v>
      </c>
      <c r="F5" s="10">
        <f t="shared" si="3"/>
        <v>4</v>
      </c>
      <c r="G5" s="10">
        <f t="shared" si="3"/>
        <v>5</v>
      </c>
      <c r="H5" s="10">
        <f t="shared" si="3"/>
        <v>6</v>
      </c>
      <c r="I5" s="10">
        <f t="shared" si="3"/>
        <v>2</v>
      </c>
      <c r="J5" s="10">
        <f t="shared" si="3"/>
        <v>3</v>
      </c>
      <c r="K5" s="10">
        <f t="shared" si="3"/>
        <v>4</v>
      </c>
      <c r="L5" s="10">
        <f t="shared" si="3"/>
        <v>5</v>
      </c>
      <c r="M5" s="10">
        <f t="shared" si="3"/>
        <v>6</v>
      </c>
      <c r="N5" s="10">
        <f t="shared" si="3"/>
        <v>2</v>
      </c>
      <c r="O5" s="10">
        <f t="shared" si="3"/>
        <v>3</v>
      </c>
      <c r="P5" s="10">
        <f t="shared" si="3"/>
        <v>4</v>
      </c>
      <c r="Q5" s="10">
        <f t="shared" si="3"/>
        <v>5</v>
      </c>
      <c r="R5" s="10">
        <f t="shared" si="3"/>
        <v>6</v>
      </c>
      <c r="S5" s="10">
        <f t="shared" si="3"/>
        <v>2</v>
      </c>
      <c r="T5" s="10">
        <f t="shared" si="3"/>
        <v>3</v>
      </c>
      <c r="U5" s="10">
        <f t="shared" si="3"/>
        <v>4</v>
      </c>
      <c r="V5" s="10">
        <f t="shared" si="3"/>
        <v>5</v>
      </c>
      <c r="W5" s="10">
        <f>WEEKDAY(W2)</f>
        <v>6</v>
      </c>
    </row>
    <row r="6" spans="1:23" x14ac:dyDescent="0.2">
      <c r="A6" s="20" t="s">
        <v>3</v>
      </c>
      <c r="B6" s="23">
        <f t="shared" ref="B6:V6" si="4">SUM(B7:B26)</f>
        <v>2407.6</v>
      </c>
      <c r="C6" s="23">
        <f t="shared" si="4"/>
        <v>19189.38</v>
      </c>
      <c r="D6" s="23">
        <f t="shared" si="4"/>
        <v>66141.03</v>
      </c>
      <c r="E6" s="23">
        <f t="shared" si="4"/>
        <v>36005.4</v>
      </c>
      <c r="F6" s="23">
        <f t="shared" si="4"/>
        <v>26313.84</v>
      </c>
      <c r="G6" s="23">
        <f t="shared" si="4"/>
        <v>0</v>
      </c>
      <c r="H6" s="23">
        <f t="shared" si="4"/>
        <v>22078.489999999998</v>
      </c>
      <c r="I6" s="23">
        <f t="shared" si="4"/>
        <v>1543.5</v>
      </c>
      <c r="J6" s="23">
        <f t="shared" si="4"/>
        <v>9225.39</v>
      </c>
      <c r="K6" s="23">
        <f t="shared" si="4"/>
        <v>5871.6</v>
      </c>
      <c r="L6" s="23">
        <f t="shared" si="4"/>
        <v>0</v>
      </c>
      <c r="M6" s="23">
        <f t="shared" si="4"/>
        <v>0</v>
      </c>
      <c r="N6" s="23">
        <f t="shared" si="4"/>
        <v>24606.25</v>
      </c>
      <c r="O6" s="23">
        <f t="shared" si="4"/>
        <v>24325.33</v>
      </c>
      <c r="P6" s="23">
        <f t="shared" si="4"/>
        <v>53181.47</v>
      </c>
      <c r="Q6" s="23">
        <f t="shared" si="4"/>
        <v>14502.06</v>
      </c>
      <c r="R6" s="23">
        <f t="shared" si="4"/>
        <v>10773.76</v>
      </c>
      <c r="S6" s="23">
        <f t="shared" si="4"/>
        <v>13221.6</v>
      </c>
      <c r="T6" s="23">
        <f t="shared" si="4"/>
        <v>13949.55</v>
      </c>
      <c r="U6" s="23">
        <f t="shared" si="4"/>
        <v>6260.36</v>
      </c>
      <c r="V6" s="23">
        <f t="shared" si="4"/>
        <v>6647</v>
      </c>
      <c r="W6" s="23">
        <f>SUM(W7:W26)</f>
        <v>8738.83</v>
      </c>
    </row>
    <row r="7" spans="1:23" x14ac:dyDescent="0.2">
      <c r="A7" t="s">
        <v>137</v>
      </c>
      <c r="B7" s="74">
        <f>1600-950</f>
        <v>650</v>
      </c>
      <c r="D7" s="106">
        <f>11513.78+14054.25</f>
        <v>25568.03</v>
      </c>
      <c r="E7"/>
      <c r="F7" s="106">
        <f>11747.84+12636</f>
        <v>24383.84</v>
      </c>
      <c r="G7" s="17"/>
      <c r="H7" s="74">
        <f>13007.4</f>
        <v>13007.4</v>
      </c>
      <c r="I7" s="17"/>
      <c r="J7" s="17"/>
      <c r="K7" s="17"/>
      <c r="L7" s="17"/>
      <c r="M7" s="17"/>
      <c r="N7" s="74">
        <f>15433.45</f>
        <v>15433.45</v>
      </c>
      <c r="O7" s="17"/>
      <c r="P7" s="74">
        <v>1600</v>
      </c>
      <c r="Q7" s="74">
        <f>2910</f>
        <v>2910</v>
      </c>
      <c r="R7" s="17"/>
      <c r="S7" s="74">
        <f>11862.9+962.85+395.85</f>
        <v>13221.6</v>
      </c>
      <c r="T7" s="17"/>
      <c r="U7" s="125"/>
      <c r="V7" s="17"/>
      <c r="W7" s="109">
        <v>2250.15</v>
      </c>
    </row>
    <row r="8" spans="1:23" x14ac:dyDescent="0.2">
      <c r="A8" t="s">
        <v>60</v>
      </c>
      <c r="B8"/>
      <c r="C8"/>
      <c r="D8" s="112">
        <v>5822.67</v>
      </c>
      <c r="E8" s="112">
        <f>1003.9+6714.46</f>
        <v>7718.36</v>
      </c>
      <c r="F8" s="17"/>
      <c r="G8" s="17"/>
      <c r="H8" s="110">
        <v>6123.04</v>
      </c>
      <c r="I8" s="17"/>
      <c r="J8" s="17"/>
      <c r="K8" s="18"/>
      <c r="L8" s="18"/>
      <c r="M8" s="125"/>
      <c r="N8" s="17"/>
      <c r="O8" s="17"/>
      <c r="P8" s="17"/>
      <c r="Q8" s="17"/>
      <c r="R8" s="17"/>
      <c r="S8" s="17"/>
      <c r="T8" s="17"/>
      <c r="U8" s="18"/>
      <c r="W8" s="106"/>
    </row>
    <row r="9" spans="1:23" x14ac:dyDescent="0.2">
      <c r="A9" t="s">
        <v>79</v>
      </c>
      <c r="B9" s="74">
        <v>1757.6</v>
      </c>
      <c r="C9" s="112">
        <v>19189.38</v>
      </c>
      <c r="D9" s="112">
        <v>34750.33</v>
      </c>
      <c r="F9" s="18"/>
      <c r="G9" s="18"/>
      <c r="H9" s="18"/>
      <c r="I9" s="18"/>
      <c r="J9" s="18"/>
      <c r="K9" s="18"/>
      <c r="L9" s="18"/>
      <c r="M9" s="18"/>
      <c r="N9" s="18"/>
      <c r="O9" s="109">
        <v>21720.36</v>
      </c>
      <c r="P9" s="112">
        <v>51581.47</v>
      </c>
      <c r="Q9" s="112">
        <v>11592.06</v>
      </c>
      <c r="R9" s="112">
        <f>8686.32+306-160.72</f>
        <v>8831.6</v>
      </c>
      <c r="S9" s="18"/>
      <c r="T9" s="18"/>
      <c r="U9" s="110">
        <v>6260.36</v>
      </c>
      <c r="V9" s="106">
        <f>4845+1802</f>
        <v>6647</v>
      </c>
      <c r="W9" s="112">
        <v>2220.9699999999998</v>
      </c>
    </row>
    <row r="10" spans="1:23" x14ac:dyDescent="0.2">
      <c r="A10" t="s">
        <v>138</v>
      </c>
      <c r="C10"/>
      <c r="F10" s="18"/>
      <c r="G10" s="17"/>
      <c r="H10" s="17"/>
      <c r="I10" s="17"/>
      <c r="J10" s="17"/>
      <c r="K10" s="17"/>
      <c r="L10" s="17"/>
      <c r="M10" s="17"/>
      <c r="N10" s="74">
        <f>7338.24+1834.56</f>
        <v>9172.7999999999993</v>
      </c>
      <c r="O10" s="125"/>
      <c r="P10" s="17"/>
      <c r="Q10" s="17"/>
      <c r="R10" s="74"/>
      <c r="S10" s="17"/>
      <c r="T10" s="17"/>
      <c r="U10" s="125"/>
      <c r="V10" s="15"/>
      <c r="W10" s="106"/>
    </row>
    <row r="11" spans="1:23" x14ac:dyDescent="0.2">
      <c r="A11" t="s">
        <v>61</v>
      </c>
      <c r="B11" s="14"/>
      <c r="D11" s="106"/>
      <c r="E11" s="106">
        <v>5280</v>
      </c>
      <c r="F11" s="74">
        <v>1930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4"/>
      <c r="R11" s="74"/>
      <c r="S11" s="14"/>
      <c r="T11" s="125"/>
      <c r="U11" s="125"/>
      <c r="W11" s="106"/>
    </row>
    <row r="12" spans="1:23" x14ac:dyDescent="0.2">
      <c r="A12" t="s">
        <v>58</v>
      </c>
      <c r="C12"/>
      <c r="D12"/>
      <c r="E12" s="15"/>
      <c r="F12" s="17"/>
      <c r="G12" s="17"/>
      <c r="H12" s="17"/>
      <c r="I12" s="17"/>
      <c r="J12" s="18"/>
      <c r="K12" s="18"/>
      <c r="L12" s="17"/>
      <c r="M12" s="125"/>
      <c r="N12" s="17"/>
      <c r="O12" s="74">
        <v>2604.9699999999998</v>
      </c>
      <c r="P12" s="17"/>
      <c r="Q12" s="125"/>
      <c r="R12" s="106"/>
      <c r="S12" s="125"/>
      <c r="T12" s="125"/>
      <c r="U12" s="125"/>
      <c r="W12" s="106"/>
    </row>
    <row r="13" spans="1:23" x14ac:dyDescent="0.2">
      <c r="A13" t="s">
        <v>59</v>
      </c>
      <c r="B13" s="15"/>
      <c r="C13" s="15"/>
      <c r="D13" s="15"/>
      <c r="E13" s="15"/>
      <c r="F13" s="125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74"/>
      <c r="S13" s="17"/>
      <c r="T13" s="17"/>
      <c r="U13" s="125"/>
      <c r="V13" s="15"/>
      <c r="W13" s="106"/>
    </row>
    <row r="14" spans="1:23" x14ac:dyDescent="0.2">
      <c r="A14" t="s">
        <v>139</v>
      </c>
      <c r="B14"/>
      <c r="C14"/>
      <c r="D14" s="15"/>
      <c r="E14" s="15"/>
      <c r="F14" s="17"/>
      <c r="G14" s="17"/>
      <c r="H14" s="110">
        <v>2948.05</v>
      </c>
      <c r="I14" s="17"/>
      <c r="J14" s="17"/>
      <c r="K14" s="110">
        <v>5871.6</v>
      </c>
      <c r="L14" s="17"/>
      <c r="M14" s="17"/>
      <c r="N14" s="17"/>
      <c r="O14" s="17"/>
      <c r="P14" s="17"/>
      <c r="Q14" s="17"/>
      <c r="R14" s="110">
        <v>1942.16</v>
      </c>
      <c r="S14" s="17"/>
      <c r="T14" s="125"/>
      <c r="U14" s="125"/>
      <c r="V14" s="17"/>
      <c r="W14" s="110">
        <v>4267.71</v>
      </c>
    </row>
    <row r="15" spans="1:23" x14ac:dyDescent="0.2">
      <c r="A15" t="s">
        <v>140</v>
      </c>
      <c r="B15"/>
      <c r="C15"/>
      <c r="F15" s="18"/>
      <c r="G15" s="18"/>
      <c r="H15" s="18"/>
      <c r="I15" s="18"/>
      <c r="J15" s="74">
        <f>3853.14+5372.25</f>
        <v>9225.39</v>
      </c>
      <c r="K15" s="17"/>
      <c r="L15" s="17"/>
      <c r="M15" s="17"/>
      <c r="N15" s="17"/>
      <c r="O15" s="17"/>
      <c r="P15" s="17"/>
      <c r="Q15" s="17"/>
      <c r="R15" s="17"/>
      <c r="S15" s="17"/>
      <c r="T15" s="74">
        <f>5372.25+3853.14+4724.16</f>
        <v>13949.55</v>
      </c>
      <c r="U15" s="125"/>
    </row>
    <row r="16" spans="1:23" x14ac:dyDescent="0.2">
      <c r="A16" t="s">
        <v>680</v>
      </c>
      <c r="B16"/>
      <c r="C16"/>
      <c r="D16"/>
      <c r="E16" s="110">
        <f>11503.52+11503.52</f>
        <v>23007.040000000001</v>
      </c>
      <c r="F16" s="17"/>
      <c r="G16" s="17"/>
      <c r="H16" s="15"/>
      <c r="I16" s="13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25"/>
      <c r="W16" s="1"/>
    </row>
    <row r="17" spans="1:32" x14ac:dyDescent="0.2">
      <c r="A17" t="s">
        <v>230</v>
      </c>
      <c r="B17"/>
      <c r="C17"/>
      <c r="E17" s="15"/>
      <c r="F17" s="15"/>
      <c r="G17" s="15"/>
      <c r="H17" s="13"/>
      <c r="I17" s="74">
        <f>1543.5</f>
        <v>1543.5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32" x14ac:dyDescent="0.2">
      <c r="B18" s="12"/>
      <c r="D18" s="12"/>
      <c r="E18" s="12"/>
      <c r="F18" s="15"/>
      <c r="G18" s="12"/>
      <c r="H18" s="12"/>
      <c r="I18" s="15"/>
      <c r="J18" s="15"/>
      <c r="M18" s="15"/>
      <c r="N18" s="15"/>
      <c r="O18" s="17"/>
      <c r="P18" s="19"/>
      <c r="R18" s="15"/>
      <c r="S18" s="15"/>
      <c r="T18" s="19"/>
    </row>
    <row r="19" spans="1:32" x14ac:dyDescent="0.2">
      <c r="B19" s="15"/>
      <c r="C19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</row>
    <row r="20" spans="1:32" x14ac:dyDescent="0.2">
      <c r="A20" s="12"/>
      <c r="B20" s="15"/>
      <c r="C2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 spans="1:32" x14ac:dyDescent="0.2">
      <c r="A21" s="12"/>
      <c r="B21" s="15"/>
      <c r="C2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32" x14ac:dyDescent="0.2">
      <c r="B22"/>
      <c r="C22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spans="1:32" x14ac:dyDescent="0.2">
      <c r="D23" s="13"/>
      <c r="E23" s="16"/>
      <c r="F23" s="15"/>
      <c r="G23" s="15"/>
      <c r="I23" s="15"/>
      <c r="J23" s="15"/>
      <c r="M23" s="15"/>
      <c r="N23" s="15"/>
      <c r="O23" s="17"/>
      <c r="P23" s="19"/>
      <c r="R23" s="15"/>
      <c r="S23" s="15"/>
      <c r="T23" s="19"/>
    </row>
    <row r="24" spans="1:32" x14ac:dyDescent="0.2">
      <c r="D24" s="13"/>
      <c r="E24" s="16"/>
      <c r="F24" s="15"/>
      <c r="G24" s="15"/>
      <c r="I24" s="15"/>
      <c r="J24" s="15"/>
      <c r="M24" s="15"/>
      <c r="N24" s="15"/>
      <c r="O24" s="48"/>
      <c r="P24" s="19"/>
      <c r="R24" s="15"/>
      <c r="S24" s="15"/>
      <c r="T24" s="19"/>
    </row>
    <row r="25" spans="1:32" x14ac:dyDescent="0.2">
      <c r="A25" s="12"/>
      <c r="D25" s="13"/>
      <c r="E25" s="47"/>
      <c r="F25" s="15"/>
      <c r="G25" s="15"/>
      <c r="I25" s="15"/>
      <c r="J25" s="15"/>
      <c r="M25" s="15"/>
      <c r="N25" s="15"/>
      <c r="O25" s="17"/>
      <c r="P25" s="19"/>
      <c r="R25" s="15"/>
      <c r="S25" s="15"/>
      <c r="T25" s="19"/>
    </row>
    <row r="26" spans="1:32" x14ac:dyDescent="0.2">
      <c r="A26" s="12"/>
      <c r="B26"/>
      <c r="C26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32" x14ac:dyDescent="0.2">
      <c r="A27" s="21" t="s">
        <v>54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spans="1:32" x14ac:dyDescent="0.2">
      <c r="A28" s="80" t="s">
        <v>62</v>
      </c>
      <c r="B28" s="80" t="s">
        <v>42</v>
      </c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2"/>
    </row>
    <row r="29" spans="1:32" x14ac:dyDescent="0.2">
      <c r="A29" s="80" t="s">
        <v>50</v>
      </c>
      <c r="B29" s="83">
        <v>44378</v>
      </c>
      <c r="C29" s="84">
        <v>44379</v>
      </c>
      <c r="D29" s="84">
        <v>44382</v>
      </c>
      <c r="E29" s="84">
        <v>44383</v>
      </c>
      <c r="F29" s="84">
        <v>44384</v>
      </c>
      <c r="G29" s="84">
        <v>44385</v>
      </c>
      <c r="H29" s="84">
        <v>44386</v>
      </c>
      <c r="I29" s="84">
        <v>44389</v>
      </c>
      <c r="J29" s="84">
        <v>44390</v>
      </c>
      <c r="K29" s="84">
        <v>44391</v>
      </c>
      <c r="L29" s="84">
        <v>44392</v>
      </c>
      <c r="M29" s="84">
        <v>44393</v>
      </c>
      <c r="N29" s="84">
        <v>44396</v>
      </c>
      <c r="O29" s="84">
        <v>44397</v>
      </c>
      <c r="P29" s="84">
        <v>44398</v>
      </c>
      <c r="Q29" s="84">
        <v>44399</v>
      </c>
      <c r="R29" s="84">
        <v>44400</v>
      </c>
      <c r="S29" s="84">
        <v>44403</v>
      </c>
      <c r="T29" s="84">
        <v>44404</v>
      </c>
      <c r="U29" s="84">
        <v>44405</v>
      </c>
      <c r="V29" s="84">
        <v>44406</v>
      </c>
      <c r="W29" s="84">
        <v>44407</v>
      </c>
      <c r="X29" s="85" t="s">
        <v>71</v>
      </c>
    </row>
    <row r="30" spans="1:32" s="11" customFormat="1" x14ac:dyDescent="0.2">
      <c r="A30" s="86" t="s">
        <v>63</v>
      </c>
      <c r="B30" s="86"/>
      <c r="C30" s="87">
        <v>3358.1800000000003</v>
      </c>
      <c r="D30" s="87"/>
      <c r="E30" s="87"/>
      <c r="F30" s="87"/>
      <c r="G30" s="87">
        <v>610</v>
      </c>
      <c r="H30" s="87">
        <v>3500</v>
      </c>
      <c r="I30" s="87"/>
      <c r="J30" s="87">
        <v>750</v>
      </c>
      <c r="K30" s="87"/>
      <c r="L30" s="87"/>
      <c r="M30" s="87"/>
      <c r="N30" s="87">
        <v>5000</v>
      </c>
      <c r="O30" s="87"/>
      <c r="P30" s="87"/>
      <c r="Q30" s="87"/>
      <c r="R30" s="87">
        <v>3270.5</v>
      </c>
      <c r="S30" s="87">
        <v>3470</v>
      </c>
      <c r="T30" s="87">
        <v>1500</v>
      </c>
      <c r="U30" s="87"/>
      <c r="V30" s="87">
        <v>404.35</v>
      </c>
      <c r="W30" s="87">
        <v>2000</v>
      </c>
      <c r="X30" s="85">
        <v>23863.03</v>
      </c>
      <c r="Y30"/>
      <c r="Z30"/>
      <c r="AA30"/>
      <c r="AB30"/>
      <c r="AC30"/>
      <c r="AD30"/>
      <c r="AE30"/>
      <c r="AF30"/>
    </row>
    <row r="31" spans="1:32" s="11" customFormat="1" x14ac:dyDescent="0.2">
      <c r="A31" s="88" t="s">
        <v>67</v>
      </c>
      <c r="B31" s="88">
        <v>3665.63</v>
      </c>
      <c r="C31">
        <v>679</v>
      </c>
      <c r="D31">
        <v>1560</v>
      </c>
      <c r="E31">
        <v>9399.7999999999993</v>
      </c>
      <c r="F31"/>
      <c r="G31">
        <v>852.76</v>
      </c>
      <c r="H31"/>
      <c r="I31">
        <v>3041.12</v>
      </c>
      <c r="J31">
        <v>60</v>
      </c>
      <c r="K31"/>
      <c r="L31"/>
      <c r="M31"/>
      <c r="N31">
        <v>8488.15</v>
      </c>
      <c r="O31">
        <v>1805.17</v>
      </c>
      <c r="P31">
        <v>1125</v>
      </c>
      <c r="Q31">
        <v>72.95</v>
      </c>
      <c r="R31">
        <v>619</v>
      </c>
      <c r="S31">
        <v>3489.6800000000003</v>
      </c>
      <c r="T31">
        <v>1490.3</v>
      </c>
      <c r="U31">
        <v>1482</v>
      </c>
      <c r="V31">
        <v>4015</v>
      </c>
      <c r="W31"/>
      <c r="X31" s="89">
        <v>41845.56</v>
      </c>
      <c r="Y31"/>
      <c r="Z31"/>
      <c r="AA31"/>
      <c r="AB31"/>
      <c r="AC31"/>
      <c r="AD31"/>
      <c r="AE31"/>
      <c r="AF31"/>
    </row>
    <row r="32" spans="1:32" s="11" customFormat="1" x14ac:dyDescent="0.2">
      <c r="A32" s="88" t="s">
        <v>68</v>
      </c>
      <c r="B32" s="88"/>
      <c r="C32"/>
      <c r="D32"/>
      <c r="E32"/>
      <c r="F32"/>
      <c r="G32"/>
      <c r="H32"/>
      <c r="I32"/>
      <c r="J32"/>
      <c r="K32"/>
      <c r="L32"/>
      <c r="M32"/>
      <c r="N32">
        <v>1278.47</v>
      </c>
      <c r="O32"/>
      <c r="P32"/>
      <c r="Q32"/>
      <c r="R32"/>
      <c r="S32"/>
      <c r="T32"/>
      <c r="U32"/>
      <c r="V32"/>
      <c r="W32"/>
      <c r="X32" s="89">
        <v>1278.47</v>
      </c>
      <c r="Y32"/>
      <c r="Z32"/>
      <c r="AA32"/>
      <c r="AB32"/>
      <c r="AC32"/>
      <c r="AD32"/>
      <c r="AE32"/>
      <c r="AF32"/>
    </row>
    <row r="33" spans="1:32" s="11" customFormat="1" x14ac:dyDescent="0.2">
      <c r="A33" s="88" t="s">
        <v>64</v>
      </c>
      <c r="B33" s="88"/>
      <c r="C33"/>
      <c r="D33"/>
      <c r="E33"/>
      <c r="F33"/>
      <c r="G33"/>
      <c r="H33"/>
      <c r="I33"/>
      <c r="J33"/>
      <c r="K33">
        <v>380.65</v>
      </c>
      <c r="L33"/>
      <c r="M33"/>
      <c r="N33">
        <v>3670.73</v>
      </c>
      <c r="O33"/>
      <c r="P33"/>
      <c r="Q33"/>
      <c r="R33"/>
      <c r="S33"/>
      <c r="T33"/>
      <c r="U33"/>
      <c r="V33"/>
      <c r="W33"/>
      <c r="X33" s="89">
        <v>4051.38</v>
      </c>
      <c r="Y33"/>
      <c r="Z33"/>
      <c r="AA33"/>
      <c r="AB33"/>
      <c r="AC33"/>
      <c r="AD33"/>
      <c r="AE33"/>
      <c r="AF33"/>
    </row>
    <row r="34" spans="1:32" s="11" customFormat="1" x14ac:dyDescent="0.2">
      <c r="A34" s="88" t="s">
        <v>91</v>
      </c>
      <c r="B34" s="88"/>
      <c r="C34">
        <v>3424.86</v>
      </c>
      <c r="D34">
        <v>67117.3</v>
      </c>
      <c r="E34">
        <v>36788.36</v>
      </c>
      <c r="F34">
        <v>9333.59</v>
      </c>
      <c r="G34">
        <v>9879.869999999999</v>
      </c>
      <c r="H34">
        <v>17033.12</v>
      </c>
      <c r="I34">
        <v>2789.98</v>
      </c>
      <c r="J34">
        <v>30</v>
      </c>
      <c r="K34">
        <v>12586.06</v>
      </c>
      <c r="L34">
        <v>285</v>
      </c>
      <c r="M34">
        <v>1360</v>
      </c>
      <c r="N34">
        <v>9072.58</v>
      </c>
      <c r="O34">
        <v>16218.55</v>
      </c>
      <c r="P34">
        <v>23902.030000000002</v>
      </c>
      <c r="Q34">
        <v>5949.02</v>
      </c>
      <c r="R34">
        <v>5202.07</v>
      </c>
      <c r="S34">
        <v>8966.93</v>
      </c>
      <c r="T34">
        <v>1637.41</v>
      </c>
      <c r="U34">
        <v>18152.32</v>
      </c>
      <c r="V34">
        <v>22824.78</v>
      </c>
      <c r="W34">
        <v>4085.5299999999997</v>
      </c>
      <c r="X34" s="89">
        <v>276639.35999999999</v>
      </c>
      <c r="Y34"/>
      <c r="Z34"/>
      <c r="AA34"/>
      <c r="AB34"/>
      <c r="AC34"/>
      <c r="AD34"/>
      <c r="AE34"/>
      <c r="AF34"/>
    </row>
    <row r="35" spans="1:32" s="11" customFormat="1" x14ac:dyDescent="0.2">
      <c r="A35" s="90" t="s">
        <v>71</v>
      </c>
      <c r="B35" s="90">
        <v>3665.63</v>
      </c>
      <c r="C35" s="91">
        <v>7462.0400000000009</v>
      </c>
      <c r="D35" s="91">
        <v>68677.3</v>
      </c>
      <c r="E35" s="91">
        <v>46188.160000000003</v>
      </c>
      <c r="F35" s="91">
        <v>9333.59</v>
      </c>
      <c r="G35" s="91">
        <v>11342.63</v>
      </c>
      <c r="H35" s="91">
        <v>20533.12</v>
      </c>
      <c r="I35" s="91">
        <v>5831.1</v>
      </c>
      <c r="J35" s="91">
        <v>840</v>
      </c>
      <c r="K35" s="91">
        <v>12966.71</v>
      </c>
      <c r="L35" s="91">
        <v>285</v>
      </c>
      <c r="M35" s="91">
        <v>1360</v>
      </c>
      <c r="N35" s="91">
        <v>27509.93</v>
      </c>
      <c r="O35" s="91">
        <v>18023.72</v>
      </c>
      <c r="P35" s="91">
        <v>25027.030000000002</v>
      </c>
      <c r="Q35" s="91">
        <v>6021.97</v>
      </c>
      <c r="R35" s="91">
        <v>9091.57</v>
      </c>
      <c r="S35" s="91">
        <v>15926.61</v>
      </c>
      <c r="T35" s="91">
        <v>4627.71</v>
      </c>
      <c r="U35" s="91">
        <v>19634.32</v>
      </c>
      <c r="V35" s="91">
        <v>27244.129999999997</v>
      </c>
      <c r="W35" s="91">
        <v>6085.53</v>
      </c>
      <c r="X35" s="92">
        <v>347677.8</v>
      </c>
      <c r="Y35"/>
      <c r="Z35"/>
      <c r="AA35"/>
      <c r="AB35"/>
      <c r="AC35"/>
      <c r="AD35"/>
      <c r="AE35"/>
      <c r="AF35"/>
    </row>
    <row r="36" spans="1:32" s="11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2" s="1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2" s="25" customFormat="1" ht="13.5" thickBot="1" x14ac:dyDescent="0.25">
      <c r="A38" s="24" t="s">
        <v>35</v>
      </c>
      <c r="B38" s="24">
        <f>B4+B6-GETPIVOTDATA("Valor",$A$28,"Pagto.",DATE(2021,7,1))</f>
        <v>-20273.509999999977</v>
      </c>
      <c r="C38" s="24">
        <f>C4+C6-GETPIVOTDATA("Valor",$A$28,"Pagto.",DATE(2021,7,2))</f>
        <v>-8546.1699999999764</v>
      </c>
      <c r="D38" s="24">
        <f>D4+D6-GETPIVOTDATA("Valor",$A$28,"Pagto.",DATE(2021,7,5))</f>
        <v>-11082.439999999981</v>
      </c>
      <c r="E38" s="24">
        <f>E4+E6-GETPIVOTDATA("Valor",$A$28,"Pagto.",DATE(2021,7,6))</f>
        <v>-21265.199999999983</v>
      </c>
      <c r="F38" s="24">
        <f>F4+F6-GETPIVOTDATA("Valor",$A$28,"Pagto.",DATE(2021,7,7))</f>
        <v>-4284.9499999999825</v>
      </c>
      <c r="G38" s="24">
        <f>G4+G6-GETPIVOTDATA("Valor",$A$28,"Pagto.",DATE(2021,7,8))</f>
        <v>-15627.579999999982</v>
      </c>
      <c r="H38" s="24">
        <f>H4+H6-GETPIVOTDATA("Valor",$A$28,"Pagto.",DATE(2021,7,9))</f>
        <v>-14082.209999999983</v>
      </c>
      <c r="I38" s="24">
        <f>I4+I6-GETPIVOTDATA("Valor",$A$28,"Pagto.",DATE(2021,7,12))</f>
        <v>-18369.809999999983</v>
      </c>
      <c r="J38" s="24">
        <f>J4+J6-GETPIVOTDATA("Valor",$A$28,"Pagto.",DATE(2021,7,13))</f>
        <v>-9984.4199999999837</v>
      </c>
      <c r="K38" s="24">
        <f>K4+K6-GETPIVOTDATA("Valor",$A$28,"Pagto.",DATE(2021,7,14))</f>
        <v>-17079.529999999984</v>
      </c>
      <c r="L38" s="24">
        <f>L4+L6-GETPIVOTDATA("Valor",$A$28,"Pagto.",DATE(2021,7,15))</f>
        <v>-17364.529999999984</v>
      </c>
      <c r="M38" s="24">
        <f>M4+M6-GETPIVOTDATA("Valor",$A$28,"Pagto.",DATE(2021,7,16))</f>
        <v>-18724.529999999984</v>
      </c>
      <c r="N38" s="24">
        <f>N4+N6-GETPIVOTDATA("Valor",$A$28,"Pagto.",DATE(2021,7,19))</f>
        <v>-21628.209999999985</v>
      </c>
      <c r="O38" s="24">
        <f>O4+O6-GETPIVOTDATA("Valor",$A$28,"Pagto.",DATE(2021,7,20))</f>
        <v>-15326.599999999984</v>
      </c>
      <c r="P38" s="24">
        <f>P4+P6-GETPIVOTDATA("Valor",$A$28,"Pagto.",DATE(2021,7,21))</f>
        <v>12827.840000000015</v>
      </c>
      <c r="Q38" s="24">
        <f>Q4+Q6-GETPIVOTDATA("Valor",$A$28,"Pagto.",DATE(2021,7,22))</f>
        <v>21307.930000000015</v>
      </c>
      <c r="R38" s="24">
        <f>R4+R6-GETPIVOTDATA("Valor",$A$28,"Pagto.",DATE(2021,7,23))</f>
        <v>22990.120000000017</v>
      </c>
      <c r="S38" s="24">
        <f>S4+S6-GETPIVOTDATA("Valor",$A$28,"Pagto.",DATE(2021,7,26))</f>
        <v>20285.110000000015</v>
      </c>
      <c r="T38" s="24">
        <f>T4+T6-GETPIVOTDATA("Valor",$A$28,"Pagto.",DATE(2021,7,27))</f>
        <v>29606.950000000019</v>
      </c>
      <c r="U38" s="24">
        <f>U4+U6-GETPIVOTDATA("Valor",$A$28,"Pagto.",DATE(2021,7,28))</f>
        <v>16232.99000000002</v>
      </c>
      <c r="V38" s="24">
        <f>V4+V6-GETPIVOTDATA("Valor",$A$28,"Pagto.",DATE(2021,7,29))</f>
        <v>-4364.1399999999776</v>
      </c>
      <c r="W38" s="24">
        <f>W4+W6-GETPIVOTDATA("Valor",$A$28,"Pagto.",DATE(2021,7,30))</f>
        <v>-1710.8399999999774</v>
      </c>
    </row>
    <row r="39" spans="1:32" ht="13.5" thickTop="1" x14ac:dyDescent="0.2">
      <c r="B39"/>
      <c r="C39"/>
      <c r="D39"/>
      <c r="E39"/>
      <c r="F39"/>
      <c r="G39"/>
      <c r="H39"/>
      <c r="I39"/>
      <c r="J39"/>
      <c r="K39"/>
      <c r="L39"/>
    </row>
    <row r="40" spans="1:32" x14ac:dyDescent="0.2">
      <c r="B40"/>
      <c r="C40"/>
      <c r="D40"/>
      <c r="E40"/>
      <c r="F40"/>
      <c r="G40"/>
      <c r="H40"/>
      <c r="I40"/>
    </row>
    <row r="41" spans="1:32" x14ac:dyDescent="0.2">
      <c r="B41"/>
      <c r="C41"/>
      <c r="D41"/>
      <c r="E41"/>
      <c r="F41"/>
      <c r="G41"/>
      <c r="H41"/>
      <c r="I41"/>
    </row>
    <row r="42" spans="1:32" x14ac:dyDescent="0.2">
      <c r="B42"/>
      <c r="C42"/>
      <c r="D42"/>
      <c r="E42"/>
      <c r="F42"/>
      <c r="G42"/>
      <c r="H42"/>
      <c r="I42"/>
    </row>
    <row r="43" spans="1:32" x14ac:dyDescent="0.2">
      <c r="B43"/>
      <c r="C43"/>
      <c r="D43"/>
      <c r="E43"/>
      <c r="F43"/>
      <c r="G43"/>
      <c r="H43"/>
      <c r="I43"/>
    </row>
    <row r="44" spans="1:32" x14ac:dyDescent="0.2">
      <c r="B44"/>
      <c r="C44"/>
      <c r="D44"/>
      <c r="E44"/>
      <c r="F44"/>
      <c r="G44"/>
      <c r="H44"/>
      <c r="I44"/>
    </row>
    <row r="45" spans="1:32" x14ac:dyDescent="0.2">
      <c r="B45"/>
      <c r="C45"/>
      <c r="D45"/>
      <c r="E45"/>
      <c r="F45"/>
      <c r="G45"/>
      <c r="H45"/>
      <c r="I45"/>
    </row>
    <row r="46" spans="1:32" x14ac:dyDescent="0.2">
      <c r="B46"/>
      <c r="C46"/>
      <c r="D46"/>
      <c r="E46"/>
      <c r="F46"/>
      <c r="G46"/>
      <c r="H46"/>
      <c r="I46"/>
    </row>
    <row r="47" spans="1:32" x14ac:dyDescent="0.2">
      <c r="B47"/>
      <c r="C47"/>
      <c r="D47"/>
      <c r="E47"/>
      <c r="F47"/>
      <c r="G47"/>
      <c r="H47"/>
      <c r="I47"/>
    </row>
    <row r="48" spans="1:32" x14ac:dyDescent="0.2">
      <c r="B48"/>
      <c r="C48"/>
      <c r="D48"/>
      <c r="E48"/>
      <c r="F48"/>
      <c r="G48"/>
      <c r="H48"/>
      <c r="I48"/>
    </row>
    <row r="49" spans="2:9" x14ac:dyDescent="0.2">
      <c r="B49"/>
      <c r="C49"/>
      <c r="D49"/>
      <c r="E49"/>
      <c r="F49"/>
      <c r="G49"/>
      <c r="H49"/>
      <c r="I49"/>
    </row>
    <row r="50" spans="2:9" x14ac:dyDescent="0.2">
      <c r="B50"/>
      <c r="C50"/>
      <c r="D50"/>
      <c r="E50"/>
      <c r="F50"/>
      <c r="G50"/>
      <c r="H50"/>
      <c r="I50"/>
    </row>
  </sheetData>
  <conditionalFormatting sqref="A36 A4:XFD4 A38:XFD38">
    <cfRule type="cellIs" dxfId="20" priority="3" stopIfTrue="1" operator="lessThan">
      <formula>0</formula>
    </cfRule>
  </conditionalFormatting>
  <conditionalFormatting sqref="A1:XFD1">
    <cfRule type="cellIs" dxfId="19" priority="1" stopIfTrue="1" operator="equal">
      <formula>"Sábado"</formula>
    </cfRule>
    <cfRule type="cellIs" dxfId="18" priority="2" stopIfTrue="1" operator="equal">
      <formula>"Domingo"</formula>
    </cfRule>
  </conditionalFormatting>
  <pageMargins left="0.74791666666666667" right="0.74791666666666667" top="0.98402777777777783" bottom="0.98402777777777783" header="0.51180555555555562" footer="0.51180555555555562"/>
  <pageSetup paperSize="9" firstPageNumber="0" orientation="landscape" horizontalDpi="300" verticalDpi="300" r:id="rId2"/>
  <headerFooter alignWithMargins="0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K2973"/>
  <sheetViews>
    <sheetView zoomScaleNormal="100" workbookViewId="0">
      <pane ySplit="1" topLeftCell="A98" activePane="bottomLeft" state="frozen"/>
      <selection activeCell="B5" sqref="B5"/>
      <selection pane="bottomLeft" activeCell="D137" sqref="D137"/>
    </sheetView>
  </sheetViews>
  <sheetFormatPr defaultRowHeight="12.75" x14ac:dyDescent="0.2"/>
  <cols>
    <col min="1" max="1" width="7.140625" customWidth="1"/>
    <col min="2" max="2" width="5.7109375" customWidth="1"/>
    <col min="3" max="3" width="16.7109375" bestFit="1" customWidth="1"/>
    <col min="4" max="4" width="89.42578125" bestFit="1" customWidth="1"/>
    <col min="5" max="5" width="12.5703125" style="49" customWidth="1"/>
    <col min="6" max="6" width="17.42578125" style="40" customWidth="1"/>
    <col min="7" max="7" width="24.85546875" customWidth="1"/>
    <col min="8" max="8" width="15.28515625" style="75" customWidth="1"/>
    <col min="9" max="9" width="21.7109375" bestFit="1" customWidth="1"/>
    <col min="10" max="10" width="19" customWidth="1"/>
    <col min="11" max="11" width="18.28515625" style="1" customWidth="1"/>
    <col min="12" max="12" width="17.28515625" customWidth="1"/>
    <col min="13" max="13" width="14.140625" customWidth="1"/>
    <col min="14" max="14" width="19.140625" customWidth="1"/>
  </cols>
  <sheetData>
    <row r="1" spans="1:11" s="36" customFormat="1" x14ac:dyDescent="0.2">
      <c r="A1" s="36">
        <v>0</v>
      </c>
      <c r="B1" s="36" t="s">
        <v>5</v>
      </c>
      <c r="C1" s="36" t="s">
        <v>46</v>
      </c>
      <c r="D1" s="36" t="s">
        <v>47</v>
      </c>
      <c r="E1" s="36" t="s">
        <v>48</v>
      </c>
      <c r="F1" s="67" t="s">
        <v>49</v>
      </c>
      <c r="G1" s="36" t="s">
        <v>50</v>
      </c>
      <c r="H1" s="33" t="s">
        <v>42</v>
      </c>
      <c r="K1" s="37"/>
    </row>
    <row r="2" spans="1:11" ht="13.5" customHeight="1" x14ac:dyDescent="0.2">
      <c r="C2" s="12" t="s">
        <v>199</v>
      </c>
      <c r="D2" s="57" t="s">
        <v>365</v>
      </c>
      <c r="E2" s="60">
        <v>44348</v>
      </c>
      <c r="F2" s="58">
        <f>2100.14+111.36+24+353+321+790</f>
        <v>3699.5</v>
      </c>
      <c r="G2" s="12" t="s">
        <v>1688</v>
      </c>
      <c r="H2" s="61">
        <f t="shared" ref="H2:H65" si="0">VLOOKUP(E2,$E$2892:$H$2947,4,FALSE)</f>
        <v>44348</v>
      </c>
    </row>
    <row r="3" spans="1:11" ht="13.5" customHeight="1" x14ac:dyDescent="0.2">
      <c r="C3" s="12" t="s">
        <v>80</v>
      </c>
      <c r="D3" s="57" t="s">
        <v>530</v>
      </c>
      <c r="E3" s="60">
        <v>44348</v>
      </c>
      <c r="F3" s="58">
        <v>150</v>
      </c>
      <c r="G3" s="12" t="s">
        <v>1689</v>
      </c>
      <c r="H3" s="61">
        <f t="shared" si="0"/>
        <v>44348</v>
      </c>
    </row>
    <row r="4" spans="1:11" ht="13.5" customHeight="1" x14ac:dyDescent="0.2">
      <c r="C4" s="12" t="s">
        <v>80</v>
      </c>
      <c r="D4" s="57" t="s">
        <v>532</v>
      </c>
      <c r="E4" s="60">
        <v>44348</v>
      </c>
      <c r="F4" s="58">
        <v>250</v>
      </c>
      <c r="G4" s="12" t="s">
        <v>1689</v>
      </c>
      <c r="H4" s="61">
        <f t="shared" si="0"/>
        <v>44348</v>
      </c>
    </row>
    <row r="5" spans="1:11" ht="13.5" customHeight="1" x14ac:dyDescent="0.2">
      <c r="C5" s="12" t="s">
        <v>216</v>
      </c>
      <c r="D5" s="57" t="s">
        <v>332</v>
      </c>
      <c r="E5" s="60">
        <v>44348</v>
      </c>
      <c r="F5" s="58">
        <v>164.05</v>
      </c>
      <c r="G5" s="12" t="s">
        <v>1689</v>
      </c>
      <c r="H5" s="61">
        <f t="shared" si="0"/>
        <v>44348</v>
      </c>
    </row>
    <row r="6" spans="1:11" ht="13.5" customHeight="1" x14ac:dyDescent="0.2">
      <c r="C6" s="12" t="s">
        <v>180</v>
      </c>
      <c r="D6" s="57" t="s">
        <v>182</v>
      </c>
      <c r="E6" s="60">
        <v>44348</v>
      </c>
      <c r="F6" s="58">
        <v>1045</v>
      </c>
      <c r="G6" s="12" t="s">
        <v>1676</v>
      </c>
      <c r="H6" s="61">
        <f t="shared" si="0"/>
        <v>44348</v>
      </c>
    </row>
    <row r="7" spans="1:11" ht="13.5" customHeight="1" x14ac:dyDescent="0.2">
      <c r="C7" s="12" t="s">
        <v>135</v>
      </c>
      <c r="D7" s="57" t="s">
        <v>788</v>
      </c>
      <c r="E7" s="60">
        <v>44348</v>
      </c>
      <c r="F7" s="58">
        <v>2500</v>
      </c>
      <c r="G7" s="12" t="s">
        <v>1676</v>
      </c>
      <c r="H7" s="61">
        <f t="shared" si="0"/>
        <v>44348</v>
      </c>
    </row>
    <row r="8" spans="1:11" ht="13.5" customHeight="1" x14ac:dyDescent="0.2">
      <c r="C8" s="12"/>
      <c r="D8" s="57"/>
      <c r="E8" s="60">
        <v>44349</v>
      </c>
      <c r="F8" s="58">
        <v>0</v>
      </c>
      <c r="G8" s="12" t="s">
        <v>1676</v>
      </c>
      <c r="H8" s="61">
        <f t="shared" si="0"/>
        <v>44349</v>
      </c>
    </row>
    <row r="9" spans="1:11" ht="13.5" customHeight="1" x14ac:dyDescent="0.2">
      <c r="D9" s="56"/>
      <c r="E9" s="60">
        <v>44350</v>
      </c>
      <c r="F9" s="58">
        <v>0</v>
      </c>
      <c r="G9" s="12" t="s">
        <v>1676</v>
      </c>
      <c r="H9" s="61">
        <f t="shared" si="0"/>
        <v>44350</v>
      </c>
    </row>
    <row r="10" spans="1:11" ht="13.5" customHeight="1" x14ac:dyDescent="0.2">
      <c r="C10" s="12" t="s">
        <v>72</v>
      </c>
      <c r="D10" s="12" t="s">
        <v>1707</v>
      </c>
      <c r="E10" s="60">
        <v>44351</v>
      </c>
      <c r="F10" s="58">
        <v>2500</v>
      </c>
      <c r="G10" s="12" t="s">
        <v>1688</v>
      </c>
      <c r="H10" s="61">
        <f t="shared" si="0"/>
        <v>44351</v>
      </c>
    </row>
    <row r="11" spans="1:11" ht="13.5" customHeight="1" x14ac:dyDescent="0.2">
      <c r="C11" s="12" t="s">
        <v>84</v>
      </c>
      <c r="D11" s="12" t="s">
        <v>1012</v>
      </c>
      <c r="E11" s="60">
        <v>44351</v>
      </c>
      <c r="F11" s="58">
        <v>190</v>
      </c>
      <c r="G11" s="12" t="s">
        <v>1676</v>
      </c>
      <c r="H11" s="61">
        <f t="shared" si="0"/>
        <v>44351</v>
      </c>
    </row>
    <row r="12" spans="1:11" ht="13.5" customHeight="1" x14ac:dyDescent="0.2">
      <c r="C12" s="12" t="s">
        <v>72</v>
      </c>
      <c r="D12" s="12" t="s">
        <v>1763</v>
      </c>
      <c r="E12" s="60">
        <v>44351</v>
      </c>
      <c r="F12" s="58">
        <v>1500</v>
      </c>
      <c r="G12" s="12" t="s">
        <v>1688</v>
      </c>
      <c r="H12" s="61">
        <f t="shared" si="0"/>
        <v>44351</v>
      </c>
    </row>
    <row r="13" spans="1:11" ht="13.5" customHeight="1" x14ac:dyDescent="0.2">
      <c r="C13" s="12" t="s">
        <v>131</v>
      </c>
      <c r="D13" s="57" t="s">
        <v>1784</v>
      </c>
      <c r="E13" s="60">
        <v>44351</v>
      </c>
      <c r="F13" s="58">
        <v>678.5</v>
      </c>
      <c r="G13" s="12" t="s">
        <v>1688</v>
      </c>
      <c r="H13" s="61">
        <f t="shared" si="0"/>
        <v>44351</v>
      </c>
    </row>
    <row r="14" spans="1:11" ht="13.5" customHeight="1" x14ac:dyDescent="0.2">
      <c r="C14" s="12" t="s">
        <v>97</v>
      </c>
      <c r="D14" s="57" t="s">
        <v>134</v>
      </c>
      <c r="E14" s="60">
        <v>44351</v>
      </c>
      <c r="F14" s="58">
        <v>2296.34</v>
      </c>
      <c r="G14" s="12" t="s">
        <v>1689</v>
      </c>
      <c r="H14" s="61">
        <f t="shared" si="0"/>
        <v>44351</v>
      </c>
    </row>
    <row r="15" spans="1:11" ht="13.5" customHeight="1" x14ac:dyDescent="0.2">
      <c r="C15" s="12" t="s">
        <v>56</v>
      </c>
      <c r="D15" s="57" t="s">
        <v>1017</v>
      </c>
      <c r="E15" s="60">
        <v>44351</v>
      </c>
      <c r="F15" s="58">
        <f>42004+85+720+1039+2201</f>
        <v>46049</v>
      </c>
      <c r="G15" s="12" t="s">
        <v>1689</v>
      </c>
      <c r="H15" s="61">
        <f t="shared" si="0"/>
        <v>44351</v>
      </c>
    </row>
    <row r="16" spans="1:11" ht="13.5" customHeight="1" x14ac:dyDescent="0.2">
      <c r="C16" s="12" t="s">
        <v>804</v>
      </c>
      <c r="D16" s="57" t="s">
        <v>950</v>
      </c>
      <c r="E16" s="60">
        <v>44351</v>
      </c>
      <c r="F16" s="58">
        <v>94.55</v>
      </c>
      <c r="G16" s="12" t="s">
        <v>1676</v>
      </c>
      <c r="H16" s="61">
        <f t="shared" si="0"/>
        <v>44351</v>
      </c>
    </row>
    <row r="17" spans="3:8" ht="13.5" customHeight="1" x14ac:dyDescent="0.2">
      <c r="C17" s="12" t="s">
        <v>164</v>
      </c>
      <c r="D17" s="57" t="s">
        <v>945</v>
      </c>
      <c r="E17" s="60">
        <v>44351</v>
      </c>
      <c r="F17" s="58">
        <v>200</v>
      </c>
      <c r="G17" s="12" t="s">
        <v>1689</v>
      </c>
      <c r="H17" s="61">
        <f t="shared" si="0"/>
        <v>44351</v>
      </c>
    </row>
    <row r="18" spans="3:8" ht="13.5" customHeight="1" x14ac:dyDescent="0.2">
      <c r="C18" s="12" t="s">
        <v>159</v>
      </c>
      <c r="D18" s="57" t="s">
        <v>357</v>
      </c>
      <c r="E18" s="60">
        <v>44351</v>
      </c>
      <c r="F18" s="58">
        <v>233.14</v>
      </c>
      <c r="G18" s="12" t="s">
        <v>1689</v>
      </c>
      <c r="H18" s="61">
        <f t="shared" si="0"/>
        <v>44351</v>
      </c>
    </row>
    <row r="19" spans="3:8" ht="13.5" customHeight="1" x14ac:dyDescent="0.2">
      <c r="C19" s="12" t="s">
        <v>159</v>
      </c>
      <c r="D19" s="57" t="s">
        <v>521</v>
      </c>
      <c r="E19" s="60">
        <v>44351</v>
      </c>
      <c r="F19" s="58">
        <v>743.78</v>
      </c>
      <c r="G19" s="12" t="s">
        <v>1689</v>
      </c>
      <c r="H19" s="61">
        <f t="shared" si="0"/>
        <v>44351</v>
      </c>
    </row>
    <row r="20" spans="3:8" ht="13.5" customHeight="1" x14ac:dyDescent="0.2">
      <c r="C20" s="12" t="s">
        <v>80</v>
      </c>
      <c r="D20" s="57" t="s">
        <v>1014</v>
      </c>
      <c r="E20" s="60">
        <v>44351</v>
      </c>
      <c r="F20" s="58">
        <v>100</v>
      </c>
      <c r="G20" s="12" t="s">
        <v>1689</v>
      </c>
      <c r="H20" s="61">
        <f t="shared" si="0"/>
        <v>44351</v>
      </c>
    </row>
    <row r="21" spans="3:8" ht="13.5" customHeight="1" x14ac:dyDescent="0.2">
      <c r="C21" s="12" t="s">
        <v>80</v>
      </c>
      <c r="D21" s="57" t="s">
        <v>236</v>
      </c>
      <c r="E21" s="60">
        <v>44351</v>
      </c>
      <c r="F21" s="58">
        <v>150</v>
      </c>
      <c r="G21" s="12" t="s">
        <v>1689</v>
      </c>
      <c r="H21" s="61">
        <f t="shared" si="0"/>
        <v>44351</v>
      </c>
    </row>
    <row r="22" spans="3:8" ht="13.5" customHeight="1" x14ac:dyDescent="0.2">
      <c r="C22" s="12" t="s">
        <v>924</v>
      </c>
      <c r="D22" s="57" t="s">
        <v>235</v>
      </c>
      <c r="E22" s="60">
        <v>44351</v>
      </c>
      <c r="F22" s="58">
        <v>453.54</v>
      </c>
      <c r="G22" s="12" t="s">
        <v>1689</v>
      </c>
      <c r="H22" s="61">
        <f t="shared" si="0"/>
        <v>44351</v>
      </c>
    </row>
    <row r="23" spans="3:8" ht="13.5" customHeight="1" x14ac:dyDescent="0.2">
      <c r="C23" s="12" t="s">
        <v>76</v>
      </c>
      <c r="D23" s="57" t="s">
        <v>952</v>
      </c>
      <c r="E23" s="60">
        <v>44351</v>
      </c>
      <c r="F23" s="58">
        <v>2818.66</v>
      </c>
      <c r="G23" s="12" t="s">
        <v>1689</v>
      </c>
      <c r="H23" s="61">
        <f t="shared" si="0"/>
        <v>44351</v>
      </c>
    </row>
    <row r="24" spans="3:8" ht="13.5" customHeight="1" x14ac:dyDescent="0.2">
      <c r="C24" s="12" t="s">
        <v>56</v>
      </c>
      <c r="D24" s="57" t="s">
        <v>56</v>
      </c>
      <c r="E24" s="60">
        <v>44351</v>
      </c>
      <c r="F24" s="58">
        <v>10613</v>
      </c>
      <c r="G24" s="12" t="s">
        <v>1676</v>
      </c>
      <c r="H24" s="61">
        <f t="shared" si="0"/>
        <v>44351</v>
      </c>
    </row>
    <row r="25" spans="3:8" ht="13.5" customHeight="1" x14ac:dyDescent="0.2">
      <c r="C25" s="12" t="s">
        <v>84</v>
      </c>
      <c r="D25" s="57" t="s">
        <v>993</v>
      </c>
      <c r="E25" s="60">
        <v>44352</v>
      </c>
      <c r="F25" s="58">
        <v>475</v>
      </c>
      <c r="G25" s="12" t="s">
        <v>1689</v>
      </c>
      <c r="H25" s="61">
        <f t="shared" si="0"/>
        <v>44354</v>
      </c>
    </row>
    <row r="26" spans="3:8" ht="13.5" customHeight="1" x14ac:dyDescent="0.2">
      <c r="C26" s="12" t="s">
        <v>76</v>
      </c>
      <c r="D26" s="57" t="s">
        <v>933</v>
      </c>
      <c r="E26" s="60">
        <v>44353</v>
      </c>
      <c r="F26" s="58">
        <v>972</v>
      </c>
      <c r="G26" s="12" t="s">
        <v>1689</v>
      </c>
      <c r="H26" s="61">
        <f t="shared" si="0"/>
        <v>44354</v>
      </c>
    </row>
    <row r="27" spans="3:8" ht="13.5" customHeight="1" x14ac:dyDescent="0.2">
      <c r="C27" s="12" t="s">
        <v>159</v>
      </c>
      <c r="D27" s="57" t="s">
        <v>992</v>
      </c>
      <c r="E27" s="60">
        <v>44354</v>
      </c>
      <c r="F27" s="58">
        <v>900</v>
      </c>
      <c r="G27" s="12" t="s">
        <v>1689</v>
      </c>
      <c r="H27" s="61">
        <f t="shared" si="0"/>
        <v>44354</v>
      </c>
    </row>
    <row r="28" spans="3:8" ht="13.5" customHeight="1" x14ac:dyDescent="0.2">
      <c r="C28" s="12" t="s">
        <v>159</v>
      </c>
      <c r="D28" s="57" t="s">
        <v>1008</v>
      </c>
      <c r="E28" s="60">
        <v>44354</v>
      </c>
      <c r="F28" s="58">
        <v>675</v>
      </c>
      <c r="G28" s="12" t="s">
        <v>1689</v>
      </c>
      <c r="H28" s="61">
        <f t="shared" si="0"/>
        <v>44354</v>
      </c>
    </row>
    <row r="29" spans="3:8" ht="13.5" customHeight="1" x14ac:dyDescent="0.2">
      <c r="C29" s="12" t="s">
        <v>84</v>
      </c>
      <c r="D29" s="57" t="s">
        <v>284</v>
      </c>
      <c r="E29" s="60">
        <v>44354</v>
      </c>
      <c r="F29" s="58">
        <v>285</v>
      </c>
      <c r="G29" s="12" t="s">
        <v>1689</v>
      </c>
      <c r="H29" s="61">
        <f t="shared" si="0"/>
        <v>44354</v>
      </c>
    </row>
    <row r="30" spans="3:8" ht="13.5" customHeight="1" x14ac:dyDescent="0.2">
      <c r="C30" s="12" t="s">
        <v>56</v>
      </c>
      <c r="D30" s="57" t="s">
        <v>1016</v>
      </c>
      <c r="E30" s="60">
        <v>44354</v>
      </c>
      <c r="F30" s="58">
        <f>13142+6600+824+371</f>
        <v>20937</v>
      </c>
      <c r="G30" s="12" t="s">
        <v>1689</v>
      </c>
      <c r="H30" s="61">
        <f t="shared" si="0"/>
        <v>44354</v>
      </c>
    </row>
    <row r="31" spans="3:8" ht="13.5" customHeight="1" x14ac:dyDescent="0.2">
      <c r="C31" s="12" t="s">
        <v>97</v>
      </c>
      <c r="D31" s="57" t="s">
        <v>245</v>
      </c>
      <c r="E31" s="60">
        <v>44354</v>
      </c>
      <c r="F31" s="58">
        <v>2204.25</v>
      </c>
      <c r="G31" s="12" t="s">
        <v>1689</v>
      </c>
      <c r="H31" s="61">
        <f t="shared" si="0"/>
        <v>44354</v>
      </c>
    </row>
    <row r="32" spans="3:8" ht="13.5" customHeight="1" x14ac:dyDescent="0.2">
      <c r="C32" s="12" t="s">
        <v>170</v>
      </c>
      <c r="D32" s="57" t="s">
        <v>1020</v>
      </c>
      <c r="E32" s="60">
        <v>44354</v>
      </c>
      <c r="F32" s="58">
        <v>366.5</v>
      </c>
      <c r="G32" s="12" t="s">
        <v>1676</v>
      </c>
      <c r="H32" s="61">
        <f t="shared" si="0"/>
        <v>44354</v>
      </c>
    </row>
    <row r="33" spans="3:8" ht="13.5" customHeight="1" x14ac:dyDescent="0.2">
      <c r="C33" s="12" t="s">
        <v>56</v>
      </c>
      <c r="D33" s="57" t="s">
        <v>1018</v>
      </c>
      <c r="E33" s="60">
        <v>44354</v>
      </c>
      <c r="F33" s="58">
        <f>109395-13142-42089-6600-1039-720-824-374-2201</f>
        <v>42406</v>
      </c>
      <c r="G33" s="12" t="s">
        <v>1689</v>
      </c>
      <c r="H33" s="61">
        <f t="shared" si="0"/>
        <v>44354</v>
      </c>
    </row>
    <row r="34" spans="3:8" ht="13.5" customHeight="1" x14ac:dyDescent="0.2">
      <c r="C34" s="12" t="s">
        <v>96</v>
      </c>
      <c r="D34" s="57" t="s">
        <v>143</v>
      </c>
      <c r="E34" s="60">
        <v>44354</v>
      </c>
      <c r="F34" s="58">
        <v>1500</v>
      </c>
      <c r="G34" s="12" t="s">
        <v>1689</v>
      </c>
      <c r="H34" s="61">
        <f t="shared" si="0"/>
        <v>44354</v>
      </c>
    </row>
    <row r="35" spans="3:8" ht="13.5" customHeight="1" x14ac:dyDescent="0.2">
      <c r="C35" s="12" t="s">
        <v>96</v>
      </c>
      <c r="D35" s="57" t="s">
        <v>144</v>
      </c>
      <c r="E35" s="60">
        <v>44354</v>
      </c>
      <c r="F35" s="58">
        <v>1500</v>
      </c>
      <c r="G35" s="12" t="s">
        <v>1689</v>
      </c>
      <c r="H35" s="61">
        <f t="shared" si="0"/>
        <v>44354</v>
      </c>
    </row>
    <row r="36" spans="3:8" ht="13.5" customHeight="1" x14ac:dyDescent="0.2">
      <c r="C36" s="12" t="s">
        <v>96</v>
      </c>
      <c r="D36" s="57" t="s">
        <v>145</v>
      </c>
      <c r="E36" s="60">
        <v>44354</v>
      </c>
      <c r="F36" s="58">
        <v>1500</v>
      </c>
      <c r="G36" s="12" t="s">
        <v>1689</v>
      </c>
      <c r="H36" s="61">
        <f t="shared" si="0"/>
        <v>44354</v>
      </c>
    </row>
    <row r="37" spans="3:8" ht="13.5" customHeight="1" x14ac:dyDescent="0.2">
      <c r="C37" s="12" t="s">
        <v>76</v>
      </c>
      <c r="D37" s="57" t="s">
        <v>1003</v>
      </c>
      <c r="E37" s="60">
        <v>44354</v>
      </c>
      <c r="F37" s="58">
        <v>7403</v>
      </c>
      <c r="G37" s="12" t="s">
        <v>1689</v>
      </c>
      <c r="H37" s="61">
        <f t="shared" si="0"/>
        <v>44354</v>
      </c>
    </row>
    <row r="38" spans="3:8" ht="13.5" customHeight="1" x14ac:dyDescent="0.2">
      <c r="C38" s="12" t="s">
        <v>72</v>
      </c>
      <c r="D38" s="57" t="s">
        <v>1785</v>
      </c>
      <c r="E38" s="60">
        <v>44354</v>
      </c>
      <c r="F38" s="58">
        <v>500</v>
      </c>
      <c r="G38" s="12" t="s">
        <v>1688</v>
      </c>
      <c r="H38" s="61">
        <f t="shared" si="0"/>
        <v>44354</v>
      </c>
    </row>
    <row r="39" spans="3:8" ht="13.5" customHeight="1" x14ac:dyDescent="0.2">
      <c r="C39" s="12" t="s">
        <v>56</v>
      </c>
      <c r="D39" s="57" t="s">
        <v>1011</v>
      </c>
      <c r="E39" s="60">
        <v>44354</v>
      </c>
      <c r="F39" s="58">
        <f>2900+12.12+13.01</f>
        <v>2925.13</v>
      </c>
      <c r="G39" s="12" t="s">
        <v>1676</v>
      </c>
      <c r="H39" s="61">
        <f t="shared" si="0"/>
        <v>44354</v>
      </c>
    </row>
    <row r="40" spans="3:8" ht="13.5" customHeight="1" x14ac:dyDescent="0.2">
      <c r="C40" s="12" t="s">
        <v>56</v>
      </c>
      <c r="D40" s="57" t="s">
        <v>911</v>
      </c>
      <c r="E40" s="60">
        <v>44354</v>
      </c>
      <c r="F40" s="58">
        <f>712.64+750.08+121.8</f>
        <v>1584.52</v>
      </c>
      <c r="G40" s="12" t="s">
        <v>1689</v>
      </c>
      <c r="H40" s="61">
        <f t="shared" si="0"/>
        <v>44354</v>
      </c>
    </row>
    <row r="41" spans="3:8" ht="13.5" customHeight="1" x14ac:dyDescent="0.2">
      <c r="C41" s="12" t="s">
        <v>164</v>
      </c>
      <c r="D41" s="57" t="s">
        <v>1699</v>
      </c>
      <c r="E41" s="60">
        <v>44354</v>
      </c>
      <c r="F41" s="58">
        <v>140</v>
      </c>
      <c r="G41" s="12" t="s">
        <v>1689</v>
      </c>
      <c r="H41" s="61">
        <f t="shared" si="0"/>
        <v>44354</v>
      </c>
    </row>
    <row r="42" spans="3:8" ht="13.5" customHeight="1" x14ac:dyDescent="0.2">
      <c r="C42" s="12" t="s">
        <v>163</v>
      </c>
      <c r="D42" s="57" t="s">
        <v>1002</v>
      </c>
      <c r="E42" s="60">
        <v>44354</v>
      </c>
      <c r="F42" s="58">
        <v>8622.7999999999993</v>
      </c>
      <c r="G42" s="12" t="s">
        <v>1689</v>
      </c>
      <c r="H42" s="61">
        <f t="shared" si="0"/>
        <v>44354</v>
      </c>
    </row>
    <row r="43" spans="3:8" ht="13.5" customHeight="1" x14ac:dyDescent="0.2">
      <c r="C43" s="12" t="s">
        <v>56</v>
      </c>
      <c r="D43" s="57" t="s">
        <v>1013</v>
      </c>
      <c r="E43" s="60">
        <v>44354</v>
      </c>
      <c r="F43" s="58">
        <v>100</v>
      </c>
      <c r="G43" s="12" t="s">
        <v>1689</v>
      </c>
      <c r="H43" s="61">
        <f t="shared" si="0"/>
        <v>44354</v>
      </c>
    </row>
    <row r="44" spans="3:8" ht="13.5" customHeight="1" x14ac:dyDescent="0.2">
      <c r="C44" s="12" t="s">
        <v>72</v>
      </c>
      <c r="D44" s="57" t="s">
        <v>1015</v>
      </c>
      <c r="E44" s="60">
        <v>44354</v>
      </c>
      <c r="F44" s="58">
        <v>74.989999999999995</v>
      </c>
      <c r="G44" s="12" t="s">
        <v>1688</v>
      </c>
      <c r="H44" s="61">
        <f t="shared" si="0"/>
        <v>44354</v>
      </c>
    </row>
    <row r="45" spans="3:8" ht="13.5" customHeight="1" x14ac:dyDescent="0.2">
      <c r="C45" s="12" t="s">
        <v>83</v>
      </c>
      <c r="D45" s="57" t="s">
        <v>1786</v>
      </c>
      <c r="E45" s="60">
        <v>44355</v>
      </c>
      <c r="F45" s="113">
        <v>1000</v>
      </c>
      <c r="G45" s="12" t="s">
        <v>1676</v>
      </c>
      <c r="H45" s="61">
        <f t="shared" si="0"/>
        <v>44355</v>
      </c>
    </row>
    <row r="46" spans="3:8" ht="13.5" customHeight="1" x14ac:dyDescent="0.2">
      <c r="C46" s="12" t="s">
        <v>149</v>
      </c>
      <c r="D46" s="57" t="s">
        <v>1700</v>
      </c>
      <c r="E46" s="60">
        <v>44355</v>
      </c>
      <c r="F46" s="58">
        <v>315</v>
      </c>
      <c r="G46" s="12" t="s">
        <v>1689</v>
      </c>
      <c r="H46" s="61">
        <f t="shared" si="0"/>
        <v>44355</v>
      </c>
    </row>
    <row r="47" spans="3:8" ht="13.5" customHeight="1" x14ac:dyDescent="0.2">
      <c r="C47" s="12" t="s">
        <v>80</v>
      </c>
      <c r="D47" s="57" t="s">
        <v>1022</v>
      </c>
      <c r="E47" s="60">
        <v>44355</v>
      </c>
      <c r="F47" s="58">
        <v>50</v>
      </c>
      <c r="G47" s="12" t="s">
        <v>1689</v>
      </c>
      <c r="H47" s="61">
        <f t="shared" si="0"/>
        <v>44355</v>
      </c>
    </row>
    <row r="48" spans="3:8" ht="13.5" customHeight="1" x14ac:dyDescent="0.2">
      <c r="C48" s="12" t="s">
        <v>80</v>
      </c>
      <c r="D48" s="57" t="s">
        <v>1711</v>
      </c>
      <c r="E48" s="60">
        <v>44355</v>
      </c>
      <c r="F48" s="58">
        <v>100</v>
      </c>
      <c r="G48" s="12" t="s">
        <v>1689</v>
      </c>
      <c r="H48" s="61">
        <f t="shared" si="0"/>
        <v>44355</v>
      </c>
    </row>
    <row r="49" spans="3:8" ht="13.5" customHeight="1" x14ac:dyDescent="0.2">
      <c r="C49" s="12" t="s">
        <v>187</v>
      </c>
      <c r="D49" s="12" t="s">
        <v>1019</v>
      </c>
      <c r="E49" s="60">
        <v>44356</v>
      </c>
      <c r="F49" s="58">
        <v>217.79</v>
      </c>
      <c r="G49" s="12" t="s">
        <v>1689</v>
      </c>
      <c r="H49" s="61">
        <f t="shared" si="0"/>
        <v>44356</v>
      </c>
    </row>
    <row r="50" spans="3:8" ht="13.5" customHeight="1" x14ac:dyDescent="0.2">
      <c r="C50" s="12" t="s">
        <v>180</v>
      </c>
      <c r="D50" s="57" t="s">
        <v>972</v>
      </c>
      <c r="E50" s="60">
        <v>44356</v>
      </c>
      <c r="F50" s="58">
        <v>901.44</v>
      </c>
      <c r="G50" s="12" t="s">
        <v>1689</v>
      </c>
      <c r="H50" s="61">
        <f t="shared" si="0"/>
        <v>44356</v>
      </c>
    </row>
    <row r="51" spans="3:8" ht="13.5" customHeight="1" x14ac:dyDescent="0.2">
      <c r="C51" s="12" t="s">
        <v>243</v>
      </c>
      <c r="D51" s="57" t="s">
        <v>912</v>
      </c>
      <c r="E51" s="60">
        <v>44356</v>
      </c>
      <c r="F51" s="58">
        <v>1500</v>
      </c>
      <c r="G51" s="12" t="s">
        <v>1689</v>
      </c>
      <c r="H51" s="61">
        <f t="shared" si="0"/>
        <v>44356</v>
      </c>
    </row>
    <row r="52" spans="3:8" ht="13.5" customHeight="1" x14ac:dyDescent="0.2">
      <c r="C52" s="12" t="s">
        <v>77</v>
      </c>
      <c r="D52" s="57" t="s">
        <v>965</v>
      </c>
      <c r="E52" s="60">
        <v>44356</v>
      </c>
      <c r="F52" s="58">
        <v>213.63</v>
      </c>
      <c r="G52" s="12" t="s">
        <v>1689</v>
      </c>
      <c r="H52" s="61">
        <f t="shared" si="0"/>
        <v>44356</v>
      </c>
    </row>
    <row r="53" spans="3:8" ht="13.5" customHeight="1" x14ac:dyDescent="0.2">
      <c r="C53" s="12" t="s">
        <v>83</v>
      </c>
      <c r="D53" s="57" t="s">
        <v>535</v>
      </c>
      <c r="E53" s="60">
        <v>44356</v>
      </c>
      <c r="F53" s="58">
        <v>110</v>
      </c>
      <c r="G53" s="12" t="s">
        <v>1689</v>
      </c>
      <c r="H53" s="61">
        <f t="shared" si="0"/>
        <v>44356</v>
      </c>
    </row>
    <row r="54" spans="3:8" ht="13.5" customHeight="1" x14ac:dyDescent="0.2">
      <c r="C54" s="12" t="s">
        <v>170</v>
      </c>
      <c r="D54" s="57" t="s">
        <v>1021</v>
      </c>
      <c r="E54" s="60">
        <v>44356</v>
      </c>
      <c r="F54" s="58">
        <v>50</v>
      </c>
      <c r="G54" s="12" t="s">
        <v>1689</v>
      </c>
      <c r="H54" s="61">
        <f t="shared" si="0"/>
        <v>44356</v>
      </c>
    </row>
    <row r="55" spans="3:8" ht="13.5" customHeight="1" x14ac:dyDescent="0.2">
      <c r="C55" s="12" t="s">
        <v>80</v>
      </c>
      <c r="D55" s="57" t="s">
        <v>236</v>
      </c>
      <c r="E55" s="60">
        <v>44356</v>
      </c>
      <c r="F55" s="58">
        <v>50</v>
      </c>
      <c r="G55" s="12" t="s">
        <v>1689</v>
      </c>
      <c r="H55" s="61">
        <f t="shared" si="0"/>
        <v>44356</v>
      </c>
    </row>
    <row r="56" spans="3:8" ht="13.5" customHeight="1" x14ac:dyDescent="0.2">
      <c r="C56" s="12" t="s">
        <v>80</v>
      </c>
      <c r="D56" s="57" t="s">
        <v>240</v>
      </c>
      <c r="E56" s="60">
        <v>44356</v>
      </c>
      <c r="F56" s="58">
        <v>100</v>
      </c>
      <c r="G56" s="12" t="s">
        <v>1689</v>
      </c>
      <c r="H56" s="61">
        <f t="shared" si="0"/>
        <v>44356</v>
      </c>
    </row>
    <row r="57" spans="3:8" ht="13.5" customHeight="1" x14ac:dyDescent="0.2">
      <c r="C57" s="12" t="s">
        <v>159</v>
      </c>
      <c r="D57" s="57" t="s">
        <v>376</v>
      </c>
      <c r="E57" s="60">
        <v>44357</v>
      </c>
      <c r="F57" s="58">
        <v>173.64</v>
      </c>
      <c r="G57" s="12" t="s">
        <v>1689</v>
      </c>
      <c r="H57" s="61">
        <f t="shared" si="0"/>
        <v>44357</v>
      </c>
    </row>
    <row r="58" spans="3:8" ht="13.5" customHeight="1" x14ac:dyDescent="0.2">
      <c r="C58" s="12" t="s">
        <v>170</v>
      </c>
      <c r="D58" s="57" t="s">
        <v>1038</v>
      </c>
      <c r="E58" s="60">
        <v>44357</v>
      </c>
      <c r="F58" s="58">
        <f>1383.96+1102.25+522</f>
        <v>3008.21</v>
      </c>
      <c r="G58" s="12" t="s">
        <v>1676</v>
      </c>
      <c r="H58" s="61">
        <f t="shared" si="0"/>
        <v>44357</v>
      </c>
    </row>
    <row r="59" spans="3:8" ht="13.5" customHeight="1" x14ac:dyDescent="0.2">
      <c r="C59" s="12" t="s">
        <v>72</v>
      </c>
      <c r="D59" s="57" t="s">
        <v>65</v>
      </c>
      <c r="E59" s="60">
        <v>44357</v>
      </c>
      <c r="F59" s="58">
        <v>3000</v>
      </c>
      <c r="G59" s="12" t="s">
        <v>1688</v>
      </c>
      <c r="H59" s="61">
        <f t="shared" si="0"/>
        <v>44357</v>
      </c>
    </row>
    <row r="60" spans="3:8" ht="13.5" customHeight="1" x14ac:dyDescent="0.2">
      <c r="C60" s="12" t="s">
        <v>192</v>
      </c>
      <c r="D60" s="57" t="s">
        <v>1010</v>
      </c>
      <c r="E60" s="60">
        <v>44357</v>
      </c>
      <c r="F60" s="58">
        <v>303.08</v>
      </c>
      <c r="G60" s="12" t="s">
        <v>1689</v>
      </c>
      <c r="H60" s="61">
        <f t="shared" si="0"/>
        <v>44357</v>
      </c>
    </row>
    <row r="61" spans="3:8" ht="13.5" customHeight="1" x14ac:dyDescent="0.2">
      <c r="C61" s="12" t="s">
        <v>192</v>
      </c>
      <c r="D61" s="57" t="s">
        <v>1043</v>
      </c>
      <c r="E61" s="60">
        <v>44358</v>
      </c>
      <c r="F61" s="58">
        <v>442.25</v>
      </c>
      <c r="G61" s="12" t="s">
        <v>1689</v>
      </c>
      <c r="H61" s="61">
        <f t="shared" si="0"/>
        <v>44358</v>
      </c>
    </row>
    <row r="62" spans="3:8" ht="13.5" customHeight="1" x14ac:dyDescent="0.2">
      <c r="C62" s="12" t="s">
        <v>192</v>
      </c>
      <c r="D62" s="57" t="s">
        <v>1044</v>
      </c>
      <c r="E62" s="60">
        <v>44358</v>
      </c>
      <c r="F62" s="58">
        <f>11.34+7.94+6.01</f>
        <v>25.29</v>
      </c>
      <c r="G62" s="12" t="s">
        <v>1689</v>
      </c>
      <c r="H62" s="61">
        <f t="shared" si="0"/>
        <v>44358</v>
      </c>
    </row>
    <row r="63" spans="3:8" ht="13.5" customHeight="1" x14ac:dyDescent="0.2">
      <c r="C63" s="12" t="s">
        <v>170</v>
      </c>
      <c r="D63" s="57" t="s">
        <v>1023</v>
      </c>
      <c r="E63" s="60">
        <v>44358</v>
      </c>
      <c r="F63" s="58">
        <v>411.6</v>
      </c>
      <c r="G63" s="12" t="s">
        <v>1676</v>
      </c>
      <c r="H63" s="61">
        <f t="shared" si="0"/>
        <v>44358</v>
      </c>
    </row>
    <row r="64" spans="3:8" ht="13.5" customHeight="1" x14ac:dyDescent="0.2">
      <c r="C64" s="12" t="s">
        <v>72</v>
      </c>
      <c r="D64" s="57" t="s">
        <v>1033</v>
      </c>
      <c r="E64" s="60">
        <v>44358</v>
      </c>
      <c r="F64" s="58">
        <f>108+22-50</f>
        <v>80</v>
      </c>
      <c r="G64" s="12" t="s">
        <v>1688</v>
      </c>
      <c r="H64" s="61">
        <f t="shared" si="0"/>
        <v>44358</v>
      </c>
    </row>
    <row r="65" spans="3:8" ht="13.5" customHeight="1" x14ac:dyDescent="0.2">
      <c r="C65" s="12" t="s">
        <v>80</v>
      </c>
      <c r="D65" s="57" t="s">
        <v>321</v>
      </c>
      <c r="E65" s="60">
        <v>44358</v>
      </c>
      <c r="F65" s="58">
        <v>100</v>
      </c>
      <c r="G65" s="12" t="s">
        <v>1689</v>
      </c>
      <c r="H65" s="61">
        <f t="shared" si="0"/>
        <v>44358</v>
      </c>
    </row>
    <row r="66" spans="3:8" ht="13.5" customHeight="1" x14ac:dyDescent="0.2">
      <c r="C66" s="12" t="s">
        <v>80</v>
      </c>
      <c r="D66" s="57" t="s">
        <v>236</v>
      </c>
      <c r="E66" s="60">
        <v>44358</v>
      </c>
      <c r="F66" s="58">
        <v>100</v>
      </c>
      <c r="G66" s="12" t="s">
        <v>1689</v>
      </c>
      <c r="H66" s="61">
        <f t="shared" ref="H66:H129" si="1">VLOOKUP(E66,$E$2892:$H$2947,4,FALSE)</f>
        <v>44358</v>
      </c>
    </row>
    <row r="67" spans="3:8" ht="14.25" customHeight="1" x14ac:dyDescent="0.2">
      <c r="C67" s="12" t="s">
        <v>924</v>
      </c>
      <c r="D67" s="57" t="s">
        <v>1046</v>
      </c>
      <c r="E67" s="60">
        <v>44358</v>
      </c>
      <c r="F67" s="58">
        <f>400+120+30</f>
        <v>550</v>
      </c>
      <c r="G67" s="12" t="s">
        <v>1689</v>
      </c>
      <c r="H67" s="61">
        <f t="shared" si="1"/>
        <v>44358</v>
      </c>
    </row>
    <row r="68" spans="3:8" ht="14.25" customHeight="1" x14ac:dyDescent="0.2">
      <c r="C68" s="12" t="s">
        <v>72</v>
      </c>
      <c r="D68" s="12" t="s">
        <v>1707</v>
      </c>
      <c r="E68" s="60">
        <v>44358</v>
      </c>
      <c r="F68" s="58">
        <v>2000</v>
      </c>
      <c r="G68" s="12" t="s">
        <v>1688</v>
      </c>
      <c r="H68" s="61">
        <f t="shared" si="1"/>
        <v>44358</v>
      </c>
    </row>
    <row r="69" spans="3:8" ht="13.5" customHeight="1" x14ac:dyDescent="0.2">
      <c r="C69" s="12" t="s">
        <v>192</v>
      </c>
      <c r="D69" s="57" t="s">
        <v>999</v>
      </c>
      <c r="E69" s="60">
        <v>44358</v>
      </c>
      <c r="F69" s="58">
        <v>157.5</v>
      </c>
      <c r="G69" s="12" t="s">
        <v>1689</v>
      </c>
      <c r="H69" s="61">
        <f t="shared" si="1"/>
        <v>44358</v>
      </c>
    </row>
    <row r="70" spans="3:8" ht="13.5" customHeight="1" x14ac:dyDescent="0.2">
      <c r="C70" s="12" t="s">
        <v>89</v>
      </c>
      <c r="D70" s="57" t="s">
        <v>955</v>
      </c>
      <c r="E70" s="60">
        <v>44358</v>
      </c>
      <c r="F70" s="58">
        <v>3138.11</v>
      </c>
      <c r="G70" s="12" t="s">
        <v>1689</v>
      </c>
      <c r="H70" s="61">
        <f t="shared" si="1"/>
        <v>44358</v>
      </c>
    </row>
    <row r="71" spans="3:8" ht="13.5" customHeight="1" x14ac:dyDescent="0.2">
      <c r="C71" s="12" t="s">
        <v>192</v>
      </c>
      <c r="D71" s="57" t="s">
        <v>1787</v>
      </c>
      <c r="E71" s="60">
        <v>44361</v>
      </c>
      <c r="F71" s="58">
        <v>226.11</v>
      </c>
      <c r="G71" s="12" t="s">
        <v>1689</v>
      </c>
      <c r="H71" s="61">
        <f t="shared" si="1"/>
        <v>44361</v>
      </c>
    </row>
    <row r="72" spans="3:8" ht="13.5" customHeight="1" x14ac:dyDescent="0.2">
      <c r="C72" s="12" t="s">
        <v>192</v>
      </c>
      <c r="D72" s="57" t="s">
        <v>892</v>
      </c>
      <c r="E72" s="60">
        <v>44361</v>
      </c>
      <c r="F72" s="58">
        <v>409.11</v>
      </c>
      <c r="G72" s="12" t="s">
        <v>1689</v>
      </c>
      <c r="H72" s="61">
        <f t="shared" si="1"/>
        <v>44361</v>
      </c>
    </row>
    <row r="73" spans="3:8" ht="13.5" customHeight="1" x14ac:dyDescent="0.2">
      <c r="C73" s="12" t="s">
        <v>83</v>
      </c>
      <c r="D73" s="57" t="s">
        <v>206</v>
      </c>
      <c r="E73" s="60">
        <v>44361</v>
      </c>
      <c r="F73" s="58">
        <v>2876</v>
      </c>
      <c r="G73" s="12" t="s">
        <v>1689</v>
      </c>
      <c r="H73" s="61">
        <f t="shared" si="1"/>
        <v>44361</v>
      </c>
    </row>
    <row r="74" spans="3:8" ht="13.5" customHeight="1" x14ac:dyDescent="0.2">
      <c r="C74" s="12" t="s">
        <v>96</v>
      </c>
      <c r="D74" s="57" t="s">
        <v>573</v>
      </c>
      <c r="E74" s="60">
        <v>44361</v>
      </c>
      <c r="F74" s="58">
        <v>1571.61</v>
      </c>
      <c r="G74" s="12" t="s">
        <v>1689</v>
      </c>
      <c r="H74" s="61">
        <f t="shared" si="1"/>
        <v>44361</v>
      </c>
    </row>
    <row r="75" spans="3:8" ht="13.5" customHeight="1" x14ac:dyDescent="0.2">
      <c r="C75" s="12" t="s">
        <v>72</v>
      </c>
      <c r="D75" s="12" t="s">
        <v>1763</v>
      </c>
      <c r="E75" s="60">
        <v>44361</v>
      </c>
      <c r="F75" s="58">
        <v>2000</v>
      </c>
      <c r="G75" s="12" t="s">
        <v>1688</v>
      </c>
      <c r="H75" s="61">
        <f t="shared" si="1"/>
        <v>44361</v>
      </c>
    </row>
    <row r="76" spans="3:8" ht="13.5" customHeight="1" x14ac:dyDescent="0.2">
      <c r="C76" s="12" t="s">
        <v>80</v>
      </c>
      <c r="D76" s="12" t="s">
        <v>1711</v>
      </c>
      <c r="E76" s="60">
        <v>44361</v>
      </c>
      <c r="F76" s="58">
        <v>100</v>
      </c>
      <c r="G76" s="12" t="s">
        <v>1688</v>
      </c>
      <c r="H76" s="61">
        <f t="shared" si="1"/>
        <v>44361</v>
      </c>
    </row>
    <row r="77" spans="3:8" ht="13.5" customHeight="1" x14ac:dyDescent="0.2">
      <c r="C77" s="12" t="s">
        <v>77</v>
      </c>
      <c r="D77" s="57" t="s">
        <v>964</v>
      </c>
      <c r="E77" s="60">
        <v>44361</v>
      </c>
      <c r="F77" s="58">
        <v>1636.57</v>
      </c>
      <c r="G77" s="12" t="s">
        <v>1676</v>
      </c>
      <c r="H77" s="61">
        <f t="shared" si="1"/>
        <v>44361</v>
      </c>
    </row>
    <row r="78" spans="3:8" ht="13.5" customHeight="1" x14ac:dyDescent="0.2">
      <c r="C78" s="12" t="s">
        <v>149</v>
      </c>
      <c r="D78" s="57" t="s">
        <v>1052</v>
      </c>
      <c r="E78" s="60">
        <v>44361</v>
      </c>
      <c r="F78" s="58">
        <v>619</v>
      </c>
      <c r="G78" s="12" t="s">
        <v>1676</v>
      </c>
      <c r="H78" s="61">
        <f t="shared" si="1"/>
        <v>44361</v>
      </c>
    </row>
    <row r="79" spans="3:8" ht="13.5" customHeight="1" x14ac:dyDescent="0.2">
      <c r="C79" s="12" t="s">
        <v>170</v>
      </c>
      <c r="D79" s="57" t="s">
        <v>1049</v>
      </c>
      <c r="E79" s="60">
        <v>44361</v>
      </c>
      <c r="F79" s="58">
        <v>738.72</v>
      </c>
      <c r="G79" s="12" t="s">
        <v>1676</v>
      </c>
      <c r="H79" s="61">
        <f t="shared" si="1"/>
        <v>44361</v>
      </c>
    </row>
    <row r="80" spans="3:8" ht="13.5" customHeight="1" x14ac:dyDescent="0.2">
      <c r="C80" s="12" t="s">
        <v>732</v>
      </c>
      <c r="D80" s="57" t="s">
        <v>1050</v>
      </c>
      <c r="E80" s="60">
        <v>44361</v>
      </c>
      <c r="F80" s="58">
        <v>234.6</v>
      </c>
      <c r="G80" s="12" t="s">
        <v>1676</v>
      </c>
      <c r="H80" s="61">
        <f t="shared" si="1"/>
        <v>44361</v>
      </c>
    </row>
    <row r="81" spans="3:8" ht="13.5" customHeight="1" x14ac:dyDescent="0.2">
      <c r="C81" s="12" t="s">
        <v>75</v>
      </c>
      <c r="D81" s="57" t="s">
        <v>786</v>
      </c>
      <c r="E81" s="60">
        <v>44361</v>
      </c>
      <c r="F81" s="58">
        <v>5000</v>
      </c>
      <c r="G81" s="12" t="s">
        <v>1689</v>
      </c>
      <c r="H81" s="61">
        <f t="shared" si="1"/>
        <v>44361</v>
      </c>
    </row>
    <row r="82" spans="3:8" ht="13.5" customHeight="1" x14ac:dyDescent="0.2">
      <c r="C82" s="12" t="s">
        <v>216</v>
      </c>
      <c r="D82" s="57" t="s">
        <v>1051</v>
      </c>
      <c r="E82" s="60">
        <v>44361</v>
      </c>
      <c r="F82" s="58">
        <v>224.82</v>
      </c>
      <c r="G82" s="12" t="s">
        <v>1676</v>
      </c>
      <c r="H82" s="61">
        <f t="shared" si="1"/>
        <v>44361</v>
      </c>
    </row>
    <row r="83" spans="3:8" ht="13.5" customHeight="1" x14ac:dyDescent="0.2">
      <c r="C83" s="12" t="s">
        <v>72</v>
      </c>
      <c r="D83" s="57" t="s">
        <v>1009</v>
      </c>
      <c r="E83" s="60">
        <v>44361</v>
      </c>
      <c r="F83" s="58">
        <v>750</v>
      </c>
      <c r="G83" s="12" t="s">
        <v>1688</v>
      </c>
      <c r="H83" s="61">
        <f t="shared" si="1"/>
        <v>44361</v>
      </c>
    </row>
    <row r="84" spans="3:8" ht="13.5" customHeight="1" x14ac:dyDescent="0.2">
      <c r="C84" s="12" t="s">
        <v>135</v>
      </c>
      <c r="D84" s="57" t="s">
        <v>306</v>
      </c>
      <c r="E84" s="60">
        <v>44361</v>
      </c>
      <c r="F84" s="58">
        <v>3135</v>
      </c>
      <c r="G84" s="12" t="s">
        <v>1676</v>
      </c>
      <c r="H84" s="61">
        <f t="shared" si="1"/>
        <v>44361</v>
      </c>
    </row>
    <row r="85" spans="3:8" ht="13.5" customHeight="1" x14ac:dyDescent="0.2">
      <c r="C85" s="12" t="s">
        <v>149</v>
      </c>
      <c r="D85" s="57" t="s">
        <v>879</v>
      </c>
      <c r="E85" s="60">
        <v>44361</v>
      </c>
      <c r="F85" s="58">
        <v>250</v>
      </c>
      <c r="G85" s="12" t="s">
        <v>1676</v>
      </c>
      <c r="H85" s="61">
        <f t="shared" si="1"/>
        <v>44361</v>
      </c>
    </row>
    <row r="86" spans="3:8" ht="13.5" customHeight="1" x14ac:dyDescent="0.2">
      <c r="C86" s="12" t="s">
        <v>149</v>
      </c>
      <c r="D86" s="57" t="s">
        <v>848</v>
      </c>
      <c r="E86" s="60">
        <v>44361</v>
      </c>
      <c r="F86" s="58">
        <v>318.68</v>
      </c>
      <c r="G86" s="12" t="s">
        <v>1676</v>
      </c>
      <c r="H86" s="61">
        <f t="shared" si="1"/>
        <v>44361</v>
      </c>
    </row>
    <row r="87" spans="3:8" ht="13.5" customHeight="1" x14ac:dyDescent="0.2">
      <c r="C87" s="12" t="s">
        <v>159</v>
      </c>
      <c r="D87" s="57" t="s">
        <v>357</v>
      </c>
      <c r="E87" s="60">
        <v>44361</v>
      </c>
      <c r="F87" s="58">
        <v>233.14</v>
      </c>
      <c r="G87" s="12" t="s">
        <v>1689</v>
      </c>
      <c r="H87" s="61">
        <f t="shared" si="1"/>
        <v>44361</v>
      </c>
    </row>
    <row r="88" spans="3:8" ht="13.5" customHeight="1" x14ac:dyDescent="0.2">
      <c r="C88" s="12" t="s">
        <v>192</v>
      </c>
      <c r="D88" s="57" t="s">
        <v>1057</v>
      </c>
      <c r="E88" s="60">
        <v>44361</v>
      </c>
      <c r="F88" s="58">
        <v>30.14</v>
      </c>
      <c r="G88" s="12" t="s">
        <v>1689</v>
      </c>
      <c r="H88" s="61">
        <f t="shared" si="1"/>
        <v>44361</v>
      </c>
    </row>
    <row r="89" spans="3:8" ht="13.5" customHeight="1" x14ac:dyDescent="0.2">
      <c r="C89" s="12" t="s">
        <v>135</v>
      </c>
      <c r="D89" s="57" t="s">
        <v>1053</v>
      </c>
      <c r="E89" s="60">
        <v>44361</v>
      </c>
      <c r="F89" s="58">
        <v>1075</v>
      </c>
      <c r="G89" s="12" t="s">
        <v>1676</v>
      </c>
      <c r="H89" s="61">
        <f t="shared" si="1"/>
        <v>44361</v>
      </c>
    </row>
    <row r="90" spans="3:8" ht="13.5" customHeight="1" x14ac:dyDescent="0.2">
      <c r="C90" s="12" t="s">
        <v>135</v>
      </c>
      <c r="D90" s="57" t="s">
        <v>1005</v>
      </c>
      <c r="E90" s="60">
        <v>44361</v>
      </c>
      <c r="F90" s="58">
        <v>2500</v>
      </c>
      <c r="G90" s="12" t="s">
        <v>1676</v>
      </c>
      <c r="H90" s="61">
        <f t="shared" si="1"/>
        <v>44361</v>
      </c>
    </row>
    <row r="91" spans="3:8" ht="13.5" customHeight="1" x14ac:dyDescent="0.2">
      <c r="C91" s="12" t="s">
        <v>84</v>
      </c>
      <c r="D91" s="57" t="s">
        <v>915</v>
      </c>
      <c r="E91" s="60">
        <v>44362</v>
      </c>
      <c r="F91" s="58">
        <v>1700</v>
      </c>
      <c r="G91" s="12" t="s">
        <v>1689</v>
      </c>
      <c r="H91" s="61">
        <f t="shared" si="1"/>
        <v>44362</v>
      </c>
    </row>
    <row r="92" spans="3:8" ht="13.5" customHeight="1" x14ac:dyDescent="0.2">
      <c r="C92" s="12" t="s">
        <v>80</v>
      </c>
      <c r="D92" s="57" t="s">
        <v>1037</v>
      </c>
      <c r="E92" s="60">
        <v>44362</v>
      </c>
      <c r="F92" s="58">
        <f>250</f>
        <v>250</v>
      </c>
      <c r="G92" s="12" t="s">
        <v>1689</v>
      </c>
      <c r="H92" s="61">
        <f t="shared" si="1"/>
        <v>44362</v>
      </c>
    </row>
    <row r="93" spans="3:8" ht="13.5" customHeight="1" x14ac:dyDescent="0.2">
      <c r="C93" s="12" t="s">
        <v>83</v>
      </c>
      <c r="D93" s="57" t="s">
        <v>1060</v>
      </c>
      <c r="E93" s="60">
        <v>44362</v>
      </c>
      <c r="F93" s="58">
        <v>500</v>
      </c>
      <c r="G93" s="12" t="s">
        <v>1689</v>
      </c>
      <c r="H93" s="61">
        <f t="shared" si="1"/>
        <v>44362</v>
      </c>
    </row>
    <row r="94" spans="3:8" ht="13.5" customHeight="1" x14ac:dyDescent="0.2">
      <c r="C94" s="12" t="s">
        <v>164</v>
      </c>
      <c r="D94" s="57" t="s">
        <v>1070</v>
      </c>
      <c r="E94" s="60">
        <v>44362</v>
      </c>
      <c r="F94" s="58">
        <v>70</v>
      </c>
      <c r="G94" s="12" t="s">
        <v>1689</v>
      </c>
      <c r="H94" s="61">
        <f t="shared" si="1"/>
        <v>44362</v>
      </c>
    </row>
    <row r="95" spans="3:8" ht="13.5" customHeight="1" x14ac:dyDescent="0.2">
      <c r="C95" s="12" t="s">
        <v>159</v>
      </c>
      <c r="D95" s="57" t="s">
        <v>1048</v>
      </c>
      <c r="E95" s="60">
        <v>44362</v>
      </c>
      <c r="F95" s="58">
        <v>647.20000000000005</v>
      </c>
      <c r="G95" s="12" t="s">
        <v>1689</v>
      </c>
      <c r="H95" s="61">
        <f t="shared" si="1"/>
        <v>44362</v>
      </c>
    </row>
    <row r="96" spans="3:8" ht="13.5" customHeight="1" x14ac:dyDescent="0.2">
      <c r="C96" s="12" t="s">
        <v>89</v>
      </c>
      <c r="D96" s="57" t="s">
        <v>212</v>
      </c>
      <c r="E96" s="60">
        <v>44362</v>
      </c>
      <c r="F96" s="58">
        <v>80.25</v>
      </c>
      <c r="G96" s="12" t="s">
        <v>1676</v>
      </c>
      <c r="H96" s="61">
        <f t="shared" si="1"/>
        <v>44362</v>
      </c>
    </row>
    <row r="97" spans="3:8" ht="13.5" customHeight="1" x14ac:dyDescent="0.2">
      <c r="C97" s="12" t="s">
        <v>89</v>
      </c>
      <c r="D97" s="57" t="s">
        <v>90</v>
      </c>
      <c r="E97" s="60">
        <v>44362</v>
      </c>
      <c r="F97" s="58">
        <v>3594.05</v>
      </c>
      <c r="G97" s="12" t="s">
        <v>64</v>
      </c>
      <c r="H97" s="61">
        <f t="shared" si="1"/>
        <v>44362</v>
      </c>
    </row>
    <row r="98" spans="3:8" ht="13.5" customHeight="1" x14ac:dyDescent="0.2">
      <c r="C98" s="12" t="s">
        <v>86</v>
      </c>
      <c r="D98" s="57" t="s">
        <v>85</v>
      </c>
      <c r="E98" s="60">
        <v>44362</v>
      </c>
      <c r="F98" s="16">
        <v>84</v>
      </c>
      <c r="G98" s="12" t="s">
        <v>1689</v>
      </c>
      <c r="H98" s="61">
        <f t="shared" si="1"/>
        <v>44362</v>
      </c>
    </row>
    <row r="99" spans="3:8" ht="13.5" customHeight="1" x14ac:dyDescent="0.2">
      <c r="C99" s="12" t="s">
        <v>86</v>
      </c>
      <c r="D99" s="57" t="s">
        <v>85</v>
      </c>
      <c r="E99" s="60">
        <v>44362</v>
      </c>
      <c r="F99" s="58">
        <v>1251.76</v>
      </c>
      <c r="G99" s="12" t="s">
        <v>68</v>
      </c>
      <c r="H99" s="61">
        <f t="shared" si="1"/>
        <v>44362</v>
      </c>
    </row>
    <row r="100" spans="3:8" ht="13.5" customHeight="1" x14ac:dyDescent="0.2">
      <c r="C100" s="12" t="s">
        <v>80</v>
      </c>
      <c r="D100" s="57" t="s">
        <v>1022</v>
      </c>
      <c r="E100" s="60">
        <v>44362</v>
      </c>
      <c r="F100" s="58">
        <v>50</v>
      </c>
      <c r="G100" s="12" t="s">
        <v>1689</v>
      </c>
      <c r="H100" s="61">
        <f t="shared" si="1"/>
        <v>44362</v>
      </c>
    </row>
    <row r="101" spans="3:8" ht="13.5" customHeight="1" x14ac:dyDescent="0.2">
      <c r="C101" s="12" t="s">
        <v>164</v>
      </c>
      <c r="D101" s="57" t="s">
        <v>944</v>
      </c>
      <c r="E101" s="60">
        <v>44362</v>
      </c>
      <c r="F101" s="58">
        <v>72</v>
      </c>
      <c r="G101" s="12" t="s">
        <v>1676</v>
      </c>
      <c r="H101" s="61">
        <f t="shared" si="1"/>
        <v>44362</v>
      </c>
    </row>
    <row r="102" spans="3:8" ht="13.5" customHeight="1" x14ac:dyDescent="0.2">
      <c r="C102" s="12" t="s">
        <v>216</v>
      </c>
      <c r="D102" s="57" t="s">
        <v>1064</v>
      </c>
      <c r="E102" s="60">
        <v>44362</v>
      </c>
      <c r="F102" s="58">
        <v>151.4</v>
      </c>
      <c r="G102" s="12" t="s">
        <v>1689</v>
      </c>
      <c r="H102" s="61">
        <f t="shared" si="1"/>
        <v>44362</v>
      </c>
    </row>
    <row r="103" spans="3:8" ht="13.5" customHeight="1" x14ac:dyDescent="0.2">
      <c r="C103" s="12" t="s">
        <v>159</v>
      </c>
      <c r="D103" s="57" t="s">
        <v>1055</v>
      </c>
      <c r="E103" s="60">
        <v>44363</v>
      </c>
      <c r="F103" s="58">
        <v>272.72000000000003</v>
      </c>
      <c r="G103" s="12" t="s">
        <v>1689</v>
      </c>
      <c r="H103" s="61">
        <f t="shared" si="1"/>
        <v>44363</v>
      </c>
    </row>
    <row r="104" spans="3:8" ht="13.5" customHeight="1" x14ac:dyDescent="0.2">
      <c r="C104" s="12" t="s">
        <v>171</v>
      </c>
      <c r="D104" s="57" t="s">
        <v>172</v>
      </c>
      <c r="E104" s="60">
        <v>44363</v>
      </c>
      <c r="F104" s="58">
        <v>178.23</v>
      </c>
      <c r="G104" s="12" t="s">
        <v>1676</v>
      </c>
      <c r="H104" s="61">
        <f t="shared" si="1"/>
        <v>44363</v>
      </c>
    </row>
    <row r="105" spans="3:8" ht="13.5" customHeight="1" x14ac:dyDescent="0.2">
      <c r="C105" s="12" t="s">
        <v>170</v>
      </c>
      <c r="D105" s="57" t="s">
        <v>1069</v>
      </c>
      <c r="E105" s="60">
        <v>44363</v>
      </c>
      <c r="F105" s="58">
        <v>2000</v>
      </c>
      <c r="G105" s="12" t="s">
        <v>1676</v>
      </c>
      <c r="H105" s="61">
        <f t="shared" si="1"/>
        <v>44363</v>
      </c>
    </row>
    <row r="106" spans="3:8" ht="13.5" customHeight="1" x14ac:dyDescent="0.2">
      <c r="C106" s="12" t="s">
        <v>732</v>
      </c>
      <c r="D106" s="57" t="s">
        <v>536</v>
      </c>
      <c r="E106" s="60">
        <v>44363</v>
      </c>
      <c r="F106" s="58">
        <v>240.88</v>
      </c>
      <c r="G106" s="12" t="s">
        <v>1689</v>
      </c>
      <c r="H106" s="61">
        <f t="shared" si="1"/>
        <v>44363</v>
      </c>
    </row>
    <row r="107" spans="3:8" ht="13.5" customHeight="1" x14ac:dyDescent="0.2">
      <c r="C107" s="12" t="s">
        <v>117</v>
      </c>
      <c r="D107" s="57" t="s">
        <v>510</v>
      </c>
      <c r="E107" s="60">
        <v>44363</v>
      </c>
      <c r="F107" s="58">
        <v>127</v>
      </c>
      <c r="G107" s="12" t="s">
        <v>1676</v>
      </c>
      <c r="H107" s="61">
        <f t="shared" si="1"/>
        <v>44363</v>
      </c>
    </row>
    <row r="108" spans="3:8" ht="13.5" customHeight="1" x14ac:dyDescent="0.2">
      <c r="C108" s="12" t="s">
        <v>76</v>
      </c>
      <c r="D108" s="57" t="s">
        <v>1068</v>
      </c>
      <c r="E108" s="60">
        <v>44363</v>
      </c>
      <c r="F108" s="58">
        <v>3667.2</v>
      </c>
      <c r="G108" s="12" t="s">
        <v>1689</v>
      </c>
      <c r="H108" s="61">
        <f t="shared" si="1"/>
        <v>44363</v>
      </c>
    </row>
    <row r="109" spans="3:8" ht="13.5" customHeight="1" x14ac:dyDescent="0.2">
      <c r="C109" s="12" t="s">
        <v>97</v>
      </c>
      <c r="D109" s="57" t="s">
        <v>250</v>
      </c>
      <c r="E109" s="60">
        <v>44363</v>
      </c>
      <c r="F109" s="58">
        <v>695.57</v>
      </c>
      <c r="G109" s="12" t="s">
        <v>1689</v>
      </c>
      <c r="H109" s="61">
        <f t="shared" si="1"/>
        <v>44363</v>
      </c>
    </row>
    <row r="110" spans="3:8" ht="13.5" customHeight="1" x14ac:dyDescent="0.2">
      <c r="C110" s="12" t="s">
        <v>159</v>
      </c>
      <c r="D110" s="57" t="s">
        <v>376</v>
      </c>
      <c r="E110" s="60">
        <v>44363</v>
      </c>
      <c r="F110" s="58">
        <v>234.75</v>
      </c>
      <c r="G110" s="12" t="s">
        <v>1689</v>
      </c>
      <c r="H110" s="61">
        <f t="shared" si="1"/>
        <v>44363</v>
      </c>
    </row>
    <row r="111" spans="3:8" ht="13.5" customHeight="1" x14ac:dyDescent="0.2">
      <c r="C111" s="12" t="s">
        <v>77</v>
      </c>
      <c r="D111" s="57" t="s">
        <v>1000</v>
      </c>
      <c r="E111" s="60">
        <v>44363</v>
      </c>
      <c r="F111" s="58">
        <v>380.73</v>
      </c>
      <c r="G111" s="12" t="s">
        <v>64</v>
      </c>
      <c r="H111" s="61">
        <f t="shared" si="1"/>
        <v>44363</v>
      </c>
    </row>
    <row r="112" spans="3:8" ht="13.5" customHeight="1" x14ac:dyDescent="0.2">
      <c r="C112" s="12" t="s">
        <v>192</v>
      </c>
      <c r="D112" s="57" t="s">
        <v>1056</v>
      </c>
      <c r="E112" s="60">
        <v>44363</v>
      </c>
      <c r="F112" s="58">
        <v>839.95</v>
      </c>
      <c r="G112" s="12" t="s">
        <v>1689</v>
      </c>
      <c r="H112" s="61">
        <f t="shared" si="1"/>
        <v>44363</v>
      </c>
    </row>
    <row r="113" spans="3:8" ht="13.5" customHeight="1" x14ac:dyDescent="0.2">
      <c r="C113" s="12" t="s">
        <v>192</v>
      </c>
      <c r="D113" s="57" t="s">
        <v>1061</v>
      </c>
      <c r="E113" s="60">
        <v>44363</v>
      </c>
      <c r="F113" s="58">
        <v>249.74</v>
      </c>
      <c r="G113" s="12" t="s">
        <v>1689</v>
      </c>
      <c r="H113" s="61">
        <f t="shared" si="1"/>
        <v>44363</v>
      </c>
    </row>
    <row r="114" spans="3:8" ht="13.5" customHeight="1" x14ac:dyDescent="0.2">
      <c r="C114" s="12" t="s">
        <v>192</v>
      </c>
      <c r="D114" s="57" t="s">
        <v>1062</v>
      </c>
      <c r="E114" s="60">
        <v>44363</v>
      </c>
      <c r="F114" s="58">
        <v>321.11</v>
      </c>
      <c r="G114" s="12" t="s">
        <v>1689</v>
      </c>
      <c r="H114" s="61">
        <f t="shared" si="1"/>
        <v>44363</v>
      </c>
    </row>
    <row r="115" spans="3:8" ht="13.5" customHeight="1" x14ac:dyDescent="0.2">
      <c r="C115" s="12" t="s">
        <v>74</v>
      </c>
      <c r="D115" s="57" t="s">
        <v>69</v>
      </c>
      <c r="E115" s="60">
        <v>44364</v>
      </c>
      <c r="F115" s="58">
        <v>978.59</v>
      </c>
      <c r="G115" s="12" t="s">
        <v>1676</v>
      </c>
      <c r="H115" s="61">
        <f t="shared" si="1"/>
        <v>44364</v>
      </c>
    </row>
    <row r="116" spans="3:8" ht="13.5" customHeight="1" x14ac:dyDescent="0.2">
      <c r="C116" s="12" t="s">
        <v>74</v>
      </c>
      <c r="D116" s="57" t="s">
        <v>69</v>
      </c>
      <c r="E116" s="60">
        <v>44364</v>
      </c>
      <c r="F116" s="58">
        <v>11337.56</v>
      </c>
      <c r="G116" s="12" t="s">
        <v>1689</v>
      </c>
      <c r="H116" s="61">
        <f t="shared" si="1"/>
        <v>44364</v>
      </c>
    </row>
    <row r="117" spans="3:8" ht="13.5" customHeight="1" x14ac:dyDescent="0.2">
      <c r="C117" s="12" t="s">
        <v>80</v>
      </c>
      <c r="D117" s="57" t="s">
        <v>637</v>
      </c>
      <c r="E117" s="60">
        <v>44364</v>
      </c>
      <c r="F117" s="58">
        <v>150</v>
      </c>
      <c r="G117" s="12" t="s">
        <v>1688</v>
      </c>
      <c r="H117" s="61">
        <f t="shared" si="1"/>
        <v>44364</v>
      </c>
    </row>
    <row r="118" spans="3:8" ht="13.5" customHeight="1" x14ac:dyDescent="0.2">
      <c r="C118" s="12" t="s">
        <v>72</v>
      </c>
      <c r="D118" s="57" t="s">
        <v>1788</v>
      </c>
      <c r="E118" s="60">
        <v>44364</v>
      </c>
      <c r="F118" s="58">
        <v>2500</v>
      </c>
      <c r="G118" s="12" t="s">
        <v>1688</v>
      </c>
      <c r="H118" s="61">
        <f t="shared" si="1"/>
        <v>44364</v>
      </c>
    </row>
    <row r="119" spans="3:8" ht="13.5" customHeight="1" x14ac:dyDescent="0.2">
      <c r="C119" s="12" t="s">
        <v>75</v>
      </c>
      <c r="D119" s="57" t="s">
        <v>106</v>
      </c>
      <c r="E119" s="60">
        <v>44364</v>
      </c>
      <c r="F119" s="58">
        <v>1750</v>
      </c>
      <c r="G119" s="12" t="s">
        <v>1676</v>
      </c>
      <c r="H119" s="61">
        <f t="shared" si="1"/>
        <v>44364</v>
      </c>
    </row>
    <row r="120" spans="3:8" ht="13.5" customHeight="1" x14ac:dyDescent="0.2">
      <c r="C120" s="12" t="s">
        <v>192</v>
      </c>
      <c r="D120" s="57" t="s">
        <v>1059</v>
      </c>
      <c r="E120" s="60">
        <v>44364</v>
      </c>
      <c r="F120" s="58">
        <v>12.09</v>
      </c>
      <c r="G120" s="12" t="s">
        <v>1689</v>
      </c>
      <c r="H120" s="61">
        <f t="shared" si="1"/>
        <v>44364</v>
      </c>
    </row>
    <row r="121" spans="3:8" ht="13.5" customHeight="1" x14ac:dyDescent="0.2">
      <c r="C121" s="12" t="s">
        <v>73</v>
      </c>
      <c r="D121" s="57" t="s">
        <v>1081</v>
      </c>
      <c r="E121" s="60">
        <v>44364</v>
      </c>
      <c r="F121" s="58">
        <v>33.56</v>
      </c>
      <c r="G121" s="12" t="s">
        <v>1689</v>
      </c>
      <c r="H121" s="61">
        <f t="shared" si="1"/>
        <v>44364</v>
      </c>
    </row>
    <row r="122" spans="3:8" ht="13.5" customHeight="1" x14ac:dyDescent="0.2">
      <c r="C122" s="12" t="s">
        <v>84</v>
      </c>
      <c r="D122" s="57" t="s">
        <v>1047</v>
      </c>
      <c r="E122" s="60">
        <v>44364</v>
      </c>
      <c r="F122" s="58">
        <v>266</v>
      </c>
      <c r="G122" s="12" t="s">
        <v>1689</v>
      </c>
      <c r="H122" s="61">
        <f t="shared" si="1"/>
        <v>44364</v>
      </c>
    </row>
    <row r="123" spans="3:8" ht="13.5" customHeight="1" x14ac:dyDescent="0.2">
      <c r="C123" s="12" t="s">
        <v>73</v>
      </c>
      <c r="D123" s="57" t="s">
        <v>1082</v>
      </c>
      <c r="E123" s="60">
        <v>44365</v>
      </c>
      <c r="F123" s="58">
        <v>44.14</v>
      </c>
      <c r="G123" s="12" t="s">
        <v>1689</v>
      </c>
      <c r="H123" s="61">
        <f t="shared" si="1"/>
        <v>44365</v>
      </c>
    </row>
    <row r="124" spans="3:8" ht="13.5" customHeight="1" x14ac:dyDescent="0.2">
      <c r="C124" s="12" t="s">
        <v>73</v>
      </c>
      <c r="D124" s="57" t="s">
        <v>1083</v>
      </c>
      <c r="E124" s="60">
        <v>44365</v>
      </c>
      <c r="F124" s="58">
        <v>136.82</v>
      </c>
      <c r="G124" s="12" t="s">
        <v>1689</v>
      </c>
      <c r="H124" s="61">
        <f t="shared" si="1"/>
        <v>44365</v>
      </c>
    </row>
    <row r="125" spans="3:8" ht="13.5" customHeight="1" x14ac:dyDescent="0.2">
      <c r="C125" s="12" t="s">
        <v>72</v>
      </c>
      <c r="D125" s="12" t="s">
        <v>1707</v>
      </c>
      <c r="E125" s="60">
        <v>44365</v>
      </c>
      <c r="F125" s="58">
        <v>2500</v>
      </c>
      <c r="G125" s="12" t="s">
        <v>1688</v>
      </c>
      <c r="H125" s="61">
        <f t="shared" si="1"/>
        <v>44365</v>
      </c>
    </row>
    <row r="126" spans="3:8" ht="13.5" customHeight="1" x14ac:dyDescent="0.2">
      <c r="C126" s="12" t="s">
        <v>80</v>
      </c>
      <c r="D126" s="57" t="s">
        <v>236</v>
      </c>
      <c r="E126" s="60">
        <v>44365</v>
      </c>
      <c r="F126" s="58">
        <v>150</v>
      </c>
      <c r="G126" s="12" t="s">
        <v>1689</v>
      </c>
      <c r="H126" s="61">
        <f t="shared" si="1"/>
        <v>44365</v>
      </c>
    </row>
    <row r="127" spans="3:8" ht="13.5" customHeight="1" x14ac:dyDescent="0.2">
      <c r="C127" s="12" t="s">
        <v>924</v>
      </c>
      <c r="D127" s="57" t="s">
        <v>1073</v>
      </c>
      <c r="E127" s="60">
        <v>44365</v>
      </c>
      <c r="F127" s="58">
        <v>357.8</v>
      </c>
      <c r="G127" s="12" t="s">
        <v>1689</v>
      </c>
      <c r="H127" s="61">
        <f t="shared" si="1"/>
        <v>44365</v>
      </c>
    </row>
    <row r="128" spans="3:8" ht="13.5" customHeight="1" x14ac:dyDescent="0.2">
      <c r="C128" s="12" t="s">
        <v>73</v>
      </c>
      <c r="D128" s="57" t="s">
        <v>1092</v>
      </c>
      <c r="E128" s="60">
        <v>44365</v>
      </c>
      <c r="F128" s="58">
        <v>32.200000000000003</v>
      </c>
      <c r="G128" s="12" t="s">
        <v>1689</v>
      </c>
      <c r="H128" s="61">
        <f t="shared" si="1"/>
        <v>44365</v>
      </c>
    </row>
    <row r="129" spans="3:8" ht="13.5" customHeight="1" x14ac:dyDescent="0.2">
      <c r="C129" s="12" t="s">
        <v>84</v>
      </c>
      <c r="D129" s="57" t="s">
        <v>1039</v>
      </c>
      <c r="E129" s="60">
        <v>44365</v>
      </c>
      <c r="F129" s="58">
        <v>3792</v>
      </c>
      <c r="G129" s="12" t="s">
        <v>1676</v>
      </c>
      <c r="H129" s="61">
        <f t="shared" si="1"/>
        <v>44365</v>
      </c>
    </row>
    <row r="130" spans="3:8" ht="13.5" customHeight="1" x14ac:dyDescent="0.2">
      <c r="C130" s="12" t="s">
        <v>192</v>
      </c>
      <c r="D130" s="57" t="s">
        <v>1063</v>
      </c>
      <c r="E130" s="60">
        <v>44366</v>
      </c>
      <c r="F130" s="58">
        <v>412.52</v>
      </c>
      <c r="G130" s="12" t="s">
        <v>1689</v>
      </c>
      <c r="H130" s="61">
        <f t="shared" ref="H130:H193" si="2">VLOOKUP(E130,$E$2892:$H$2947,4,FALSE)</f>
        <v>44368</v>
      </c>
    </row>
    <row r="131" spans="3:8" ht="13.5" customHeight="1" x14ac:dyDescent="0.2">
      <c r="C131" s="12" t="s">
        <v>88</v>
      </c>
      <c r="D131" s="57" t="s">
        <v>851</v>
      </c>
      <c r="E131" s="60">
        <v>44367</v>
      </c>
      <c r="F131" s="58">
        <v>940</v>
      </c>
      <c r="G131" s="12" t="s">
        <v>1689</v>
      </c>
      <c r="H131" s="61">
        <f t="shared" si="2"/>
        <v>44368</v>
      </c>
    </row>
    <row r="132" spans="3:8" ht="13.5" customHeight="1" x14ac:dyDescent="0.2">
      <c r="C132" s="12" t="s">
        <v>88</v>
      </c>
      <c r="D132" s="57" t="s">
        <v>866</v>
      </c>
      <c r="E132" s="60">
        <v>44368</v>
      </c>
      <c r="F132" s="58">
        <v>1050</v>
      </c>
      <c r="G132" s="12" t="s">
        <v>1689</v>
      </c>
      <c r="H132" s="61">
        <f t="shared" si="2"/>
        <v>44368</v>
      </c>
    </row>
    <row r="133" spans="3:8" ht="13.5" customHeight="1" x14ac:dyDescent="0.2">
      <c r="C133" s="12" t="s">
        <v>164</v>
      </c>
      <c r="D133" s="57" t="s">
        <v>595</v>
      </c>
      <c r="E133" s="60">
        <v>44368</v>
      </c>
      <c r="F133" s="58">
        <v>70</v>
      </c>
      <c r="G133" s="12" t="s">
        <v>1689</v>
      </c>
      <c r="H133" s="61">
        <f t="shared" si="2"/>
        <v>44368</v>
      </c>
    </row>
    <row r="134" spans="3:8" ht="13.5" customHeight="1" x14ac:dyDescent="0.2">
      <c r="C134" s="12" t="s">
        <v>83</v>
      </c>
      <c r="D134" s="57" t="s">
        <v>207</v>
      </c>
      <c r="E134" s="60">
        <v>44368</v>
      </c>
      <c r="F134" s="58">
        <v>2876</v>
      </c>
      <c r="G134" s="12" t="s">
        <v>1689</v>
      </c>
      <c r="H134" s="61">
        <f t="shared" si="2"/>
        <v>44368</v>
      </c>
    </row>
    <row r="135" spans="3:8" ht="13.5" customHeight="1" x14ac:dyDescent="0.2">
      <c r="C135" s="12" t="s">
        <v>135</v>
      </c>
      <c r="D135" s="57" t="s">
        <v>986</v>
      </c>
      <c r="E135" s="60">
        <v>44368</v>
      </c>
      <c r="F135" s="58">
        <v>3250</v>
      </c>
      <c r="G135" s="12" t="s">
        <v>1689</v>
      </c>
      <c r="H135" s="61">
        <f t="shared" si="2"/>
        <v>44368</v>
      </c>
    </row>
    <row r="136" spans="3:8" ht="13.5" customHeight="1" x14ac:dyDescent="0.2">
      <c r="C136" s="12" t="s">
        <v>83</v>
      </c>
      <c r="D136" s="12" t="s">
        <v>1084</v>
      </c>
      <c r="E136" s="60">
        <v>44368</v>
      </c>
      <c r="F136" s="58">
        <v>228</v>
      </c>
      <c r="G136" s="12" t="s">
        <v>1689</v>
      </c>
      <c r="H136" s="61">
        <f t="shared" si="2"/>
        <v>44368</v>
      </c>
    </row>
    <row r="137" spans="3:8" ht="13.5" customHeight="1" x14ac:dyDescent="0.2">
      <c r="C137" s="12" t="s">
        <v>164</v>
      </c>
      <c r="D137" s="57" t="s">
        <v>1804</v>
      </c>
      <c r="E137" s="60">
        <v>44368</v>
      </c>
      <c r="F137" s="58">
        <v>770</v>
      </c>
      <c r="G137" s="12" t="s">
        <v>1676</v>
      </c>
      <c r="H137" s="61">
        <f t="shared" si="2"/>
        <v>44368</v>
      </c>
    </row>
    <row r="138" spans="3:8" ht="13.5" customHeight="1" x14ac:dyDescent="0.2">
      <c r="C138" s="12" t="s">
        <v>159</v>
      </c>
      <c r="D138" s="57" t="s">
        <v>1094</v>
      </c>
      <c r="E138" s="60">
        <v>44369</v>
      </c>
      <c r="F138" s="58">
        <v>272.72000000000003</v>
      </c>
      <c r="G138" s="12" t="s">
        <v>1689</v>
      </c>
      <c r="H138" s="61">
        <f t="shared" si="2"/>
        <v>44369</v>
      </c>
    </row>
    <row r="139" spans="3:8" ht="13.5" customHeight="1" x14ac:dyDescent="0.2">
      <c r="C139" s="12" t="s">
        <v>192</v>
      </c>
      <c r="D139" s="57" t="s">
        <v>1058</v>
      </c>
      <c r="E139" s="60">
        <v>44369</v>
      </c>
      <c r="F139" s="58">
        <v>328.27</v>
      </c>
      <c r="G139" s="12" t="s">
        <v>1689</v>
      </c>
      <c r="H139" s="61">
        <f t="shared" si="2"/>
        <v>44369</v>
      </c>
    </row>
    <row r="140" spans="3:8" ht="13.5" customHeight="1" x14ac:dyDescent="0.2">
      <c r="C140" s="12" t="s">
        <v>88</v>
      </c>
      <c r="D140" s="57" t="s">
        <v>1078</v>
      </c>
      <c r="E140" s="60">
        <v>44369</v>
      </c>
      <c r="F140" s="58">
        <v>1230</v>
      </c>
      <c r="G140" s="12" t="s">
        <v>1689</v>
      </c>
      <c r="H140" s="61">
        <f t="shared" si="2"/>
        <v>44369</v>
      </c>
    </row>
    <row r="141" spans="3:8" ht="13.5" customHeight="1" x14ac:dyDescent="0.2">
      <c r="C141" s="12" t="s">
        <v>89</v>
      </c>
      <c r="D141" s="57" t="s">
        <v>1034</v>
      </c>
      <c r="E141" s="60">
        <v>44369</v>
      </c>
      <c r="F141" s="58">
        <v>899.36</v>
      </c>
      <c r="G141" s="12" t="s">
        <v>1689</v>
      </c>
      <c r="H141" s="61">
        <f t="shared" si="2"/>
        <v>44369</v>
      </c>
    </row>
    <row r="142" spans="3:8" ht="13.5" customHeight="1" x14ac:dyDescent="0.2">
      <c r="C142" s="12" t="s">
        <v>84</v>
      </c>
      <c r="D142" s="57" t="s">
        <v>1076</v>
      </c>
      <c r="E142" s="60">
        <v>44369</v>
      </c>
      <c r="F142" s="58">
        <v>4050</v>
      </c>
      <c r="G142" s="12" t="s">
        <v>1689</v>
      </c>
      <c r="H142" s="61">
        <f t="shared" si="2"/>
        <v>44369</v>
      </c>
    </row>
    <row r="143" spans="3:8" ht="13.5" customHeight="1" x14ac:dyDescent="0.2">
      <c r="C143" s="12" t="s">
        <v>76</v>
      </c>
      <c r="D143" s="57" t="s">
        <v>1054</v>
      </c>
      <c r="E143" s="60">
        <v>44369</v>
      </c>
      <c r="F143" s="58">
        <v>900</v>
      </c>
      <c r="G143" s="12" t="s">
        <v>1689</v>
      </c>
      <c r="H143" s="61">
        <f t="shared" si="2"/>
        <v>44369</v>
      </c>
    </row>
    <row r="144" spans="3:8" ht="13.5" customHeight="1" x14ac:dyDescent="0.2">
      <c r="C144" s="12" t="s">
        <v>96</v>
      </c>
      <c r="D144" s="57" t="s">
        <v>126</v>
      </c>
      <c r="E144" s="60">
        <v>44369</v>
      </c>
      <c r="F144" s="58">
        <v>2000</v>
      </c>
      <c r="G144" s="12" t="s">
        <v>1689</v>
      </c>
      <c r="H144" s="61">
        <f t="shared" si="2"/>
        <v>44369</v>
      </c>
    </row>
    <row r="145" spans="3:8" ht="13.5" customHeight="1" x14ac:dyDescent="0.2">
      <c r="C145" s="12" t="s">
        <v>159</v>
      </c>
      <c r="D145" s="57" t="s">
        <v>1105</v>
      </c>
      <c r="E145" s="60">
        <v>44369</v>
      </c>
      <c r="F145" s="58">
        <v>301.64</v>
      </c>
      <c r="G145" s="12" t="s">
        <v>1689</v>
      </c>
      <c r="H145" s="61">
        <f t="shared" si="2"/>
        <v>44369</v>
      </c>
    </row>
    <row r="146" spans="3:8" ht="13.5" customHeight="1" x14ac:dyDescent="0.2">
      <c r="C146" s="12" t="s">
        <v>164</v>
      </c>
      <c r="D146" s="57" t="s">
        <v>1097</v>
      </c>
      <c r="E146" s="60">
        <v>44370</v>
      </c>
      <c r="F146" s="58">
        <v>320</v>
      </c>
      <c r="G146" s="12" t="s">
        <v>1689</v>
      </c>
      <c r="H146" s="61">
        <f t="shared" si="2"/>
        <v>44370</v>
      </c>
    </row>
    <row r="147" spans="3:8" ht="13.5" customHeight="1" x14ac:dyDescent="0.2">
      <c r="C147" s="12" t="s">
        <v>170</v>
      </c>
      <c r="D147" s="57" t="s">
        <v>1101</v>
      </c>
      <c r="E147" s="60">
        <v>44370</v>
      </c>
      <c r="F147" s="58">
        <v>462.5</v>
      </c>
      <c r="G147" s="12" t="s">
        <v>1689</v>
      </c>
      <c r="H147" s="61">
        <f t="shared" si="2"/>
        <v>44370</v>
      </c>
    </row>
    <row r="148" spans="3:8" ht="13.5" customHeight="1" x14ac:dyDescent="0.2">
      <c r="C148" s="12" t="s">
        <v>80</v>
      </c>
      <c r="D148" s="57" t="s">
        <v>1103</v>
      </c>
      <c r="E148" s="60">
        <v>44370</v>
      </c>
      <c r="F148" s="58">
        <v>100</v>
      </c>
      <c r="G148" s="12" t="s">
        <v>1689</v>
      </c>
      <c r="H148" s="61">
        <f t="shared" si="2"/>
        <v>44370</v>
      </c>
    </row>
    <row r="149" spans="3:8" ht="13.5" customHeight="1" x14ac:dyDescent="0.2">
      <c r="C149" s="12" t="s">
        <v>80</v>
      </c>
      <c r="D149" s="57" t="s">
        <v>1100</v>
      </c>
      <c r="E149" s="60">
        <v>44370</v>
      </c>
      <c r="F149" s="58">
        <v>100</v>
      </c>
      <c r="G149" s="12" t="s">
        <v>1688</v>
      </c>
      <c r="H149" s="61">
        <f t="shared" si="2"/>
        <v>44370</v>
      </c>
    </row>
    <row r="150" spans="3:8" ht="13.5" customHeight="1" x14ac:dyDescent="0.2">
      <c r="C150" s="12" t="s">
        <v>80</v>
      </c>
      <c r="D150" s="57" t="s">
        <v>637</v>
      </c>
      <c r="E150" s="60">
        <v>44370</v>
      </c>
      <c r="F150" s="58">
        <f>100+100</f>
        <v>200</v>
      </c>
      <c r="G150" s="12" t="s">
        <v>1688</v>
      </c>
      <c r="H150" s="61">
        <f t="shared" si="2"/>
        <v>44370</v>
      </c>
    </row>
    <row r="151" spans="3:8" ht="13.5" customHeight="1" x14ac:dyDescent="0.2">
      <c r="C151" s="12" t="s">
        <v>83</v>
      </c>
      <c r="D151" s="57" t="s">
        <v>1102</v>
      </c>
      <c r="E151" s="60">
        <v>44370</v>
      </c>
      <c r="F151" s="58">
        <v>115.8</v>
      </c>
      <c r="G151" s="12" t="s">
        <v>1689</v>
      </c>
      <c r="H151" s="61">
        <f t="shared" si="2"/>
        <v>44370</v>
      </c>
    </row>
    <row r="152" spans="3:8" ht="13.5" customHeight="1" x14ac:dyDescent="0.2">
      <c r="C152" s="12" t="s">
        <v>80</v>
      </c>
      <c r="D152" s="57" t="s">
        <v>321</v>
      </c>
      <c r="E152" s="60">
        <v>44370</v>
      </c>
      <c r="F152" s="58">
        <v>130</v>
      </c>
      <c r="G152" s="12" t="s">
        <v>1689</v>
      </c>
      <c r="H152" s="61">
        <f t="shared" si="2"/>
        <v>44370</v>
      </c>
    </row>
    <row r="153" spans="3:8" ht="13.5" customHeight="1" x14ac:dyDescent="0.2">
      <c r="C153" s="12" t="s">
        <v>96</v>
      </c>
      <c r="D153" s="57" t="s">
        <v>840</v>
      </c>
      <c r="E153" s="60">
        <v>44370</v>
      </c>
      <c r="F153" s="58">
        <v>2000</v>
      </c>
      <c r="G153" s="12" t="s">
        <v>1689</v>
      </c>
      <c r="H153" s="61">
        <f t="shared" si="2"/>
        <v>44370</v>
      </c>
    </row>
    <row r="154" spans="3:8" ht="13.5" customHeight="1" x14ac:dyDescent="0.2">
      <c r="C154" s="12" t="s">
        <v>159</v>
      </c>
      <c r="D154" s="57" t="s">
        <v>1089</v>
      </c>
      <c r="E154" s="60">
        <v>44370</v>
      </c>
      <c r="F154" s="58">
        <v>123.8</v>
      </c>
      <c r="G154" s="12" t="s">
        <v>1689</v>
      </c>
      <c r="H154" s="61">
        <f t="shared" si="2"/>
        <v>44370</v>
      </c>
    </row>
    <row r="155" spans="3:8" ht="13.5" customHeight="1" x14ac:dyDescent="0.2">
      <c r="C155" s="12" t="s">
        <v>159</v>
      </c>
      <c r="D155" s="57" t="s">
        <v>1089</v>
      </c>
      <c r="E155" s="60">
        <v>44370</v>
      </c>
      <c r="F155" s="58">
        <v>125.63</v>
      </c>
      <c r="G155" s="12" t="s">
        <v>1689</v>
      </c>
      <c r="H155" s="61">
        <f t="shared" si="2"/>
        <v>44370</v>
      </c>
    </row>
    <row r="156" spans="3:8" ht="13.5" customHeight="1" x14ac:dyDescent="0.2">
      <c r="C156" s="12" t="s">
        <v>199</v>
      </c>
      <c r="D156" s="57" t="s">
        <v>1099</v>
      </c>
      <c r="E156" s="60">
        <v>44370</v>
      </c>
      <c r="F156" s="58">
        <v>202.89</v>
      </c>
      <c r="G156" s="12" t="s">
        <v>181</v>
      </c>
      <c r="H156" s="61">
        <f t="shared" si="2"/>
        <v>44370</v>
      </c>
    </row>
    <row r="157" spans="3:8" ht="13.5" customHeight="1" x14ac:dyDescent="0.2">
      <c r="C157" s="12" t="s">
        <v>96</v>
      </c>
      <c r="D157" s="57" t="s">
        <v>542</v>
      </c>
      <c r="E157" s="60">
        <v>44370</v>
      </c>
      <c r="F157" s="58">
        <v>500</v>
      </c>
      <c r="G157" s="12" t="s">
        <v>68</v>
      </c>
      <c r="H157" s="61">
        <f t="shared" si="2"/>
        <v>44370</v>
      </c>
    </row>
    <row r="158" spans="3:8" ht="13.5" customHeight="1" x14ac:dyDescent="0.2">
      <c r="C158" s="12" t="s">
        <v>229</v>
      </c>
      <c r="D158" s="57" t="s">
        <v>1087</v>
      </c>
      <c r="E158" s="60">
        <v>44370</v>
      </c>
      <c r="F158" s="58">
        <v>110</v>
      </c>
      <c r="G158" s="12" t="s">
        <v>1676</v>
      </c>
      <c r="H158" s="61">
        <f t="shared" si="2"/>
        <v>44370</v>
      </c>
    </row>
    <row r="159" spans="3:8" ht="13.5" customHeight="1" x14ac:dyDescent="0.2">
      <c r="C159" s="12" t="s">
        <v>187</v>
      </c>
      <c r="D159" s="57" t="s">
        <v>1088</v>
      </c>
      <c r="E159" s="60">
        <v>44370</v>
      </c>
      <c r="F159" s="58">
        <v>399.6</v>
      </c>
      <c r="G159" s="12" t="s">
        <v>1689</v>
      </c>
      <c r="H159" s="61">
        <f t="shared" si="2"/>
        <v>44370</v>
      </c>
    </row>
    <row r="160" spans="3:8" ht="13.5" customHeight="1" x14ac:dyDescent="0.2">
      <c r="C160" s="12" t="s">
        <v>170</v>
      </c>
      <c r="D160" s="57" t="s">
        <v>1086</v>
      </c>
      <c r="E160" s="60">
        <v>44370</v>
      </c>
      <c r="F160" s="58">
        <v>2191</v>
      </c>
      <c r="G160" s="12" t="s">
        <v>1676</v>
      </c>
      <c r="H160" s="61">
        <f t="shared" si="2"/>
        <v>44370</v>
      </c>
    </row>
    <row r="161" spans="3:8" ht="13.5" customHeight="1" x14ac:dyDescent="0.2">
      <c r="C161" s="12" t="s">
        <v>74</v>
      </c>
      <c r="D161" s="57" t="s">
        <v>943</v>
      </c>
      <c r="E161" s="60">
        <v>44370</v>
      </c>
      <c r="F161" s="58">
        <v>11475.56</v>
      </c>
      <c r="G161" s="12" t="s">
        <v>1689</v>
      </c>
      <c r="H161" s="61">
        <f t="shared" si="2"/>
        <v>44370</v>
      </c>
    </row>
    <row r="162" spans="3:8" ht="13.5" customHeight="1" x14ac:dyDescent="0.2">
      <c r="C162" s="12" t="s">
        <v>96</v>
      </c>
      <c r="D162" s="57" t="s">
        <v>1106</v>
      </c>
      <c r="E162" s="60">
        <v>44370</v>
      </c>
      <c r="F162" s="58">
        <v>1643</v>
      </c>
      <c r="G162" s="12" t="s">
        <v>1689</v>
      </c>
      <c r="H162" s="61">
        <f t="shared" si="2"/>
        <v>44370</v>
      </c>
    </row>
    <row r="163" spans="3:8" ht="13.5" customHeight="1" x14ac:dyDescent="0.2">
      <c r="C163" s="12" t="s">
        <v>149</v>
      </c>
      <c r="D163" s="57" t="s">
        <v>985</v>
      </c>
      <c r="E163" s="60">
        <v>44370</v>
      </c>
      <c r="F163" s="58">
        <v>318.68</v>
      </c>
      <c r="G163" s="12" t="s">
        <v>1676</v>
      </c>
      <c r="H163" s="61">
        <f t="shared" si="2"/>
        <v>44370</v>
      </c>
    </row>
    <row r="164" spans="3:8" ht="13.5" customHeight="1" x14ac:dyDescent="0.2">
      <c r="C164" s="12" t="s">
        <v>135</v>
      </c>
      <c r="D164" s="57" t="s">
        <v>973</v>
      </c>
      <c r="E164" s="60">
        <v>44370</v>
      </c>
      <c r="F164" s="58">
        <v>243.76</v>
      </c>
      <c r="G164" s="12" t="s">
        <v>1676</v>
      </c>
      <c r="H164" s="61">
        <f t="shared" si="2"/>
        <v>44370</v>
      </c>
    </row>
    <row r="165" spans="3:8" ht="13.5" customHeight="1" x14ac:dyDescent="0.2">
      <c r="C165" s="12" t="s">
        <v>159</v>
      </c>
      <c r="D165" s="57" t="s">
        <v>376</v>
      </c>
      <c r="E165" s="60">
        <v>44371</v>
      </c>
      <c r="F165" s="58">
        <v>385.7</v>
      </c>
      <c r="G165" s="12" t="s">
        <v>1689</v>
      </c>
      <c r="H165" s="61">
        <f t="shared" si="2"/>
        <v>44371</v>
      </c>
    </row>
    <row r="166" spans="3:8" ht="13.5" customHeight="1" x14ac:dyDescent="0.2">
      <c r="C166" s="12" t="s">
        <v>72</v>
      </c>
      <c r="D166" s="57" t="s">
        <v>1085</v>
      </c>
      <c r="E166" s="60">
        <v>44371</v>
      </c>
      <c r="F166" s="58">
        <v>678.5</v>
      </c>
      <c r="G166" s="12" t="s">
        <v>1689</v>
      </c>
      <c r="H166" s="61">
        <f t="shared" si="2"/>
        <v>44371</v>
      </c>
    </row>
    <row r="167" spans="3:8" ht="13.5" customHeight="1" x14ac:dyDescent="0.2">
      <c r="C167" s="12" t="s">
        <v>149</v>
      </c>
      <c r="D167" s="57" t="s">
        <v>1045</v>
      </c>
      <c r="E167" s="60">
        <v>44371</v>
      </c>
      <c r="F167" s="58">
        <v>142</v>
      </c>
      <c r="G167" s="12" t="s">
        <v>1676</v>
      </c>
      <c r="H167" s="61">
        <f t="shared" si="2"/>
        <v>44371</v>
      </c>
    </row>
    <row r="168" spans="3:8" ht="13.5" customHeight="1" x14ac:dyDescent="0.2">
      <c r="C168" s="12" t="s">
        <v>97</v>
      </c>
      <c r="D168" s="57" t="s">
        <v>242</v>
      </c>
      <c r="E168" s="60">
        <v>44371</v>
      </c>
      <c r="F168" s="58">
        <v>7230</v>
      </c>
      <c r="G168" s="12" t="s">
        <v>1676</v>
      </c>
      <c r="H168" s="61">
        <f t="shared" si="2"/>
        <v>44371</v>
      </c>
    </row>
    <row r="169" spans="3:8" ht="13.5" customHeight="1" x14ac:dyDescent="0.2">
      <c r="C169" s="12" t="s">
        <v>149</v>
      </c>
      <c r="D169" s="57" t="s">
        <v>880</v>
      </c>
      <c r="E169" s="60">
        <v>44371</v>
      </c>
      <c r="F169" s="58">
        <v>250</v>
      </c>
      <c r="G169" s="12" t="s">
        <v>1676</v>
      </c>
      <c r="H169" s="61">
        <f t="shared" si="2"/>
        <v>44371</v>
      </c>
    </row>
    <row r="170" spans="3:8" ht="13.5" customHeight="1" x14ac:dyDescent="0.2">
      <c r="C170" s="12" t="s">
        <v>159</v>
      </c>
      <c r="D170" s="57" t="s">
        <v>357</v>
      </c>
      <c r="E170" s="60">
        <v>44371</v>
      </c>
      <c r="F170" s="58">
        <v>233.16</v>
      </c>
      <c r="G170" s="12" t="s">
        <v>1689</v>
      </c>
      <c r="H170" s="61">
        <f t="shared" si="2"/>
        <v>44371</v>
      </c>
    </row>
    <row r="171" spans="3:8" ht="13.5" customHeight="1" x14ac:dyDescent="0.2">
      <c r="C171" s="12" t="s">
        <v>72</v>
      </c>
      <c r="D171" s="12" t="s">
        <v>1707</v>
      </c>
      <c r="E171" s="60">
        <v>44371</v>
      </c>
      <c r="F171" s="58">
        <v>2500</v>
      </c>
      <c r="G171" s="12" t="s">
        <v>1688</v>
      </c>
      <c r="H171" s="61">
        <f t="shared" si="2"/>
        <v>44371</v>
      </c>
    </row>
    <row r="172" spans="3:8" ht="13.5" customHeight="1" x14ac:dyDescent="0.2">
      <c r="C172" s="12" t="s">
        <v>170</v>
      </c>
      <c r="D172" s="57" t="s">
        <v>1038</v>
      </c>
      <c r="E172" s="60">
        <v>44371</v>
      </c>
      <c r="F172" s="58">
        <v>2402.56</v>
      </c>
      <c r="G172" s="12" t="s">
        <v>1676</v>
      </c>
      <c r="H172" s="61">
        <f t="shared" si="2"/>
        <v>44371</v>
      </c>
    </row>
    <row r="173" spans="3:8" ht="13.5" customHeight="1" x14ac:dyDescent="0.2">
      <c r="C173" s="12" t="s">
        <v>192</v>
      </c>
      <c r="D173" s="57" t="s">
        <v>1111</v>
      </c>
      <c r="E173" s="60">
        <v>44371</v>
      </c>
      <c r="F173" s="58">
        <f>14.3</f>
        <v>14.3</v>
      </c>
      <c r="G173" s="12" t="s">
        <v>1689</v>
      </c>
      <c r="H173" s="61">
        <f t="shared" si="2"/>
        <v>44371</v>
      </c>
    </row>
    <row r="174" spans="3:8" ht="13.5" customHeight="1" x14ac:dyDescent="0.2">
      <c r="C174" s="12" t="s">
        <v>192</v>
      </c>
      <c r="D174" s="57" t="s">
        <v>1112</v>
      </c>
      <c r="E174" s="60">
        <v>44371</v>
      </c>
      <c r="F174" s="58">
        <f>22.12</f>
        <v>22.12</v>
      </c>
      <c r="G174" s="12" t="s">
        <v>1689</v>
      </c>
      <c r="H174" s="61">
        <f t="shared" si="2"/>
        <v>44371</v>
      </c>
    </row>
    <row r="175" spans="3:8" ht="13.5" customHeight="1" x14ac:dyDescent="0.2">
      <c r="C175" s="12" t="s">
        <v>192</v>
      </c>
      <c r="D175" s="57" t="s">
        <v>1113</v>
      </c>
      <c r="E175" s="60">
        <v>44371</v>
      </c>
      <c r="F175" s="58">
        <f>8.19</f>
        <v>8.19</v>
      </c>
      <c r="G175" s="12" t="s">
        <v>1689</v>
      </c>
      <c r="H175" s="61">
        <f t="shared" si="2"/>
        <v>44371</v>
      </c>
    </row>
    <row r="176" spans="3:8" ht="13.5" customHeight="1" x14ac:dyDescent="0.2">
      <c r="C176" s="12" t="s">
        <v>96</v>
      </c>
      <c r="D176" s="57" t="s">
        <v>726</v>
      </c>
      <c r="E176" s="60">
        <v>44372</v>
      </c>
      <c r="F176" s="58">
        <v>1000</v>
      </c>
      <c r="G176" s="12" t="s">
        <v>1676</v>
      </c>
      <c r="H176" s="61">
        <f t="shared" si="2"/>
        <v>44372</v>
      </c>
    </row>
    <row r="177" spans="3:8" ht="13.5" customHeight="1" x14ac:dyDescent="0.2">
      <c r="C177" s="12" t="s">
        <v>82</v>
      </c>
      <c r="D177" s="12" t="s">
        <v>1004</v>
      </c>
      <c r="E177" s="60">
        <v>44372</v>
      </c>
      <c r="F177" s="58">
        <v>1658.96</v>
      </c>
      <c r="G177" s="12" t="s">
        <v>1676</v>
      </c>
      <c r="H177" s="61">
        <f t="shared" si="2"/>
        <v>44372</v>
      </c>
    </row>
    <row r="178" spans="3:8" ht="13.5" customHeight="1" x14ac:dyDescent="0.2">
      <c r="C178" s="12" t="s">
        <v>72</v>
      </c>
      <c r="D178" s="57" t="s">
        <v>1750</v>
      </c>
      <c r="E178" s="60">
        <v>44372</v>
      </c>
      <c r="F178" s="58">
        <v>1020.5</v>
      </c>
      <c r="G178" s="12" t="s">
        <v>1688</v>
      </c>
      <c r="H178" s="61">
        <f t="shared" si="2"/>
        <v>44372</v>
      </c>
    </row>
    <row r="179" spans="3:8" ht="13.5" customHeight="1" x14ac:dyDescent="0.2">
      <c r="C179" s="12" t="s">
        <v>72</v>
      </c>
      <c r="D179" s="12" t="s">
        <v>1763</v>
      </c>
      <c r="E179" s="60">
        <v>44372</v>
      </c>
      <c r="F179" s="58">
        <v>2000</v>
      </c>
      <c r="G179" s="12" t="s">
        <v>1688</v>
      </c>
      <c r="H179" s="61">
        <f t="shared" si="2"/>
        <v>44372</v>
      </c>
    </row>
    <row r="180" spans="3:8" ht="13.5" customHeight="1" x14ac:dyDescent="0.2">
      <c r="C180" s="12" t="s">
        <v>97</v>
      </c>
      <c r="D180" s="57" t="s">
        <v>1077</v>
      </c>
      <c r="E180" s="60">
        <v>44372</v>
      </c>
      <c r="F180" s="58">
        <v>403.86</v>
      </c>
      <c r="G180" s="12" t="s">
        <v>1689</v>
      </c>
      <c r="H180" s="61">
        <f t="shared" si="2"/>
        <v>44372</v>
      </c>
    </row>
    <row r="181" spans="3:8" ht="13.5" customHeight="1" x14ac:dyDescent="0.2">
      <c r="C181" s="12" t="s">
        <v>135</v>
      </c>
      <c r="D181" s="57" t="s">
        <v>1036</v>
      </c>
      <c r="E181" s="60">
        <v>44372</v>
      </c>
      <c r="F181" s="58">
        <v>1075</v>
      </c>
      <c r="G181" s="12" t="s">
        <v>1676</v>
      </c>
      <c r="H181" s="61">
        <f t="shared" si="2"/>
        <v>44372</v>
      </c>
    </row>
    <row r="182" spans="3:8" ht="13.5" customHeight="1" x14ac:dyDescent="0.2">
      <c r="C182" s="12" t="s">
        <v>170</v>
      </c>
      <c r="D182" s="57" t="s">
        <v>1117</v>
      </c>
      <c r="E182" s="60">
        <v>44372</v>
      </c>
      <c r="F182" s="58">
        <v>2637.18</v>
      </c>
      <c r="G182" s="12" t="s">
        <v>1676</v>
      </c>
      <c r="H182" s="61">
        <f t="shared" si="2"/>
        <v>44372</v>
      </c>
    </row>
    <row r="183" spans="3:8" ht="13.5" customHeight="1" x14ac:dyDescent="0.2">
      <c r="C183" s="12" t="s">
        <v>149</v>
      </c>
      <c r="D183" s="57" t="s">
        <v>1701</v>
      </c>
      <c r="E183" s="60">
        <v>44372</v>
      </c>
      <c r="F183" s="58">
        <v>76</v>
      </c>
      <c r="G183" s="12" t="s">
        <v>1689</v>
      </c>
      <c r="H183" s="61">
        <f t="shared" si="2"/>
        <v>44372</v>
      </c>
    </row>
    <row r="184" spans="3:8" ht="13.5" customHeight="1" x14ac:dyDescent="0.2">
      <c r="C184" s="12" t="s">
        <v>72</v>
      </c>
      <c r="D184" s="57" t="s">
        <v>1727</v>
      </c>
      <c r="E184" s="60">
        <v>44372</v>
      </c>
      <c r="F184" s="58">
        <v>1448.18</v>
      </c>
      <c r="G184" s="12" t="s">
        <v>1688</v>
      </c>
      <c r="H184" s="61">
        <f t="shared" si="2"/>
        <v>44372</v>
      </c>
    </row>
    <row r="185" spans="3:8" ht="13.5" customHeight="1" x14ac:dyDescent="0.2">
      <c r="C185" s="12" t="s">
        <v>96</v>
      </c>
      <c r="D185" s="57" t="s">
        <v>983</v>
      </c>
      <c r="E185" s="60">
        <v>44372</v>
      </c>
      <c r="F185" s="58">
        <v>1125.5999999999999</v>
      </c>
      <c r="G185" s="12" t="s">
        <v>1689</v>
      </c>
      <c r="H185" s="61">
        <f t="shared" si="2"/>
        <v>44372</v>
      </c>
    </row>
    <row r="186" spans="3:8" ht="13.5" customHeight="1" x14ac:dyDescent="0.2">
      <c r="C186" s="12" t="s">
        <v>83</v>
      </c>
      <c r="D186" s="57" t="s">
        <v>367</v>
      </c>
      <c r="E186" s="60">
        <v>44372</v>
      </c>
      <c r="F186" s="58">
        <v>2876</v>
      </c>
      <c r="G186" s="12" t="s">
        <v>1689</v>
      </c>
      <c r="H186" s="61">
        <f t="shared" si="2"/>
        <v>44372</v>
      </c>
    </row>
    <row r="187" spans="3:8" ht="13.5" customHeight="1" x14ac:dyDescent="0.2">
      <c r="C187" s="12" t="s">
        <v>170</v>
      </c>
      <c r="D187" s="57" t="s">
        <v>996</v>
      </c>
      <c r="E187" s="60">
        <v>44372</v>
      </c>
      <c r="F187" s="58">
        <v>110.4</v>
      </c>
      <c r="G187" s="12" t="s">
        <v>1689</v>
      </c>
      <c r="H187" s="61">
        <f t="shared" si="2"/>
        <v>44372</v>
      </c>
    </row>
    <row r="188" spans="3:8" ht="13.5" customHeight="1" x14ac:dyDescent="0.2">
      <c r="C188" s="12" t="s">
        <v>72</v>
      </c>
      <c r="D188" s="57" t="s">
        <v>65</v>
      </c>
      <c r="E188" s="60">
        <v>44372</v>
      </c>
      <c r="F188" s="58">
        <v>3500</v>
      </c>
      <c r="G188" s="12" t="s">
        <v>1688</v>
      </c>
      <c r="H188" s="61">
        <f t="shared" si="2"/>
        <v>44372</v>
      </c>
    </row>
    <row r="189" spans="3:8" ht="13.5" customHeight="1" x14ac:dyDescent="0.2">
      <c r="C189" s="12" t="s">
        <v>164</v>
      </c>
      <c r="D189" s="57" t="s">
        <v>1702</v>
      </c>
      <c r="E189" s="60">
        <v>44372</v>
      </c>
      <c r="F189" s="58">
        <v>5400</v>
      </c>
      <c r="G189" s="12" t="s">
        <v>1689</v>
      </c>
      <c r="H189" s="61">
        <f t="shared" si="2"/>
        <v>44372</v>
      </c>
    </row>
    <row r="190" spans="3:8" ht="13.5" customHeight="1" x14ac:dyDescent="0.2">
      <c r="C190" s="12" t="s">
        <v>96</v>
      </c>
      <c r="D190" s="57" t="s">
        <v>298</v>
      </c>
      <c r="E190" s="60">
        <v>44372</v>
      </c>
      <c r="F190" s="58">
        <v>1350</v>
      </c>
      <c r="G190" s="12" t="s">
        <v>1689</v>
      </c>
      <c r="H190" s="61">
        <f t="shared" si="2"/>
        <v>44372</v>
      </c>
    </row>
    <row r="191" spans="3:8" ht="13.5" customHeight="1" x14ac:dyDescent="0.2">
      <c r="C191" s="12" t="s">
        <v>96</v>
      </c>
      <c r="D191" s="57" t="s">
        <v>668</v>
      </c>
      <c r="E191" s="60">
        <v>44372</v>
      </c>
      <c r="F191" s="58">
        <v>2200</v>
      </c>
      <c r="G191" s="12" t="s">
        <v>1689</v>
      </c>
      <c r="H191" s="61">
        <f t="shared" si="2"/>
        <v>44372</v>
      </c>
    </row>
    <row r="192" spans="3:8" ht="13.5" customHeight="1" x14ac:dyDescent="0.2">
      <c r="C192" s="12" t="s">
        <v>622</v>
      </c>
      <c r="D192" s="57" t="s">
        <v>1065</v>
      </c>
      <c r="E192" s="60">
        <v>44372</v>
      </c>
      <c r="F192" s="58">
        <v>2040</v>
      </c>
      <c r="G192" s="12" t="s">
        <v>1689</v>
      </c>
      <c r="H192" s="61">
        <f t="shared" si="2"/>
        <v>44372</v>
      </c>
    </row>
    <row r="193" spans="3:8" ht="13.5" customHeight="1" x14ac:dyDescent="0.2">
      <c r="C193" s="12" t="s">
        <v>83</v>
      </c>
      <c r="D193" s="57" t="s">
        <v>1703</v>
      </c>
      <c r="E193" s="60">
        <v>44372</v>
      </c>
      <c r="F193" s="58">
        <f>400+43+60+10</f>
        <v>513</v>
      </c>
      <c r="G193" s="12" t="s">
        <v>1689</v>
      </c>
      <c r="H193" s="61">
        <f t="shared" si="2"/>
        <v>44372</v>
      </c>
    </row>
    <row r="194" spans="3:8" ht="13.5" customHeight="1" x14ac:dyDescent="0.2">
      <c r="C194" s="12" t="s">
        <v>80</v>
      </c>
      <c r="D194" s="57" t="s">
        <v>236</v>
      </c>
      <c r="E194" s="60">
        <v>44372</v>
      </c>
      <c r="F194" s="58">
        <v>150</v>
      </c>
      <c r="G194" s="12" t="s">
        <v>1689</v>
      </c>
      <c r="H194" s="61">
        <f t="shared" ref="H194:H219" si="3">VLOOKUP(E194,$E$2892:$H$2947,4,FALSE)</f>
        <v>44372</v>
      </c>
    </row>
    <row r="195" spans="3:8" ht="13.5" customHeight="1" x14ac:dyDescent="0.2">
      <c r="C195" s="12" t="s">
        <v>159</v>
      </c>
      <c r="D195" s="57" t="s">
        <v>1090</v>
      </c>
      <c r="E195" s="60">
        <v>44372</v>
      </c>
      <c r="F195" s="58">
        <v>1114.47</v>
      </c>
      <c r="G195" s="12" t="s">
        <v>1689</v>
      </c>
      <c r="H195" s="61">
        <f t="shared" si="3"/>
        <v>44372</v>
      </c>
    </row>
    <row r="196" spans="3:8" ht="13.5" customHeight="1" x14ac:dyDescent="0.2">
      <c r="C196" s="12" t="s">
        <v>159</v>
      </c>
      <c r="D196" s="57" t="s">
        <v>1091</v>
      </c>
      <c r="E196" s="60">
        <v>44372</v>
      </c>
      <c r="F196" s="58">
        <v>507.98</v>
      </c>
      <c r="G196" s="12" t="s">
        <v>1689</v>
      </c>
      <c r="H196" s="61">
        <f t="shared" si="3"/>
        <v>44372</v>
      </c>
    </row>
    <row r="197" spans="3:8" ht="13.5" customHeight="1" x14ac:dyDescent="0.2">
      <c r="C197" s="12" t="s">
        <v>84</v>
      </c>
      <c r="D197" s="57" t="s">
        <v>1040</v>
      </c>
      <c r="E197" s="60">
        <v>44372</v>
      </c>
      <c r="F197" s="58">
        <v>3792</v>
      </c>
      <c r="G197" s="12" t="s">
        <v>1689</v>
      </c>
      <c r="H197" s="61">
        <f t="shared" si="3"/>
        <v>44372</v>
      </c>
    </row>
    <row r="198" spans="3:8" ht="13.5" customHeight="1" x14ac:dyDescent="0.2">
      <c r="C198" s="12" t="s">
        <v>135</v>
      </c>
      <c r="D198" s="57" t="s">
        <v>789</v>
      </c>
      <c r="E198" s="60">
        <v>44372</v>
      </c>
      <c r="F198" s="58">
        <v>2500</v>
      </c>
      <c r="G198" s="12" t="s">
        <v>1676</v>
      </c>
      <c r="H198" s="61">
        <f t="shared" si="3"/>
        <v>44372</v>
      </c>
    </row>
    <row r="199" spans="3:8" ht="13.5" customHeight="1" x14ac:dyDescent="0.2">
      <c r="C199" s="12" t="s">
        <v>164</v>
      </c>
      <c r="D199" s="57" t="s">
        <v>1032</v>
      </c>
      <c r="E199" s="60">
        <v>44373</v>
      </c>
      <c r="F199" s="58">
        <f>250+750+440+220</f>
        <v>1660</v>
      </c>
      <c r="G199" s="12" t="s">
        <v>1676</v>
      </c>
      <c r="H199" s="61">
        <f t="shared" si="3"/>
        <v>44375</v>
      </c>
    </row>
    <row r="200" spans="3:8" ht="13.5" customHeight="1" x14ac:dyDescent="0.2">
      <c r="C200" s="12" t="s">
        <v>72</v>
      </c>
      <c r="D200" s="57" t="s">
        <v>1015</v>
      </c>
      <c r="E200" s="60">
        <v>44374</v>
      </c>
      <c r="F200" s="58">
        <v>76.77</v>
      </c>
      <c r="G200" s="12" t="s">
        <v>1688</v>
      </c>
      <c r="H200" s="61">
        <f t="shared" si="3"/>
        <v>44375</v>
      </c>
    </row>
    <row r="201" spans="3:8" ht="13.5" customHeight="1" x14ac:dyDescent="0.2">
      <c r="C201" s="12" t="s">
        <v>72</v>
      </c>
      <c r="D201" s="57" t="s">
        <v>1788</v>
      </c>
      <c r="E201" s="60">
        <v>44375</v>
      </c>
      <c r="F201" s="58">
        <v>2800</v>
      </c>
      <c r="G201" s="12" t="s">
        <v>1688</v>
      </c>
      <c r="H201" s="61">
        <f t="shared" si="3"/>
        <v>44375</v>
      </c>
    </row>
    <row r="202" spans="3:8" ht="13.5" customHeight="1" x14ac:dyDescent="0.2">
      <c r="C202" s="12" t="s">
        <v>170</v>
      </c>
      <c r="D202" s="57" t="s">
        <v>1110</v>
      </c>
      <c r="E202" s="60">
        <v>44375</v>
      </c>
      <c r="F202" s="58">
        <v>1056</v>
      </c>
      <c r="G202" s="12" t="s">
        <v>1676</v>
      </c>
      <c r="H202" s="61">
        <f t="shared" si="3"/>
        <v>44375</v>
      </c>
    </row>
    <row r="203" spans="3:8" ht="13.5" customHeight="1" x14ac:dyDescent="0.2">
      <c r="C203" s="12" t="s">
        <v>96</v>
      </c>
      <c r="D203" s="57" t="s">
        <v>424</v>
      </c>
      <c r="E203" s="60">
        <v>44375</v>
      </c>
      <c r="F203" s="58">
        <v>444.18</v>
      </c>
      <c r="G203" s="12" t="s">
        <v>1676</v>
      </c>
      <c r="H203" s="61">
        <f t="shared" si="3"/>
        <v>44375</v>
      </c>
    </row>
    <row r="204" spans="3:8" ht="13.5" customHeight="1" x14ac:dyDescent="0.2">
      <c r="C204" s="12" t="s">
        <v>56</v>
      </c>
      <c r="D204" s="57" t="s">
        <v>1067</v>
      </c>
      <c r="E204" s="60">
        <v>44375</v>
      </c>
      <c r="F204" s="58">
        <v>11958</v>
      </c>
      <c r="G204" s="12" t="s">
        <v>1689</v>
      </c>
      <c r="H204" s="61">
        <f t="shared" si="3"/>
        <v>44375</v>
      </c>
    </row>
    <row r="205" spans="3:8" ht="13.5" customHeight="1" x14ac:dyDescent="0.2">
      <c r="C205" s="12" t="s">
        <v>135</v>
      </c>
      <c r="D205" s="57" t="s">
        <v>1074</v>
      </c>
      <c r="E205" s="60">
        <v>44375</v>
      </c>
      <c r="F205" s="58">
        <v>893.51</v>
      </c>
      <c r="G205" s="12" t="s">
        <v>1689</v>
      </c>
      <c r="H205" s="61">
        <f t="shared" si="3"/>
        <v>44375</v>
      </c>
    </row>
    <row r="206" spans="3:8" ht="13.5" customHeight="1" x14ac:dyDescent="0.2">
      <c r="C206" s="12" t="s">
        <v>56</v>
      </c>
      <c r="D206" s="57" t="s">
        <v>1079</v>
      </c>
      <c r="E206" s="60">
        <v>44375</v>
      </c>
      <c r="F206" s="58">
        <v>4417</v>
      </c>
      <c r="G206" s="12" t="s">
        <v>1689</v>
      </c>
      <c r="H206" s="61">
        <f t="shared" si="3"/>
        <v>44375</v>
      </c>
    </row>
    <row r="207" spans="3:8" ht="13.5" customHeight="1" x14ac:dyDescent="0.2">
      <c r="C207" s="12" t="s">
        <v>56</v>
      </c>
      <c r="D207" s="57" t="s">
        <v>1080</v>
      </c>
      <c r="E207" s="60">
        <v>44375</v>
      </c>
      <c r="F207" s="58">
        <v>1221</v>
      </c>
      <c r="G207" s="12" t="s">
        <v>1689</v>
      </c>
      <c r="H207" s="61">
        <f t="shared" si="3"/>
        <v>44375</v>
      </c>
    </row>
    <row r="208" spans="3:8" ht="13.5" customHeight="1" x14ac:dyDescent="0.2">
      <c r="C208" s="12" t="s">
        <v>164</v>
      </c>
      <c r="D208" s="57" t="s">
        <v>595</v>
      </c>
      <c r="E208" s="60">
        <v>44375</v>
      </c>
      <c r="F208" s="58">
        <v>70</v>
      </c>
      <c r="G208" s="12" t="s">
        <v>1689</v>
      </c>
      <c r="H208" s="61">
        <f t="shared" si="3"/>
        <v>44375</v>
      </c>
    </row>
    <row r="209" spans="3:8" ht="13.5" customHeight="1" x14ac:dyDescent="0.2">
      <c r="C209" s="12" t="s">
        <v>80</v>
      </c>
      <c r="D209" s="57" t="s">
        <v>1743</v>
      </c>
      <c r="E209" s="60">
        <v>44376</v>
      </c>
      <c r="F209" s="58">
        <f>135+100</f>
        <v>235</v>
      </c>
      <c r="G209" s="12" t="s">
        <v>1688</v>
      </c>
      <c r="H209" s="61">
        <f t="shared" si="3"/>
        <v>44376</v>
      </c>
    </row>
    <row r="210" spans="3:8" ht="13.5" customHeight="1" x14ac:dyDescent="0.2">
      <c r="C210" s="12" t="s">
        <v>192</v>
      </c>
      <c r="D210" s="57" t="s">
        <v>1109</v>
      </c>
      <c r="E210" s="60">
        <v>44376</v>
      </c>
      <c r="F210" s="58">
        <f>443.28</f>
        <v>443.28</v>
      </c>
      <c r="G210" s="12" t="s">
        <v>1689</v>
      </c>
      <c r="H210" s="61">
        <f t="shared" si="3"/>
        <v>44376</v>
      </c>
    </row>
    <row r="211" spans="3:8" ht="13.5" customHeight="1" x14ac:dyDescent="0.2">
      <c r="C211" s="12" t="s">
        <v>75</v>
      </c>
      <c r="D211" s="57" t="s">
        <v>1029</v>
      </c>
      <c r="E211" s="60">
        <v>44376</v>
      </c>
      <c r="F211" s="58">
        <v>2500</v>
      </c>
      <c r="G211" s="12" t="s">
        <v>1689</v>
      </c>
      <c r="H211" s="61">
        <f t="shared" si="3"/>
        <v>44376</v>
      </c>
    </row>
    <row r="212" spans="3:8" ht="13.5" customHeight="1" x14ac:dyDescent="0.2">
      <c r="C212" s="12" t="s">
        <v>170</v>
      </c>
      <c r="D212" s="57" t="s">
        <v>1025</v>
      </c>
      <c r="E212" s="60">
        <v>44376</v>
      </c>
      <c r="F212" s="58">
        <v>2500</v>
      </c>
      <c r="G212" s="12" t="s">
        <v>1689</v>
      </c>
      <c r="H212" s="61">
        <f t="shared" si="3"/>
        <v>44376</v>
      </c>
    </row>
    <row r="213" spans="3:8" ht="13.5" customHeight="1" x14ac:dyDescent="0.2">
      <c r="C213" s="12" t="s">
        <v>83</v>
      </c>
      <c r="D213" s="57" t="s">
        <v>535</v>
      </c>
      <c r="E213" s="60">
        <v>44376</v>
      </c>
      <c r="F213" s="58">
        <v>232</v>
      </c>
      <c r="G213" s="12" t="s">
        <v>1689</v>
      </c>
      <c r="H213" s="61">
        <f t="shared" si="3"/>
        <v>44376</v>
      </c>
    </row>
    <row r="214" spans="3:8" ht="13.5" customHeight="1" x14ac:dyDescent="0.2">
      <c r="C214" s="12" t="s">
        <v>97</v>
      </c>
      <c r="D214" s="57" t="s">
        <v>242</v>
      </c>
      <c r="E214" s="60">
        <v>44376</v>
      </c>
      <c r="F214" s="58">
        <v>7206.83</v>
      </c>
      <c r="G214" s="12" t="s">
        <v>1676</v>
      </c>
      <c r="H214" s="61">
        <f t="shared" si="3"/>
        <v>44376</v>
      </c>
    </row>
    <row r="215" spans="3:8" ht="13.5" customHeight="1" x14ac:dyDescent="0.2">
      <c r="C215" s="12" t="s">
        <v>97</v>
      </c>
      <c r="D215" s="57" t="s">
        <v>374</v>
      </c>
      <c r="E215" s="60">
        <v>44376</v>
      </c>
      <c r="F215" s="58">
        <v>10468.86</v>
      </c>
      <c r="G215" s="12" t="s">
        <v>1689</v>
      </c>
      <c r="H215" s="61">
        <f t="shared" si="3"/>
        <v>44376</v>
      </c>
    </row>
    <row r="216" spans="3:8" ht="13.5" customHeight="1" x14ac:dyDescent="0.2">
      <c r="C216" s="12" t="s">
        <v>72</v>
      </c>
      <c r="D216" s="57" t="s">
        <v>777</v>
      </c>
      <c r="E216" s="60">
        <v>44377</v>
      </c>
      <c r="F216" s="58">
        <v>239.16</v>
      </c>
      <c r="G216" s="12" t="s">
        <v>1689</v>
      </c>
      <c r="H216" s="61">
        <f t="shared" si="3"/>
        <v>44377</v>
      </c>
    </row>
    <row r="217" spans="3:8" ht="13.5" customHeight="1" x14ac:dyDescent="0.2">
      <c r="C217" s="12" t="s">
        <v>192</v>
      </c>
      <c r="D217" s="57" t="s">
        <v>1107</v>
      </c>
      <c r="E217" s="60">
        <v>44377</v>
      </c>
      <c r="F217" s="58">
        <f>308.54</f>
        <v>308.54000000000002</v>
      </c>
      <c r="G217" s="12" t="s">
        <v>1689</v>
      </c>
      <c r="H217" s="61">
        <f t="shared" si="3"/>
        <v>44377</v>
      </c>
    </row>
    <row r="218" spans="3:8" ht="13.5" customHeight="1" x14ac:dyDescent="0.2">
      <c r="C218" s="12" t="s">
        <v>76</v>
      </c>
      <c r="D218" s="57" t="s">
        <v>1119</v>
      </c>
      <c r="E218" s="60">
        <v>44377</v>
      </c>
      <c r="F218" s="58">
        <v>900</v>
      </c>
      <c r="G218" s="12" t="s">
        <v>1689</v>
      </c>
      <c r="H218" s="61">
        <f t="shared" si="3"/>
        <v>44377</v>
      </c>
    </row>
    <row r="219" spans="3:8" ht="13.5" customHeight="1" x14ac:dyDescent="0.2">
      <c r="C219" s="12" t="s">
        <v>159</v>
      </c>
      <c r="D219" s="57" t="s">
        <v>1042</v>
      </c>
      <c r="E219" s="60">
        <v>44377</v>
      </c>
      <c r="F219" s="58">
        <v>900</v>
      </c>
      <c r="G219" s="12" t="s">
        <v>1689</v>
      </c>
      <c r="H219" s="61">
        <f t="shared" si="3"/>
        <v>44377</v>
      </c>
    </row>
    <row r="220" spans="3:8" ht="13.5" customHeight="1" x14ac:dyDescent="0.2">
      <c r="D220" s="56"/>
      <c r="E220" s="52"/>
      <c r="F220" s="55"/>
      <c r="H220" s="61"/>
    </row>
    <row r="221" spans="3:8" ht="13.5" customHeight="1" x14ac:dyDescent="0.2">
      <c r="D221" s="56"/>
      <c r="E221" s="52"/>
      <c r="F221" s="55"/>
      <c r="H221" s="61"/>
    </row>
    <row r="222" spans="3:8" ht="13.5" customHeight="1" x14ac:dyDescent="0.2">
      <c r="D222" s="56"/>
      <c r="E222" s="52"/>
      <c r="F222" s="55"/>
      <c r="H222" s="61"/>
    </row>
    <row r="223" spans="3:8" ht="13.5" customHeight="1" x14ac:dyDescent="0.2">
      <c r="D223" s="56"/>
      <c r="E223" s="52"/>
      <c r="F223" s="55"/>
      <c r="H223" s="61"/>
    </row>
    <row r="224" spans="3:8" ht="13.5" customHeight="1" x14ac:dyDescent="0.2">
      <c r="D224" s="56"/>
      <c r="E224" s="52"/>
      <c r="F224" s="55"/>
      <c r="H224" s="61"/>
    </row>
    <row r="225" spans="4:8" ht="13.5" customHeight="1" x14ac:dyDescent="0.2">
      <c r="D225" s="56"/>
      <c r="E225" s="52"/>
      <c r="F225" s="55"/>
      <c r="H225" s="61"/>
    </row>
    <row r="226" spans="4:8" ht="13.5" customHeight="1" x14ac:dyDescent="0.2">
      <c r="D226" s="56"/>
      <c r="E226" s="52"/>
      <c r="F226" s="55"/>
      <c r="H226" s="61"/>
    </row>
    <row r="227" spans="4:8" ht="13.5" customHeight="1" x14ac:dyDescent="0.2">
      <c r="D227" s="56"/>
      <c r="E227" s="52"/>
      <c r="F227" s="55"/>
      <c r="H227" s="61"/>
    </row>
    <row r="228" spans="4:8" ht="13.5" customHeight="1" x14ac:dyDescent="0.2">
      <c r="D228" s="56"/>
      <c r="E228" s="52"/>
      <c r="F228" s="55"/>
      <c r="H228" s="61"/>
    </row>
    <row r="229" spans="4:8" ht="13.5" customHeight="1" x14ac:dyDescent="0.2">
      <c r="D229" s="56"/>
      <c r="E229" s="52"/>
      <c r="F229" s="55"/>
      <c r="H229" s="61"/>
    </row>
    <row r="230" spans="4:8" ht="13.5" customHeight="1" x14ac:dyDescent="0.2">
      <c r="D230" s="56"/>
      <c r="E230" s="52"/>
      <c r="F230" s="55"/>
      <c r="H230" s="61"/>
    </row>
    <row r="231" spans="4:8" ht="13.5" customHeight="1" x14ac:dyDescent="0.2">
      <c r="D231" s="56"/>
      <c r="E231" s="52"/>
      <c r="F231" s="55"/>
      <c r="H231" s="61"/>
    </row>
    <row r="232" spans="4:8" ht="13.5" customHeight="1" x14ac:dyDescent="0.2">
      <c r="D232" s="56"/>
      <c r="E232" s="52"/>
      <c r="F232" s="55"/>
      <c r="H232" s="61"/>
    </row>
    <row r="233" spans="4:8" ht="13.5" customHeight="1" x14ac:dyDescent="0.2">
      <c r="E233" s="52"/>
      <c r="F233" s="55"/>
      <c r="H233" s="61"/>
    </row>
    <row r="234" spans="4:8" ht="13.5" customHeight="1" x14ac:dyDescent="0.2">
      <c r="D234" s="56"/>
      <c r="E234" s="52"/>
      <c r="F234" s="55"/>
      <c r="H234" s="61"/>
    </row>
    <row r="235" spans="4:8" ht="13.5" customHeight="1" x14ac:dyDescent="0.2">
      <c r="D235" s="56"/>
      <c r="E235" s="52"/>
      <c r="F235" s="55"/>
      <c r="H235" s="61"/>
    </row>
    <row r="236" spans="4:8" ht="13.5" customHeight="1" x14ac:dyDescent="0.2">
      <c r="D236" s="56"/>
      <c r="E236" s="52"/>
      <c r="F236" s="55"/>
      <c r="H236" s="61"/>
    </row>
    <row r="237" spans="4:8" ht="13.5" customHeight="1" x14ac:dyDescent="0.2">
      <c r="D237" s="56"/>
      <c r="E237" s="52"/>
      <c r="F237" s="55"/>
      <c r="H237" s="61"/>
    </row>
    <row r="238" spans="4:8" ht="13.5" customHeight="1" x14ac:dyDescent="0.2">
      <c r="D238" s="56"/>
      <c r="E238" s="52"/>
      <c r="F238" s="55"/>
      <c r="H238" s="61"/>
    </row>
    <row r="239" spans="4:8" ht="13.5" customHeight="1" x14ac:dyDescent="0.2">
      <c r="D239" s="56"/>
      <c r="E239" s="52"/>
      <c r="F239" s="55"/>
      <c r="H239" s="61"/>
    </row>
    <row r="240" spans="4:8" ht="13.5" customHeight="1" x14ac:dyDescent="0.2">
      <c r="D240" s="56"/>
      <c r="E240" s="52"/>
      <c r="F240" s="55"/>
      <c r="H240" s="61"/>
    </row>
    <row r="241" spans="4:8" ht="13.5" customHeight="1" x14ac:dyDescent="0.2">
      <c r="D241" s="56"/>
      <c r="E241" s="52"/>
      <c r="F241" s="55"/>
      <c r="H241" s="61"/>
    </row>
    <row r="242" spans="4:8" ht="13.5" customHeight="1" x14ac:dyDescent="0.2">
      <c r="D242" s="56"/>
      <c r="E242" s="52"/>
      <c r="F242" s="55"/>
      <c r="H242" s="61"/>
    </row>
    <row r="243" spans="4:8" ht="13.5" customHeight="1" x14ac:dyDescent="0.2">
      <c r="D243" s="56"/>
      <c r="E243" s="52"/>
      <c r="F243" s="55"/>
      <c r="H243" s="61"/>
    </row>
    <row r="244" spans="4:8" ht="13.5" customHeight="1" x14ac:dyDescent="0.2">
      <c r="D244" s="56"/>
      <c r="E244" s="52"/>
      <c r="F244" s="55"/>
      <c r="H244" s="61"/>
    </row>
    <row r="245" spans="4:8" ht="13.5" customHeight="1" x14ac:dyDescent="0.2">
      <c r="D245" s="56"/>
      <c r="E245" s="52"/>
      <c r="F245" s="55"/>
      <c r="H245" s="61"/>
    </row>
    <row r="246" spans="4:8" ht="13.5" customHeight="1" x14ac:dyDescent="0.2">
      <c r="D246" s="56"/>
      <c r="E246" s="52"/>
      <c r="F246" s="55"/>
      <c r="H246" s="61"/>
    </row>
    <row r="247" spans="4:8" ht="13.5" customHeight="1" x14ac:dyDescent="0.2">
      <c r="D247" s="56"/>
      <c r="E247" s="52"/>
      <c r="F247" s="41"/>
      <c r="H247" s="61"/>
    </row>
    <row r="248" spans="4:8" ht="13.5" customHeight="1" x14ac:dyDescent="0.2">
      <c r="D248" s="56"/>
      <c r="E248" s="52"/>
      <c r="F248" s="55"/>
      <c r="H248" s="61"/>
    </row>
    <row r="249" spans="4:8" ht="13.5" customHeight="1" x14ac:dyDescent="0.2">
      <c r="D249" s="56"/>
      <c r="E249" s="52"/>
      <c r="F249" s="55"/>
      <c r="H249" s="61"/>
    </row>
    <row r="250" spans="4:8" ht="13.5" customHeight="1" x14ac:dyDescent="0.2">
      <c r="D250" s="56"/>
      <c r="E250" s="52"/>
      <c r="F250" s="55"/>
      <c r="H250" s="61"/>
    </row>
    <row r="251" spans="4:8" ht="13.5" customHeight="1" x14ac:dyDescent="0.2">
      <c r="D251" s="56"/>
      <c r="E251" s="52"/>
      <c r="F251" s="55"/>
      <c r="H251" s="61"/>
    </row>
    <row r="252" spans="4:8" ht="13.5" customHeight="1" x14ac:dyDescent="0.2">
      <c r="D252" s="56"/>
      <c r="E252" s="52"/>
      <c r="F252" s="55"/>
      <c r="H252" s="61"/>
    </row>
    <row r="253" spans="4:8" ht="13.5" customHeight="1" x14ac:dyDescent="0.2">
      <c r="D253" s="56"/>
      <c r="E253" s="52"/>
      <c r="F253" s="55"/>
      <c r="H253" s="61"/>
    </row>
    <row r="254" spans="4:8" ht="13.5" customHeight="1" x14ac:dyDescent="0.2">
      <c r="D254" s="56"/>
      <c r="E254" s="52"/>
      <c r="F254" s="55"/>
      <c r="H254" s="61"/>
    </row>
    <row r="255" spans="4:8" ht="13.5" customHeight="1" x14ac:dyDescent="0.2">
      <c r="D255" s="56"/>
      <c r="E255" s="52"/>
      <c r="F255" s="55"/>
      <c r="H255" s="61"/>
    </row>
    <row r="256" spans="4:8" ht="13.5" customHeight="1" x14ac:dyDescent="0.2">
      <c r="D256" s="56"/>
      <c r="E256" s="52"/>
      <c r="F256" s="55"/>
      <c r="H256" s="61"/>
    </row>
    <row r="257" spans="3:8" ht="13.5" customHeight="1" x14ac:dyDescent="0.2">
      <c r="D257" s="56"/>
      <c r="E257" s="52"/>
      <c r="F257" s="55"/>
      <c r="H257" s="61"/>
    </row>
    <row r="258" spans="3:8" ht="13.5" customHeight="1" x14ac:dyDescent="0.2">
      <c r="D258" s="56"/>
      <c r="E258" s="52"/>
      <c r="F258" s="55"/>
      <c r="H258" s="61"/>
    </row>
    <row r="259" spans="3:8" ht="13.5" customHeight="1" x14ac:dyDescent="0.2">
      <c r="D259" s="56"/>
      <c r="E259" s="52"/>
      <c r="F259" s="55"/>
      <c r="H259" s="61"/>
    </row>
    <row r="260" spans="3:8" ht="13.5" customHeight="1" x14ac:dyDescent="0.2">
      <c r="D260" s="56"/>
      <c r="E260" s="52"/>
      <c r="F260" s="55"/>
      <c r="H260" s="61"/>
    </row>
    <row r="261" spans="3:8" ht="13.5" customHeight="1" x14ac:dyDescent="0.2">
      <c r="D261" s="56"/>
      <c r="E261" s="52"/>
      <c r="F261" s="55"/>
      <c r="H261" s="61"/>
    </row>
    <row r="262" spans="3:8" ht="13.5" customHeight="1" x14ac:dyDescent="0.2">
      <c r="D262" s="56"/>
      <c r="E262" s="52"/>
      <c r="F262" s="55"/>
      <c r="H262" s="61"/>
    </row>
    <row r="263" spans="3:8" ht="13.5" customHeight="1" x14ac:dyDescent="0.2">
      <c r="D263" s="56"/>
      <c r="E263" s="52"/>
      <c r="F263" s="55"/>
      <c r="H263" s="61"/>
    </row>
    <row r="264" spans="3:8" ht="13.5" customHeight="1" x14ac:dyDescent="0.2">
      <c r="D264" s="56"/>
      <c r="E264" s="52"/>
      <c r="F264" s="55"/>
      <c r="H264" s="61"/>
    </row>
    <row r="265" spans="3:8" ht="13.5" customHeight="1" x14ac:dyDescent="0.2">
      <c r="D265" s="56"/>
      <c r="E265" s="52"/>
      <c r="F265" s="55"/>
      <c r="H265" s="61"/>
    </row>
    <row r="266" spans="3:8" ht="13.5" customHeight="1" x14ac:dyDescent="0.2">
      <c r="D266" s="56"/>
      <c r="E266" s="52"/>
      <c r="F266" s="55"/>
      <c r="H266" s="61"/>
    </row>
    <row r="267" spans="3:8" ht="13.5" customHeight="1" x14ac:dyDescent="0.2">
      <c r="C267" s="12"/>
      <c r="D267" s="57"/>
      <c r="E267" s="60"/>
      <c r="F267" s="58"/>
      <c r="G267" s="12"/>
      <c r="H267" s="61"/>
    </row>
    <row r="268" spans="3:8" ht="13.5" customHeight="1" x14ac:dyDescent="0.2">
      <c r="D268" s="56"/>
      <c r="E268" s="52"/>
      <c r="F268" s="55"/>
      <c r="H268" s="61"/>
    </row>
    <row r="269" spans="3:8" ht="13.5" customHeight="1" x14ac:dyDescent="0.2">
      <c r="D269" s="56"/>
      <c r="E269" s="52"/>
      <c r="F269" s="55"/>
      <c r="H269" s="61"/>
    </row>
    <row r="270" spans="3:8" ht="13.5" customHeight="1" x14ac:dyDescent="0.2">
      <c r="D270" s="56"/>
      <c r="E270" s="52"/>
      <c r="F270" s="55"/>
      <c r="H270" s="61"/>
    </row>
    <row r="271" spans="3:8" ht="13.5" customHeight="1" x14ac:dyDescent="0.2">
      <c r="E271" s="52"/>
      <c r="H271" s="61"/>
    </row>
    <row r="272" spans="3:8" ht="13.5" customHeight="1" x14ac:dyDescent="0.2">
      <c r="E272" s="52"/>
      <c r="H272" s="61"/>
    </row>
    <row r="273" spans="5:8" ht="13.5" customHeight="1" x14ac:dyDescent="0.2">
      <c r="E273" s="52"/>
      <c r="H273" s="61"/>
    </row>
    <row r="274" spans="5:8" ht="13.5" customHeight="1" x14ac:dyDescent="0.2">
      <c r="E274" s="52"/>
      <c r="H274" s="61"/>
    </row>
    <row r="275" spans="5:8" ht="13.5" customHeight="1" x14ac:dyDescent="0.2">
      <c r="E275" s="52"/>
      <c r="H275" s="61"/>
    </row>
    <row r="276" spans="5:8" ht="13.5" customHeight="1" x14ac:dyDescent="0.2">
      <c r="E276" s="52"/>
      <c r="H276" s="61"/>
    </row>
    <row r="277" spans="5:8" ht="13.5" customHeight="1" x14ac:dyDescent="0.2">
      <c r="E277" s="52"/>
      <c r="H277" s="61"/>
    </row>
    <row r="278" spans="5:8" ht="13.5" customHeight="1" x14ac:dyDescent="0.2">
      <c r="E278" s="52"/>
      <c r="H278" s="61"/>
    </row>
    <row r="279" spans="5:8" ht="13.5" customHeight="1" x14ac:dyDescent="0.2">
      <c r="E279" s="52"/>
      <c r="H279" s="61"/>
    </row>
    <row r="280" spans="5:8" ht="13.5" customHeight="1" x14ac:dyDescent="0.2">
      <c r="E280" s="52"/>
      <c r="H280" s="61"/>
    </row>
    <row r="281" spans="5:8" ht="13.5" customHeight="1" x14ac:dyDescent="0.2">
      <c r="E281" s="52"/>
      <c r="H281" s="61"/>
    </row>
    <row r="282" spans="5:8" ht="13.5" customHeight="1" x14ac:dyDescent="0.2">
      <c r="E282" s="52"/>
      <c r="H282" s="61"/>
    </row>
    <row r="283" spans="5:8" ht="13.5" customHeight="1" x14ac:dyDescent="0.2">
      <c r="E283" s="52"/>
      <c r="H283" s="61"/>
    </row>
    <row r="284" spans="5:8" ht="13.5" customHeight="1" x14ac:dyDescent="0.2">
      <c r="E284" s="52"/>
      <c r="H284" s="61"/>
    </row>
    <row r="285" spans="5:8" ht="13.5" customHeight="1" x14ac:dyDescent="0.2">
      <c r="E285" s="52"/>
      <c r="H285" s="61"/>
    </row>
    <row r="286" spans="5:8" ht="13.5" customHeight="1" x14ac:dyDescent="0.2">
      <c r="E286" s="52"/>
      <c r="H286" s="61"/>
    </row>
    <row r="287" spans="5:8" ht="13.5" customHeight="1" x14ac:dyDescent="0.2">
      <c r="E287" s="52"/>
      <c r="H287" s="61"/>
    </row>
    <row r="288" spans="5:8" ht="13.5" customHeight="1" x14ac:dyDescent="0.2">
      <c r="E288" s="52"/>
      <c r="H288" s="61"/>
    </row>
    <row r="289" spans="5:8" ht="13.5" customHeight="1" x14ac:dyDescent="0.2">
      <c r="E289" s="52"/>
      <c r="H289" s="61"/>
    </row>
    <row r="290" spans="5:8" ht="13.5" customHeight="1" x14ac:dyDescent="0.2">
      <c r="E290" s="52"/>
      <c r="H290" s="61"/>
    </row>
    <row r="291" spans="5:8" ht="13.5" customHeight="1" x14ac:dyDescent="0.2">
      <c r="E291" s="52"/>
      <c r="H291" s="61"/>
    </row>
    <row r="292" spans="5:8" ht="13.5" customHeight="1" x14ac:dyDescent="0.2">
      <c r="E292" s="52"/>
      <c r="H292" s="61"/>
    </row>
    <row r="293" spans="5:8" ht="13.5" customHeight="1" x14ac:dyDescent="0.2">
      <c r="E293" s="52"/>
      <c r="H293" s="61"/>
    </row>
    <row r="294" spans="5:8" ht="13.5" customHeight="1" x14ac:dyDescent="0.2">
      <c r="E294" s="52"/>
      <c r="H294" s="61"/>
    </row>
    <row r="295" spans="5:8" ht="13.5" customHeight="1" x14ac:dyDescent="0.2">
      <c r="E295" s="52"/>
      <c r="H295" s="61"/>
    </row>
    <row r="296" spans="5:8" ht="13.5" customHeight="1" x14ac:dyDescent="0.2">
      <c r="E296" s="52"/>
      <c r="H296" s="61"/>
    </row>
    <row r="297" spans="5:8" ht="13.5" customHeight="1" x14ac:dyDescent="0.2">
      <c r="E297" s="52"/>
      <c r="H297" s="61"/>
    </row>
    <row r="298" spans="5:8" ht="13.5" customHeight="1" x14ac:dyDescent="0.2">
      <c r="E298" s="52"/>
      <c r="H298" s="61"/>
    </row>
    <row r="299" spans="5:8" ht="13.5" customHeight="1" x14ac:dyDescent="0.2">
      <c r="E299" s="52"/>
      <c r="H299" s="61"/>
    </row>
    <row r="300" spans="5:8" ht="13.5" customHeight="1" x14ac:dyDescent="0.2">
      <c r="E300" s="52"/>
      <c r="H300" s="61"/>
    </row>
    <row r="301" spans="5:8" ht="13.5" customHeight="1" x14ac:dyDescent="0.2">
      <c r="E301" s="52"/>
      <c r="H301" s="61"/>
    </row>
    <row r="302" spans="5:8" ht="13.5" customHeight="1" x14ac:dyDescent="0.2">
      <c r="E302" s="52"/>
      <c r="H302" s="61"/>
    </row>
    <row r="303" spans="5:8" ht="13.5" customHeight="1" x14ac:dyDescent="0.2">
      <c r="E303" s="52"/>
      <c r="H303" s="61"/>
    </row>
    <row r="304" spans="5:8" ht="13.5" customHeight="1" x14ac:dyDescent="0.2">
      <c r="E304" s="52"/>
      <c r="H304" s="61"/>
    </row>
    <row r="305" spans="5:8" ht="13.5" customHeight="1" x14ac:dyDescent="0.2">
      <c r="E305" s="52"/>
      <c r="H305" s="61"/>
    </row>
    <row r="306" spans="5:8" ht="13.5" customHeight="1" x14ac:dyDescent="0.2">
      <c r="E306" s="52"/>
      <c r="H306" s="61"/>
    </row>
    <row r="307" spans="5:8" ht="13.5" customHeight="1" x14ac:dyDescent="0.2">
      <c r="E307" s="52"/>
      <c r="H307" s="61"/>
    </row>
    <row r="308" spans="5:8" ht="13.5" customHeight="1" x14ac:dyDescent="0.2">
      <c r="E308" s="52"/>
      <c r="H308" s="61"/>
    </row>
    <row r="309" spans="5:8" ht="13.5" customHeight="1" x14ac:dyDescent="0.2">
      <c r="E309" s="52"/>
      <c r="H309" s="61"/>
    </row>
    <row r="310" spans="5:8" ht="13.5" customHeight="1" x14ac:dyDescent="0.2">
      <c r="E310" s="52"/>
      <c r="H310" s="61"/>
    </row>
    <row r="311" spans="5:8" ht="13.5" customHeight="1" x14ac:dyDescent="0.2">
      <c r="E311" s="52"/>
      <c r="H311" s="61"/>
    </row>
    <row r="312" spans="5:8" ht="13.5" customHeight="1" x14ac:dyDescent="0.2">
      <c r="E312" s="52"/>
      <c r="H312" s="61"/>
    </row>
    <row r="313" spans="5:8" ht="13.5" customHeight="1" x14ac:dyDescent="0.2">
      <c r="E313" s="52"/>
      <c r="H313" s="61"/>
    </row>
    <row r="314" spans="5:8" ht="13.5" customHeight="1" x14ac:dyDescent="0.2">
      <c r="E314" s="52"/>
      <c r="H314" s="61"/>
    </row>
    <row r="315" spans="5:8" ht="13.5" customHeight="1" x14ac:dyDescent="0.2">
      <c r="E315" s="52"/>
      <c r="H315" s="61"/>
    </row>
    <row r="316" spans="5:8" ht="13.5" customHeight="1" x14ac:dyDescent="0.2">
      <c r="E316" s="52"/>
      <c r="H316" s="61"/>
    </row>
    <row r="317" spans="5:8" ht="13.5" customHeight="1" x14ac:dyDescent="0.2">
      <c r="E317" s="52"/>
      <c r="H317" s="61"/>
    </row>
    <row r="318" spans="5:8" ht="13.5" customHeight="1" x14ac:dyDescent="0.2">
      <c r="E318" s="52"/>
      <c r="H318" s="61"/>
    </row>
    <row r="319" spans="5:8" ht="13.5" customHeight="1" x14ac:dyDescent="0.2">
      <c r="E319" s="52"/>
      <c r="H319" s="61"/>
    </row>
    <row r="320" spans="5:8" ht="13.5" customHeight="1" x14ac:dyDescent="0.2">
      <c r="E320" s="52"/>
      <c r="H320" s="61"/>
    </row>
    <row r="321" spans="5:8" ht="13.5" customHeight="1" x14ac:dyDescent="0.2">
      <c r="E321" s="52"/>
      <c r="H321" s="61"/>
    </row>
    <row r="322" spans="5:8" ht="13.5" customHeight="1" x14ac:dyDescent="0.2">
      <c r="E322" s="52"/>
      <c r="H322" s="61"/>
    </row>
    <row r="323" spans="5:8" ht="13.5" customHeight="1" x14ac:dyDescent="0.2">
      <c r="E323" s="52"/>
      <c r="H323" s="61"/>
    </row>
    <row r="324" spans="5:8" ht="13.5" customHeight="1" x14ac:dyDescent="0.2">
      <c r="E324" s="52"/>
      <c r="H324" s="61"/>
    </row>
    <row r="325" spans="5:8" ht="13.5" customHeight="1" x14ac:dyDescent="0.2">
      <c r="E325" s="52"/>
      <c r="H325" s="61"/>
    </row>
    <row r="326" spans="5:8" ht="13.5" customHeight="1" x14ac:dyDescent="0.2">
      <c r="E326" s="52"/>
      <c r="H326" s="61"/>
    </row>
    <row r="327" spans="5:8" ht="13.5" customHeight="1" x14ac:dyDescent="0.2">
      <c r="E327" s="52"/>
      <c r="H327" s="61"/>
    </row>
    <row r="328" spans="5:8" ht="13.5" customHeight="1" x14ac:dyDescent="0.2">
      <c r="E328" s="52"/>
      <c r="H328" s="61"/>
    </row>
    <row r="329" spans="5:8" ht="13.5" customHeight="1" x14ac:dyDescent="0.2">
      <c r="E329" s="52"/>
      <c r="H329" s="61"/>
    </row>
    <row r="330" spans="5:8" ht="13.5" customHeight="1" x14ac:dyDescent="0.2">
      <c r="E330" s="52"/>
      <c r="H330" s="61"/>
    </row>
    <row r="331" spans="5:8" ht="13.5" customHeight="1" x14ac:dyDescent="0.2">
      <c r="E331" s="52"/>
      <c r="H331" s="61"/>
    </row>
    <row r="332" spans="5:8" ht="13.5" customHeight="1" x14ac:dyDescent="0.2">
      <c r="E332" s="52"/>
      <c r="H332" s="61"/>
    </row>
    <row r="333" spans="5:8" ht="13.5" customHeight="1" x14ac:dyDescent="0.2">
      <c r="E333" s="52"/>
      <c r="H333" s="61"/>
    </row>
    <row r="334" spans="5:8" ht="13.5" customHeight="1" x14ac:dyDescent="0.2">
      <c r="E334" s="52"/>
      <c r="H334" s="61"/>
    </row>
    <row r="335" spans="5:8" ht="13.5" customHeight="1" x14ac:dyDescent="0.2">
      <c r="E335" s="52"/>
      <c r="H335" s="61"/>
    </row>
    <row r="336" spans="5:8" ht="13.5" customHeight="1" x14ac:dyDescent="0.2">
      <c r="E336" s="52"/>
      <c r="H336" s="61"/>
    </row>
    <row r="337" spans="5:8" ht="13.5" customHeight="1" x14ac:dyDescent="0.2">
      <c r="E337" s="52"/>
      <c r="H337" s="61"/>
    </row>
    <row r="338" spans="5:8" ht="13.5" customHeight="1" x14ac:dyDescent="0.2">
      <c r="E338" s="52"/>
      <c r="H338" s="61"/>
    </row>
    <row r="339" spans="5:8" ht="13.5" customHeight="1" x14ac:dyDescent="0.2">
      <c r="E339" s="52"/>
      <c r="H339" s="61"/>
    </row>
    <row r="340" spans="5:8" ht="13.5" customHeight="1" x14ac:dyDescent="0.2">
      <c r="E340" s="52"/>
      <c r="H340" s="61"/>
    </row>
    <row r="341" spans="5:8" ht="13.5" customHeight="1" x14ac:dyDescent="0.2">
      <c r="E341" s="52"/>
      <c r="H341" s="61"/>
    </row>
    <row r="342" spans="5:8" ht="13.5" customHeight="1" x14ac:dyDescent="0.2">
      <c r="E342" s="52"/>
      <c r="H342" s="61"/>
    </row>
    <row r="343" spans="5:8" ht="13.5" customHeight="1" x14ac:dyDescent="0.2">
      <c r="E343" s="52"/>
      <c r="H343" s="61"/>
    </row>
    <row r="344" spans="5:8" ht="13.5" customHeight="1" x14ac:dyDescent="0.2">
      <c r="E344" s="52"/>
      <c r="H344" s="61"/>
    </row>
    <row r="345" spans="5:8" ht="13.5" customHeight="1" x14ac:dyDescent="0.2">
      <c r="E345" s="52"/>
      <c r="H345" s="61"/>
    </row>
    <row r="346" spans="5:8" ht="13.5" customHeight="1" x14ac:dyDescent="0.2">
      <c r="E346" s="52"/>
      <c r="H346" s="61"/>
    </row>
    <row r="347" spans="5:8" ht="13.5" customHeight="1" x14ac:dyDescent="0.2">
      <c r="E347" s="52"/>
      <c r="H347" s="61"/>
    </row>
    <row r="348" spans="5:8" ht="13.5" customHeight="1" x14ac:dyDescent="0.2">
      <c r="E348" s="52"/>
      <c r="H348" s="61"/>
    </row>
    <row r="349" spans="5:8" ht="13.5" customHeight="1" x14ac:dyDescent="0.2">
      <c r="E349" s="52"/>
      <c r="H349" s="61"/>
    </row>
    <row r="350" spans="5:8" ht="13.5" customHeight="1" x14ac:dyDescent="0.2">
      <c r="E350" s="52"/>
      <c r="H350" s="61"/>
    </row>
    <row r="351" spans="5:8" ht="13.5" customHeight="1" x14ac:dyDescent="0.2">
      <c r="E351" s="52"/>
      <c r="H351" s="61"/>
    </row>
    <row r="352" spans="5:8" ht="13.5" customHeight="1" x14ac:dyDescent="0.2">
      <c r="E352" s="52"/>
      <c r="H352" s="61"/>
    </row>
    <row r="353" spans="5:8" ht="13.5" customHeight="1" x14ac:dyDescent="0.2">
      <c r="E353" s="52"/>
      <c r="H353" s="61"/>
    </row>
    <row r="354" spans="5:8" ht="13.5" customHeight="1" x14ac:dyDescent="0.2">
      <c r="E354" s="52"/>
      <c r="H354" s="61"/>
    </row>
    <row r="355" spans="5:8" ht="13.5" customHeight="1" x14ac:dyDescent="0.2">
      <c r="E355" s="52"/>
      <c r="H355" s="61"/>
    </row>
    <row r="356" spans="5:8" ht="13.5" customHeight="1" x14ac:dyDescent="0.2">
      <c r="E356" s="52"/>
      <c r="H356" s="61"/>
    </row>
    <row r="357" spans="5:8" ht="13.5" customHeight="1" x14ac:dyDescent="0.2">
      <c r="E357" s="52"/>
      <c r="H357" s="61"/>
    </row>
    <row r="358" spans="5:8" ht="13.5" customHeight="1" x14ac:dyDescent="0.2">
      <c r="E358" s="52"/>
      <c r="H358" s="61"/>
    </row>
    <row r="359" spans="5:8" ht="13.5" customHeight="1" x14ac:dyDescent="0.2">
      <c r="E359" s="52"/>
      <c r="H359" s="61"/>
    </row>
    <row r="360" spans="5:8" ht="13.5" customHeight="1" x14ac:dyDescent="0.2">
      <c r="E360" s="52"/>
      <c r="H360" s="61"/>
    </row>
    <row r="361" spans="5:8" ht="13.5" customHeight="1" x14ac:dyDescent="0.2">
      <c r="E361" s="52"/>
      <c r="H361" s="61"/>
    </row>
    <row r="362" spans="5:8" ht="13.5" customHeight="1" x14ac:dyDescent="0.2">
      <c r="E362" s="52"/>
      <c r="H362" s="61"/>
    </row>
    <row r="363" spans="5:8" ht="13.5" customHeight="1" x14ac:dyDescent="0.2">
      <c r="E363" s="52"/>
      <c r="H363" s="61"/>
    </row>
    <row r="364" spans="5:8" ht="13.5" customHeight="1" x14ac:dyDescent="0.2">
      <c r="E364" s="52"/>
      <c r="H364" s="61"/>
    </row>
    <row r="365" spans="5:8" ht="13.5" customHeight="1" x14ac:dyDescent="0.2">
      <c r="E365" s="52"/>
      <c r="H365" s="61"/>
    </row>
    <row r="366" spans="5:8" ht="13.5" customHeight="1" x14ac:dyDescent="0.2">
      <c r="E366" s="52"/>
      <c r="H366" s="61"/>
    </row>
    <row r="367" spans="5:8" ht="13.5" customHeight="1" x14ac:dyDescent="0.2">
      <c r="E367" s="52"/>
      <c r="H367" s="61"/>
    </row>
    <row r="368" spans="5:8" ht="13.5" customHeight="1" x14ac:dyDescent="0.2">
      <c r="E368" s="52"/>
      <c r="H368" s="61"/>
    </row>
    <row r="369" spans="5:8" ht="13.5" customHeight="1" x14ac:dyDescent="0.2">
      <c r="E369" s="52"/>
      <c r="H369" s="61"/>
    </row>
    <row r="370" spans="5:8" ht="13.5" customHeight="1" x14ac:dyDescent="0.2">
      <c r="E370" s="52"/>
      <c r="H370" s="61"/>
    </row>
    <row r="371" spans="5:8" ht="13.5" customHeight="1" x14ac:dyDescent="0.2">
      <c r="E371" s="52"/>
      <c r="H371" s="61"/>
    </row>
    <row r="372" spans="5:8" ht="13.5" customHeight="1" x14ac:dyDescent="0.2">
      <c r="E372" s="52"/>
      <c r="H372" s="61"/>
    </row>
    <row r="373" spans="5:8" ht="13.5" customHeight="1" x14ac:dyDescent="0.2">
      <c r="E373" s="52"/>
      <c r="H373" s="61"/>
    </row>
    <row r="374" spans="5:8" ht="13.5" customHeight="1" x14ac:dyDescent="0.2">
      <c r="E374" s="52"/>
      <c r="H374" s="61"/>
    </row>
    <row r="375" spans="5:8" ht="13.5" customHeight="1" x14ac:dyDescent="0.2">
      <c r="E375" s="52"/>
      <c r="H375" s="61"/>
    </row>
    <row r="376" spans="5:8" ht="13.5" customHeight="1" x14ac:dyDescent="0.2">
      <c r="E376" s="52"/>
      <c r="H376" s="61"/>
    </row>
    <row r="377" spans="5:8" ht="13.5" customHeight="1" x14ac:dyDescent="0.2">
      <c r="E377" s="52"/>
      <c r="H377" s="61"/>
    </row>
    <row r="378" spans="5:8" ht="13.5" customHeight="1" x14ac:dyDescent="0.2">
      <c r="E378" s="52"/>
      <c r="H378" s="61"/>
    </row>
    <row r="379" spans="5:8" ht="13.5" customHeight="1" x14ac:dyDescent="0.2">
      <c r="E379" s="52"/>
      <c r="H379" s="61"/>
    </row>
    <row r="380" spans="5:8" ht="14.25" customHeight="1" x14ac:dyDescent="0.2">
      <c r="E380" s="52"/>
      <c r="H380" s="61"/>
    </row>
    <row r="381" spans="5:8" ht="14.25" customHeight="1" x14ac:dyDescent="0.2">
      <c r="E381" s="52"/>
      <c r="H381" s="61"/>
    </row>
    <row r="382" spans="5:8" ht="14.25" customHeight="1" x14ac:dyDescent="0.2">
      <c r="E382" s="52"/>
      <c r="H382" s="61"/>
    </row>
    <row r="383" spans="5:8" ht="14.25" customHeight="1" x14ac:dyDescent="0.2">
      <c r="E383" s="52"/>
      <c r="H383" s="61"/>
    </row>
    <row r="384" spans="5:8" ht="14.25" customHeight="1" x14ac:dyDescent="0.2">
      <c r="E384" s="52"/>
      <c r="H384" s="61"/>
    </row>
    <row r="385" spans="5:8" ht="14.25" customHeight="1" x14ac:dyDescent="0.2">
      <c r="E385" s="52"/>
      <c r="H385" s="61"/>
    </row>
    <row r="386" spans="5:8" ht="14.25" customHeight="1" x14ac:dyDescent="0.2">
      <c r="E386" s="52"/>
      <c r="H386" s="61"/>
    </row>
    <row r="387" spans="5:8" ht="14.25" customHeight="1" x14ac:dyDescent="0.2">
      <c r="E387" s="52"/>
      <c r="H387" s="61"/>
    </row>
    <row r="388" spans="5:8" ht="14.25" customHeight="1" x14ac:dyDescent="0.2">
      <c r="E388" s="52"/>
      <c r="H388" s="61"/>
    </row>
    <row r="389" spans="5:8" ht="14.25" customHeight="1" x14ac:dyDescent="0.2">
      <c r="E389" s="52"/>
      <c r="H389" s="61"/>
    </row>
    <row r="390" spans="5:8" ht="14.25" customHeight="1" x14ac:dyDescent="0.2">
      <c r="E390" s="52"/>
      <c r="H390" s="61"/>
    </row>
    <row r="391" spans="5:8" ht="14.25" customHeight="1" x14ac:dyDescent="0.2">
      <c r="E391" s="52"/>
      <c r="H391" s="61"/>
    </row>
    <row r="392" spans="5:8" ht="14.25" customHeight="1" x14ac:dyDescent="0.2">
      <c r="E392" s="52"/>
      <c r="H392" s="61"/>
    </row>
    <row r="393" spans="5:8" ht="14.25" customHeight="1" x14ac:dyDescent="0.2">
      <c r="E393" s="52"/>
      <c r="H393" s="61"/>
    </row>
    <row r="394" spans="5:8" ht="14.25" customHeight="1" x14ac:dyDescent="0.2">
      <c r="E394" s="52"/>
      <c r="H394" s="61"/>
    </row>
    <row r="395" spans="5:8" ht="14.25" customHeight="1" x14ac:dyDescent="0.2">
      <c r="E395" s="52"/>
      <c r="H395" s="61"/>
    </row>
    <row r="396" spans="5:8" ht="14.25" customHeight="1" x14ac:dyDescent="0.2">
      <c r="E396" s="52"/>
      <c r="H396" s="61"/>
    </row>
    <row r="397" spans="5:8" ht="14.25" customHeight="1" x14ac:dyDescent="0.2">
      <c r="E397" s="52"/>
      <c r="H397" s="61"/>
    </row>
    <row r="398" spans="5:8" ht="14.25" customHeight="1" x14ac:dyDescent="0.2">
      <c r="E398" s="52"/>
      <c r="H398" s="61"/>
    </row>
    <row r="399" spans="5:8" ht="14.25" customHeight="1" x14ac:dyDescent="0.2">
      <c r="E399" s="52"/>
      <c r="H399" s="61"/>
    </row>
    <row r="400" spans="5:8" ht="14.25" customHeight="1" x14ac:dyDescent="0.2">
      <c r="E400" s="52"/>
      <c r="H400" s="61"/>
    </row>
    <row r="401" spans="5:8" ht="14.25" customHeight="1" x14ac:dyDescent="0.2">
      <c r="E401" s="52"/>
      <c r="H401" s="61"/>
    </row>
    <row r="402" spans="5:8" ht="14.25" customHeight="1" x14ac:dyDescent="0.2">
      <c r="E402" s="52"/>
      <c r="H402" s="61"/>
    </row>
    <row r="403" spans="5:8" ht="14.25" customHeight="1" x14ac:dyDescent="0.2">
      <c r="E403" s="52"/>
      <c r="H403" s="61"/>
    </row>
    <row r="404" spans="5:8" ht="14.25" customHeight="1" x14ac:dyDescent="0.2">
      <c r="E404" s="52"/>
      <c r="H404" s="61"/>
    </row>
    <row r="405" spans="5:8" ht="14.25" customHeight="1" x14ac:dyDescent="0.2">
      <c r="E405" s="52"/>
      <c r="H405" s="61"/>
    </row>
    <row r="406" spans="5:8" ht="14.25" customHeight="1" x14ac:dyDescent="0.2">
      <c r="E406" s="52"/>
      <c r="H406" s="61"/>
    </row>
    <row r="407" spans="5:8" ht="14.25" customHeight="1" x14ac:dyDescent="0.2">
      <c r="E407" s="52"/>
      <c r="H407" s="61"/>
    </row>
    <row r="408" spans="5:8" ht="14.25" customHeight="1" x14ac:dyDescent="0.2">
      <c r="E408" s="52"/>
      <c r="H408" s="61"/>
    </row>
    <row r="409" spans="5:8" ht="14.25" customHeight="1" x14ac:dyDescent="0.2">
      <c r="E409" s="52"/>
      <c r="H409" s="61"/>
    </row>
    <row r="410" spans="5:8" ht="14.25" customHeight="1" x14ac:dyDescent="0.2">
      <c r="E410" s="52"/>
      <c r="H410" s="61"/>
    </row>
    <row r="411" spans="5:8" ht="14.25" customHeight="1" x14ac:dyDescent="0.2">
      <c r="E411" s="52"/>
      <c r="H411" s="61"/>
    </row>
    <row r="412" spans="5:8" ht="14.25" customHeight="1" x14ac:dyDescent="0.2">
      <c r="E412" s="52"/>
      <c r="H412" s="61"/>
    </row>
    <row r="413" spans="5:8" ht="14.25" customHeight="1" x14ac:dyDescent="0.2">
      <c r="E413" s="52"/>
      <c r="H413" s="61"/>
    </row>
    <row r="414" spans="5:8" ht="14.25" customHeight="1" x14ac:dyDescent="0.2">
      <c r="E414" s="52"/>
      <c r="H414" s="61"/>
    </row>
    <row r="415" spans="5:8" ht="14.25" customHeight="1" x14ac:dyDescent="0.2">
      <c r="E415" s="52"/>
      <c r="H415" s="61"/>
    </row>
    <row r="416" spans="5:8" ht="14.25" customHeight="1" x14ac:dyDescent="0.2">
      <c r="E416" s="52"/>
      <c r="H416" s="61"/>
    </row>
    <row r="417" spans="5:8" ht="14.25" customHeight="1" x14ac:dyDescent="0.2">
      <c r="E417" s="52"/>
      <c r="H417" s="61"/>
    </row>
    <row r="418" spans="5:8" ht="14.25" customHeight="1" x14ac:dyDescent="0.2">
      <c r="E418" s="52"/>
      <c r="H418" s="61"/>
    </row>
    <row r="419" spans="5:8" ht="14.25" customHeight="1" x14ac:dyDescent="0.2">
      <c r="E419" s="52"/>
      <c r="H419" s="61"/>
    </row>
    <row r="420" spans="5:8" ht="14.25" customHeight="1" x14ac:dyDescent="0.2">
      <c r="E420" s="52"/>
      <c r="H420" s="61"/>
    </row>
    <row r="421" spans="5:8" ht="14.25" customHeight="1" x14ac:dyDescent="0.2">
      <c r="E421" s="52"/>
      <c r="H421" s="61"/>
    </row>
    <row r="422" spans="5:8" ht="14.25" customHeight="1" x14ac:dyDescent="0.2">
      <c r="E422" s="52"/>
      <c r="H422" s="61"/>
    </row>
    <row r="423" spans="5:8" ht="14.25" customHeight="1" x14ac:dyDescent="0.2">
      <c r="E423" s="52"/>
      <c r="H423" s="61"/>
    </row>
    <row r="424" spans="5:8" ht="14.25" customHeight="1" x14ac:dyDescent="0.2">
      <c r="E424" s="52"/>
      <c r="H424" s="61"/>
    </row>
    <row r="425" spans="5:8" ht="14.25" customHeight="1" x14ac:dyDescent="0.2">
      <c r="E425" s="52"/>
      <c r="H425" s="61"/>
    </row>
    <row r="426" spans="5:8" ht="14.25" customHeight="1" x14ac:dyDescent="0.2">
      <c r="E426" s="52"/>
      <c r="H426" s="61"/>
    </row>
    <row r="427" spans="5:8" ht="14.25" customHeight="1" x14ac:dyDescent="0.2">
      <c r="E427" s="52"/>
      <c r="H427" s="61"/>
    </row>
    <row r="428" spans="5:8" ht="14.25" customHeight="1" x14ac:dyDescent="0.2">
      <c r="E428" s="52"/>
      <c r="H428" s="61"/>
    </row>
    <row r="429" spans="5:8" ht="14.25" customHeight="1" x14ac:dyDescent="0.2">
      <c r="E429" s="52"/>
      <c r="H429" s="61"/>
    </row>
    <row r="430" spans="5:8" ht="14.25" customHeight="1" x14ac:dyDescent="0.2">
      <c r="E430" s="52"/>
      <c r="H430" s="61"/>
    </row>
    <row r="431" spans="5:8" ht="14.25" customHeight="1" x14ac:dyDescent="0.2">
      <c r="E431" s="52"/>
      <c r="H431" s="61"/>
    </row>
    <row r="432" spans="5:8" ht="14.25" customHeight="1" x14ac:dyDescent="0.2">
      <c r="E432" s="52"/>
      <c r="H432" s="61"/>
    </row>
    <row r="433" spans="5:8" ht="14.25" customHeight="1" x14ac:dyDescent="0.2">
      <c r="E433" s="52"/>
      <c r="H433" s="61"/>
    </row>
    <row r="434" spans="5:8" ht="14.25" customHeight="1" x14ac:dyDescent="0.2">
      <c r="E434" s="52"/>
      <c r="H434" s="61"/>
    </row>
    <row r="435" spans="5:8" ht="14.25" customHeight="1" x14ac:dyDescent="0.2">
      <c r="E435" s="52"/>
      <c r="H435" s="61"/>
    </row>
    <row r="436" spans="5:8" ht="14.25" customHeight="1" x14ac:dyDescent="0.2">
      <c r="E436" s="52"/>
      <c r="H436" s="61"/>
    </row>
    <row r="437" spans="5:8" ht="14.25" customHeight="1" x14ac:dyDescent="0.2">
      <c r="E437" s="52"/>
      <c r="H437" s="61"/>
    </row>
    <row r="438" spans="5:8" ht="14.25" customHeight="1" x14ac:dyDescent="0.2">
      <c r="E438" s="52"/>
      <c r="H438" s="61"/>
    </row>
    <row r="439" spans="5:8" ht="14.25" customHeight="1" x14ac:dyDescent="0.2">
      <c r="E439" s="52"/>
      <c r="H439" s="61"/>
    </row>
    <row r="440" spans="5:8" ht="14.25" customHeight="1" x14ac:dyDescent="0.2">
      <c r="E440" s="52"/>
      <c r="H440" s="61"/>
    </row>
    <row r="441" spans="5:8" ht="14.25" customHeight="1" x14ac:dyDescent="0.2">
      <c r="E441" s="52"/>
      <c r="H441" s="61"/>
    </row>
    <row r="442" spans="5:8" ht="14.25" customHeight="1" x14ac:dyDescent="0.2">
      <c r="E442" s="52"/>
      <c r="H442" s="61"/>
    </row>
    <row r="443" spans="5:8" ht="14.25" customHeight="1" x14ac:dyDescent="0.2">
      <c r="E443" s="52"/>
      <c r="H443" s="61"/>
    </row>
    <row r="444" spans="5:8" ht="14.25" customHeight="1" x14ac:dyDescent="0.2">
      <c r="E444" s="52"/>
      <c r="H444" s="61"/>
    </row>
    <row r="445" spans="5:8" ht="14.25" customHeight="1" x14ac:dyDescent="0.2">
      <c r="E445" s="52"/>
      <c r="H445" s="61"/>
    </row>
    <row r="446" spans="5:8" ht="14.25" customHeight="1" x14ac:dyDescent="0.2">
      <c r="E446" s="52"/>
      <c r="H446" s="61"/>
    </row>
    <row r="447" spans="5:8" ht="14.25" customHeight="1" x14ac:dyDescent="0.2">
      <c r="E447" s="52"/>
      <c r="H447" s="61"/>
    </row>
    <row r="448" spans="5:8" ht="14.25" customHeight="1" x14ac:dyDescent="0.2">
      <c r="E448" s="52"/>
      <c r="H448" s="61"/>
    </row>
    <row r="449" spans="5:8" ht="14.25" customHeight="1" x14ac:dyDescent="0.2">
      <c r="E449" s="52"/>
      <c r="H449" s="61"/>
    </row>
    <row r="450" spans="5:8" ht="14.25" customHeight="1" x14ac:dyDescent="0.2">
      <c r="E450" s="52"/>
      <c r="H450" s="61"/>
    </row>
    <row r="451" spans="5:8" ht="14.25" customHeight="1" x14ac:dyDescent="0.2">
      <c r="E451" s="52"/>
      <c r="H451" s="61"/>
    </row>
    <row r="452" spans="5:8" ht="14.25" customHeight="1" x14ac:dyDescent="0.2">
      <c r="E452" s="52"/>
      <c r="H452" s="61"/>
    </row>
    <row r="453" spans="5:8" ht="14.25" customHeight="1" x14ac:dyDescent="0.2">
      <c r="E453" s="52"/>
      <c r="H453" s="61"/>
    </row>
    <row r="454" spans="5:8" ht="14.25" customHeight="1" x14ac:dyDescent="0.2">
      <c r="E454" s="52"/>
      <c r="H454" s="61"/>
    </row>
    <row r="455" spans="5:8" ht="14.25" customHeight="1" x14ac:dyDescent="0.2">
      <c r="E455" s="52"/>
      <c r="H455" s="61"/>
    </row>
    <row r="456" spans="5:8" ht="14.25" customHeight="1" x14ac:dyDescent="0.2">
      <c r="E456" s="52"/>
      <c r="H456" s="61"/>
    </row>
    <row r="457" spans="5:8" ht="14.25" customHeight="1" x14ac:dyDescent="0.2">
      <c r="E457" s="52"/>
      <c r="H457" s="61"/>
    </row>
    <row r="458" spans="5:8" ht="14.25" customHeight="1" x14ac:dyDescent="0.2">
      <c r="E458" s="52"/>
      <c r="H458" s="61"/>
    </row>
    <row r="459" spans="5:8" ht="14.25" customHeight="1" x14ac:dyDescent="0.2">
      <c r="E459" s="52"/>
      <c r="H459" s="61"/>
    </row>
    <row r="460" spans="5:8" ht="14.25" customHeight="1" x14ac:dyDescent="0.2">
      <c r="E460" s="52"/>
      <c r="H460" s="61"/>
    </row>
    <row r="461" spans="5:8" ht="14.25" customHeight="1" x14ac:dyDescent="0.2">
      <c r="E461" s="52"/>
      <c r="H461" s="61"/>
    </row>
    <row r="462" spans="5:8" ht="14.25" customHeight="1" x14ac:dyDescent="0.2">
      <c r="E462" s="52"/>
      <c r="H462" s="61"/>
    </row>
    <row r="463" spans="5:8" ht="14.25" customHeight="1" x14ac:dyDescent="0.2">
      <c r="E463" s="52"/>
      <c r="H463" s="61"/>
    </row>
    <row r="464" spans="5:8" ht="14.25" customHeight="1" x14ac:dyDescent="0.2">
      <c r="E464" s="52"/>
      <c r="H464" s="61"/>
    </row>
    <row r="465" spans="5:8" ht="14.25" customHeight="1" x14ac:dyDescent="0.2">
      <c r="E465" s="52"/>
      <c r="H465" s="61"/>
    </row>
    <row r="466" spans="5:8" ht="14.25" customHeight="1" x14ac:dyDescent="0.2">
      <c r="E466" s="52"/>
      <c r="H466" s="61"/>
    </row>
    <row r="467" spans="5:8" ht="14.25" customHeight="1" x14ac:dyDescent="0.2">
      <c r="E467" s="52"/>
      <c r="H467" s="61"/>
    </row>
    <row r="468" spans="5:8" ht="14.25" customHeight="1" x14ac:dyDescent="0.2">
      <c r="E468" s="52"/>
      <c r="H468" s="61"/>
    </row>
    <row r="469" spans="5:8" ht="14.25" customHeight="1" x14ac:dyDescent="0.2">
      <c r="E469" s="52"/>
      <c r="H469" s="61"/>
    </row>
    <row r="470" spans="5:8" ht="14.25" customHeight="1" x14ac:dyDescent="0.2">
      <c r="E470" s="52"/>
      <c r="H470" s="61"/>
    </row>
    <row r="471" spans="5:8" ht="14.25" customHeight="1" x14ac:dyDescent="0.2">
      <c r="E471" s="52"/>
      <c r="H471" s="61"/>
    </row>
    <row r="472" spans="5:8" ht="14.25" customHeight="1" x14ac:dyDescent="0.2">
      <c r="E472" s="52"/>
      <c r="H472" s="61"/>
    </row>
    <row r="473" spans="5:8" ht="14.25" customHeight="1" x14ac:dyDescent="0.2">
      <c r="E473" s="52"/>
      <c r="H473" s="61"/>
    </row>
    <row r="474" spans="5:8" ht="14.25" customHeight="1" x14ac:dyDescent="0.2">
      <c r="E474" s="52"/>
      <c r="H474" s="61"/>
    </row>
    <row r="475" spans="5:8" ht="14.25" customHeight="1" x14ac:dyDescent="0.2">
      <c r="E475" s="52"/>
      <c r="H475" s="61"/>
    </row>
    <row r="476" spans="5:8" ht="14.25" customHeight="1" x14ac:dyDescent="0.2">
      <c r="E476" s="52"/>
      <c r="H476" s="61"/>
    </row>
    <row r="477" spans="5:8" ht="14.25" customHeight="1" x14ac:dyDescent="0.2">
      <c r="E477" s="52"/>
      <c r="H477" s="61"/>
    </row>
    <row r="478" spans="5:8" ht="14.25" customHeight="1" x14ac:dyDescent="0.2">
      <c r="E478" s="52"/>
      <c r="H478" s="61"/>
    </row>
    <row r="479" spans="5:8" ht="14.25" customHeight="1" x14ac:dyDescent="0.2">
      <c r="E479" s="52"/>
      <c r="H479" s="61"/>
    </row>
    <row r="480" spans="5:8" ht="14.25" customHeight="1" x14ac:dyDescent="0.2">
      <c r="E480" s="52"/>
      <c r="H480" s="61"/>
    </row>
    <row r="481" spans="5:8" ht="14.25" customHeight="1" x14ac:dyDescent="0.2">
      <c r="E481" s="52"/>
      <c r="H481" s="61"/>
    </row>
    <row r="482" spans="5:8" ht="14.25" customHeight="1" x14ac:dyDescent="0.2">
      <c r="E482" s="52"/>
      <c r="H482" s="61"/>
    </row>
    <row r="483" spans="5:8" ht="14.25" customHeight="1" x14ac:dyDescent="0.2">
      <c r="E483" s="52"/>
      <c r="H483" s="61"/>
    </row>
    <row r="484" spans="5:8" ht="14.25" customHeight="1" x14ac:dyDescent="0.2">
      <c r="E484" s="52"/>
      <c r="H484" s="61"/>
    </row>
    <row r="485" spans="5:8" ht="14.25" customHeight="1" x14ac:dyDescent="0.2">
      <c r="E485" s="52"/>
      <c r="H485" s="61"/>
    </row>
    <row r="486" spans="5:8" ht="14.25" customHeight="1" x14ac:dyDescent="0.2">
      <c r="E486" s="52"/>
      <c r="H486" s="61"/>
    </row>
    <row r="487" spans="5:8" ht="14.25" customHeight="1" x14ac:dyDescent="0.2">
      <c r="E487" s="52"/>
      <c r="H487" s="61"/>
    </row>
    <row r="488" spans="5:8" ht="14.25" customHeight="1" x14ac:dyDescent="0.2">
      <c r="E488" s="52"/>
      <c r="H488" s="61"/>
    </row>
    <row r="489" spans="5:8" ht="14.25" customHeight="1" x14ac:dyDescent="0.2">
      <c r="E489" s="52"/>
      <c r="H489" s="61"/>
    </row>
    <row r="490" spans="5:8" ht="14.25" customHeight="1" x14ac:dyDescent="0.2">
      <c r="E490" s="52"/>
      <c r="H490" s="61"/>
    </row>
    <row r="491" spans="5:8" ht="14.25" customHeight="1" x14ac:dyDescent="0.2">
      <c r="E491" s="52"/>
      <c r="H491" s="61"/>
    </row>
    <row r="492" spans="5:8" ht="14.25" customHeight="1" x14ac:dyDescent="0.2">
      <c r="E492" s="52"/>
      <c r="H492" s="61"/>
    </row>
    <row r="493" spans="5:8" ht="14.25" customHeight="1" x14ac:dyDescent="0.2">
      <c r="E493" s="52"/>
      <c r="H493" s="61"/>
    </row>
    <row r="494" spans="5:8" ht="14.25" customHeight="1" x14ac:dyDescent="0.2">
      <c r="E494" s="52"/>
      <c r="H494" s="61"/>
    </row>
    <row r="495" spans="5:8" ht="14.25" customHeight="1" x14ac:dyDescent="0.2">
      <c r="E495" s="52"/>
      <c r="H495" s="61"/>
    </row>
    <row r="496" spans="5:8" ht="14.25" customHeight="1" x14ac:dyDescent="0.2">
      <c r="E496" s="52"/>
      <c r="H496" s="61"/>
    </row>
    <row r="497" spans="5:8" ht="14.25" customHeight="1" x14ac:dyDescent="0.2">
      <c r="E497" s="52"/>
      <c r="H497" s="61"/>
    </row>
    <row r="498" spans="5:8" ht="14.25" customHeight="1" x14ac:dyDescent="0.2">
      <c r="E498" s="52"/>
      <c r="H498" s="61"/>
    </row>
    <row r="499" spans="5:8" ht="14.25" customHeight="1" x14ac:dyDescent="0.2">
      <c r="E499" s="52"/>
      <c r="H499" s="61"/>
    </row>
    <row r="500" spans="5:8" ht="14.25" customHeight="1" x14ac:dyDescent="0.2">
      <c r="E500" s="52"/>
      <c r="H500" s="61"/>
    </row>
    <row r="501" spans="5:8" ht="14.25" customHeight="1" x14ac:dyDescent="0.2">
      <c r="E501" s="52"/>
      <c r="H501" s="61"/>
    </row>
    <row r="502" spans="5:8" ht="14.25" customHeight="1" x14ac:dyDescent="0.2">
      <c r="E502" s="52"/>
      <c r="H502" s="61"/>
    </row>
    <row r="503" spans="5:8" ht="14.25" customHeight="1" x14ac:dyDescent="0.2">
      <c r="E503" s="52"/>
      <c r="H503" s="61"/>
    </row>
    <row r="504" spans="5:8" ht="14.25" customHeight="1" x14ac:dyDescent="0.2">
      <c r="E504" s="52"/>
      <c r="H504" s="61"/>
    </row>
    <row r="505" spans="5:8" ht="14.25" customHeight="1" x14ac:dyDescent="0.2">
      <c r="E505" s="52"/>
      <c r="H505" s="61"/>
    </row>
    <row r="506" spans="5:8" ht="14.25" customHeight="1" x14ac:dyDescent="0.2">
      <c r="E506" s="52"/>
      <c r="H506" s="61"/>
    </row>
    <row r="507" spans="5:8" ht="14.25" customHeight="1" x14ac:dyDescent="0.2">
      <c r="E507" s="52"/>
      <c r="H507" s="61"/>
    </row>
    <row r="508" spans="5:8" ht="14.25" customHeight="1" x14ac:dyDescent="0.2">
      <c r="E508" s="52"/>
      <c r="H508" s="61"/>
    </row>
    <row r="509" spans="5:8" ht="14.25" customHeight="1" x14ac:dyDescent="0.2">
      <c r="E509" s="52"/>
      <c r="H509" s="61"/>
    </row>
    <row r="510" spans="5:8" ht="14.25" customHeight="1" x14ac:dyDescent="0.2">
      <c r="E510" s="52"/>
      <c r="H510" s="61"/>
    </row>
    <row r="511" spans="5:8" ht="14.25" customHeight="1" x14ac:dyDescent="0.2">
      <c r="E511" s="52"/>
      <c r="H511" s="61"/>
    </row>
    <row r="512" spans="5:8" ht="14.25" customHeight="1" x14ac:dyDescent="0.2">
      <c r="E512" s="52"/>
      <c r="F512" s="41"/>
      <c r="H512" s="61"/>
    </row>
    <row r="513" spans="5:8" ht="14.25" customHeight="1" x14ac:dyDescent="0.2">
      <c r="E513" s="52"/>
      <c r="F513" s="41"/>
      <c r="H513" s="61"/>
    </row>
    <row r="514" spans="5:8" ht="14.25" customHeight="1" x14ac:dyDescent="0.2">
      <c r="E514" s="52"/>
      <c r="F514" s="41"/>
      <c r="H514" s="61"/>
    </row>
    <row r="515" spans="5:8" ht="14.25" customHeight="1" x14ac:dyDescent="0.2">
      <c r="E515" s="52"/>
      <c r="F515" s="41"/>
      <c r="H515" s="61"/>
    </row>
    <row r="516" spans="5:8" ht="14.25" customHeight="1" x14ac:dyDescent="0.2">
      <c r="E516" s="52"/>
      <c r="F516" s="41"/>
      <c r="H516" s="61"/>
    </row>
    <row r="517" spans="5:8" ht="14.25" customHeight="1" x14ac:dyDescent="0.2">
      <c r="E517" s="52"/>
      <c r="F517" s="41"/>
      <c r="H517" s="61"/>
    </row>
    <row r="518" spans="5:8" ht="14.25" customHeight="1" x14ac:dyDescent="0.2">
      <c r="E518" s="52"/>
      <c r="F518" s="41"/>
      <c r="H518" s="61"/>
    </row>
    <row r="519" spans="5:8" ht="14.25" customHeight="1" x14ac:dyDescent="0.2">
      <c r="E519" s="52"/>
      <c r="F519" s="41"/>
      <c r="H519" s="61"/>
    </row>
    <row r="520" spans="5:8" ht="14.25" customHeight="1" x14ac:dyDescent="0.2">
      <c r="E520" s="52"/>
      <c r="F520" s="41"/>
      <c r="H520" s="61"/>
    </row>
    <row r="521" spans="5:8" ht="14.25" customHeight="1" x14ac:dyDescent="0.2">
      <c r="E521" s="52"/>
      <c r="F521" s="41"/>
      <c r="H521" s="61"/>
    </row>
    <row r="522" spans="5:8" ht="14.25" customHeight="1" x14ac:dyDescent="0.2">
      <c r="E522" s="52"/>
      <c r="F522" s="41"/>
      <c r="H522" s="61"/>
    </row>
    <row r="523" spans="5:8" ht="14.25" customHeight="1" x14ac:dyDescent="0.2">
      <c r="E523" s="52"/>
      <c r="F523" s="41"/>
      <c r="H523" s="61"/>
    </row>
    <row r="524" spans="5:8" ht="13.5" customHeight="1" x14ac:dyDescent="0.2">
      <c r="E524" s="52"/>
      <c r="F524" s="41"/>
      <c r="H524" s="61"/>
    </row>
    <row r="525" spans="5:8" ht="13.5" customHeight="1" x14ac:dyDescent="0.2">
      <c r="E525" s="52"/>
      <c r="F525" s="41"/>
      <c r="H525" s="61"/>
    </row>
    <row r="526" spans="5:8" ht="13.5" customHeight="1" x14ac:dyDescent="0.2">
      <c r="E526" s="52"/>
      <c r="F526" s="41"/>
      <c r="H526" s="61"/>
    </row>
    <row r="527" spans="5:8" ht="13.5" customHeight="1" x14ac:dyDescent="0.2">
      <c r="E527" s="52"/>
      <c r="F527" s="41"/>
      <c r="H527" s="61"/>
    </row>
    <row r="528" spans="5:8" ht="13.5" customHeight="1" x14ac:dyDescent="0.2">
      <c r="E528" s="52"/>
      <c r="F528" s="41"/>
      <c r="H528" s="61"/>
    </row>
    <row r="529" spans="5:8" ht="13.5" customHeight="1" x14ac:dyDescent="0.2">
      <c r="E529" s="52"/>
      <c r="F529" s="41"/>
      <c r="H529" s="61"/>
    </row>
    <row r="530" spans="5:8" ht="13.5" customHeight="1" x14ac:dyDescent="0.2">
      <c r="E530" s="52"/>
      <c r="F530" s="41"/>
      <c r="H530" s="61"/>
    </row>
    <row r="531" spans="5:8" ht="13.5" customHeight="1" x14ac:dyDescent="0.2">
      <c r="E531" s="52"/>
      <c r="F531" s="41"/>
      <c r="H531" s="61"/>
    </row>
    <row r="532" spans="5:8" ht="13.5" customHeight="1" x14ac:dyDescent="0.2">
      <c r="E532" s="52"/>
      <c r="F532" s="41"/>
      <c r="H532" s="61"/>
    </row>
    <row r="533" spans="5:8" ht="13.5" customHeight="1" x14ac:dyDescent="0.2">
      <c r="E533" s="52"/>
      <c r="F533" s="41"/>
      <c r="H533" s="61"/>
    </row>
    <row r="534" spans="5:8" ht="13.5" customHeight="1" x14ac:dyDescent="0.2">
      <c r="E534" s="52"/>
      <c r="F534" s="41"/>
      <c r="H534" s="61"/>
    </row>
    <row r="535" spans="5:8" ht="13.5" customHeight="1" x14ac:dyDescent="0.2">
      <c r="E535" s="52"/>
      <c r="F535" s="41"/>
      <c r="H535" s="61"/>
    </row>
    <row r="536" spans="5:8" ht="13.5" customHeight="1" x14ac:dyDescent="0.2">
      <c r="E536" s="52"/>
      <c r="F536" s="41"/>
      <c r="H536" s="61"/>
    </row>
    <row r="537" spans="5:8" ht="13.5" customHeight="1" x14ac:dyDescent="0.2">
      <c r="E537" s="52"/>
      <c r="F537" s="41"/>
      <c r="H537" s="61"/>
    </row>
    <row r="538" spans="5:8" ht="13.5" customHeight="1" x14ac:dyDescent="0.2">
      <c r="E538" s="52"/>
      <c r="F538" s="41"/>
      <c r="H538" s="61"/>
    </row>
    <row r="539" spans="5:8" ht="13.5" customHeight="1" x14ac:dyDescent="0.2">
      <c r="E539" s="52"/>
      <c r="F539" s="41"/>
      <c r="H539" s="61"/>
    </row>
    <row r="540" spans="5:8" ht="13.5" customHeight="1" x14ac:dyDescent="0.2">
      <c r="E540" s="52"/>
      <c r="F540" s="41"/>
      <c r="H540" s="61"/>
    </row>
    <row r="541" spans="5:8" ht="13.5" customHeight="1" x14ac:dyDescent="0.2">
      <c r="E541" s="52"/>
      <c r="F541" s="41"/>
      <c r="H541" s="61"/>
    </row>
    <row r="542" spans="5:8" ht="13.5" customHeight="1" x14ac:dyDescent="0.2">
      <c r="E542" s="52"/>
      <c r="F542" s="41"/>
      <c r="H542" s="61"/>
    </row>
    <row r="543" spans="5:8" ht="13.5" customHeight="1" x14ac:dyDescent="0.2">
      <c r="E543" s="52"/>
      <c r="F543" s="41"/>
      <c r="H543" s="61"/>
    </row>
    <row r="544" spans="5:8" ht="13.5" customHeight="1" x14ac:dyDescent="0.2">
      <c r="E544" s="52"/>
      <c r="F544" s="41"/>
      <c r="H544" s="61"/>
    </row>
    <row r="545" spans="5:8" ht="13.5" customHeight="1" x14ac:dyDescent="0.2">
      <c r="E545" s="52"/>
      <c r="F545" s="41"/>
      <c r="H545" s="61"/>
    </row>
    <row r="546" spans="5:8" ht="13.5" customHeight="1" x14ac:dyDescent="0.2">
      <c r="E546" s="52"/>
      <c r="F546" s="41"/>
      <c r="H546" s="61"/>
    </row>
    <row r="547" spans="5:8" ht="13.5" customHeight="1" x14ac:dyDescent="0.2">
      <c r="E547" s="52"/>
      <c r="F547" s="41"/>
      <c r="H547" s="61"/>
    </row>
    <row r="548" spans="5:8" ht="13.5" customHeight="1" x14ac:dyDescent="0.2">
      <c r="E548" s="52"/>
      <c r="H548" s="61"/>
    </row>
    <row r="549" spans="5:8" ht="13.5" customHeight="1" x14ac:dyDescent="0.2">
      <c r="E549" s="52"/>
      <c r="H549" s="61"/>
    </row>
    <row r="550" spans="5:8" ht="13.5" customHeight="1" x14ac:dyDescent="0.2">
      <c r="E550" s="52"/>
      <c r="H550" s="61"/>
    </row>
    <row r="551" spans="5:8" ht="13.5" customHeight="1" x14ac:dyDescent="0.2">
      <c r="E551" s="52"/>
      <c r="H551" s="61"/>
    </row>
    <row r="552" spans="5:8" ht="13.5" customHeight="1" x14ac:dyDescent="0.2">
      <c r="E552" s="52"/>
      <c r="H552" s="61"/>
    </row>
    <row r="553" spans="5:8" ht="13.5" customHeight="1" x14ac:dyDescent="0.2">
      <c r="E553" s="52"/>
      <c r="H553" s="61"/>
    </row>
    <row r="554" spans="5:8" ht="13.5" customHeight="1" x14ac:dyDescent="0.2">
      <c r="E554" s="52"/>
      <c r="H554" s="61"/>
    </row>
    <row r="555" spans="5:8" ht="13.5" customHeight="1" x14ac:dyDescent="0.2">
      <c r="E555" s="52"/>
      <c r="H555" s="61"/>
    </row>
    <row r="556" spans="5:8" ht="13.5" customHeight="1" x14ac:dyDescent="0.2">
      <c r="E556" s="52"/>
      <c r="H556" s="61"/>
    </row>
    <row r="557" spans="5:8" ht="13.5" customHeight="1" x14ac:dyDescent="0.2">
      <c r="E557" s="52"/>
      <c r="H557" s="61"/>
    </row>
    <row r="558" spans="5:8" ht="13.5" customHeight="1" x14ac:dyDescent="0.2">
      <c r="E558" s="52"/>
      <c r="H558" s="61"/>
    </row>
    <row r="559" spans="5:8" ht="13.5" customHeight="1" x14ac:dyDescent="0.2">
      <c r="E559" s="52"/>
      <c r="H559" s="61"/>
    </row>
    <row r="560" spans="5:8" ht="13.5" customHeight="1" x14ac:dyDescent="0.2">
      <c r="E560" s="52"/>
      <c r="H560" s="61"/>
    </row>
    <row r="561" spans="5:8" ht="13.5" customHeight="1" x14ac:dyDescent="0.2">
      <c r="E561" s="52"/>
      <c r="H561" s="61"/>
    </row>
    <row r="562" spans="5:8" ht="13.5" customHeight="1" x14ac:dyDescent="0.2">
      <c r="E562" s="52"/>
      <c r="H562" s="61"/>
    </row>
    <row r="563" spans="5:8" ht="13.5" customHeight="1" x14ac:dyDescent="0.2">
      <c r="E563" s="52"/>
      <c r="H563" s="61"/>
    </row>
    <row r="564" spans="5:8" ht="13.5" customHeight="1" x14ac:dyDescent="0.2">
      <c r="E564" s="52"/>
      <c r="H564" s="61"/>
    </row>
    <row r="565" spans="5:8" ht="13.5" customHeight="1" x14ac:dyDescent="0.2">
      <c r="E565" s="52"/>
      <c r="H565" s="61"/>
    </row>
    <row r="566" spans="5:8" ht="13.5" customHeight="1" x14ac:dyDescent="0.2">
      <c r="E566" s="52"/>
      <c r="H566" s="61"/>
    </row>
    <row r="567" spans="5:8" ht="13.5" customHeight="1" x14ac:dyDescent="0.2">
      <c r="E567" s="52"/>
      <c r="H567" s="61"/>
    </row>
    <row r="568" spans="5:8" ht="13.5" customHeight="1" x14ac:dyDescent="0.2">
      <c r="E568" s="52"/>
      <c r="H568" s="61"/>
    </row>
    <row r="569" spans="5:8" ht="13.5" customHeight="1" x14ac:dyDescent="0.2">
      <c r="E569" s="52"/>
      <c r="H569" s="61"/>
    </row>
    <row r="570" spans="5:8" ht="13.5" customHeight="1" x14ac:dyDescent="0.2">
      <c r="E570" s="52"/>
      <c r="H570" s="61"/>
    </row>
    <row r="571" spans="5:8" ht="13.5" customHeight="1" x14ac:dyDescent="0.2">
      <c r="E571" s="52"/>
      <c r="H571" s="61"/>
    </row>
    <row r="572" spans="5:8" ht="13.5" customHeight="1" x14ac:dyDescent="0.2">
      <c r="E572" s="52"/>
      <c r="H572" s="61"/>
    </row>
    <row r="573" spans="5:8" ht="13.5" customHeight="1" x14ac:dyDescent="0.2">
      <c r="E573" s="52"/>
      <c r="H573" s="61"/>
    </row>
    <row r="574" spans="5:8" ht="13.5" customHeight="1" x14ac:dyDescent="0.2">
      <c r="E574" s="52"/>
      <c r="H574" s="61"/>
    </row>
    <row r="575" spans="5:8" ht="13.5" customHeight="1" x14ac:dyDescent="0.2">
      <c r="E575" s="52"/>
      <c r="H575" s="61"/>
    </row>
    <row r="576" spans="5:8" ht="13.5" customHeight="1" x14ac:dyDescent="0.2">
      <c r="E576" s="52"/>
      <c r="H576" s="61"/>
    </row>
    <row r="577" spans="5:8" ht="13.5" customHeight="1" x14ac:dyDescent="0.2">
      <c r="E577" s="52"/>
      <c r="H577" s="61"/>
    </row>
    <row r="578" spans="5:8" ht="13.5" customHeight="1" x14ac:dyDescent="0.2">
      <c r="E578" s="52"/>
      <c r="H578" s="61"/>
    </row>
    <row r="579" spans="5:8" ht="13.5" customHeight="1" x14ac:dyDescent="0.2">
      <c r="E579" s="52"/>
      <c r="H579" s="61"/>
    </row>
    <row r="580" spans="5:8" ht="13.5" customHeight="1" x14ac:dyDescent="0.2">
      <c r="E580" s="52"/>
      <c r="H580" s="61"/>
    </row>
    <row r="581" spans="5:8" ht="13.5" customHeight="1" x14ac:dyDescent="0.2">
      <c r="E581" s="52"/>
      <c r="H581" s="61"/>
    </row>
    <row r="582" spans="5:8" ht="13.5" customHeight="1" x14ac:dyDescent="0.2">
      <c r="E582" s="52"/>
      <c r="H582" s="61"/>
    </row>
    <row r="583" spans="5:8" ht="13.5" customHeight="1" x14ac:dyDescent="0.2">
      <c r="E583" s="52"/>
      <c r="H583" s="61"/>
    </row>
    <row r="584" spans="5:8" ht="13.5" customHeight="1" x14ac:dyDescent="0.2">
      <c r="E584" s="52"/>
      <c r="H584" s="61"/>
    </row>
    <row r="585" spans="5:8" ht="13.5" customHeight="1" x14ac:dyDescent="0.2">
      <c r="E585" s="52"/>
      <c r="H585" s="61"/>
    </row>
    <row r="586" spans="5:8" ht="13.5" customHeight="1" x14ac:dyDescent="0.2">
      <c r="E586" s="52"/>
      <c r="H586" s="61"/>
    </row>
    <row r="587" spans="5:8" ht="13.5" customHeight="1" x14ac:dyDescent="0.2">
      <c r="E587" s="52"/>
      <c r="H587" s="61"/>
    </row>
    <row r="588" spans="5:8" ht="13.5" customHeight="1" x14ac:dyDescent="0.2">
      <c r="E588" s="52"/>
      <c r="H588" s="61"/>
    </row>
    <row r="589" spans="5:8" ht="13.5" customHeight="1" x14ac:dyDescent="0.2">
      <c r="E589" s="52"/>
      <c r="H589" s="61"/>
    </row>
    <row r="590" spans="5:8" ht="13.5" customHeight="1" x14ac:dyDescent="0.2">
      <c r="E590" s="52"/>
      <c r="H590" s="61"/>
    </row>
    <row r="591" spans="5:8" ht="13.5" customHeight="1" x14ac:dyDescent="0.2">
      <c r="E591" s="52"/>
      <c r="H591" s="61"/>
    </row>
    <row r="592" spans="5:8" ht="13.5" customHeight="1" x14ac:dyDescent="0.2">
      <c r="E592" s="52"/>
      <c r="H592" s="61"/>
    </row>
    <row r="593" spans="5:8" ht="13.5" customHeight="1" x14ac:dyDescent="0.2">
      <c r="E593" s="52"/>
      <c r="H593" s="61"/>
    </row>
    <row r="594" spans="5:8" ht="13.5" customHeight="1" x14ac:dyDescent="0.2">
      <c r="E594" s="52"/>
      <c r="H594" s="61"/>
    </row>
    <row r="595" spans="5:8" ht="13.5" customHeight="1" x14ac:dyDescent="0.2">
      <c r="E595" s="52"/>
      <c r="H595" s="61"/>
    </row>
    <row r="596" spans="5:8" ht="13.5" customHeight="1" x14ac:dyDescent="0.2">
      <c r="E596" s="52"/>
      <c r="H596" s="61"/>
    </row>
    <row r="597" spans="5:8" ht="13.5" customHeight="1" x14ac:dyDescent="0.2">
      <c r="E597" s="52"/>
      <c r="H597" s="61"/>
    </row>
    <row r="598" spans="5:8" ht="13.5" customHeight="1" x14ac:dyDescent="0.2">
      <c r="E598" s="52"/>
      <c r="H598" s="61"/>
    </row>
    <row r="599" spans="5:8" ht="13.5" customHeight="1" x14ac:dyDescent="0.2">
      <c r="E599" s="52"/>
      <c r="H599" s="61"/>
    </row>
    <row r="600" spans="5:8" ht="13.5" customHeight="1" x14ac:dyDescent="0.2">
      <c r="E600" s="52"/>
      <c r="H600" s="61"/>
    </row>
    <row r="601" spans="5:8" ht="13.5" customHeight="1" x14ac:dyDescent="0.2">
      <c r="E601" s="52"/>
      <c r="H601" s="61"/>
    </row>
    <row r="602" spans="5:8" ht="13.5" customHeight="1" x14ac:dyDescent="0.2">
      <c r="E602" s="52"/>
      <c r="H602" s="61"/>
    </row>
    <row r="603" spans="5:8" ht="13.5" customHeight="1" x14ac:dyDescent="0.2">
      <c r="E603" s="52"/>
      <c r="H603" s="61"/>
    </row>
    <row r="604" spans="5:8" ht="13.5" customHeight="1" x14ac:dyDescent="0.2">
      <c r="E604" s="52"/>
      <c r="H604" s="61"/>
    </row>
    <row r="605" spans="5:8" ht="13.5" customHeight="1" x14ac:dyDescent="0.2">
      <c r="E605" s="52"/>
      <c r="H605" s="61"/>
    </row>
    <row r="606" spans="5:8" ht="13.5" customHeight="1" x14ac:dyDescent="0.2">
      <c r="E606" s="52"/>
      <c r="H606" s="61"/>
    </row>
    <row r="607" spans="5:8" ht="13.5" customHeight="1" x14ac:dyDescent="0.2">
      <c r="E607" s="52"/>
      <c r="H607" s="61"/>
    </row>
    <row r="608" spans="5:8" ht="13.5" customHeight="1" x14ac:dyDescent="0.2">
      <c r="E608" s="52"/>
      <c r="H608" s="61"/>
    </row>
    <row r="609" spans="5:8" ht="13.5" customHeight="1" x14ac:dyDescent="0.2">
      <c r="E609" s="52"/>
      <c r="H609" s="61"/>
    </row>
    <row r="610" spans="5:8" ht="13.5" customHeight="1" x14ac:dyDescent="0.2">
      <c r="E610" s="52"/>
      <c r="H610" s="61"/>
    </row>
    <row r="611" spans="5:8" ht="13.5" customHeight="1" x14ac:dyDescent="0.2">
      <c r="E611" s="52"/>
      <c r="H611" s="61"/>
    </row>
    <row r="612" spans="5:8" ht="13.5" customHeight="1" x14ac:dyDescent="0.2">
      <c r="E612" s="52"/>
      <c r="H612" s="61"/>
    </row>
    <row r="613" spans="5:8" ht="13.5" customHeight="1" x14ac:dyDescent="0.2">
      <c r="E613" s="52"/>
      <c r="H613" s="61"/>
    </row>
    <row r="614" spans="5:8" ht="13.5" customHeight="1" x14ac:dyDescent="0.2">
      <c r="E614" s="52"/>
      <c r="H614" s="61"/>
    </row>
    <row r="615" spans="5:8" ht="13.5" customHeight="1" x14ac:dyDescent="0.2">
      <c r="E615" s="52"/>
      <c r="H615" s="61"/>
    </row>
    <row r="616" spans="5:8" ht="13.5" customHeight="1" x14ac:dyDescent="0.2">
      <c r="E616" s="52"/>
      <c r="H616" s="61"/>
    </row>
    <row r="617" spans="5:8" ht="13.5" customHeight="1" x14ac:dyDescent="0.2">
      <c r="E617" s="52"/>
      <c r="H617" s="61"/>
    </row>
    <row r="618" spans="5:8" ht="13.5" customHeight="1" x14ac:dyDescent="0.2">
      <c r="E618" s="52"/>
      <c r="H618" s="61"/>
    </row>
    <row r="619" spans="5:8" ht="13.5" customHeight="1" x14ac:dyDescent="0.2">
      <c r="E619" s="52"/>
      <c r="H619" s="61"/>
    </row>
    <row r="620" spans="5:8" ht="13.5" customHeight="1" x14ac:dyDescent="0.2">
      <c r="E620" s="52"/>
      <c r="H620" s="61"/>
    </row>
    <row r="621" spans="5:8" ht="13.5" customHeight="1" x14ac:dyDescent="0.2">
      <c r="E621" s="52"/>
      <c r="H621" s="61"/>
    </row>
    <row r="622" spans="5:8" ht="13.5" customHeight="1" x14ac:dyDescent="0.2">
      <c r="E622" s="52"/>
      <c r="H622" s="61"/>
    </row>
    <row r="623" spans="5:8" ht="13.5" customHeight="1" x14ac:dyDescent="0.2">
      <c r="E623" s="52"/>
      <c r="H623" s="61"/>
    </row>
    <row r="624" spans="5:8" ht="13.5" customHeight="1" x14ac:dyDescent="0.2">
      <c r="E624" s="52"/>
      <c r="H624" s="61"/>
    </row>
    <row r="625" spans="5:8" ht="13.5" customHeight="1" x14ac:dyDescent="0.2">
      <c r="E625" s="52"/>
      <c r="H625" s="61"/>
    </row>
    <row r="626" spans="5:8" ht="13.5" customHeight="1" x14ac:dyDescent="0.2">
      <c r="E626" s="52"/>
      <c r="H626" s="61"/>
    </row>
    <row r="627" spans="5:8" ht="13.5" customHeight="1" x14ac:dyDescent="0.2">
      <c r="E627" s="52"/>
      <c r="H627" s="61"/>
    </row>
    <row r="628" spans="5:8" ht="13.5" customHeight="1" x14ac:dyDescent="0.2">
      <c r="E628" s="52"/>
      <c r="H628" s="61"/>
    </row>
    <row r="629" spans="5:8" ht="13.5" customHeight="1" x14ac:dyDescent="0.2">
      <c r="E629" s="52"/>
      <c r="H629" s="61"/>
    </row>
    <row r="630" spans="5:8" ht="13.5" customHeight="1" x14ac:dyDescent="0.2">
      <c r="E630" s="52"/>
      <c r="H630" s="61"/>
    </row>
    <row r="631" spans="5:8" ht="13.5" customHeight="1" x14ac:dyDescent="0.2">
      <c r="E631" s="52"/>
      <c r="H631" s="61"/>
    </row>
    <row r="632" spans="5:8" ht="13.5" customHeight="1" x14ac:dyDescent="0.2">
      <c r="E632" s="52"/>
      <c r="H632" s="61"/>
    </row>
    <row r="633" spans="5:8" ht="13.5" customHeight="1" x14ac:dyDescent="0.2">
      <c r="E633" s="52"/>
      <c r="H633" s="61"/>
    </row>
    <row r="634" spans="5:8" ht="13.5" customHeight="1" x14ac:dyDescent="0.2">
      <c r="E634" s="52"/>
      <c r="H634" s="61"/>
    </row>
    <row r="635" spans="5:8" ht="13.5" customHeight="1" x14ac:dyDescent="0.2">
      <c r="E635" s="52"/>
      <c r="H635" s="61"/>
    </row>
    <row r="636" spans="5:8" ht="13.5" customHeight="1" x14ac:dyDescent="0.2">
      <c r="E636" s="52"/>
      <c r="H636" s="61"/>
    </row>
    <row r="637" spans="5:8" ht="13.5" customHeight="1" x14ac:dyDescent="0.2">
      <c r="E637" s="52"/>
      <c r="H637" s="61"/>
    </row>
    <row r="638" spans="5:8" ht="13.5" customHeight="1" x14ac:dyDescent="0.2">
      <c r="E638" s="52"/>
      <c r="H638" s="61"/>
    </row>
    <row r="639" spans="5:8" ht="13.5" customHeight="1" x14ac:dyDescent="0.2">
      <c r="E639" s="52"/>
      <c r="H639" s="61"/>
    </row>
    <row r="640" spans="5:8" ht="13.5" customHeight="1" x14ac:dyDescent="0.2">
      <c r="E640" s="52"/>
      <c r="H640" s="61"/>
    </row>
    <row r="641" spans="5:8" ht="13.5" customHeight="1" x14ac:dyDescent="0.2">
      <c r="E641" s="52"/>
      <c r="H641" s="61"/>
    </row>
    <row r="642" spans="5:8" ht="13.5" customHeight="1" x14ac:dyDescent="0.2">
      <c r="E642" s="52"/>
      <c r="H642" s="61"/>
    </row>
    <row r="643" spans="5:8" ht="13.5" customHeight="1" x14ac:dyDescent="0.2">
      <c r="E643" s="52"/>
      <c r="H643" s="61"/>
    </row>
    <row r="644" spans="5:8" ht="13.5" customHeight="1" x14ac:dyDescent="0.2">
      <c r="E644" s="52"/>
      <c r="H644" s="61"/>
    </row>
    <row r="645" spans="5:8" ht="13.5" customHeight="1" x14ac:dyDescent="0.2">
      <c r="E645" s="52"/>
      <c r="H645" s="61"/>
    </row>
    <row r="646" spans="5:8" ht="13.5" customHeight="1" x14ac:dyDescent="0.2">
      <c r="E646" s="52"/>
      <c r="H646" s="61"/>
    </row>
    <row r="647" spans="5:8" ht="13.5" customHeight="1" x14ac:dyDescent="0.2">
      <c r="E647" s="52"/>
      <c r="H647" s="61"/>
    </row>
    <row r="648" spans="5:8" ht="13.5" customHeight="1" x14ac:dyDescent="0.2">
      <c r="E648" s="52"/>
      <c r="H648" s="61"/>
    </row>
    <row r="649" spans="5:8" ht="13.5" customHeight="1" x14ac:dyDescent="0.2">
      <c r="E649" s="52"/>
      <c r="H649" s="61"/>
    </row>
    <row r="650" spans="5:8" ht="13.5" customHeight="1" x14ac:dyDescent="0.2">
      <c r="E650" s="52"/>
      <c r="H650" s="61"/>
    </row>
    <row r="651" spans="5:8" ht="13.5" customHeight="1" x14ac:dyDescent="0.2">
      <c r="E651" s="52"/>
      <c r="H651" s="61"/>
    </row>
    <row r="652" spans="5:8" ht="13.5" customHeight="1" x14ac:dyDescent="0.2">
      <c r="E652" s="52"/>
      <c r="H652" s="61"/>
    </row>
    <row r="653" spans="5:8" ht="13.5" customHeight="1" x14ac:dyDescent="0.2">
      <c r="E653" s="52"/>
      <c r="H653" s="61"/>
    </row>
    <row r="654" spans="5:8" ht="13.5" customHeight="1" x14ac:dyDescent="0.2">
      <c r="E654" s="52"/>
      <c r="H654" s="61"/>
    </row>
    <row r="655" spans="5:8" ht="13.5" customHeight="1" x14ac:dyDescent="0.2">
      <c r="E655" s="52"/>
      <c r="H655" s="61"/>
    </row>
    <row r="656" spans="5:8" ht="13.5" customHeight="1" x14ac:dyDescent="0.2">
      <c r="E656" s="52"/>
      <c r="H656" s="61"/>
    </row>
    <row r="657" spans="5:8" ht="13.5" customHeight="1" x14ac:dyDescent="0.2">
      <c r="E657" s="52"/>
      <c r="H657" s="61"/>
    </row>
    <row r="658" spans="5:8" ht="13.5" customHeight="1" x14ac:dyDescent="0.2">
      <c r="E658" s="52"/>
      <c r="H658" s="61"/>
    </row>
    <row r="659" spans="5:8" ht="13.5" customHeight="1" x14ac:dyDescent="0.2">
      <c r="E659" s="52"/>
      <c r="H659" s="61"/>
    </row>
    <row r="660" spans="5:8" ht="13.5" customHeight="1" x14ac:dyDescent="0.2">
      <c r="E660" s="52"/>
      <c r="H660" s="61"/>
    </row>
    <row r="661" spans="5:8" ht="13.5" customHeight="1" x14ac:dyDescent="0.2">
      <c r="E661" s="52"/>
      <c r="H661" s="61"/>
    </row>
    <row r="662" spans="5:8" ht="13.5" customHeight="1" x14ac:dyDescent="0.2">
      <c r="E662" s="52"/>
      <c r="H662" s="61"/>
    </row>
    <row r="663" spans="5:8" ht="13.5" customHeight="1" x14ac:dyDescent="0.2">
      <c r="E663" s="52"/>
      <c r="H663" s="61"/>
    </row>
    <row r="664" spans="5:8" ht="13.5" customHeight="1" x14ac:dyDescent="0.2">
      <c r="E664" s="52"/>
      <c r="H664" s="61"/>
    </row>
    <row r="665" spans="5:8" ht="13.5" customHeight="1" x14ac:dyDescent="0.2">
      <c r="E665" s="52"/>
      <c r="H665" s="61"/>
    </row>
    <row r="666" spans="5:8" ht="13.5" customHeight="1" x14ac:dyDescent="0.2">
      <c r="E666" s="52"/>
      <c r="H666" s="61"/>
    </row>
    <row r="667" spans="5:8" ht="13.5" customHeight="1" x14ac:dyDescent="0.2">
      <c r="E667" s="52"/>
      <c r="H667" s="61"/>
    </row>
    <row r="668" spans="5:8" ht="13.5" customHeight="1" x14ac:dyDescent="0.2">
      <c r="E668" s="52"/>
      <c r="H668" s="61"/>
    </row>
    <row r="669" spans="5:8" ht="13.5" customHeight="1" x14ac:dyDescent="0.2">
      <c r="E669" s="52"/>
      <c r="H669" s="61"/>
    </row>
    <row r="670" spans="5:8" ht="13.5" customHeight="1" x14ac:dyDescent="0.2">
      <c r="E670" s="52"/>
      <c r="H670" s="61"/>
    </row>
    <row r="671" spans="5:8" ht="13.5" customHeight="1" x14ac:dyDescent="0.2">
      <c r="E671" s="52"/>
      <c r="H671" s="61"/>
    </row>
    <row r="672" spans="5:8" ht="13.5" customHeight="1" x14ac:dyDescent="0.2">
      <c r="E672" s="52"/>
      <c r="H672" s="61"/>
    </row>
    <row r="673" spans="5:8" ht="13.5" customHeight="1" x14ac:dyDescent="0.2">
      <c r="E673" s="52"/>
      <c r="H673" s="61"/>
    </row>
    <row r="674" spans="5:8" ht="13.5" customHeight="1" x14ac:dyDescent="0.2">
      <c r="E674" s="52"/>
      <c r="H674" s="61"/>
    </row>
    <row r="675" spans="5:8" ht="13.5" customHeight="1" x14ac:dyDescent="0.2">
      <c r="E675" s="52"/>
      <c r="H675" s="61"/>
    </row>
    <row r="676" spans="5:8" ht="13.5" customHeight="1" x14ac:dyDescent="0.2">
      <c r="E676" s="52"/>
      <c r="H676" s="61"/>
    </row>
    <row r="677" spans="5:8" ht="13.5" customHeight="1" x14ac:dyDescent="0.2">
      <c r="E677" s="52"/>
      <c r="H677" s="61"/>
    </row>
    <row r="678" spans="5:8" ht="13.5" customHeight="1" x14ac:dyDescent="0.2">
      <c r="E678" s="52"/>
      <c r="H678" s="61"/>
    </row>
    <row r="679" spans="5:8" ht="13.5" customHeight="1" x14ac:dyDescent="0.2">
      <c r="E679" s="52"/>
      <c r="H679" s="61"/>
    </row>
    <row r="680" spans="5:8" ht="13.5" customHeight="1" x14ac:dyDescent="0.2">
      <c r="E680" s="52"/>
      <c r="H680" s="61"/>
    </row>
    <row r="681" spans="5:8" ht="13.5" customHeight="1" x14ac:dyDescent="0.2">
      <c r="E681" s="52"/>
      <c r="H681" s="61"/>
    </row>
    <row r="682" spans="5:8" ht="13.5" customHeight="1" x14ac:dyDescent="0.2">
      <c r="E682" s="52"/>
      <c r="H682" s="61"/>
    </row>
    <row r="683" spans="5:8" ht="13.5" customHeight="1" x14ac:dyDescent="0.2">
      <c r="E683" s="52"/>
      <c r="H683" s="61"/>
    </row>
    <row r="684" spans="5:8" ht="13.5" customHeight="1" x14ac:dyDescent="0.2">
      <c r="E684" s="52"/>
      <c r="H684" s="61"/>
    </row>
    <row r="685" spans="5:8" ht="13.5" customHeight="1" x14ac:dyDescent="0.2">
      <c r="E685" s="52"/>
      <c r="H685" s="61"/>
    </row>
    <row r="686" spans="5:8" ht="13.5" customHeight="1" x14ac:dyDescent="0.2">
      <c r="E686" s="52"/>
      <c r="H686" s="61"/>
    </row>
    <row r="687" spans="5:8" ht="13.5" customHeight="1" x14ac:dyDescent="0.2">
      <c r="E687" s="52"/>
      <c r="H687" s="61"/>
    </row>
    <row r="688" spans="5:8" ht="13.5" customHeight="1" x14ac:dyDescent="0.2">
      <c r="E688" s="52"/>
      <c r="H688" s="61"/>
    </row>
    <row r="689" spans="5:8" ht="13.5" customHeight="1" x14ac:dyDescent="0.2">
      <c r="E689" s="52"/>
      <c r="H689" s="61"/>
    </row>
    <row r="690" spans="5:8" ht="13.5" customHeight="1" x14ac:dyDescent="0.2">
      <c r="E690" s="52"/>
      <c r="H690" s="61"/>
    </row>
    <row r="691" spans="5:8" ht="13.5" customHeight="1" x14ac:dyDescent="0.2">
      <c r="E691" s="52"/>
      <c r="H691" s="61"/>
    </row>
    <row r="692" spans="5:8" ht="13.5" customHeight="1" x14ac:dyDescent="0.2">
      <c r="E692" s="52"/>
      <c r="H692" s="61"/>
    </row>
    <row r="693" spans="5:8" ht="13.5" customHeight="1" x14ac:dyDescent="0.2">
      <c r="E693" s="52"/>
      <c r="H693" s="61"/>
    </row>
    <row r="694" spans="5:8" ht="13.5" customHeight="1" x14ac:dyDescent="0.2">
      <c r="E694" s="52"/>
      <c r="H694" s="61"/>
    </row>
    <row r="695" spans="5:8" ht="13.5" customHeight="1" x14ac:dyDescent="0.2">
      <c r="E695" s="52"/>
      <c r="H695" s="61"/>
    </row>
    <row r="696" spans="5:8" ht="13.5" customHeight="1" x14ac:dyDescent="0.2">
      <c r="E696" s="52"/>
      <c r="H696" s="61"/>
    </row>
    <row r="697" spans="5:8" ht="13.5" customHeight="1" x14ac:dyDescent="0.2">
      <c r="E697" s="52"/>
      <c r="H697" s="61"/>
    </row>
    <row r="698" spans="5:8" ht="13.5" customHeight="1" x14ac:dyDescent="0.2">
      <c r="E698" s="52"/>
      <c r="H698" s="61"/>
    </row>
    <row r="699" spans="5:8" ht="13.5" customHeight="1" x14ac:dyDescent="0.2">
      <c r="E699" s="52"/>
      <c r="H699" s="61"/>
    </row>
    <row r="700" spans="5:8" ht="13.5" customHeight="1" x14ac:dyDescent="0.2">
      <c r="E700" s="52"/>
      <c r="H700" s="61"/>
    </row>
    <row r="701" spans="5:8" ht="13.5" customHeight="1" x14ac:dyDescent="0.2">
      <c r="E701" s="52"/>
      <c r="H701" s="61"/>
    </row>
    <row r="702" spans="5:8" ht="13.5" customHeight="1" x14ac:dyDescent="0.2">
      <c r="E702" s="52"/>
      <c r="H702" s="61"/>
    </row>
    <row r="703" spans="5:8" ht="13.5" customHeight="1" x14ac:dyDescent="0.2">
      <c r="E703" s="52"/>
      <c r="H703" s="61"/>
    </row>
    <row r="704" spans="5:8" ht="13.5" customHeight="1" x14ac:dyDescent="0.2">
      <c r="E704" s="52"/>
      <c r="H704" s="61"/>
    </row>
    <row r="705" spans="5:8" ht="13.5" customHeight="1" x14ac:dyDescent="0.2">
      <c r="E705" s="52"/>
      <c r="H705" s="61"/>
    </row>
    <row r="706" spans="5:8" ht="13.5" customHeight="1" x14ac:dyDescent="0.2">
      <c r="E706" s="52"/>
      <c r="H706" s="61"/>
    </row>
    <row r="707" spans="5:8" ht="13.5" customHeight="1" x14ac:dyDescent="0.2">
      <c r="E707" s="52"/>
      <c r="H707" s="61"/>
    </row>
    <row r="708" spans="5:8" ht="13.5" customHeight="1" x14ac:dyDescent="0.2">
      <c r="E708" s="52"/>
      <c r="H708" s="61"/>
    </row>
    <row r="709" spans="5:8" ht="13.5" customHeight="1" x14ac:dyDescent="0.2">
      <c r="E709" s="52"/>
      <c r="H709" s="61"/>
    </row>
    <row r="710" spans="5:8" ht="13.5" customHeight="1" x14ac:dyDescent="0.2">
      <c r="E710" s="52"/>
      <c r="H710" s="61"/>
    </row>
    <row r="711" spans="5:8" ht="13.5" customHeight="1" x14ac:dyDescent="0.2">
      <c r="E711" s="52"/>
      <c r="H711" s="61"/>
    </row>
    <row r="712" spans="5:8" ht="13.5" customHeight="1" x14ac:dyDescent="0.2">
      <c r="E712" s="52"/>
      <c r="H712" s="61"/>
    </row>
    <row r="713" spans="5:8" ht="13.5" customHeight="1" x14ac:dyDescent="0.2">
      <c r="E713" s="52"/>
      <c r="H713" s="61"/>
    </row>
    <row r="714" spans="5:8" ht="13.5" customHeight="1" x14ac:dyDescent="0.2">
      <c r="E714" s="52"/>
      <c r="H714" s="61"/>
    </row>
    <row r="715" spans="5:8" ht="13.5" customHeight="1" x14ac:dyDescent="0.2">
      <c r="E715" s="52"/>
      <c r="H715" s="61"/>
    </row>
    <row r="716" spans="5:8" ht="13.5" customHeight="1" x14ac:dyDescent="0.2">
      <c r="E716" s="52"/>
      <c r="H716" s="61"/>
    </row>
    <row r="717" spans="5:8" ht="13.5" customHeight="1" x14ac:dyDescent="0.2">
      <c r="E717" s="52"/>
      <c r="H717" s="61"/>
    </row>
    <row r="718" spans="5:8" ht="13.5" customHeight="1" x14ac:dyDescent="0.2">
      <c r="E718" s="52"/>
      <c r="H718" s="61"/>
    </row>
    <row r="719" spans="5:8" ht="13.5" customHeight="1" x14ac:dyDescent="0.2">
      <c r="E719" s="52"/>
      <c r="H719" s="61"/>
    </row>
    <row r="720" spans="5:8" ht="13.5" customHeight="1" x14ac:dyDescent="0.2">
      <c r="E720" s="52"/>
      <c r="H720" s="61"/>
    </row>
    <row r="721" spans="5:8" ht="13.5" customHeight="1" x14ac:dyDescent="0.2">
      <c r="E721" s="52"/>
      <c r="H721" s="61"/>
    </row>
    <row r="722" spans="5:8" ht="13.5" customHeight="1" x14ac:dyDescent="0.2">
      <c r="E722" s="52"/>
      <c r="H722" s="61"/>
    </row>
    <row r="723" spans="5:8" ht="13.5" customHeight="1" x14ac:dyDescent="0.2">
      <c r="E723" s="52"/>
      <c r="H723" s="61"/>
    </row>
    <row r="724" spans="5:8" ht="13.5" customHeight="1" x14ac:dyDescent="0.2">
      <c r="E724" s="52"/>
      <c r="H724" s="61"/>
    </row>
    <row r="725" spans="5:8" ht="13.5" customHeight="1" x14ac:dyDescent="0.2">
      <c r="E725" s="52"/>
      <c r="H725" s="61"/>
    </row>
    <row r="726" spans="5:8" ht="13.5" customHeight="1" x14ac:dyDescent="0.2">
      <c r="E726" s="52"/>
      <c r="H726" s="61"/>
    </row>
    <row r="727" spans="5:8" ht="13.5" customHeight="1" x14ac:dyDescent="0.2">
      <c r="E727" s="52"/>
      <c r="H727" s="61"/>
    </row>
    <row r="728" spans="5:8" ht="13.5" customHeight="1" x14ac:dyDescent="0.2">
      <c r="E728" s="52"/>
      <c r="H728" s="61"/>
    </row>
    <row r="729" spans="5:8" ht="13.5" customHeight="1" x14ac:dyDescent="0.2">
      <c r="E729" s="52"/>
      <c r="H729" s="61"/>
    </row>
    <row r="730" spans="5:8" ht="13.5" customHeight="1" x14ac:dyDescent="0.2">
      <c r="E730" s="52"/>
      <c r="H730" s="61"/>
    </row>
    <row r="731" spans="5:8" ht="13.5" customHeight="1" x14ac:dyDescent="0.2">
      <c r="E731" s="52"/>
      <c r="H731" s="61"/>
    </row>
    <row r="732" spans="5:8" ht="13.5" customHeight="1" x14ac:dyDescent="0.2">
      <c r="E732" s="52"/>
      <c r="H732" s="61"/>
    </row>
    <row r="733" spans="5:8" ht="13.5" customHeight="1" x14ac:dyDescent="0.2">
      <c r="E733" s="52"/>
      <c r="H733" s="61"/>
    </row>
    <row r="734" spans="5:8" ht="13.5" customHeight="1" x14ac:dyDescent="0.2">
      <c r="E734" s="52"/>
      <c r="H734" s="61"/>
    </row>
    <row r="735" spans="5:8" ht="13.5" customHeight="1" x14ac:dyDescent="0.2">
      <c r="E735" s="52"/>
      <c r="H735" s="61"/>
    </row>
    <row r="736" spans="5:8" ht="13.5" customHeight="1" x14ac:dyDescent="0.2">
      <c r="E736" s="52"/>
      <c r="H736" s="61"/>
    </row>
    <row r="737" spans="5:8" ht="13.5" customHeight="1" x14ac:dyDescent="0.2">
      <c r="E737" s="52"/>
      <c r="H737" s="61"/>
    </row>
    <row r="738" spans="5:8" ht="13.5" customHeight="1" x14ac:dyDescent="0.2">
      <c r="E738" s="52"/>
      <c r="H738" s="61"/>
    </row>
    <row r="739" spans="5:8" ht="13.5" customHeight="1" x14ac:dyDescent="0.2">
      <c r="E739" s="52"/>
      <c r="H739" s="61"/>
    </row>
    <row r="740" spans="5:8" ht="13.5" customHeight="1" x14ac:dyDescent="0.2">
      <c r="E740" s="52"/>
      <c r="H740" s="61"/>
    </row>
    <row r="741" spans="5:8" ht="13.5" customHeight="1" x14ac:dyDescent="0.2">
      <c r="E741" s="52"/>
      <c r="H741" s="61"/>
    </row>
    <row r="742" spans="5:8" ht="13.5" customHeight="1" x14ac:dyDescent="0.2">
      <c r="E742" s="52"/>
      <c r="H742" s="61"/>
    </row>
    <row r="743" spans="5:8" ht="13.5" customHeight="1" x14ac:dyDescent="0.2">
      <c r="E743" s="52"/>
      <c r="H743" s="61"/>
    </row>
    <row r="744" spans="5:8" ht="13.5" customHeight="1" x14ac:dyDescent="0.2">
      <c r="E744" s="52"/>
      <c r="H744" s="61"/>
    </row>
    <row r="745" spans="5:8" ht="13.5" customHeight="1" x14ac:dyDescent="0.2">
      <c r="E745" s="52"/>
      <c r="H745" s="61"/>
    </row>
    <row r="746" spans="5:8" ht="13.5" customHeight="1" x14ac:dyDescent="0.2">
      <c r="E746" s="52"/>
      <c r="H746" s="61"/>
    </row>
    <row r="747" spans="5:8" ht="13.5" customHeight="1" x14ac:dyDescent="0.2">
      <c r="E747" s="52"/>
      <c r="H747" s="61"/>
    </row>
    <row r="748" spans="5:8" ht="13.5" customHeight="1" x14ac:dyDescent="0.2">
      <c r="E748" s="52"/>
      <c r="H748" s="61"/>
    </row>
    <row r="749" spans="5:8" ht="13.5" customHeight="1" x14ac:dyDescent="0.2">
      <c r="E749" s="52"/>
      <c r="H749" s="61"/>
    </row>
    <row r="750" spans="5:8" ht="13.5" customHeight="1" x14ac:dyDescent="0.2">
      <c r="E750" s="52"/>
      <c r="H750" s="61"/>
    </row>
    <row r="751" spans="5:8" ht="13.5" customHeight="1" x14ac:dyDescent="0.2">
      <c r="E751" s="52"/>
      <c r="H751" s="61"/>
    </row>
    <row r="752" spans="5:8" ht="13.5" customHeight="1" x14ac:dyDescent="0.2">
      <c r="E752" s="52"/>
      <c r="H752" s="61"/>
    </row>
    <row r="753" spans="5:8" ht="13.5" customHeight="1" x14ac:dyDescent="0.2">
      <c r="E753" s="52"/>
      <c r="H753" s="61"/>
    </row>
    <row r="754" spans="5:8" ht="13.5" customHeight="1" x14ac:dyDescent="0.2">
      <c r="E754" s="52"/>
      <c r="H754" s="61"/>
    </row>
    <row r="755" spans="5:8" ht="13.5" customHeight="1" x14ac:dyDescent="0.2">
      <c r="E755" s="52"/>
      <c r="H755" s="61"/>
    </row>
    <row r="756" spans="5:8" ht="13.5" customHeight="1" x14ac:dyDescent="0.2">
      <c r="E756" s="52"/>
      <c r="H756" s="61"/>
    </row>
    <row r="757" spans="5:8" ht="13.5" customHeight="1" x14ac:dyDescent="0.2">
      <c r="E757" s="52"/>
      <c r="H757" s="61"/>
    </row>
    <row r="758" spans="5:8" ht="13.5" customHeight="1" x14ac:dyDescent="0.2">
      <c r="E758" s="52"/>
      <c r="H758" s="61"/>
    </row>
    <row r="759" spans="5:8" ht="13.5" customHeight="1" x14ac:dyDescent="0.2">
      <c r="E759" s="52"/>
      <c r="H759" s="61"/>
    </row>
    <row r="760" spans="5:8" ht="13.5" customHeight="1" x14ac:dyDescent="0.2">
      <c r="E760" s="52"/>
      <c r="H760" s="61"/>
    </row>
    <row r="761" spans="5:8" ht="13.5" customHeight="1" x14ac:dyDescent="0.2">
      <c r="E761" s="52"/>
      <c r="H761" s="61"/>
    </row>
    <row r="762" spans="5:8" ht="13.5" customHeight="1" x14ac:dyDescent="0.2">
      <c r="E762" s="52"/>
      <c r="H762" s="61"/>
    </row>
    <row r="763" spans="5:8" ht="13.5" customHeight="1" x14ac:dyDescent="0.2">
      <c r="E763" s="52"/>
      <c r="H763" s="61"/>
    </row>
    <row r="764" spans="5:8" ht="13.5" customHeight="1" x14ac:dyDescent="0.2">
      <c r="E764" s="52"/>
      <c r="H764" s="61"/>
    </row>
    <row r="765" spans="5:8" ht="13.5" customHeight="1" x14ac:dyDescent="0.2">
      <c r="E765" s="52"/>
      <c r="H765" s="61"/>
    </row>
    <row r="766" spans="5:8" ht="13.5" customHeight="1" x14ac:dyDescent="0.2">
      <c r="E766" s="52"/>
      <c r="H766" s="61"/>
    </row>
    <row r="767" spans="5:8" ht="13.5" customHeight="1" x14ac:dyDescent="0.2">
      <c r="E767" s="52"/>
      <c r="H767" s="61"/>
    </row>
    <row r="768" spans="5:8" ht="13.5" customHeight="1" x14ac:dyDescent="0.2">
      <c r="E768" s="52"/>
      <c r="H768" s="61"/>
    </row>
    <row r="769" spans="5:8" ht="13.5" customHeight="1" x14ac:dyDescent="0.2">
      <c r="E769" s="52"/>
      <c r="H769" s="61"/>
    </row>
    <row r="770" spans="5:8" ht="13.5" customHeight="1" x14ac:dyDescent="0.2">
      <c r="E770" s="52"/>
      <c r="H770" s="61"/>
    </row>
    <row r="771" spans="5:8" ht="13.5" customHeight="1" x14ac:dyDescent="0.2">
      <c r="E771" s="52"/>
      <c r="H771" s="61"/>
    </row>
    <row r="772" spans="5:8" ht="13.5" customHeight="1" x14ac:dyDescent="0.2">
      <c r="E772" s="52"/>
      <c r="H772" s="61"/>
    </row>
    <row r="773" spans="5:8" ht="13.5" customHeight="1" x14ac:dyDescent="0.2">
      <c r="E773" s="52"/>
      <c r="H773" s="61"/>
    </row>
    <row r="774" spans="5:8" ht="13.5" customHeight="1" x14ac:dyDescent="0.2">
      <c r="E774" s="52"/>
      <c r="H774" s="61"/>
    </row>
    <row r="775" spans="5:8" ht="13.5" customHeight="1" x14ac:dyDescent="0.2">
      <c r="E775" s="52"/>
      <c r="H775" s="61"/>
    </row>
    <row r="776" spans="5:8" ht="13.5" customHeight="1" x14ac:dyDescent="0.2">
      <c r="E776" s="52"/>
      <c r="H776" s="61"/>
    </row>
    <row r="777" spans="5:8" ht="13.5" customHeight="1" x14ac:dyDescent="0.2">
      <c r="E777" s="52"/>
      <c r="H777" s="61"/>
    </row>
    <row r="778" spans="5:8" ht="13.5" customHeight="1" x14ac:dyDescent="0.2">
      <c r="E778" s="52"/>
      <c r="H778" s="61"/>
    </row>
    <row r="779" spans="5:8" ht="13.5" customHeight="1" x14ac:dyDescent="0.2">
      <c r="E779" s="52"/>
      <c r="H779" s="61"/>
    </row>
    <row r="780" spans="5:8" ht="13.5" customHeight="1" x14ac:dyDescent="0.2">
      <c r="E780" s="52"/>
      <c r="H780" s="61"/>
    </row>
    <row r="781" spans="5:8" ht="13.5" customHeight="1" x14ac:dyDescent="0.2">
      <c r="E781" s="52"/>
      <c r="H781" s="61"/>
    </row>
    <row r="782" spans="5:8" ht="13.5" customHeight="1" x14ac:dyDescent="0.2">
      <c r="E782" s="52"/>
      <c r="H782" s="61"/>
    </row>
    <row r="783" spans="5:8" ht="13.5" customHeight="1" x14ac:dyDescent="0.2">
      <c r="E783" s="52"/>
      <c r="H783" s="61"/>
    </row>
    <row r="784" spans="5:8" ht="13.5" customHeight="1" x14ac:dyDescent="0.2">
      <c r="E784" s="52"/>
      <c r="H784" s="61"/>
    </row>
    <row r="785" spans="5:8" ht="13.5" customHeight="1" x14ac:dyDescent="0.2">
      <c r="E785" s="52"/>
      <c r="H785" s="61"/>
    </row>
    <row r="786" spans="5:8" ht="13.5" customHeight="1" x14ac:dyDescent="0.2">
      <c r="E786" s="52"/>
      <c r="H786" s="61"/>
    </row>
    <row r="787" spans="5:8" ht="13.5" customHeight="1" x14ac:dyDescent="0.2">
      <c r="E787" s="52"/>
      <c r="H787" s="61"/>
    </row>
    <row r="788" spans="5:8" ht="13.5" customHeight="1" x14ac:dyDescent="0.2">
      <c r="E788" s="52"/>
      <c r="H788" s="61"/>
    </row>
    <row r="789" spans="5:8" ht="13.5" customHeight="1" x14ac:dyDescent="0.2">
      <c r="E789" s="52"/>
      <c r="H789" s="61"/>
    </row>
    <row r="790" spans="5:8" ht="13.5" customHeight="1" x14ac:dyDescent="0.2">
      <c r="E790" s="52"/>
      <c r="H790" s="61"/>
    </row>
    <row r="791" spans="5:8" ht="13.5" customHeight="1" x14ac:dyDescent="0.2">
      <c r="E791" s="52"/>
      <c r="H791" s="61"/>
    </row>
    <row r="792" spans="5:8" ht="13.5" customHeight="1" x14ac:dyDescent="0.2">
      <c r="E792" s="52"/>
      <c r="H792" s="61"/>
    </row>
    <row r="793" spans="5:8" ht="13.5" customHeight="1" x14ac:dyDescent="0.2">
      <c r="E793" s="52"/>
      <c r="H793" s="61"/>
    </row>
    <row r="794" spans="5:8" ht="13.5" customHeight="1" x14ac:dyDescent="0.2">
      <c r="E794" s="52"/>
      <c r="H794" s="61"/>
    </row>
    <row r="795" spans="5:8" ht="13.5" customHeight="1" x14ac:dyDescent="0.2">
      <c r="E795" s="52"/>
      <c r="H795" s="61"/>
    </row>
    <row r="796" spans="5:8" ht="13.5" customHeight="1" x14ac:dyDescent="0.2">
      <c r="E796" s="52"/>
      <c r="H796" s="61"/>
    </row>
    <row r="797" spans="5:8" ht="13.5" customHeight="1" x14ac:dyDescent="0.2">
      <c r="E797" s="52"/>
      <c r="H797" s="61"/>
    </row>
    <row r="798" spans="5:8" ht="13.5" customHeight="1" x14ac:dyDescent="0.2">
      <c r="E798" s="52"/>
      <c r="H798" s="61"/>
    </row>
    <row r="799" spans="5:8" ht="13.5" customHeight="1" x14ac:dyDescent="0.2">
      <c r="E799" s="52"/>
      <c r="H799" s="61"/>
    </row>
    <row r="800" spans="5:8" ht="13.5" customHeight="1" x14ac:dyDescent="0.2">
      <c r="E800" s="52"/>
      <c r="H800" s="61"/>
    </row>
    <row r="801" spans="5:11" ht="13.5" customHeight="1" x14ac:dyDescent="0.2">
      <c r="E801" s="52"/>
      <c r="H801" s="61"/>
    </row>
    <row r="802" spans="5:11" ht="13.5" customHeight="1" x14ac:dyDescent="0.2">
      <c r="E802" s="52"/>
      <c r="H802" s="61"/>
    </row>
    <row r="803" spans="5:11" ht="13.5" customHeight="1" x14ac:dyDescent="0.2">
      <c r="E803" s="52"/>
      <c r="H803" s="61"/>
    </row>
    <row r="804" spans="5:11" ht="13.5" customHeight="1" x14ac:dyDescent="0.2">
      <c r="E804" s="52"/>
      <c r="H804" s="61"/>
    </row>
    <row r="805" spans="5:11" ht="13.5" customHeight="1" x14ac:dyDescent="0.2">
      <c r="E805" s="52"/>
      <c r="H805" s="61"/>
    </row>
    <row r="806" spans="5:11" ht="13.5" customHeight="1" x14ac:dyDescent="0.2">
      <c r="E806" s="52"/>
      <c r="H806" s="61"/>
    </row>
    <row r="807" spans="5:11" ht="13.5" customHeight="1" x14ac:dyDescent="0.2">
      <c r="E807" s="52"/>
      <c r="H807" s="61"/>
    </row>
    <row r="808" spans="5:11" ht="13.5" customHeight="1" x14ac:dyDescent="0.2">
      <c r="E808" s="52"/>
      <c r="H808" s="61"/>
    </row>
    <row r="809" spans="5:11" ht="13.5" customHeight="1" x14ac:dyDescent="0.2">
      <c r="E809" s="52"/>
      <c r="H809" s="61"/>
    </row>
    <row r="810" spans="5:11" ht="13.5" customHeight="1" x14ac:dyDescent="0.2">
      <c r="E810" s="52"/>
      <c r="H810" s="61"/>
    </row>
    <row r="811" spans="5:11" ht="13.5" customHeight="1" x14ac:dyDescent="0.2">
      <c r="E811" s="52"/>
      <c r="H811" s="61"/>
    </row>
    <row r="812" spans="5:11" ht="13.5" customHeight="1" x14ac:dyDescent="0.2">
      <c r="E812" s="52"/>
      <c r="H812" s="61"/>
    </row>
    <row r="813" spans="5:11" ht="13.5" customHeight="1" x14ac:dyDescent="0.2">
      <c r="E813" s="52"/>
      <c r="H813" s="61"/>
      <c r="K813"/>
    </row>
    <row r="814" spans="5:11" ht="13.5" customHeight="1" x14ac:dyDescent="0.2">
      <c r="E814" s="52"/>
      <c r="H814" s="61"/>
      <c r="K814"/>
    </row>
    <row r="815" spans="5:11" ht="13.5" customHeight="1" x14ac:dyDescent="0.2">
      <c r="E815" s="52"/>
      <c r="H815" s="61"/>
      <c r="K815"/>
    </row>
    <row r="816" spans="5:11" ht="13.5" customHeight="1" x14ac:dyDescent="0.2">
      <c r="E816" s="52"/>
      <c r="H816" s="61"/>
      <c r="K816"/>
    </row>
    <row r="817" spans="5:11" ht="13.5" customHeight="1" x14ac:dyDescent="0.2">
      <c r="E817" s="52"/>
      <c r="H817" s="61"/>
      <c r="K817"/>
    </row>
    <row r="818" spans="5:11" ht="13.5" customHeight="1" x14ac:dyDescent="0.2">
      <c r="E818" s="52"/>
      <c r="H818" s="61"/>
      <c r="K818"/>
    </row>
    <row r="819" spans="5:11" ht="13.5" customHeight="1" x14ac:dyDescent="0.2">
      <c r="E819" s="52"/>
      <c r="H819" s="61"/>
      <c r="K819"/>
    </row>
    <row r="820" spans="5:11" ht="13.5" customHeight="1" x14ac:dyDescent="0.2">
      <c r="E820" s="52"/>
      <c r="H820" s="61"/>
      <c r="K820"/>
    </row>
    <row r="821" spans="5:11" ht="13.5" customHeight="1" x14ac:dyDescent="0.2">
      <c r="E821" s="52"/>
      <c r="H821" s="61"/>
      <c r="K821"/>
    </row>
    <row r="822" spans="5:11" ht="13.5" customHeight="1" x14ac:dyDescent="0.2">
      <c r="E822" s="52"/>
      <c r="H822" s="61"/>
      <c r="K822"/>
    </row>
    <row r="823" spans="5:11" ht="13.5" customHeight="1" x14ac:dyDescent="0.2">
      <c r="E823" s="52"/>
      <c r="H823" s="61"/>
      <c r="K823"/>
    </row>
    <row r="824" spans="5:11" ht="13.5" customHeight="1" x14ac:dyDescent="0.2">
      <c r="E824" s="52"/>
      <c r="H824" s="61"/>
      <c r="K824"/>
    </row>
    <row r="825" spans="5:11" ht="13.5" customHeight="1" x14ac:dyDescent="0.2">
      <c r="E825" s="52"/>
      <c r="H825" s="61"/>
      <c r="K825"/>
    </row>
    <row r="826" spans="5:11" ht="13.5" customHeight="1" x14ac:dyDescent="0.2">
      <c r="E826" s="52"/>
      <c r="H826" s="61"/>
      <c r="K826"/>
    </row>
    <row r="827" spans="5:11" ht="13.5" customHeight="1" x14ac:dyDescent="0.2">
      <c r="E827" s="52"/>
      <c r="H827" s="61"/>
      <c r="K827"/>
    </row>
    <row r="828" spans="5:11" ht="13.5" customHeight="1" x14ac:dyDescent="0.2">
      <c r="E828" s="52"/>
      <c r="H828" s="61"/>
      <c r="K828"/>
    </row>
    <row r="829" spans="5:11" ht="13.5" customHeight="1" x14ac:dyDescent="0.2">
      <c r="E829" s="52"/>
      <c r="H829" s="61"/>
      <c r="K829"/>
    </row>
    <row r="830" spans="5:11" ht="13.5" customHeight="1" x14ac:dyDescent="0.2">
      <c r="E830" s="50"/>
      <c r="H830" s="61"/>
      <c r="K830"/>
    </row>
    <row r="831" spans="5:11" ht="13.5" customHeight="1" x14ac:dyDescent="0.2">
      <c r="E831" s="50"/>
      <c r="H831" s="61"/>
      <c r="K831"/>
    </row>
    <row r="832" spans="5:11" ht="13.5" customHeight="1" x14ac:dyDescent="0.2">
      <c r="E832" s="50"/>
      <c r="H832" s="61"/>
      <c r="K832"/>
    </row>
    <row r="833" spans="5:11" ht="13.5" customHeight="1" x14ac:dyDescent="0.2">
      <c r="E833" s="50"/>
      <c r="H833" s="61"/>
      <c r="K833"/>
    </row>
    <row r="834" spans="5:11" ht="13.5" customHeight="1" x14ac:dyDescent="0.2">
      <c r="E834" s="50"/>
      <c r="H834" s="61"/>
      <c r="K834"/>
    </row>
    <row r="835" spans="5:11" ht="13.5" customHeight="1" x14ac:dyDescent="0.2">
      <c r="E835" s="50"/>
      <c r="H835" s="61"/>
      <c r="K835"/>
    </row>
    <row r="836" spans="5:11" ht="13.5" customHeight="1" x14ac:dyDescent="0.2">
      <c r="E836" s="50"/>
      <c r="H836" s="61"/>
      <c r="K836"/>
    </row>
    <row r="837" spans="5:11" ht="13.5" customHeight="1" x14ac:dyDescent="0.2">
      <c r="E837" s="50"/>
      <c r="H837" s="61"/>
      <c r="K837"/>
    </row>
    <row r="838" spans="5:11" ht="13.5" customHeight="1" x14ac:dyDescent="0.2">
      <c r="E838" s="50"/>
      <c r="H838" s="61"/>
      <c r="K838"/>
    </row>
    <row r="839" spans="5:11" ht="13.5" customHeight="1" x14ac:dyDescent="0.2">
      <c r="E839" s="50"/>
      <c r="H839" s="61"/>
      <c r="K839"/>
    </row>
    <row r="840" spans="5:11" ht="13.5" customHeight="1" x14ac:dyDescent="0.2">
      <c r="E840" s="50"/>
      <c r="H840" s="61"/>
      <c r="K840"/>
    </row>
    <row r="841" spans="5:11" ht="13.5" customHeight="1" x14ac:dyDescent="0.2">
      <c r="E841" s="50"/>
      <c r="H841" s="61"/>
      <c r="K841"/>
    </row>
    <row r="842" spans="5:11" ht="13.5" customHeight="1" x14ac:dyDescent="0.2">
      <c r="E842" s="50"/>
      <c r="H842" s="61"/>
      <c r="K842"/>
    </row>
    <row r="843" spans="5:11" ht="13.5" customHeight="1" x14ac:dyDescent="0.2">
      <c r="E843" s="50"/>
      <c r="H843" s="61"/>
      <c r="K843"/>
    </row>
    <row r="844" spans="5:11" ht="13.5" customHeight="1" x14ac:dyDescent="0.2">
      <c r="E844" s="50"/>
      <c r="H844" s="61"/>
      <c r="K844"/>
    </row>
    <row r="845" spans="5:11" ht="13.5" customHeight="1" x14ac:dyDescent="0.2">
      <c r="E845" s="50"/>
      <c r="H845" s="61"/>
      <c r="K845"/>
    </row>
    <row r="846" spans="5:11" ht="13.5" customHeight="1" x14ac:dyDescent="0.2">
      <c r="E846" s="50"/>
      <c r="H846" s="61"/>
      <c r="K846"/>
    </row>
    <row r="847" spans="5:11" ht="13.5" customHeight="1" x14ac:dyDescent="0.2">
      <c r="E847" s="50"/>
      <c r="H847" s="61"/>
      <c r="K847"/>
    </row>
    <row r="848" spans="5:11" ht="13.5" customHeight="1" x14ac:dyDescent="0.2">
      <c r="E848" s="50"/>
      <c r="H848" s="61"/>
      <c r="K848"/>
    </row>
    <row r="849" spans="5:11" ht="13.5" customHeight="1" x14ac:dyDescent="0.2">
      <c r="E849" s="50"/>
      <c r="H849" s="61"/>
      <c r="K849"/>
    </row>
    <row r="850" spans="5:11" ht="13.5" customHeight="1" x14ac:dyDescent="0.2">
      <c r="E850" s="50"/>
      <c r="H850" s="61"/>
      <c r="K850"/>
    </row>
    <row r="851" spans="5:11" ht="13.5" customHeight="1" x14ac:dyDescent="0.2">
      <c r="E851" s="50"/>
      <c r="H851" s="61"/>
      <c r="K851"/>
    </row>
    <row r="852" spans="5:11" ht="13.5" customHeight="1" x14ac:dyDescent="0.2">
      <c r="E852" s="50"/>
      <c r="H852" s="61"/>
      <c r="K852"/>
    </row>
    <row r="853" spans="5:11" ht="13.5" customHeight="1" x14ac:dyDescent="0.2">
      <c r="E853" s="50"/>
      <c r="H853" s="61"/>
      <c r="K853"/>
    </row>
    <row r="854" spans="5:11" ht="13.5" customHeight="1" x14ac:dyDescent="0.2">
      <c r="E854" s="50"/>
      <c r="H854" s="61"/>
      <c r="K854"/>
    </row>
    <row r="855" spans="5:11" ht="13.5" customHeight="1" x14ac:dyDescent="0.2">
      <c r="E855" s="50"/>
      <c r="H855" s="61"/>
      <c r="K855"/>
    </row>
    <row r="856" spans="5:11" ht="13.5" customHeight="1" x14ac:dyDescent="0.2">
      <c r="E856" s="50"/>
      <c r="H856" s="61"/>
      <c r="K856"/>
    </row>
    <row r="857" spans="5:11" ht="13.5" customHeight="1" x14ac:dyDescent="0.2">
      <c r="E857" s="50"/>
      <c r="H857" s="61"/>
      <c r="K857"/>
    </row>
    <row r="858" spans="5:11" ht="13.5" customHeight="1" x14ac:dyDescent="0.2">
      <c r="E858" s="50"/>
      <c r="H858" s="61"/>
      <c r="K858"/>
    </row>
    <row r="859" spans="5:11" ht="13.5" customHeight="1" x14ac:dyDescent="0.2">
      <c r="E859" s="50"/>
      <c r="H859" s="61"/>
      <c r="K859"/>
    </row>
    <row r="860" spans="5:11" ht="13.5" customHeight="1" x14ac:dyDescent="0.2">
      <c r="E860" s="50"/>
      <c r="H860" s="61"/>
      <c r="K860"/>
    </row>
    <row r="861" spans="5:11" ht="13.5" customHeight="1" x14ac:dyDescent="0.2">
      <c r="E861" s="50"/>
      <c r="H861" s="61"/>
      <c r="K861"/>
    </row>
    <row r="862" spans="5:11" ht="13.5" customHeight="1" x14ac:dyDescent="0.2">
      <c r="E862" s="50"/>
      <c r="H862" s="61"/>
      <c r="K862"/>
    </row>
    <row r="863" spans="5:11" ht="13.5" customHeight="1" x14ac:dyDescent="0.2">
      <c r="E863" s="50"/>
      <c r="H863" s="61"/>
      <c r="K863"/>
    </row>
    <row r="864" spans="5:11" ht="13.5" customHeight="1" x14ac:dyDescent="0.2">
      <c r="E864" s="50"/>
      <c r="H864" s="61"/>
      <c r="K864"/>
    </row>
    <row r="865" spans="5:11" ht="13.5" customHeight="1" x14ac:dyDescent="0.2">
      <c r="E865" s="50"/>
      <c r="H865" s="61"/>
      <c r="K865"/>
    </row>
    <row r="866" spans="5:11" ht="13.5" customHeight="1" x14ac:dyDescent="0.2">
      <c r="E866" s="50"/>
      <c r="H866" s="61"/>
      <c r="K866"/>
    </row>
    <row r="867" spans="5:11" ht="13.5" customHeight="1" x14ac:dyDescent="0.2">
      <c r="E867" s="50"/>
      <c r="H867" s="61"/>
      <c r="K867"/>
    </row>
    <row r="868" spans="5:11" ht="13.5" customHeight="1" x14ac:dyDescent="0.2">
      <c r="E868" s="50"/>
      <c r="H868" s="61"/>
      <c r="K868"/>
    </row>
    <row r="869" spans="5:11" ht="13.5" customHeight="1" x14ac:dyDescent="0.2">
      <c r="E869" s="50"/>
      <c r="H869" s="61"/>
      <c r="K869"/>
    </row>
    <row r="870" spans="5:11" ht="13.5" customHeight="1" x14ac:dyDescent="0.2">
      <c r="E870" s="50"/>
      <c r="H870" s="61"/>
      <c r="K870"/>
    </row>
    <row r="871" spans="5:11" ht="13.5" customHeight="1" x14ac:dyDescent="0.2">
      <c r="E871" s="50"/>
      <c r="H871" s="61"/>
      <c r="K871"/>
    </row>
    <row r="872" spans="5:11" ht="13.5" customHeight="1" x14ac:dyDescent="0.2">
      <c r="E872" s="50"/>
      <c r="H872" s="61"/>
      <c r="K872"/>
    </row>
    <row r="873" spans="5:11" ht="13.5" customHeight="1" x14ac:dyDescent="0.2">
      <c r="E873" s="50"/>
      <c r="H873" s="61"/>
      <c r="K873"/>
    </row>
    <row r="874" spans="5:11" ht="13.5" customHeight="1" x14ac:dyDescent="0.2">
      <c r="E874" s="50"/>
      <c r="H874" s="61"/>
      <c r="K874"/>
    </row>
    <row r="875" spans="5:11" ht="13.5" customHeight="1" x14ac:dyDescent="0.2">
      <c r="E875" s="50"/>
      <c r="H875" s="61"/>
      <c r="K875"/>
    </row>
    <row r="876" spans="5:11" ht="13.5" customHeight="1" x14ac:dyDescent="0.2">
      <c r="E876" s="50"/>
      <c r="H876" s="61"/>
      <c r="K876"/>
    </row>
    <row r="877" spans="5:11" ht="13.5" customHeight="1" x14ac:dyDescent="0.2">
      <c r="E877" s="50"/>
      <c r="H877" s="61"/>
      <c r="K877"/>
    </row>
    <row r="878" spans="5:11" ht="13.5" customHeight="1" x14ac:dyDescent="0.2">
      <c r="E878" s="50"/>
      <c r="H878" s="61"/>
      <c r="K878"/>
    </row>
    <row r="879" spans="5:11" ht="13.5" customHeight="1" x14ac:dyDescent="0.2">
      <c r="E879" s="50"/>
      <c r="H879" s="61"/>
      <c r="K879"/>
    </row>
    <row r="880" spans="5:11" ht="13.5" customHeight="1" x14ac:dyDescent="0.2">
      <c r="E880" s="50"/>
      <c r="H880" s="61"/>
      <c r="K880"/>
    </row>
    <row r="881" spans="5:11" ht="13.5" customHeight="1" x14ac:dyDescent="0.2">
      <c r="E881" s="50"/>
      <c r="H881" s="61"/>
      <c r="K881"/>
    </row>
    <row r="882" spans="5:11" ht="13.5" customHeight="1" x14ac:dyDescent="0.2">
      <c r="E882" s="50"/>
      <c r="H882" s="61"/>
      <c r="K882"/>
    </row>
    <row r="883" spans="5:11" ht="13.5" customHeight="1" x14ac:dyDescent="0.2">
      <c r="E883" s="50"/>
      <c r="H883" s="61"/>
      <c r="K883"/>
    </row>
    <row r="884" spans="5:11" ht="13.5" customHeight="1" x14ac:dyDescent="0.2">
      <c r="E884" s="50"/>
      <c r="H884" s="12"/>
      <c r="K884"/>
    </row>
    <row r="885" spans="5:11" ht="13.5" customHeight="1" x14ac:dyDescent="0.2">
      <c r="E885" s="50"/>
      <c r="H885" s="12"/>
      <c r="K885"/>
    </row>
    <row r="886" spans="5:11" ht="13.5" customHeight="1" x14ac:dyDescent="0.2">
      <c r="E886" s="50"/>
      <c r="H886" s="12"/>
      <c r="K886"/>
    </row>
    <row r="887" spans="5:11" ht="13.5" customHeight="1" x14ac:dyDescent="0.2">
      <c r="E887" s="50"/>
      <c r="H887" s="12"/>
      <c r="K887"/>
    </row>
    <row r="888" spans="5:11" ht="13.5" customHeight="1" x14ac:dyDescent="0.2">
      <c r="E888" s="50"/>
      <c r="H888" s="12"/>
      <c r="K888"/>
    </row>
    <row r="889" spans="5:11" ht="13.5" customHeight="1" x14ac:dyDescent="0.2">
      <c r="E889" s="50"/>
      <c r="H889" s="12"/>
      <c r="K889"/>
    </row>
    <row r="890" spans="5:11" ht="13.5" customHeight="1" x14ac:dyDescent="0.2">
      <c r="E890" s="50"/>
      <c r="H890" s="12"/>
      <c r="K890"/>
    </row>
    <row r="891" spans="5:11" ht="13.5" customHeight="1" x14ac:dyDescent="0.2">
      <c r="E891" s="50"/>
      <c r="H891" s="12"/>
      <c r="K891"/>
    </row>
    <row r="892" spans="5:11" ht="13.5" customHeight="1" x14ac:dyDescent="0.2">
      <c r="E892" s="50"/>
      <c r="H892" s="12"/>
      <c r="K892"/>
    </row>
    <row r="893" spans="5:11" ht="13.5" customHeight="1" x14ac:dyDescent="0.2">
      <c r="E893" s="50"/>
      <c r="H893" s="12"/>
      <c r="K893"/>
    </row>
    <row r="894" spans="5:11" ht="13.5" customHeight="1" x14ac:dyDescent="0.2">
      <c r="E894" s="50"/>
      <c r="H894" s="12"/>
      <c r="K894"/>
    </row>
    <row r="895" spans="5:11" ht="13.5" customHeight="1" x14ac:dyDescent="0.2">
      <c r="E895" s="50"/>
      <c r="H895" s="12"/>
      <c r="K895"/>
    </row>
    <row r="896" spans="5:11" ht="13.5" customHeight="1" x14ac:dyDescent="0.2">
      <c r="E896" s="50"/>
      <c r="H896" s="12"/>
      <c r="K896"/>
    </row>
    <row r="897" spans="5:11" ht="13.5" customHeight="1" x14ac:dyDescent="0.2">
      <c r="E897" s="50"/>
      <c r="H897" s="12"/>
      <c r="K897"/>
    </row>
    <row r="898" spans="5:11" ht="13.5" customHeight="1" x14ac:dyDescent="0.2">
      <c r="E898" s="50"/>
      <c r="H898" s="12"/>
      <c r="K898"/>
    </row>
    <row r="899" spans="5:11" ht="13.5" customHeight="1" x14ac:dyDescent="0.2">
      <c r="E899" s="50"/>
      <c r="H899" s="12"/>
      <c r="K899"/>
    </row>
    <row r="900" spans="5:11" ht="13.5" customHeight="1" x14ac:dyDescent="0.2">
      <c r="E900" s="50"/>
      <c r="H900" s="12"/>
      <c r="K900"/>
    </row>
    <row r="901" spans="5:11" ht="13.5" customHeight="1" x14ac:dyDescent="0.2">
      <c r="E901" s="50"/>
      <c r="H901" s="12"/>
      <c r="K901"/>
    </row>
    <row r="902" spans="5:11" ht="13.5" customHeight="1" x14ac:dyDescent="0.2">
      <c r="E902" s="50"/>
      <c r="H902" s="12"/>
      <c r="K902"/>
    </row>
    <row r="903" spans="5:11" ht="13.5" customHeight="1" x14ac:dyDescent="0.2">
      <c r="E903" s="50"/>
      <c r="H903" s="12"/>
      <c r="K903"/>
    </row>
    <row r="904" spans="5:11" ht="13.5" customHeight="1" x14ac:dyDescent="0.2">
      <c r="E904" s="50"/>
      <c r="H904" s="12"/>
      <c r="K904"/>
    </row>
    <row r="905" spans="5:11" ht="13.5" customHeight="1" x14ac:dyDescent="0.2">
      <c r="E905" s="50"/>
      <c r="H905" s="12"/>
      <c r="K905"/>
    </row>
    <row r="906" spans="5:11" ht="13.5" customHeight="1" x14ac:dyDescent="0.2">
      <c r="E906" s="50"/>
      <c r="H906" s="12"/>
      <c r="K906"/>
    </row>
    <row r="907" spans="5:11" ht="13.5" customHeight="1" x14ac:dyDescent="0.2">
      <c r="E907" s="50"/>
      <c r="H907" s="12"/>
      <c r="K907"/>
    </row>
    <row r="908" spans="5:11" ht="13.5" customHeight="1" x14ac:dyDescent="0.2">
      <c r="E908" s="50"/>
      <c r="H908" s="12"/>
      <c r="K908"/>
    </row>
    <row r="909" spans="5:11" ht="13.5" customHeight="1" x14ac:dyDescent="0.2">
      <c r="E909" s="50"/>
      <c r="H909" s="12"/>
      <c r="K909"/>
    </row>
    <row r="910" spans="5:11" ht="13.5" customHeight="1" x14ac:dyDescent="0.2">
      <c r="E910" s="50"/>
      <c r="H910" s="12"/>
      <c r="K910"/>
    </row>
    <row r="911" spans="5:11" ht="13.5" customHeight="1" x14ac:dyDescent="0.2">
      <c r="E911" s="50"/>
      <c r="H911" s="12"/>
      <c r="K911"/>
    </row>
    <row r="912" spans="5:11" ht="13.5" customHeight="1" x14ac:dyDescent="0.2">
      <c r="E912" s="50"/>
      <c r="H912" s="12"/>
      <c r="K912"/>
    </row>
    <row r="913" spans="5:11" ht="13.5" customHeight="1" x14ac:dyDescent="0.2">
      <c r="E913" s="50"/>
      <c r="H913" s="12"/>
      <c r="K913"/>
    </row>
    <row r="914" spans="5:11" ht="13.5" customHeight="1" x14ac:dyDescent="0.2">
      <c r="E914" s="50"/>
      <c r="H914" s="12"/>
      <c r="K914"/>
    </row>
    <row r="915" spans="5:11" ht="13.5" customHeight="1" x14ac:dyDescent="0.2">
      <c r="E915" s="50"/>
      <c r="H915" s="12"/>
      <c r="K915"/>
    </row>
    <row r="916" spans="5:11" ht="13.5" customHeight="1" x14ac:dyDescent="0.2">
      <c r="E916" s="50"/>
      <c r="H916" s="12"/>
      <c r="K916"/>
    </row>
    <row r="917" spans="5:11" ht="13.5" customHeight="1" x14ac:dyDescent="0.2">
      <c r="E917" s="50"/>
      <c r="H917" s="12"/>
      <c r="K917"/>
    </row>
    <row r="918" spans="5:11" ht="13.5" customHeight="1" x14ac:dyDescent="0.2">
      <c r="E918" s="50"/>
      <c r="H918" s="12"/>
      <c r="K918"/>
    </row>
    <row r="919" spans="5:11" ht="13.5" customHeight="1" x14ac:dyDescent="0.2">
      <c r="E919" s="50"/>
      <c r="H919" s="12"/>
      <c r="K919"/>
    </row>
    <row r="920" spans="5:11" ht="13.5" customHeight="1" x14ac:dyDescent="0.2">
      <c r="E920" s="50"/>
      <c r="H920" s="12"/>
      <c r="K920"/>
    </row>
    <row r="921" spans="5:11" ht="13.5" customHeight="1" x14ac:dyDescent="0.2">
      <c r="E921" s="50"/>
      <c r="H921" s="12"/>
      <c r="K921"/>
    </row>
    <row r="922" spans="5:11" ht="13.5" customHeight="1" x14ac:dyDescent="0.2">
      <c r="E922" s="50"/>
      <c r="H922" s="12"/>
      <c r="K922"/>
    </row>
    <row r="923" spans="5:11" ht="13.5" customHeight="1" x14ac:dyDescent="0.2">
      <c r="E923" s="50"/>
      <c r="H923" s="12"/>
      <c r="K923"/>
    </row>
    <row r="924" spans="5:11" ht="13.5" customHeight="1" x14ac:dyDescent="0.2">
      <c r="E924" s="50"/>
      <c r="H924" s="12"/>
      <c r="K924"/>
    </row>
    <row r="925" spans="5:11" ht="13.5" customHeight="1" x14ac:dyDescent="0.2">
      <c r="E925" s="50"/>
      <c r="H925" s="12"/>
      <c r="K925"/>
    </row>
    <row r="926" spans="5:11" ht="13.5" customHeight="1" x14ac:dyDescent="0.2">
      <c r="E926" s="50"/>
      <c r="H926" s="12"/>
      <c r="K926"/>
    </row>
    <row r="927" spans="5:11" ht="13.5" customHeight="1" x14ac:dyDescent="0.2">
      <c r="E927" s="50"/>
      <c r="H927" s="12"/>
      <c r="K927"/>
    </row>
    <row r="928" spans="5:11" ht="13.5" customHeight="1" x14ac:dyDescent="0.2">
      <c r="E928" s="50"/>
      <c r="H928" s="12"/>
      <c r="K928"/>
    </row>
    <row r="929" spans="5:11" ht="13.5" customHeight="1" x14ac:dyDescent="0.2">
      <c r="E929" s="50"/>
      <c r="H929" s="12"/>
      <c r="K929"/>
    </row>
    <row r="930" spans="5:11" ht="13.5" customHeight="1" x14ac:dyDescent="0.2">
      <c r="E930" s="50"/>
      <c r="H930" s="12"/>
      <c r="K930"/>
    </row>
    <row r="931" spans="5:11" ht="13.5" customHeight="1" x14ac:dyDescent="0.2">
      <c r="E931" s="50"/>
      <c r="H931" s="12"/>
      <c r="K931"/>
    </row>
    <row r="932" spans="5:11" ht="13.5" customHeight="1" x14ac:dyDescent="0.2">
      <c r="E932" s="50"/>
      <c r="H932" s="12"/>
      <c r="K932"/>
    </row>
    <row r="933" spans="5:11" ht="13.5" customHeight="1" x14ac:dyDescent="0.2">
      <c r="E933" s="50"/>
      <c r="H933" s="12"/>
      <c r="K933"/>
    </row>
    <row r="934" spans="5:11" ht="13.5" customHeight="1" x14ac:dyDescent="0.2">
      <c r="E934" s="50"/>
      <c r="H934" s="12"/>
      <c r="K934"/>
    </row>
    <row r="935" spans="5:11" ht="13.5" customHeight="1" x14ac:dyDescent="0.2">
      <c r="E935" s="50"/>
      <c r="H935" s="12"/>
      <c r="K935"/>
    </row>
    <row r="936" spans="5:11" ht="13.5" customHeight="1" x14ac:dyDescent="0.2">
      <c r="E936" s="50"/>
      <c r="H936" s="12"/>
      <c r="K936"/>
    </row>
    <row r="937" spans="5:11" ht="13.5" customHeight="1" x14ac:dyDescent="0.2">
      <c r="E937" s="50"/>
      <c r="H937" s="12"/>
      <c r="K937"/>
    </row>
    <row r="938" spans="5:11" ht="13.5" customHeight="1" x14ac:dyDescent="0.2">
      <c r="E938" s="50"/>
      <c r="H938" s="12"/>
      <c r="K938"/>
    </row>
    <row r="939" spans="5:11" ht="13.5" customHeight="1" x14ac:dyDescent="0.2">
      <c r="E939" s="50"/>
      <c r="H939" s="12"/>
      <c r="K939"/>
    </row>
    <row r="940" spans="5:11" ht="13.5" customHeight="1" x14ac:dyDescent="0.2">
      <c r="E940" s="50"/>
      <c r="H940" s="12"/>
      <c r="K940"/>
    </row>
    <row r="941" spans="5:11" ht="13.5" customHeight="1" x14ac:dyDescent="0.2">
      <c r="E941" s="50"/>
      <c r="H941" s="12"/>
      <c r="K941"/>
    </row>
    <row r="942" spans="5:11" ht="13.5" customHeight="1" x14ac:dyDescent="0.2">
      <c r="E942" s="50"/>
      <c r="H942" s="12"/>
      <c r="K942"/>
    </row>
    <row r="943" spans="5:11" ht="13.5" customHeight="1" x14ac:dyDescent="0.2">
      <c r="E943" s="50"/>
      <c r="H943" s="12"/>
      <c r="K943"/>
    </row>
    <row r="944" spans="5:11" ht="13.5" customHeight="1" x14ac:dyDescent="0.2">
      <c r="E944" s="50"/>
      <c r="H944" s="12"/>
      <c r="K944"/>
    </row>
    <row r="945" spans="5:11" ht="13.5" customHeight="1" x14ac:dyDescent="0.2">
      <c r="E945" s="50"/>
      <c r="H945" s="12"/>
      <c r="K945"/>
    </row>
    <row r="946" spans="5:11" ht="13.5" customHeight="1" x14ac:dyDescent="0.2">
      <c r="E946" s="50"/>
      <c r="H946" s="12"/>
      <c r="K946"/>
    </row>
    <row r="947" spans="5:11" ht="13.5" customHeight="1" x14ac:dyDescent="0.2">
      <c r="E947" s="50"/>
      <c r="H947" s="12"/>
      <c r="K947"/>
    </row>
    <row r="948" spans="5:11" ht="13.5" customHeight="1" x14ac:dyDescent="0.2">
      <c r="E948" s="50"/>
      <c r="H948" s="12"/>
      <c r="K948"/>
    </row>
    <row r="949" spans="5:11" ht="13.5" customHeight="1" x14ac:dyDescent="0.2">
      <c r="E949" s="50"/>
      <c r="H949" s="12"/>
      <c r="K949"/>
    </row>
    <row r="950" spans="5:11" ht="13.5" customHeight="1" x14ac:dyDescent="0.2">
      <c r="E950" s="50"/>
      <c r="H950" s="12"/>
      <c r="K950"/>
    </row>
    <row r="951" spans="5:11" ht="13.5" customHeight="1" x14ac:dyDescent="0.2">
      <c r="E951" s="50"/>
      <c r="H951" s="12"/>
      <c r="K951"/>
    </row>
    <row r="952" spans="5:11" ht="13.5" customHeight="1" x14ac:dyDescent="0.2">
      <c r="E952" s="50"/>
      <c r="H952" s="12"/>
      <c r="K952"/>
    </row>
    <row r="953" spans="5:11" ht="13.5" customHeight="1" x14ac:dyDescent="0.2">
      <c r="E953" s="50"/>
      <c r="H953" s="12"/>
      <c r="K953"/>
    </row>
    <row r="954" spans="5:11" ht="13.5" customHeight="1" x14ac:dyDescent="0.2">
      <c r="E954" s="50"/>
      <c r="H954" s="12"/>
      <c r="K954"/>
    </row>
    <row r="955" spans="5:11" ht="13.5" customHeight="1" x14ac:dyDescent="0.2">
      <c r="E955" s="50"/>
      <c r="H955" s="12"/>
      <c r="K955"/>
    </row>
    <row r="956" spans="5:11" ht="13.5" customHeight="1" x14ac:dyDescent="0.2">
      <c r="E956" s="50"/>
      <c r="H956" s="12"/>
      <c r="K956"/>
    </row>
    <row r="957" spans="5:11" ht="13.5" customHeight="1" x14ac:dyDescent="0.2">
      <c r="E957" s="50"/>
      <c r="H957" s="12"/>
      <c r="K957"/>
    </row>
    <row r="958" spans="5:11" ht="13.5" customHeight="1" x14ac:dyDescent="0.2">
      <c r="E958" s="50"/>
      <c r="H958" s="12"/>
      <c r="K958"/>
    </row>
    <row r="959" spans="5:11" ht="13.5" customHeight="1" x14ac:dyDescent="0.2">
      <c r="E959" s="50"/>
      <c r="H959" s="12"/>
      <c r="K959"/>
    </row>
    <row r="960" spans="5:11" ht="13.5" customHeight="1" x14ac:dyDescent="0.2">
      <c r="E960" s="50"/>
      <c r="H960" s="12"/>
      <c r="K960"/>
    </row>
    <row r="961" spans="5:11" ht="13.5" customHeight="1" x14ac:dyDescent="0.2">
      <c r="E961" s="50"/>
      <c r="H961" s="12"/>
      <c r="K961"/>
    </row>
    <row r="962" spans="5:11" ht="13.5" customHeight="1" x14ac:dyDescent="0.2">
      <c r="E962" s="50"/>
      <c r="H962" s="12"/>
      <c r="K962"/>
    </row>
    <row r="963" spans="5:11" ht="13.5" customHeight="1" x14ac:dyDescent="0.2">
      <c r="E963" s="50"/>
      <c r="H963" s="12"/>
      <c r="K963"/>
    </row>
    <row r="964" spans="5:11" ht="13.5" customHeight="1" x14ac:dyDescent="0.2">
      <c r="E964" s="50"/>
      <c r="H964" s="12"/>
      <c r="K964"/>
    </row>
    <row r="965" spans="5:11" ht="13.5" customHeight="1" x14ac:dyDescent="0.2">
      <c r="E965" s="50"/>
      <c r="H965" s="12"/>
      <c r="K965"/>
    </row>
    <row r="966" spans="5:11" ht="13.5" customHeight="1" x14ac:dyDescent="0.2">
      <c r="E966" s="50"/>
      <c r="H966" s="12"/>
      <c r="K966"/>
    </row>
    <row r="967" spans="5:11" ht="13.5" customHeight="1" x14ac:dyDescent="0.2">
      <c r="E967" s="50"/>
      <c r="H967" s="12"/>
      <c r="K967"/>
    </row>
    <row r="968" spans="5:11" ht="13.5" customHeight="1" x14ac:dyDescent="0.2">
      <c r="E968" s="50"/>
      <c r="H968" s="12"/>
      <c r="K968"/>
    </row>
    <row r="969" spans="5:11" ht="13.5" customHeight="1" x14ac:dyDescent="0.2">
      <c r="E969" s="50"/>
      <c r="H969" s="12"/>
      <c r="K969"/>
    </row>
    <row r="970" spans="5:11" ht="13.5" customHeight="1" x14ac:dyDescent="0.2">
      <c r="E970" s="50"/>
      <c r="H970" s="12"/>
      <c r="K970"/>
    </row>
    <row r="971" spans="5:11" ht="13.5" customHeight="1" x14ac:dyDescent="0.2">
      <c r="E971" s="50"/>
      <c r="H971" s="12"/>
      <c r="K971"/>
    </row>
    <row r="972" spans="5:11" ht="13.5" customHeight="1" x14ac:dyDescent="0.2">
      <c r="E972" s="50"/>
      <c r="H972" s="12"/>
      <c r="K972"/>
    </row>
    <row r="973" spans="5:11" ht="13.5" customHeight="1" x14ac:dyDescent="0.2">
      <c r="E973" s="50"/>
      <c r="H973" s="12"/>
      <c r="K973"/>
    </row>
    <row r="974" spans="5:11" ht="13.5" customHeight="1" x14ac:dyDescent="0.2">
      <c r="E974" s="50"/>
      <c r="H974" s="12"/>
      <c r="K974"/>
    </row>
    <row r="975" spans="5:11" ht="13.5" customHeight="1" x14ac:dyDescent="0.2">
      <c r="E975" s="50"/>
      <c r="H975" s="12"/>
      <c r="K975"/>
    </row>
    <row r="976" spans="5:11" ht="13.5" customHeight="1" x14ac:dyDescent="0.2">
      <c r="E976" s="50"/>
      <c r="H976" s="12"/>
      <c r="K976"/>
    </row>
    <row r="977" spans="5:11" ht="13.5" customHeight="1" x14ac:dyDescent="0.2">
      <c r="E977" s="50"/>
      <c r="H977" s="12"/>
      <c r="K977"/>
    </row>
    <row r="978" spans="5:11" ht="13.5" customHeight="1" x14ac:dyDescent="0.2">
      <c r="E978" s="50"/>
      <c r="H978" s="12"/>
      <c r="K978"/>
    </row>
    <row r="979" spans="5:11" ht="13.5" customHeight="1" x14ac:dyDescent="0.2">
      <c r="E979" s="50"/>
      <c r="H979" s="12"/>
      <c r="K979"/>
    </row>
    <row r="980" spans="5:11" ht="13.5" customHeight="1" x14ac:dyDescent="0.2">
      <c r="E980" s="50"/>
      <c r="H980" s="12"/>
      <c r="K980"/>
    </row>
    <row r="981" spans="5:11" ht="13.5" customHeight="1" x14ac:dyDescent="0.2">
      <c r="E981" s="50"/>
      <c r="H981" s="12"/>
      <c r="K981"/>
    </row>
    <row r="982" spans="5:11" ht="13.5" customHeight="1" x14ac:dyDescent="0.2">
      <c r="E982" s="50"/>
      <c r="H982" s="12"/>
      <c r="K982"/>
    </row>
    <row r="983" spans="5:11" ht="13.5" customHeight="1" x14ac:dyDescent="0.2">
      <c r="E983" s="50"/>
      <c r="H983" s="12"/>
      <c r="K983"/>
    </row>
    <row r="984" spans="5:11" ht="13.5" customHeight="1" x14ac:dyDescent="0.2">
      <c r="E984" s="50"/>
      <c r="H984" s="12"/>
      <c r="K984"/>
    </row>
    <row r="985" spans="5:11" ht="14.25" customHeight="1" x14ac:dyDescent="0.2">
      <c r="E985" s="50"/>
      <c r="H985" s="12"/>
      <c r="K985"/>
    </row>
    <row r="986" spans="5:11" ht="13.5" customHeight="1" x14ac:dyDescent="0.2">
      <c r="E986" s="50"/>
      <c r="H986" s="12"/>
      <c r="K986"/>
    </row>
    <row r="987" spans="5:11" ht="13.5" customHeight="1" x14ac:dyDescent="0.2">
      <c r="E987" s="50"/>
      <c r="H987" s="12"/>
      <c r="K987"/>
    </row>
    <row r="988" spans="5:11" ht="13.5" customHeight="1" x14ac:dyDescent="0.2">
      <c r="E988" s="50"/>
      <c r="H988" s="12"/>
      <c r="K988"/>
    </row>
    <row r="989" spans="5:11" ht="13.5" customHeight="1" x14ac:dyDescent="0.2">
      <c r="E989" s="50"/>
      <c r="H989" s="12"/>
      <c r="K989"/>
    </row>
    <row r="990" spans="5:11" ht="13.5" customHeight="1" x14ac:dyDescent="0.2">
      <c r="E990" s="50"/>
      <c r="H990" s="12"/>
      <c r="K990"/>
    </row>
    <row r="991" spans="5:11" ht="13.5" customHeight="1" x14ac:dyDescent="0.2">
      <c r="E991" s="50"/>
      <c r="H991" s="12"/>
      <c r="K991"/>
    </row>
    <row r="992" spans="5:11" ht="13.5" customHeight="1" x14ac:dyDescent="0.2">
      <c r="E992" s="50"/>
      <c r="H992" s="12"/>
      <c r="K992"/>
    </row>
    <row r="993" spans="5:11" ht="13.5" customHeight="1" x14ac:dyDescent="0.2">
      <c r="E993" s="50"/>
      <c r="H993" s="12"/>
      <c r="K993"/>
    </row>
    <row r="994" spans="5:11" ht="13.5" customHeight="1" x14ac:dyDescent="0.2">
      <c r="E994" s="50"/>
      <c r="H994" s="12"/>
      <c r="K994"/>
    </row>
    <row r="995" spans="5:11" ht="13.5" customHeight="1" x14ac:dyDescent="0.2">
      <c r="E995" s="50"/>
      <c r="H995" s="12"/>
      <c r="K995"/>
    </row>
    <row r="996" spans="5:11" ht="13.5" customHeight="1" x14ac:dyDescent="0.2">
      <c r="E996" s="50"/>
      <c r="H996" s="12"/>
      <c r="K996"/>
    </row>
    <row r="997" spans="5:11" ht="13.5" customHeight="1" x14ac:dyDescent="0.2">
      <c r="E997" s="50"/>
      <c r="H997" s="12"/>
      <c r="K997"/>
    </row>
    <row r="998" spans="5:11" ht="13.5" customHeight="1" x14ac:dyDescent="0.2">
      <c r="E998" s="50"/>
      <c r="H998" s="12"/>
      <c r="K998"/>
    </row>
    <row r="999" spans="5:11" ht="13.5" customHeight="1" x14ac:dyDescent="0.2">
      <c r="E999" s="50"/>
      <c r="H999" s="12"/>
      <c r="K999"/>
    </row>
    <row r="1000" spans="5:11" ht="13.5" customHeight="1" x14ac:dyDescent="0.2">
      <c r="E1000" s="50"/>
      <c r="H1000" s="12"/>
      <c r="K1000"/>
    </row>
    <row r="1001" spans="5:11" ht="13.5" customHeight="1" x14ac:dyDescent="0.2">
      <c r="E1001" s="50"/>
      <c r="H1001" s="12"/>
      <c r="K1001"/>
    </row>
    <row r="1002" spans="5:11" ht="13.5" customHeight="1" x14ac:dyDescent="0.2">
      <c r="E1002" s="50"/>
      <c r="H1002" s="12"/>
      <c r="K1002"/>
    </row>
    <row r="1003" spans="5:11" ht="13.5" customHeight="1" x14ac:dyDescent="0.2">
      <c r="E1003" s="50"/>
      <c r="H1003" s="12"/>
      <c r="K1003"/>
    </row>
    <row r="1004" spans="5:11" ht="13.5" customHeight="1" x14ac:dyDescent="0.2">
      <c r="E1004" s="50"/>
      <c r="H1004" s="12"/>
      <c r="K1004"/>
    </row>
    <row r="1005" spans="5:11" ht="13.5" customHeight="1" x14ac:dyDescent="0.2">
      <c r="E1005" s="50"/>
      <c r="H1005" s="12"/>
      <c r="K1005"/>
    </row>
    <row r="1006" spans="5:11" ht="13.5" customHeight="1" x14ac:dyDescent="0.2">
      <c r="E1006" s="50"/>
      <c r="H1006" s="12"/>
      <c r="K1006"/>
    </row>
    <row r="1007" spans="5:11" ht="13.5" customHeight="1" x14ac:dyDescent="0.2">
      <c r="E1007" s="50"/>
      <c r="H1007" s="12"/>
      <c r="K1007"/>
    </row>
    <row r="1008" spans="5:11" ht="13.5" customHeight="1" x14ac:dyDescent="0.2">
      <c r="E1008" s="50"/>
      <c r="H1008" s="12"/>
      <c r="K1008"/>
    </row>
    <row r="1009" spans="5:11" ht="13.5" customHeight="1" x14ac:dyDescent="0.2">
      <c r="E1009" s="50"/>
      <c r="H1009" s="12"/>
      <c r="K1009"/>
    </row>
    <row r="1010" spans="5:11" ht="13.5" customHeight="1" x14ac:dyDescent="0.2">
      <c r="E1010" s="50"/>
      <c r="H1010" s="12"/>
      <c r="K1010"/>
    </row>
    <row r="1011" spans="5:11" ht="13.5" customHeight="1" x14ac:dyDescent="0.2">
      <c r="E1011" s="50"/>
      <c r="H1011" s="12"/>
      <c r="K1011"/>
    </row>
    <row r="1012" spans="5:11" ht="13.5" customHeight="1" x14ac:dyDescent="0.2">
      <c r="E1012" s="50"/>
      <c r="H1012" s="12"/>
      <c r="K1012"/>
    </row>
    <row r="1013" spans="5:11" ht="13.5" customHeight="1" x14ac:dyDescent="0.2">
      <c r="E1013" s="50"/>
      <c r="H1013" s="12"/>
      <c r="K1013"/>
    </row>
    <row r="1014" spans="5:11" ht="13.5" customHeight="1" x14ac:dyDescent="0.2">
      <c r="E1014" s="50"/>
      <c r="H1014" s="12"/>
      <c r="K1014"/>
    </row>
    <row r="1015" spans="5:11" ht="13.5" customHeight="1" x14ac:dyDescent="0.2">
      <c r="E1015" s="50"/>
      <c r="H1015" s="12"/>
      <c r="K1015"/>
    </row>
    <row r="1016" spans="5:11" ht="13.5" customHeight="1" x14ac:dyDescent="0.2">
      <c r="E1016" s="50"/>
      <c r="H1016" s="12"/>
      <c r="K1016"/>
    </row>
    <row r="1017" spans="5:11" ht="13.5" customHeight="1" x14ac:dyDescent="0.2">
      <c r="E1017" s="50"/>
      <c r="H1017" s="12"/>
      <c r="K1017"/>
    </row>
    <row r="1018" spans="5:11" ht="13.5" customHeight="1" x14ac:dyDescent="0.2">
      <c r="E1018" s="50"/>
      <c r="H1018" s="12"/>
      <c r="K1018"/>
    </row>
    <row r="1019" spans="5:11" ht="13.5" customHeight="1" x14ac:dyDescent="0.2">
      <c r="E1019" s="50"/>
      <c r="H1019" s="12"/>
      <c r="K1019"/>
    </row>
    <row r="1020" spans="5:11" ht="13.5" customHeight="1" x14ac:dyDescent="0.2">
      <c r="E1020" s="50"/>
      <c r="H1020" s="12"/>
      <c r="K1020"/>
    </row>
    <row r="1021" spans="5:11" ht="13.5" customHeight="1" x14ac:dyDescent="0.2">
      <c r="E1021" s="50"/>
      <c r="H1021" s="12"/>
      <c r="K1021"/>
    </row>
    <row r="1022" spans="5:11" ht="13.5" customHeight="1" x14ac:dyDescent="0.2">
      <c r="E1022" s="50"/>
      <c r="H1022" s="12"/>
      <c r="K1022"/>
    </row>
    <row r="1023" spans="5:11" ht="13.5" customHeight="1" x14ac:dyDescent="0.2">
      <c r="E1023" s="50"/>
      <c r="H1023" s="12"/>
      <c r="K1023"/>
    </row>
    <row r="1024" spans="5:11" ht="13.5" customHeight="1" x14ac:dyDescent="0.2">
      <c r="E1024" s="50"/>
      <c r="H1024" s="12"/>
      <c r="K1024"/>
    </row>
    <row r="1025" spans="5:11" ht="13.5" customHeight="1" x14ac:dyDescent="0.2">
      <c r="E1025" s="50"/>
      <c r="H1025" s="12"/>
      <c r="K1025"/>
    </row>
    <row r="1026" spans="5:11" ht="13.5" customHeight="1" x14ac:dyDescent="0.2">
      <c r="E1026" s="50"/>
      <c r="H1026" s="12"/>
      <c r="K1026"/>
    </row>
    <row r="1027" spans="5:11" ht="13.5" customHeight="1" x14ac:dyDescent="0.2">
      <c r="E1027" s="50"/>
      <c r="H1027" s="12"/>
      <c r="K1027"/>
    </row>
    <row r="1028" spans="5:11" ht="13.5" customHeight="1" x14ac:dyDescent="0.2">
      <c r="E1028" s="50"/>
      <c r="H1028" s="12"/>
      <c r="K1028"/>
    </row>
    <row r="1029" spans="5:11" ht="13.5" customHeight="1" x14ac:dyDescent="0.2">
      <c r="E1029" s="50"/>
      <c r="H1029" s="12"/>
      <c r="K1029"/>
    </row>
    <row r="1030" spans="5:11" ht="13.5" customHeight="1" x14ac:dyDescent="0.2">
      <c r="E1030" s="50"/>
      <c r="H1030" s="12"/>
      <c r="K1030"/>
    </row>
    <row r="1031" spans="5:11" ht="13.5" customHeight="1" x14ac:dyDescent="0.2">
      <c r="E1031" s="50"/>
      <c r="H1031" s="12"/>
      <c r="K1031"/>
    </row>
    <row r="1032" spans="5:11" ht="13.5" customHeight="1" x14ac:dyDescent="0.2">
      <c r="E1032" s="50"/>
      <c r="H1032" s="12"/>
      <c r="K1032"/>
    </row>
    <row r="1033" spans="5:11" ht="13.5" customHeight="1" x14ac:dyDescent="0.2">
      <c r="E1033" s="50"/>
      <c r="H1033" s="12"/>
      <c r="K1033"/>
    </row>
    <row r="1034" spans="5:11" ht="13.5" customHeight="1" x14ac:dyDescent="0.2">
      <c r="E1034" s="50"/>
      <c r="H1034" s="12"/>
      <c r="K1034"/>
    </row>
    <row r="1035" spans="5:11" ht="13.5" customHeight="1" x14ac:dyDescent="0.2">
      <c r="E1035" s="50"/>
      <c r="H1035" s="12"/>
      <c r="K1035"/>
    </row>
    <row r="1036" spans="5:11" ht="13.5" customHeight="1" x14ac:dyDescent="0.2">
      <c r="E1036" s="50"/>
      <c r="H1036" s="12"/>
      <c r="K1036"/>
    </row>
    <row r="1037" spans="5:11" ht="13.5" customHeight="1" x14ac:dyDescent="0.2">
      <c r="E1037" s="50"/>
      <c r="H1037" s="12"/>
      <c r="K1037"/>
    </row>
    <row r="1038" spans="5:11" ht="13.5" customHeight="1" x14ac:dyDescent="0.2">
      <c r="E1038" s="50"/>
      <c r="H1038" s="12"/>
      <c r="K1038"/>
    </row>
    <row r="1039" spans="5:11" ht="13.5" customHeight="1" x14ac:dyDescent="0.2">
      <c r="E1039" s="50"/>
      <c r="H1039" s="12"/>
      <c r="K1039"/>
    </row>
    <row r="1040" spans="5:11" ht="13.5" customHeight="1" x14ac:dyDescent="0.2">
      <c r="E1040" s="50"/>
      <c r="H1040" s="12"/>
      <c r="K1040"/>
    </row>
    <row r="1041" spans="5:11" ht="13.5" customHeight="1" x14ac:dyDescent="0.2">
      <c r="E1041" s="50"/>
      <c r="H1041" s="12"/>
      <c r="K1041"/>
    </row>
    <row r="1042" spans="5:11" ht="13.5" customHeight="1" x14ac:dyDescent="0.2">
      <c r="E1042" s="50"/>
      <c r="H1042" s="12"/>
      <c r="K1042"/>
    </row>
    <row r="1043" spans="5:11" ht="13.5" customHeight="1" x14ac:dyDescent="0.2">
      <c r="E1043" s="50"/>
      <c r="H1043" s="12"/>
      <c r="K1043"/>
    </row>
    <row r="1044" spans="5:11" ht="13.5" customHeight="1" x14ac:dyDescent="0.2">
      <c r="E1044" s="50"/>
      <c r="H1044" s="12"/>
      <c r="K1044"/>
    </row>
    <row r="1045" spans="5:11" ht="13.5" customHeight="1" x14ac:dyDescent="0.2">
      <c r="E1045" s="50"/>
      <c r="H1045" s="12"/>
      <c r="K1045"/>
    </row>
    <row r="1046" spans="5:11" ht="13.5" customHeight="1" x14ac:dyDescent="0.2">
      <c r="E1046" s="50"/>
      <c r="H1046" s="12"/>
      <c r="K1046"/>
    </row>
    <row r="1047" spans="5:11" ht="13.5" customHeight="1" x14ac:dyDescent="0.2">
      <c r="E1047" s="50"/>
      <c r="H1047" s="12"/>
      <c r="K1047"/>
    </row>
    <row r="1048" spans="5:11" ht="13.5" customHeight="1" x14ac:dyDescent="0.2">
      <c r="E1048" s="50"/>
      <c r="H1048" s="12"/>
      <c r="K1048"/>
    </row>
    <row r="1049" spans="5:11" ht="13.5" customHeight="1" x14ac:dyDescent="0.2">
      <c r="E1049" s="50"/>
      <c r="H1049" s="12"/>
      <c r="K1049"/>
    </row>
    <row r="1050" spans="5:11" ht="13.5" customHeight="1" x14ac:dyDescent="0.2">
      <c r="E1050" s="50"/>
      <c r="H1050" s="12"/>
      <c r="K1050"/>
    </row>
    <row r="1051" spans="5:11" ht="13.5" customHeight="1" x14ac:dyDescent="0.2">
      <c r="E1051" s="50"/>
      <c r="H1051" s="12"/>
      <c r="K1051"/>
    </row>
    <row r="1052" spans="5:11" ht="13.5" customHeight="1" x14ac:dyDescent="0.2">
      <c r="E1052" s="50"/>
      <c r="H1052" s="12"/>
      <c r="K1052"/>
    </row>
    <row r="1053" spans="5:11" ht="13.5" customHeight="1" x14ac:dyDescent="0.2">
      <c r="E1053" s="50"/>
      <c r="H1053" s="12"/>
      <c r="K1053"/>
    </row>
    <row r="1054" spans="5:11" ht="13.5" customHeight="1" x14ac:dyDescent="0.2">
      <c r="E1054" s="50"/>
      <c r="H1054" s="12"/>
      <c r="K1054"/>
    </row>
    <row r="1055" spans="5:11" ht="12.75" customHeight="1" x14ac:dyDescent="0.2">
      <c r="E1055" s="50"/>
      <c r="H1055" s="12"/>
      <c r="K1055"/>
    </row>
    <row r="1056" spans="5:11" ht="12.75" customHeight="1" x14ac:dyDescent="0.2">
      <c r="E1056" s="50"/>
      <c r="H1056" s="12"/>
      <c r="K1056"/>
    </row>
    <row r="1057" spans="5:11" ht="12.75" customHeight="1" x14ac:dyDescent="0.2">
      <c r="E1057" s="50"/>
      <c r="H1057" s="12"/>
      <c r="K1057"/>
    </row>
    <row r="1058" spans="5:11" ht="12.75" customHeight="1" x14ac:dyDescent="0.2">
      <c r="E1058" s="50"/>
      <c r="H1058" s="12"/>
      <c r="K1058"/>
    </row>
    <row r="1059" spans="5:11" ht="12.75" customHeight="1" x14ac:dyDescent="0.2">
      <c r="E1059" s="50"/>
      <c r="H1059" s="12"/>
      <c r="K1059"/>
    </row>
    <row r="1060" spans="5:11" ht="12.75" customHeight="1" x14ac:dyDescent="0.2">
      <c r="E1060" s="50"/>
      <c r="H1060" s="12"/>
      <c r="K1060"/>
    </row>
    <row r="1061" spans="5:11" ht="12.75" customHeight="1" x14ac:dyDescent="0.2">
      <c r="E1061" s="50"/>
      <c r="H1061" s="12"/>
      <c r="K1061"/>
    </row>
    <row r="1062" spans="5:11" ht="12.75" customHeight="1" x14ac:dyDescent="0.2">
      <c r="E1062" s="50"/>
      <c r="H1062" s="12"/>
      <c r="K1062"/>
    </row>
    <row r="1063" spans="5:11" ht="12.75" customHeight="1" x14ac:dyDescent="0.2">
      <c r="E1063" s="50"/>
      <c r="H1063" s="12"/>
      <c r="K1063"/>
    </row>
    <row r="1064" spans="5:11" ht="12.75" customHeight="1" x14ac:dyDescent="0.2">
      <c r="E1064" s="50"/>
      <c r="H1064" s="12"/>
      <c r="K1064"/>
    </row>
    <row r="1065" spans="5:11" ht="12.75" customHeight="1" x14ac:dyDescent="0.2">
      <c r="E1065" s="50"/>
      <c r="H1065" s="12"/>
      <c r="K1065"/>
    </row>
    <row r="1066" spans="5:11" ht="12.75" customHeight="1" x14ac:dyDescent="0.2">
      <c r="E1066" s="50"/>
      <c r="H1066" s="12"/>
      <c r="K1066"/>
    </row>
    <row r="1067" spans="5:11" ht="12.75" customHeight="1" x14ac:dyDescent="0.2">
      <c r="E1067" s="50"/>
      <c r="H1067" s="12"/>
      <c r="K1067"/>
    </row>
    <row r="1068" spans="5:11" ht="12.75" customHeight="1" x14ac:dyDescent="0.2">
      <c r="E1068" s="50"/>
      <c r="H1068" s="12"/>
      <c r="K1068"/>
    </row>
    <row r="1069" spans="5:11" ht="12.75" customHeight="1" x14ac:dyDescent="0.2">
      <c r="E1069" s="50"/>
      <c r="H1069" s="12"/>
      <c r="K1069"/>
    </row>
    <row r="1070" spans="5:11" ht="12.75" customHeight="1" x14ac:dyDescent="0.2">
      <c r="E1070" s="50"/>
      <c r="H1070" s="12"/>
      <c r="K1070"/>
    </row>
    <row r="1071" spans="5:11" ht="12.75" customHeight="1" x14ac:dyDescent="0.2">
      <c r="E1071" s="50"/>
      <c r="H1071" s="12"/>
      <c r="K1071"/>
    </row>
    <row r="1072" spans="5:11" ht="12.75" customHeight="1" x14ac:dyDescent="0.2">
      <c r="E1072" s="50"/>
      <c r="H1072" s="12"/>
      <c r="K1072"/>
    </row>
    <row r="1073" spans="5:11" ht="12.75" customHeight="1" x14ac:dyDescent="0.2">
      <c r="E1073" s="50"/>
      <c r="H1073" s="12"/>
      <c r="K1073"/>
    </row>
    <row r="1074" spans="5:11" ht="12.75" customHeight="1" x14ac:dyDescent="0.2">
      <c r="E1074" s="50"/>
      <c r="H1074" s="12"/>
      <c r="K1074"/>
    </row>
    <row r="1075" spans="5:11" ht="12.75" customHeight="1" x14ac:dyDescent="0.2">
      <c r="E1075" s="50"/>
      <c r="H1075" s="12"/>
      <c r="K1075"/>
    </row>
    <row r="1076" spans="5:11" ht="12.75" customHeight="1" x14ac:dyDescent="0.2">
      <c r="E1076" s="50"/>
      <c r="H1076" s="12"/>
      <c r="K1076"/>
    </row>
    <row r="1077" spans="5:11" ht="12.75" customHeight="1" x14ac:dyDescent="0.2">
      <c r="E1077" s="50"/>
      <c r="H1077" s="12"/>
      <c r="K1077"/>
    </row>
    <row r="1078" spans="5:11" ht="12.75" customHeight="1" x14ac:dyDescent="0.2">
      <c r="E1078" s="50"/>
      <c r="H1078" s="12"/>
      <c r="K1078"/>
    </row>
    <row r="1079" spans="5:11" ht="12.75" customHeight="1" x14ac:dyDescent="0.2">
      <c r="E1079" s="50"/>
      <c r="H1079" s="12"/>
      <c r="K1079"/>
    </row>
    <row r="1080" spans="5:11" ht="12.75" customHeight="1" x14ac:dyDescent="0.2">
      <c r="E1080" s="50"/>
      <c r="H1080" s="12"/>
      <c r="K1080"/>
    </row>
    <row r="1081" spans="5:11" ht="12.75" customHeight="1" x14ac:dyDescent="0.2">
      <c r="E1081" s="50"/>
      <c r="H1081" s="12"/>
      <c r="K1081"/>
    </row>
    <row r="1082" spans="5:11" ht="12.75" customHeight="1" x14ac:dyDescent="0.2">
      <c r="E1082" s="50"/>
      <c r="H1082" s="12"/>
      <c r="K1082"/>
    </row>
    <row r="1083" spans="5:11" ht="12.75" customHeight="1" x14ac:dyDescent="0.2">
      <c r="E1083" s="50"/>
      <c r="H1083" s="12"/>
      <c r="K1083"/>
    </row>
    <row r="1084" spans="5:11" ht="12.75" customHeight="1" x14ac:dyDescent="0.2">
      <c r="E1084" s="50"/>
      <c r="H1084" s="12"/>
      <c r="K1084"/>
    </row>
    <row r="1085" spans="5:11" ht="12.75" customHeight="1" x14ac:dyDescent="0.2">
      <c r="E1085" s="50"/>
      <c r="H1085" s="12"/>
      <c r="K1085"/>
    </row>
    <row r="1086" spans="5:11" ht="12.75" customHeight="1" x14ac:dyDescent="0.2">
      <c r="E1086" s="50"/>
      <c r="H1086" s="12"/>
      <c r="K1086"/>
    </row>
    <row r="1087" spans="5:11" ht="12.75" customHeight="1" x14ac:dyDescent="0.2">
      <c r="E1087" s="50"/>
      <c r="H1087" s="12"/>
      <c r="K1087"/>
    </row>
    <row r="1088" spans="5:11" ht="12.75" customHeight="1" x14ac:dyDescent="0.2">
      <c r="E1088" s="50"/>
      <c r="H1088" s="12"/>
      <c r="K1088"/>
    </row>
    <row r="1089" spans="5:11" ht="12.75" customHeight="1" x14ac:dyDescent="0.2">
      <c r="E1089" s="50"/>
      <c r="H1089" s="12"/>
      <c r="K1089"/>
    </row>
    <row r="1090" spans="5:11" ht="12.75" customHeight="1" x14ac:dyDescent="0.2">
      <c r="E1090" s="50"/>
      <c r="H1090" s="12"/>
      <c r="K1090"/>
    </row>
    <row r="1091" spans="5:11" ht="12.75" customHeight="1" x14ac:dyDescent="0.2">
      <c r="E1091" s="50"/>
      <c r="H1091" s="12"/>
      <c r="K1091"/>
    </row>
    <row r="1092" spans="5:11" ht="12.75" customHeight="1" x14ac:dyDescent="0.2">
      <c r="E1092" s="50"/>
      <c r="H1092" s="12"/>
      <c r="K1092"/>
    </row>
    <row r="1093" spans="5:11" ht="12.75" customHeight="1" x14ac:dyDescent="0.2">
      <c r="E1093" s="50"/>
      <c r="H1093" s="12"/>
      <c r="K1093"/>
    </row>
    <row r="1094" spans="5:11" ht="12.75" customHeight="1" x14ac:dyDescent="0.2">
      <c r="E1094" s="50"/>
      <c r="H1094" s="12"/>
      <c r="K1094"/>
    </row>
    <row r="1095" spans="5:11" ht="12.75" customHeight="1" x14ac:dyDescent="0.2">
      <c r="E1095" s="50"/>
      <c r="H1095" s="12"/>
      <c r="K1095"/>
    </row>
    <row r="1096" spans="5:11" ht="12.75" customHeight="1" x14ac:dyDescent="0.2">
      <c r="E1096" s="50"/>
      <c r="H1096" s="12"/>
      <c r="K1096"/>
    </row>
    <row r="1097" spans="5:11" ht="12.75" customHeight="1" x14ac:dyDescent="0.2">
      <c r="E1097" s="50"/>
      <c r="H1097" s="12"/>
      <c r="K1097"/>
    </row>
    <row r="1098" spans="5:11" ht="12.75" customHeight="1" x14ac:dyDescent="0.2">
      <c r="E1098" s="50"/>
      <c r="H1098" s="12"/>
      <c r="K1098"/>
    </row>
    <row r="1099" spans="5:11" ht="12.75" customHeight="1" x14ac:dyDescent="0.2">
      <c r="E1099" s="50"/>
      <c r="H1099" s="12"/>
      <c r="K1099"/>
    </row>
    <row r="1100" spans="5:11" ht="12.75" customHeight="1" x14ac:dyDescent="0.2">
      <c r="E1100" s="50"/>
      <c r="H1100" s="12"/>
      <c r="K1100"/>
    </row>
    <row r="1101" spans="5:11" ht="12.75" customHeight="1" x14ac:dyDescent="0.2">
      <c r="E1101" s="50"/>
      <c r="H1101" s="12"/>
      <c r="K1101"/>
    </row>
    <row r="1102" spans="5:11" ht="12.75" customHeight="1" x14ac:dyDescent="0.2">
      <c r="E1102" s="50"/>
      <c r="H1102" s="12"/>
      <c r="K1102"/>
    </row>
    <row r="1103" spans="5:11" ht="12.75" customHeight="1" x14ac:dyDescent="0.2">
      <c r="E1103" s="50"/>
      <c r="H1103" s="12"/>
      <c r="K1103"/>
    </row>
    <row r="1104" spans="5:11" ht="12.75" customHeight="1" x14ac:dyDescent="0.2">
      <c r="E1104" s="50"/>
      <c r="H1104" s="12"/>
      <c r="K1104"/>
    </row>
    <row r="1105" spans="5:11" ht="12.75" customHeight="1" x14ac:dyDescent="0.2">
      <c r="E1105" s="50"/>
      <c r="H1105" s="12"/>
      <c r="K1105"/>
    </row>
    <row r="1106" spans="5:11" ht="12.75" customHeight="1" x14ac:dyDescent="0.2">
      <c r="E1106" s="50"/>
      <c r="H1106" s="12"/>
      <c r="K1106"/>
    </row>
    <row r="1107" spans="5:11" ht="12.75" customHeight="1" x14ac:dyDescent="0.2">
      <c r="E1107" s="50"/>
      <c r="H1107" s="12"/>
      <c r="K1107"/>
    </row>
    <row r="1108" spans="5:11" ht="12.75" customHeight="1" x14ac:dyDescent="0.2">
      <c r="E1108" s="50"/>
      <c r="H1108" s="12"/>
      <c r="K1108"/>
    </row>
    <row r="1109" spans="5:11" ht="12.75" customHeight="1" x14ac:dyDescent="0.2">
      <c r="E1109" s="50"/>
      <c r="H1109" s="12"/>
      <c r="K1109"/>
    </row>
    <row r="1110" spans="5:11" ht="12.75" customHeight="1" x14ac:dyDescent="0.2">
      <c r="E1110" s="50"/>
      <c r="H1110" s="12"/>
      <c r="K1110"/>
    </row>
    <row r="1111" spans="5:11" ht="12.75" customHeight="1" x14ac:dyDescent="0.2">
      <c r="E1111" s="50"/>
      <c r="H1111" s="12"/>
      <c r="K1111"/>
    </row>
    <row r="1112" spans="5:11" ht="12.75" customHeight="1" x14ac:dyDescent="0.2">
      <c r="E1112" s="50"/>
      <c r="H1112" s="12"/>
      <c r="K1112"/>
    </row>
    <row r="1113" spans="5:11" ht="12.75" customHeight="1" x14ac:dyDescent="0.2">
      <c r="E1113" s="50"/>
      <c r="H1113" s="12"/>
      <c r="K1113"/>
    </row>
    <row r="1114" spans="5:11" ht="12.75" customHeight="1" x14ac:dyDescent="0.2">
      <c r="E1114" s="50"/>
      <c r="H1114" s="12"/>
      <c r="K1114"/>
    </row>
    <row r="1115" spans="5:11" ht="12.75" customHeight="1" x14ac:dyDescent="0.2">
      <c r="E1115" s="50"/>
      <c r="H1115" s="12"/>
      <c r="K1115"/>
    </row>
    <row r="1116" spans="5:11" ht="12.75" customHeight="1" x14ac:dyDescent="0.2">
      <c r="E1116" s="50"/>
      <c r="H1116" s="12"/>
      <c r="K1116"/>
    </row>
    <row r="1117" spans="5:11" ht="12.75" customHeight="1" x14ac:dyDescent="0.2">
      <c r="E1117" s="50"/>
      <c r="H1117" s="12"/>
      <c r="K1117"/>
    </row>
    <row r="1118" spans="5:11" ht="12.75" customHeight="1" x14ac:dyDescent="0.2">
      <c r="E1118" s="50"/>
      <c r="H1118" s="12"/>
      <c r="K1118"/>
    </row>
    <row r="1119" spans="5:11" ht="12.75" customHeight="1" x14ac:dyDescent="0.2">
      <c r="E1119" s="50"/>
      <c r="H1119" s="12"/>
      <c r="K1119"/>
    </row>
    <row r="1120" spans="5:11" ht="12.75" customHeight="1" x14ac:dyDescent="0.2">
      <c r="E1120" s="50"/>
      <c r="H1120" s="12"/>
      <c r="K1120"/>
    </row>
    <row r="1121" spans="5:11" ht="12.75" customHeight="1" x14ac:dyDescent="0.2">
      <c r="E1121" s="50"/>
      <c r="H1121" s="12"/>
      <c r="K1121"/>
    </row>
    <row r="1122" spans="5:11" ht="12.75" customHeight="1" x14ac:dyDescent="0.2">
      <c r="E1122" s="50"/>
      <c r="H1122" s="12"/>
      <c r="K1122"/>
    </row>
    <row r="1123" spans="5:11" ht="12.75" customHeight="1" x14ac:dyDescent="0.2">
      <c r="E1123" s="50"/>
      <c r="H1123" s="12"/>
      <c r="K1123"/>
    </row>
    <row r="1124" spans="5:11" ht="12.75" customHeight="1" x14ac:dyDescent="0.2">
      <c r="E1124" s="50"/>
      <c r="H1124" s="12"/>
      <c r="K1124"/>
    </row>
    <row r="1125" spans="5:11" ht="12.75" customHeight="1" x14ac:dyDescent="0.2">
      <c r="E1125" s="50"/>
      <c r="H1125" s="12"/>
      <c r="K1125"/>
    </row>
    <row r="1126" spans="5:11" ht="12.75" customHeight="1" x14ac:dyDescent="0.2">
      <c r="E1126" s="50"/>
      <c r="H1126" s="12"/>
      <c r="K1126"/>
    </row>
    <row r="1127" spans="5:11" ht="12.75" customHeight="1" x14ac:dyDescent="0.2">
      <c r="E1127" s="50"/>
      <c r="H1127" s="12"/>
      <c r="K1127"/>
    </row>
    <row r="1128" spans="5:11" ht="12.75" customHeight="1" x14ac:dyDescent="0.2">
      <c r="E1128" s="50"/>
      <c r="H1128" s="12"/>
      <c r="K1128"/>
    </row>
    <row r="1129" spans="5:11" ht="12.75" customHeight="1" x14ac:dyDescent="0.2">
      <c r="E1129" s="50"/>
      <c r="H1129" s="12"/>
      <c r="K1129"/>
    </row>
    <row r="1130" spans="5:11" ht="12.75" customHeight="1" x14ac:dyDescent="0.2">
      <c r="E1130" s="50"/>
      <c r="H1130" s="12"/>
      <c r="K1130"/>
    </row>
    <row r="1131" spans="5:11" ht="12.75" customHeight="1" x14ac:dyDescent="0.2">
      <c r="E1131" s="50"/>
      <c r="H1131" s="12"/>
      <c r="K1131"/>
    </row>
    <row r="1132" spans="5:11" ht="12.75" customHeight="1" x14ac:dyDescent="0.2">
      <c r="E1132" s="50"/>
      <c r="H1132" s="12"/>
      <c r="K1132"/>
    </row>
    <row r="1133" spans="5:11" ht="12.75" customHeight="1" x14ac:dyDescent="0.2">
      <c r="E1133" s="50"/>
      <c r="H1133" s="12"/>
      <c r="K1133"/>
    </row>
    <row r="1134" spans="5:11" ht="12.75" customHeight="1" x14ac:dyDescent="0.2">
      <c r="E1134" s="50"/>
      <c r="H1134" s="12"/>
      <c r="K1134"/>
    </row>
    <row r="1135" spans="5:11" ht="12.75" customHeight="1" x14ac:dyDescent="0.2">
      <c r="E1135" s="50"/>
      <c r="H1135" s="12"/>
      <c r="K1135"/>
    </row>
    <row r="1136" spans="5:11" ht="12.75" customHeight="1" x14ac:dyDescent="0.2">
      <c r="E1136" s="50"/>
      <c r="H1136" s="12"/>
      <c r="K1136"/>
    </row>
    <row r="1137" spans="5:11" ht="12.75" customHeight="1" x14ac:dyDescent="0.2">
      <c r="E1137" s="50"/>
      <c r="H1137" s="12"/>
      <c r="K1137"/>
    </row>
    <row r="1138" spans="5:11" ht="12.75" customHeight="1" x14ac:dyDescent="0.2">
      <c r="E1138" s="50"/>
      <c r="H1138" s="12"/>
      <c r="K1138"/>
    </row>
    <row r="1139" spans="5:11" ht="12.75" customHeight="1" x14ac:dyDescent="0.2">
      <c r="E1139" s="50"/>
      <c r="H1139" s="12"/>
      <c r="K1139"/>
    </row>
    <row r="1140" spans="5:11" ht="12.75" customHeight="1" x14ac:dyDescent="0.2">
      <c r="E1140" s="50"/>
      <c r="H1140" s="12"/>
      <c r="K1140"/>
    </row>
    <row r="1141" spans="5:11" ht="12.75" customHeight="1" x14ac:dyDescent="0.2">
      <c r="E1141" s="50"/>
      <c r="H1141" s="12"/>
      <c r="K1141"/>
    </row>
    <row r="1142" spans="5:11" ht="12.75" customHeight="1" x14ac:dyDescent="0.2">
      <c r="E1142" s="50"/>
      <c r="H1142" s="12"/>
      <c r="K1142"/>
    </row>
    <row r="1143" spans="5:11" ht="12.75" customHeight="1" x14ac:dyDescent="0.2">
      <c r="E1143" s="50"/>
      <c r="H1143" s="12"/>
      <c r="K1143"/>
    </row>
    <row r="1144" spans="5:11" ht="12.75" customHeight="1" x14ac:dyDescent="0.2">
      <c r="E1144" s="50"/>
      <c r="H1144" s="12"/>
      <c r="K1144"/>
    </row>
    <row r="1145" spans="5:11" ht="12.75" customHeight="1" x14ac:dyDescent="0.2">
      <c r="E1145" s="50"/>
      <c r="H1145" s="12"/>
      <c r="K1145"/>
    </row>
    <row r="1146" spans="5:11" ht="12.75" customHeight="1" x14ac:dyDescent="0.2">
      <c r="E1146" s="50"/>
      <c r="H1146" s="12"/>
      <c r="K1146"/>
    </row>
    <row r="1147" spans="5:11" ht="12.75" customHeight="1" x14ac:dyDescent="0.2">
      <c r="E1147" s="50"/>
      <c r="H1147" s="12"/>
      <c r="K1147"/>
    </row>
    <row r="1148" spans="5:11" ht="12.75" customHeight="1" x14ac:dyDescent="0.2">
      <c r="E1148" s="50"/>
      <c r="H1148" s="12"/>
      <c r="K1148"/>
    </row>
    <row r="1149" spans="5:11" ht="12.75" customHeight="1" x14ac:dyDescent="0.2">
      <c r="E1149" s="50"/>
      <c r="H1149" s="12"/>
      <c r="K1149"/>
    </row>
    <row r="1150" spans="5:11" ht="12.75" customHeight="1" x14ac:dyDescent="0.2">
      <c r="E1150" s="50"/>
      <c r="H1150" s="12"/>
      <c r="K1150"/>
    </row>
    <row r="1151" spans="5:11" ht="12.75" customHeight="1" x14ac:dyDescent="0.2">
      <c r="E1151" s="50"/>
      <c r="H1151" s="12"/>
      <c r="K1151"/>
    </row>
    <row r="1152" spans="5:11" ht="12.75" customHeight="1" x14ac:dyDescent="0.2">
      <c r="E1152" s="50"/>
      <c r="H1152" s="12"/>
      <c r="K1152"/>
    </row>
    <row r="1153" spans="5:11" ht="12.75" customHeight="1" x14ac:dyDescent="0.2">
      <c r="E1153" s="50"/>
      <c r="H1153" s="12"/>
      <c r="K1153"/>
    </row>
    <row r="1154" spans="5:11" ht="12.75" customHeight="1" x14ac:dyDescent="0.2">
      <c r="E1154" s="50"/>
      <c r="H1154" s="12"/>
      <c r="K1154"/>
    </row>
    <row r="1155" spans="5:11" ht="12.75" customHeight="1" x14ac:dyDescent="0.2">
      <c r="E1155" s="50"/>
      <c r="H1155" s="12"/>
      <c r="K1155"/>
    </row>
    <row r="1156" spans="5:11" ht="12.75" customHeight="1" x14ac:dyDescent="0.2">
      <c r="E1156" s="50"/>
      <c r="H1156" s="12"/>
      <c r="K1156"/>
    </row>
    <row r="1157" spans="5:11" ht="12.75" customHeight="1" x14ac:dyDescent="0.2">
      <c r="E1157" s="50"/>
      <c r="H1157" s="12"/>
      <c r="K1157"/>
    </row>
    <row r="1158" spans="5:11" ht="12.75" customHeight="1" x14ac:dyDescent="0.2">
      <c r="E1158" s="50"/>
      <c r="H1158" s="12"/>
      <c r="K1158"/>
    </row>
    <row r="1159" spans="5:11" ht="12.75" customHeight="1" x14ac:dyDescent="0.2">
      <c r="E1159" s="50"/>
      <c r="H1159" s="12"/>
      <c r="K1159"/>
    </row>
    <row r="1160" spans="5:11" ht="12.75" customHeight="1" x14ac:dyDescent="0.2">
      <c r="E1160" s="50"/>
      <c r="H1160" s="12"/>
      <c r="K1160"/>
    </row>
    <row r="1161" spans="5:11" ht="12.75" customHeight="1" x14ac:dyDescent="0.2">
      <c r="E1161" s="50"/>
      <c r="H1161" s="12"/>
      <c r="K1161"/>
    </row>
    <row r="1162" spans="5:11" ht="12.75" customHeight="1" x14ac:dyDescent="0.2">
      <c r="E1162" s="50"/>
      <c r="H1162" s="12"/>
      <c r="K1162"/>
    </row>
    <row r="1163" spans="5:11" ht="12.75" customHeight="1" x14ac:dyDescent="0.2">
      <c r="E1163" s="50"/>
      <c r="H1163" s="12"/>
      <c r="K1163"/>
    </row>
    <row r="1164" spans="5:11" ht="12.75" customHeight="1" x14ac:dyDescent="0.2">
      <c r="E1164" s="50"/>
      <c r="H1164" s="12"/>
      <c r="K1164"/>
    </row>
    <row r="1165" spans="5:11" ht="12.75" customHeight="1" x14ac:dyDescent="0.2">
      <c r="E1165" s="50"/>
      <c r="H1165" s="12"/>
      <c r="K1165"/>
    </row>
    <row r="1166" spans="5:11" ht="12.75" customHeight="1" x14ac:dyDescent="0.2">
      <c r="E1166" s="50"/>
      <c r="H1166" s="12"/>
      <c r="K1166"/>
    </row>
    <row r="1167" spans="5:11" ht="12.75" customHeight="1" x14ac:dyDescent="0.2">
      <c r="E1167" s="50"/>
      <c r="H1167" s="12"/>
      <c r="K1167"/>
    </row>
    <row r="1168" spans="5:11" ht="12.75" customHeight="1" x14ac:dyDescent="0.2">
      <c r="E1168" s="50"/>
      <c r="H1168" s="12"/>
      <c r="K1168"/>
    </row>
    <row r="1169" spans="5:11" ht="12.75" customHeight="1" x14ac:dyDescent="0.2">
      <c r="E1169" s="50"/>
      <c r="H1169" s="12"/>
      <c r="K1169"/>
    </row>
    <row r="1170" spans="5:11" ht="12.75" customHeight="1" x14ac:dyDescent="0.2">
      <c r="E1170" s="50"/>
      <c r="H1170" s="12"/>
      <c r="K1170"/>
    </row>
    <row r="1171" spans="5:11" ht="12.75" customHeight="1" x14ac:dyDescent="0.2">
      <c r="E1171" s="50"/>
      <c r="H1171" s="12"/>
      <c r="K1171"/>
    </row>
    <row r="1172" spans="5:11" ht="12.75" customHeight="1" x14ac:dyDescent="0.2">
      <c r="E1172" s="50"/>
      <c r="H1172" s="12"/>
      <c r="K1172"/>
    </row>
    <row r="1173" spans="5:11" ht="12.75" customHeight="1" x14ac:dyDescent="0.2">
      <c r="E1173" s="50"/>
      <c r="H1173" s="12"/>
      <c r="K1173"/>
    </row>
    <row r="1174" spans="5:11" ht="12.75" customHeight="1" x14ac:dyDescent="0.2">
      <c r="E1174" s="50"/>
      <c r="H1174" s="12"/>
      <c r="K1174"/>
    </row>
    <row r="1175" spans="5:11" ht="12.75" customHeight="1" x14ac:dyDescent="0.2">
      <c r="E1175" s="50"/>
      <c r="H1175" s="12"/>
      <c r="K1175"/>
    </row>
    <row r="1176" spans="5:11" ht="12.75" customHeight="1" x14ac:dyDescent="0.2">
      <c r="E1176" s="50"/>
      <c r="H1176" s="12"/>
      <c r="K1176"/>
    </row>
    <row r="1177" spans="5:11" ht="12.75" customHeight="1" x14ac:dyDescent="0.2">
      <c r="E1177" s="50"/>
      <c r="H1177" s="12"/>
      <c r="K1177"/>
    </row>
    <row r="1178" spans="5:11" ht="12.75" customHeight="1" x14ac:dyDescent="0.2">
      <c r="E1178" s="50"/>
      <c r="H1178" s="12"/>
      <c r="K1178"/>
    </row>
    <row r="1179" spans="5:11" ht="12.75" customHeight="1" x14ac:dyDescent="0.2">
      <c r="E1179" s="50"/>
      <c r="H1179" s="12"/>
      <c r="K1179"/>
    </row>
    <row r="1180" spans="5:11" ht="12.75" customHeight="1" x14ac:dyDescent="0.2">
      <c r="E1180" s="50"/>
      <c r="H1180" s="12"/>
      <c r="K1180"/>
    </row>
    <row r="1181" spans="5:11" ht="12.75" customHeight="1" x14ac:dyDescent="0.2">
      <c r="E1181" s="50"/>
      <c r="H1181" s="12"/>
      <c r="K1181"/>
    </row>
    <row r="1182" spans="5:11" ht="12.75" customHeight="1" x14ac:dyDescent="0.2">
      <c r="E1182" s="50"/>
      <c r="H1182" s="12"/>
      <c r="K1182"/>
    </row>
    <row r="1183" spans="5:11" ht="12.75" customHeight="1" x14ac:dyDescent="0.2">
      <c r="E1183" s="50"/>
      <c r="H1183" s="12"/>
      <c r="K1183"/>
    </row>
    <row r="1184" spans="5:11" ht="12.75" customHeight="1" x14ac:dyDescent="0.2">
      <c r="E1184" s="50"/>
      <c r="H1184" s="12"/>
      <c r="K1184"/>
    </row>
    <row r="1185" spans="5:11" ht="12.75" customHeight="1" x14ac:dyDescent="0.2">
      <c r="E1185" s="50"/>
      <c r="H1185" s="12"/>
      <c r="K1185"/>
    </row>
    <row r="1186" spans="5:11" ht="12.75" customHeight="1" x14ac:dyDescent="0.2">
      <c r="E1186" s="50"/>
      <c r="H1186" s="12"/>
      <c r="K1186"/>
    </row>
    <row r="1187" spans="5:11" ht="12.75" customHeight="1" x14ac:dyDescent="0.2">
      <c r="E1187" s="50"/>
      <c r="H1187" s="12"/>
      <c r="K1187"/>
    </row>
    <row r="1188" spans="5:11" ht="12.75" customHeight="1" x14ac:dyDescent="0.2">
      <c r="E1188" s="50"/>
      <c r="H1188" s="12"/>
      <c r="K1188"/>
    </row>
    <row r="1189" spans="5:11" ht="12.75" customHeight="1" x14ac:dyDescent="0.2">
      <c r="E1189" s="50"/>
      <c r="H1189" s="12"/>
      <c r="K1189"/>
    </row>
    <row r="1190" spans="5:11" ht="12.75" customHeight="1" x14ac:dyDescent="0.2">
      <c r="E1190" s="50"/>
      <c r="H1190" s="12"/>
      <c r="K1190"/>
    </row>
    <row r="1191" spans="5:11" ht="12.75" customHeight="1" x14ac:dyDescent="0.2">
      <c r="E1191" s="50"/>
      <c r="H1191" s="12"/>
      <c r="K1191"/>
    </row>
    <row r="1192" spans="5:11" ht="12.75" customHeight="1" x14ac:dyDescent="0.2">
      <c r="E1192" s="50"/>
      <c r="H1192" s="12"/>
      <c r="K1192"/>
    </row>
    <row r="1193" spans="5:11" ht="12.75" customHeight="1" x14ac:dyDescent="0.2">
      <c r="E1193" s="50"/>
      <c r="H1193" s="12"/>
      <c r="K1193"/>
    </row>
    <row r="1194" spans="5:11" ht="12.75" customHeight="1" x14ac:dyDescent="0.2">
      <c r="E1194" s="50"/>
      <c r="H1194" s="12"/>
      <c r="K1194"/>
    </row>
    <row r="1195" spans="5:11" ht="12.75" customHeight="1" x14ac:dyDescent="0.2">
      <c r="E1195" s="50"/>
      <c r="H1195" s="12"/>
      <c r="K1195"/>
    </row>
    <row r="1196" spans="5:11" ht="12.75" customHeight="1" x14ac:dyDescent="0.2">
      <c r="E1196" s="50"/>
      <c r="H1196" s="12"/>
      <c r="K1196"/>
    </row>
    <row r="1197" spans="5:11" ht="12.75" customHeight="1" x14ac:dyDescent="0.2">
      <c r="E1197" s="50"/>
      <c r="H1197" s="12"/>
      <c r="K1197"/>
    </row>
    <row r="1198" spans="5:11" ht="12.75" customHeight="1" x14ac:dyDescent="0.2">
      <c r="E1198" s="50"/>
      <c r="H1198" s="12"/>
      <c r="K1198"/>
    </row>
    <row r="1199" spans="5:11" ht="12.75" customHeight="1" x14ac:dyDescent="0.2">
      <c r="E1199" s="50"/>
      <c r="H1199" s="12"/>
      <c r="K1199"/>
    </row>
    <row r="1200" spans="5:11" ht="12.75" customHeight="1" x14ac:dyDescent="0.2">
      <c r="E1200" s="50"/>
      <c r="H1200" s="12"/>
      <c r="K1200"/>
    </row>
    <row r="1201" spans="5:11" ht="12.75" customHeight="1" x14ac:dyDescent="0.2">
      <c r="E1201" s="50"/>
      <c r="H1201" s="12"/>
      <c r="K1201"/>
    </row>
    <row r="1202" spans="5:11" ht="12.75" customHeight="1" x14ac:dyDescent="0.2">
      <c r="E1202" s="50"/>
      <c r="H1202" s="12"/>
      <c r="K1202"/>
    </row>
    <row r="1203" spans="5:11" ht="12.75" customHeight="1" x14ac:dyDescent="0.2">
      <c r="E1203" s="50"/>
      <c r="H1203" s="12"/>
      <c r="K1203"/>
    </row>
    <row r="1204" spans="5:11" ht="12.75" customHeight="1" x14ac:dyDescent="0.2">
      <c r="E1204" s="50"/>
      <c r="H1204" s="12"/>
      <c r="K1204"/>
    </row>
    <row r="1205" spans="5:11" ht="12.75" customHeight="1" x14ac:dyDescent="0.2">
      <c r="E1205" s="50"/>
      <c r="H1205" s="12"/>
      <c r="K1205"/>
    </row>
    <row r="1206" spans="5:11" ht="12.75" customHeight="1" x14ac:dyDescent="0.2">
      <c r="E1206" s="50"/>
      <c r="H1206" s="12"/>
      <c r="K1206"/>
    </row>
    <row r="1207" spans="5:11" ht="12.75" customHeight="1" x14ac:dyDescent="0.2">
      <c r="E1207" s="50"/>
      <c r="H1207" s="12"/>
      <c r="K1207"/>
    </row>
    <row r="1208" spans="5:11" ht="12.75" customHeight="1" x14ac:dyDescent="0.2">
      <c r="E1208" s="50"/>
      <c r="H1208" s="12"/>
      <c r="K1208"/>
    </row>
    <row r="1209" spans="5:11" ht="12.75" customHeight="1" x14ac:dyDescent="0.2">
      <c r="E1209" s="50"/>
      <c r="H1209" s="12"/>
      <c r="K1209"/>
    </row>
    <row r="1210" spans="5:11" ht="12.75" customHeight="1" x14ac:dyDescent="0.2">
      <c r="E1210" s="50"/>
      <c r="H1210" s="12"/>
      <c r="K1210"/>
    </row>
    <row r="1211" spans="5:11" ht="12.75" customHeight="1" x14ac:dyDescent="0.2">
      <c r="E1211" s="50"/>
      <c r="H1211" s="12"/>
      <c r="K1211"/>
    </row>
    <row r="1212" spans="5:11" ht="12.75" customHeight="1" x14ac:dyDescent="0.2">
      <c r="E1212" s="50"/>
      <c r="H1212" s="12"/>
      <c r="K1212"/>
    </row>
    <row r="1213" spans="5:11" ht="12.75" customHeight="1" x14ac:dyDescent="0.2">
      <c r="E1213" s="50"/>
      <c r="H1213" s="12"/>
      <c r="K1213"/>
    </row>
    <row r="1214" spans="5:11" ht="12.75" customHeight="1" x14ac:dyDescent="0.2">
      <c r="E1214" s="50"/>
      <c r="H1214" s="12"/>
      <c r="K1214"/>
    </row>
    <row r="1215" spans="5:11" ht="12.75" customHeight="1" x14ac:dyDescent="0.2">
      <c r="E1215" s="50"/>
      <c r="H1215" s="12"/>
      <c r="K1215"/>
    </row>
    <row r="1216" spans="5:11" ht="12.75" customHeight="1" x14ac:dyDescent="0.2">
      <c r="E1216" s="50"/>
      <c r="H1216" s="12"/>
      <c r="K1216"/>
    </row>
    <row r="1217" spans="5:11" ht="12.75" customHeight="1" x14ac:dyDescent="0.2">
      <c r="E1217" s="50"/>
      <c r="H1217" s="12"/>
      <c r="K1217"/>
    </row>
    <row r="1218" spans="5:11" ht="12.75" customHeight="1" x14ac:dyDescent="0.2">
      <c r="E1218" s="50"/>
      <c r="H1218" s="12"/>
      <c r="K1218"/>
    </row>
    <row r="1219" spans="5:11" ht="12.75" customHeight="1" x14ac:dyDescent="0.2">
      <c r="E1219" s="50"/>
      <c r="H1219" s="12"/>
      <c r="K1219"/>
    </row>
    <row r="1220" spans="5:11" ht="12.75" customHeight="1" x14ac:dyDescent="0.2">
      <c r="E1220" s="50"/>
      <c r="H1220" s="12"/>
      <c r="K1220"/>
    </row>
    <row r="1221" spans="5:11" ht="12.75" customHeight="1" x14ac:dyDescent="0.2">
      <c r="E1221" s="50"/>
      <c r="H1221" s="12"/>
      <c r="K1221"/>
    </row>
    <row r="1222" spans="5:11" ht="12.75" customHeight="1" x14ac:dyDescent="0.2">
      <c r="E1222" s="50"/>
      <c r="H1222" s="12"/>
      <c r="K1222"/>
    </row>
    <row r="1223" spans="5:11" ht="12.75" customHeight="1" x14ac:dyDescent="0.2">
      <c r="E1223" s="50"/>
      <c r="H1223" s="12"/>
      <c r="K1223"/>
    </row>
    <row r="1224" spans="5:11" ht="12.75" customHeight="1" x14ac:dyDescent="0.2">
      <c r="E1224" s="50"/>
      <c r="H1224" s="12"/>
      <c r="K1224"/>
    </row>
    <row r="1225" spans="5:11" ht="12.75" customHeight="1" x14ac:dyDescent="0.2">
      <c r="E1225" s="50"/>
      <c r="H1225" s="12"/>
      <c r="K1225"/>
    </row>
    <row r="1226" spans="5:11" ht="12.75" customHeight="1" x14ac:dyDescent="0.2">
      <c r="E1226" s="50"/>
      <c r="H1226" s="12"/>
      <c r="K1226"/>
    </row>
    <row r="1227" spans="5:11" ht="12.75" customHeight="1" x14ac:dyDescent="0.2">
      <c r="E1227" s="50"/>
      <c r="H1227" s="12"/>
      <c r="K1227"/>
    </row>
    <row r="1228" spans="5:11" ht="12.75" customHeight="1" x14ac:dyDescent="0.2">
      <c r="E1228" s="50"/>
      <c r="H1228" s="12"/>
      <c r="K1228"/>
    </row>
    <row r="1229" spans="5:11" ht="12.75" customHeight="1" x14ac:dyDescent="0.2">
      <c r="E1229" s="50"/>
      <c r="H1229" s="12"/>
      <c r="K1229"/>
    </row>
    <row r="1230" spans="5:11" ht="12.75" customHeight="1" x14ac:dyDescent="0.2">
      <c r="E1230" s="50"/>
      <c r="H1230" s="12"/>
      <c r="K1230"/>
    </row>
    <row r="1231" spans="5:11" ht="12.75" customHeight="1" x14ac:dyDescent="0.2">
      <c r="E1231" s="50"/>
      <c r="H1231" s="12"/>
      <c r="K1231"/>
    </row>
    <row r="1232" spans="5:11" ht="12.75" customHeight="1" x14ac:dyDescent="0.2">
      <c r="E1232" s="50"/>
      <c r="H1232" s="12"/>
      <c r="K1232"/>
    </row>
    <row r="1233" spans="5:11" ht="12.75" customHeight="1" x14ac:dyDescent="0.2">
      <c r="E1233" s="50"/>
      <c r="H1233" s="12"/>
      <c r="K1233"/>
    </row>
    <row r="1234" spans="5:11" ht="12.75" customHeight="1" x14ac:dyDescent="0.2">
      <c r="E1234" s="50"/>
      <c r="H1234" s="12"/>
      <c r="K1234"/>
    </row>
    <row r="1235" spans="5:11" ht="12.75" customHeight="1" x14ac:dyDescent="0.2">
      <c r="E1235" s="50"/>
      <c r="H1235" s="12"/>
      <c r="K1235"/>
    </row>
    <row r="1236" spans="5:11" ht="12.75" customHeight="1" x14ac:dyDescent="0.2">
      <c r="E1236" s="50"/>
      <c r="H1236" s="12"/>
      <c r="K1236"/>
    </row>
    <row r="1237" spans="5:11" ht="12.75" customHeight="1" x14ac:dyDescent="0.2">
      <c r="E1237" s="50"/>
      <c r="H1237" s="12"/>
      <c r="K1237"/>
    </row>
    <row r="1238" spans="5:11" ht="12.75" customHeight="1" x14ac:dyDescent="0.2">
      <c r="E1238" s="50"/>
      <c r="H1238" s="12"/>
      <c r="K1238"/>
    </row>
    <row r="1239" spans="5:11" ht="12.75" customHeight="1" x14ac:dyDescent="0.2">
      <c r="E1239" s="50"/>
      <c r="H1239" s="12"/>
      <c r="K1239"/>
    </row>
    <row r="1240" spans="5:11" ht="12.75" customHeight="1" x14ac:dyDescent="0.2">
      <c r="E1240" s="50"/>
      <c r="H1240" s="12"/>
      <c r="K1240"/>
    </row>
    <row r="1241" spans="5:11" ht="12.75" customHeight="1" x14ac:dyDescent="0.2">
      <c r="E1241" s="50"/>
      <c r="H1241" s="12"/>
      <c r="K1241"/>
    </row>
    <row r="1242" spans="5:11" ht="12.75" customHeight="1" x14ac:dyDescent="0.2">
      <c r="E1242" s="50"/>
      <c r="H1242" s="12"/>
      <c r="K1242"/>
    </row>
    <row r="1243" spans="5:11" ht="12.75" customHeight="1" x14ac:dyDescent="0.2">
      <c r="E1243" s="50"/>
      <c r="H1243" s="12"/>
      <c r="K1243"/>
    </row>
    <row r="1244" spans="5:11" ht="12.75" customHeight="1" x14ac:dyDescent="0.2">
      <c r="E1244" s="50"/>
      <c r="H1244" s="12"/>
      <c r="K1244"/>
    </row>
    <row r="1245" spans="5:11" ht="12.75" customHeight="1" x14ac:dyDescent="0.2">
      <c r="E1245" s="50"/>
      <c r="H1245" s="12"/>
      <c r="K1245"/>
    </row>
    <row r="1246" spans="5:11" ht="12.75" customHeight="1" x14ac:dyDescent="0.2">
      <c r="E1246" s="50"/>
      <c r="H1246" s="12"/>
      <c r="K1246"/>
    </row>
    <row r="1247" spans="5:11" ht="12.75" customHeight="1" x14ac:dyDescent="0.2">
      <c r="E1247" s="50"/>
      <c r="H1247" s="12"/>
      <c r="K1247"/>
    </row>
    <row r="1248" spans="5:11" ht="12.75" customHeight="1" x14ac:dyDescent="0.2">
      <c r="E1248" s="50"/>
      <c r="H1248" s="12"/>
      <c r="K1248"/>
    </row>
    <row r="1249" spans="5:11" ht="12.75" customHeight="1" x14ac:dyDescent="0.2">
      <c r="E1249" s="50"/>
      <c r="H1249" s="12"/>
      <c r="K1249"/>
    </row>
    <row r="1250" spans="5:11" ht="12.75" customHeight="1" x14ac:dyDescent="0.2">
      <c r="E1250" s="50"/>
      <c r="H1250" s="12"/>
      <c r="K1250"/>
    </row>
    <row r="1251" spans="5:11" ht="12.75" customHeight="1" x14ac:dyDescent="0.2">
      <c r="E1251" s="50"/>
      <c r="H1251" s="12"/>
      <c r="K1251"/>
    </row>
    <row r="1252" spans="5:11" ht="12.75" customHeight="1" x14ac:dyDescent="0.2">
      <c r="E1252" s="50"/>
      <c r="H1252" s="12"/>
      <c r="K1252"/>
    </row>
    <row r="1253" spans="5:11" ht="12.75" customHeight="1" x14ac:dyDescent="0.2">
      <c r="E1253" s="50"/>
      <c r="H1253" s="12"/>
      <c r="K1253"/>
    </row>
    <row r="1254" spans="5:11" ht="12.75" customHeight="1" x14ac:dyDescent="0.2">
      <c r="E1254" s="50"/>
      <c r="H1254" s="12"/>
      <c r="K1254"/>
    </row>
    <row r="1255" spans="5:11" ht="12.75" customHeight="1" x14ac:dyDescent="0.2">
      <c r="E1255" s="50"/>
      <c r="H1255" s="12"/>
      <c r="K1255"/>
    </row>
    <row r="1256" spans="5:11" ht="12.75" customHeight="1" x14ac:dyDescent="0.2">
      <c r="E1256" s="50"/>
      <c r="H1256" s="12"/>
      <c r="K1256"/>
    </row>
    <row r="1257" spans="5:11" ht="12.75" customHeight="1" x14ac:dyDescent="0.2">
      <c r="E1257" s="50"/>
      <c r="H1257" s="12"/>
      <c r="K1257"/>
    </row>
    <row r="1258" spans="5:11" ht="12.75" customHeight="1" x14ac:dyDescent="0.2">
      <c r="E1258" s="50"/>
      <c r="H1258" s="12"/>
      <c r="K1258"/>
    </row>
    <row r="1259" spans="5:11" ht="12.75" customHeight="1" x14ac:dyDescent="0.2">
      <c r="E1259" s="50"/>
      <c r="H1259" s="12"/>
      <c r="K1259"/>
    </row>
    <row r="1260" spans="5:11" ht="12.75" customHeight="1" x14ac:dyDescent="0.2">
      <c r="E1260" s="50"/>
      <c r="H1260" s="12"/>
      <c r="K1260"/>
    </row>
    <row r="1261" spans="5:11" ht="12.75" customHeight="1" x14ac:dyDescent="0.2">
      <c r="E1261" s="50"/>
      <c r="H1261" s="12"/>
      <c r="K1261"/>
    </row>
    <row r="1262" spans="5:11" ht="12.75" customHeight="1" x14ac:dyDescent="0.2">
      <c r="E1262" s="50"/>
      <c r="H1262" s="12"/>
      <c r="K1262"/>
    </row>
    <row r="1263" spans="5:11" ht="12.75" customHeight="1" x14ac:dyDescent="0.2">
      <c r="E1263" s="50"/>
      <c r="H1263" s="12"/>
      <c r="K1263"/>
    </row>
    <row r="1264" spans="5:11" ht="12.75" customHeight="1" x14ac:dyDescent="0.2">
      <c r="E1264" s="50"/>
      <c r="H1264" s="12"/>
      <c r="K1264"/>
    </row>
    <row r="1265" spans="5:11" ht="12.75" customHeight="1" x14ac:dyDescent="0.2">
      <c r="E1265" s="50"/>
      <c r="H1265" s="12"/>
      <c r="K1265"/>
    </row>
    <row r="1266" spans="5:11" ht="12.75" customHeight="1" x14ac:dyDescent="0.2">
      <c r="E1266" s="50"/>
      <c r="H1266" s="12"/>
      <c r="K1266"/>
    </row>
    <row r="1267" spans="5:11" ht="12.75" customHeight="1" x14ac:dyDescent="0.2">
      <c r="E1267" s="50"/>
      <c r="H1267" s="12"/>
      <c r="K1267"/>
    </row>
    <row r="1268" spans="5:11" ht="12.75" customHeight="1" x14ac:dyDescent="0.2">
      <c r="E1268" s="50"/>
      <c r="H1268" s="12"/>
      <c r="K1268"/>
    </row>
    <row r="1269" spans="5:11" ht="12.75" customHeight="1" x14ac:dyDescent="0.2">
      <c r="E1269" s="50"/>
      <c r="H1269" s="12"/>
      <c r="K1269"/>
    </row>
    <row r="1270" spans="5:11" ht="12.75" customHeight="1" x14ac:dyDescent="0.2">
      <c r="E1270" s="50"/>
      <c r="H1270" s="12"/>
      <c r="K1270"/>
    </row>
    <row r="1271" spans="5:11" ht="12.75" customHeight="1" x14ac:dyDescent="0.2">
      <c r="E1271" s="50"/>
      <c r="H1271" s="12"/>
      <c r="K1271"/>
    </row>
    <row r="1272" spans="5:11" ht="12.75" customHeight="1" x14ac:dyDescent="0.2">
      <c r="E1272" s="50"/>
      <c r="H1272" s="12"/>
      <c r="K1272"/>
    </row>
    <row r="1273" spans="5:11" ht="12.75" customHeight="1" x14ac:dyDescent="0.2">
      <c r="E1273" s="50"/>
      <c r="H1273" s="12"/>
      <c r="K1273"/>
    </row>
    <row r="1274" spans="5:11" ht="12.75" customHeight="1" x14ac:dyDescent="0.2">
      <c r="E1274" s="50"/>
      <c r="H1274" s="12"/>
      <c r="K1274"/>
    </row>
    <row r="1275" spans="5:11" ht="12.75" customHeight="1" x14ac:dyDescent="0.2">
      <c r="E1275" s="50"/>
      <c r="H1275" s="12"/>
      <c r="K1275"/>
    </row>
    <row r="1276" spans="5:11" ht="12.75" customHeight="1" x14ac:dyDescent="0.2">
      <c r="E1276" s="50"/>
      <c r="H1276" s="12"/>
      <c r="K1276"/>
    </row>
    <row r="1277" spans="5:11" ht="12.75" customHeight="1" x14ac:dyDescent="0.2">
      <c r="E1277" s="50"/>
      <c r="H1277" s="12"/>
      <c r="K1277"/>
    </row>
    <row r="1278" spans="5:11" ht="12.75" customHeight="1" x14ac:dyDescent="0.2">
      <c r="E1278" s="50"/>
      <c r="H1278" s="12"/>
      <c r="K1278"/>
    </row>
    <row r="1279" spans="5:11" ht="12.75" customHeight="1" x14ac:dyDescent="0.2">
      <c r="E1279" s="50"/>
      <c r="H1279" s="12"/>
      <c r="K1279"/>
    </row>
    <row r="1280" spans="5:11" ht="12.75" customHeight="1" x14ac:dyDescent="0.2">
      <c r="E1280" s="50"/>
      <c r="H1280" s="12"/>
      <c r="K1280"/>
    </row>
    <row r="1281" spans="5:11" ht="12.75" customHeight="1" x14ac:dyDescent="0.2">
      <c r="E1281" s="50"/>
      <c r="H1281" s="12"/>
      <c r="K1281"/>
    </row>
    <row r="1282" spans="5:11" ht="12.75" customHeight="1" x14ac:dyDescent="0.2">
      <c r="E1282" s="50"/>
      <c r="H1282" s="12"/>
      <c r="K1282"/>
    </row>
    <row r="1283" spans="5:11" ht="12.75" customHeight="1" x14ac:dyDescent="0.2">
      <c r="E1283" s="50"/>
      <c r="H1283" s="12"/>
      <c r="K1283"/>
    </row>
    <row r="1284" spans="5:11" ht="12.75" customHeight="1" x14ac:dyDescent="0.2">
      <c r="E1284" s="50"/>
      <c r="H1284" s="12"/>
      <c r="K1284"/>
    </row>
    <row r="1285" spans="5:11" ht="12.75" customHeight="1" x14ac:dyDescent="0.2">
      <c r="E1285" s="50"/>
      <c r="H1285" s="12"/>
      <c r="K1285"/>
    </row>
    <row r="1286" spans="5:11" ht="12.75" customHeight="1" x14ac:dyDescent="0.2">
      <c r="E1286" s="50"/>
      <c r="H1286" s="12"/>
      <c r="K1286"/>
    </row>
    <row r="1287" spans="5:11" ht="12.75" customHeight="1" x14ac:dyDescent="0.2">
      <c r="E1287" s="50"/>
      <c r="H1287" s="12"/>
      <c r="K1287"/>
    </row>
    <row r="1288" spans="5:11" ht="12.75" customHeight="1" x14ac:dyDescent="0.2">
      <c r="E1288" s="50"/>
      <c r="H1288" s="12"/>
      <c r="K1288"/>
    </row>
    <row r="1289" spans="5:11" ht="12.75" customHeight="1" x14ac:dyDescent="0.2">
      <c r="E1289" s="50"/>
      <c r="H1289" s="12"/>
      <c r="K1289"/>
    </row>
    <row r="1290" spans="5:11" ht="12.75" customHeight="1" x14ac:dyDescent="0.2">
      <c r="E1290" s="50"/>
      <c r="H1290" s="12"/>
      <c r="K1290"/>
    </row>
    <row r="1291" spans="5:11" ht="12.75" customHeight="1" x14ac:dyDescent="0.2">
      <c r="E1291" s="50"/>
      <c r="H1291" s="12"/>
      <c r="K1291"/>
    </row>
    <row r="1292" spans="5:11" ht="12.75" customHeight="1" x14ac:dyDescent="0.2">
      <c r="E1292" s="50"/>
      <c r="H1292" s="12"/>
      <c r="K1292"/>
    </row>
    <row r="1293" spans="5:11" ht="12.75" customHeight="1" x14ac:dyDescent="0.2">
      <c r="E1293" s="50"/>
      <c r="H1293" s="12"/>
      <c r="K1293"/>
    </row>
    <row r="1294" spans="5:11" ht="12.75" customHeight="1" x14ac:dyDescent="0.2">
      <c r="E1294" s="50"/>
      <c r="H1294" s="12"/>
      <c r="K1294"/>
    </row>
    <row r="1295" spans="5:11" ht="12.75" customHeight="1" x14ac:dyDescent="0.2">
      <c r="E1295" s="50"/>
      <c r="H1295" s="12"/>
      <c r="K1295"/>
    </row>
    <row r="1296" spans="5:11" ht="12.75" customHeight="1" x14ac:dyDescent="0.2">
      <c r="E1296" s="50"/>
      <c r="H1296" s="12"/>
      <c r="K1296"/>
    </row>
    <row r="1297" spans="5:11" ht="12.75" customHeight="1" x14ac:dyDescent="0.2">
      <c r="E1297" s="50"/>
      <c r="H1297" s="12"/>
      <c r="K1297"/>
    </row>
    <row r="1298" spans="5:11" ht="12.75" customHeight="1" x14ac:dyDescent="0.2">
      <c r="E1298" s="50"/>
      <c r="H1298" s="12"/>
      <c r="K1298"/>
    </row>
    <row r="1299" spans="5:11" ht="12.75" customHeight="1" x14ac:dyDescent="0.2">
      <c r="E1299" s="50"/>
      <c r="H1299" s="12"/>
      <c r="K1299"/>
    </row>
    <row r="1300" spans="5:11" ht="12.75" customHeight="1" x14ac:dyDescent="0.2">
      <c r="E1300" s="50"/>
      <c r="H1300" s="12"/>
      <c r="K1300"/>
    </row>
    <row r="1301" spans="5:11" ht="12.75" customHeight="1" x14ac:dyDescent="0.2">
      <c r="E1301" s="50"/>
      <c r="H1301" s="12"/>
      <c r="K1301"/>
    </row>
    <row r="1302" spans="5:11" ht="12.75" customHeight="1" x14ac:dyDescent="0.2">
      <c r="E1302" s="50"/>
      <c r="H1302" s="12"/>
      <c r="K1302"/>
    </row>
    <row r="1303" spans="5:11" ht="12.75" customHeight="1" x14ac:dyDescent="0.2">
      <c r="E1303" s="50"/>
      <c r="H1303" s="12"/>
      <c r="K1303"/>
    </row>
    <row r="1304" spans="5:11" ht="12.75" customHeight="1" x14ac:dyDescent="0.2">
      <c r="E1304" s="50"/>
      <c r="H1304" s="12"/>
      <c r="K1304"/>
    </row>
    <row r="1305" spans="5:11" ht="12.75" customHeight="1" x14ac:dyDescent="0.2">
      <c r="E1305" s="50"/>
      <c r="H1305" s="12"/>
      <c r="K1305"/>
    </row>
    <row r="1306" spans="5:11" ht="12.75" customHeight="1" x14ac:dyDescent="0.2">
      <c r="E1306" s="50"/>
      <c r="H1306" s="12"/>
      <c r="K1306"/>
    </row>
    <row r="1307" spans="5:11" ht="12.75" customHeight="1" x14ac:dyDescent="0.2">
      <c r="E1307" s="50"/>
      <c r="H1307" s="12"/>
      <c r="K1307"/>
    </row>
    <row r="1308" spans="5:11" ht="12.75" customHeight="1" x14ac:dyDescent="0.2">
      <c r="E1308" s="50"/>
      <c r="H1308" s="12"/>
      <c r="K1308"/>
    </row>
    <row r="1309" spans="5:11" ht="12.75" customHeight="1" x14ac:dyDescent="0.2">
      <c r="E1309" s="50"/>
      <c r="H1309" s="12"/>
      <c r="K1309"/>
    </row>
    <row r="1310" spans="5:11" ht="12.75" customHeight="1" x14ac:dyDescent="0.2">
      <c r="E1310" s="50"/>
      <c r="H1310" s="12"/>
      <c r="K1310"/>
    </row>
    <row r="1311" spans="5:11" ht="12.75" customHeight="1" x14ac:dyDescent="0.2">
      <c r="E1311" s="50"/>
      <c r="H1311" s="12"/>
      <c r="K1311"/>
    </row>
    <row r="1312" spans="5:11" ht="12.75" customHeight="1" x14ac:dyDescent="0.2">
      <c r="E1312" s="50"/>
      <c r="H1312" s="12"/>
      <c r="K1312"/>
    </row>
    <row r="1313" spans="5:11" ht="12.75" customHeight="1" x14ac:dyDescent="0.2">
      <c r="E1313" s="50"/>
      <c r="H1313" s="12"/>
      <c r="K1313"/>
    </row>
    <row r="1314" spans="5:11" ht="12.75" customHeight="1" x14ac:dyDescent="0.2">
      <c r="E1314" s="50"/>
      <c r="H1314" s="12"/>
      <c r="K1314"/>
    </row>
    <row r="1315" spans="5:11" ht="12.75" customHeight="1" x14ac:dyDescent="0.2">
      <c r="E1315" s="50"/>
      <c r="H1315" s="12"/>
      <c r="K1315"/>
    </row>
    <row r="1316" spans="5:11" ht="12.75" customHeight="1" x14ac:dyDescent="0.2">
      <c r="E1316" s="50"/>
      <c r="H1316" s="12"/>
      <c r="K1316"/>
    </row>
    <row r="1317" spans="5:11" ht="12.75" customHeight="1" x14ac:dyDescent="0.2">
      <c r="E1317" s="50"/>
      <c r="H1317" s="12"/>
      <c r="K1317"/>
    </row>
    <row r="1318" spans="5:11" ht="12.75" customHeight="1" x14ac:dyDescent="0.2">
      <c r="E1318" s="50"/>
      <c r="H1318" s="12"/>
      <c r="K1318"/>
    </row>
    <row r="1319" spans="5:11" ht="12.75" customHeight="1" x14ac:dyDescent="0.2">
      <c r="E1319" s="50"/>
      <c r="H1319" s="12"/>
      <c r="K1319"/>
    </row>
    <row r="1320" spans="5:11" ht="12.75" customHeight="1" x14ac:dyDescent="0.2">
      <c r="E1320" s="50"/>
      <c r="H1320" s="12"/>
      <c r="K1320"/>
    </row>
    <row r="1321" spans="5:11" ht="12.75" customHeight="1" x14ac:dyDescent="0.2">
      <c r="E1321" s="50"/>
      <c r="H1321" s="12"/>
      <c r="K1321"/>
    </row>
    <row r="1322" spans="5:11" ht="12.75" customHeight="1" x14ac:dyDescent="0.2">
      <c r="E1322" s="50"/>
      <c r="H1322" s="12"/>
      <c r="K1322"/>
    </row>
    <row r="1323" spans="5:11" ht="12.75" customHeight="1" x14ac:dyDescent="0.2">
      <c r="E1323" s="50"/>
      <c r="H1323" s="12"/>
      <c r="K1323"/>
    </row>
    <row r="1324" spans="5:11" ht="12.75" customHeight="1" x14ac:dyDescent="0.2">
      <c r="E1324" s="50"/>
      <c r="H1324" s="12"/>
      <c r="K1324"/>
    </row>
    <row r="1325" spans="5:11" ht="12.75" customHeight="1" x14ac:dyDescent="0.2">
      <c r="E1325" s="50"/>
      <c r="H1325" s="12"/>
      <c r="K1325"/>
    </row>
    <row r="1326" spans="5:11" ht="12.75" customHeight="1" x14ac:dyDescent="0.2">
      <c r="E1326" s="50"/>
      <c r="H1326" s="12"/>
      <c r="K1326"/>
    </row>
    <row r="1327" spans="5:11" ht="12.75" customHeight="1" x14ac:dyDescent="0.2">
      <c r="E1327" s="50"/>
      <c r="H1327" s="12"/>
      <c r="K1327"/>
    </row>
    <row r="1328" spans="5:11" ht="12.75" customHeight="1" x14ac:dyDescent="0.2">
      <c r="E1328" s="50"/>
      <c r="H1328" s="12"/>
      <c r="K1328"/>
    </row>
    <row r="1329" spans="5:11" ht="12.75" customHeight="1" x14ac:dyDescent="0.2">
      <c r="E1329" s="50"/>
      <c r="H1329" s="12"/>
      <c r="K1329"/>
    </row>
    <row r="1330" spans="5:11" ht="12.75" customHeight="1" x14ac:dyDescent="0.2">
      <c r="E1330" s="50"/>
      <c r="H1330" s="12"/>
      <c r="K1330"/>
    </row>
    <row r="1331" spans="5:11" ht="14.25" customHeight="1" x14ac:dyDescent="0.2">
      <c r="E1331" s="50"/>
      <c r="H1331" s="12"/>
      <c r="K1331"/>
    </row>
    <row r="1332" spans="5:11" ht="13.5" customHeight="1" x14ac:dyDescent="0.2">
      <c r="E1332" s="50"/>
      <c r="H1332" s="12"/>
      <c r="K1332"/>
    </row>
    <row r="1333" spans="5:11" ht="13.5" customHeight="1" x14ac:dyDescent="0.2">
      <c r="E1333" s="50"/>
      <c r="H1333" s="12"/>
      <c r="K1333"/>
    </row>
    <row r="1334" spans="5:11" ht="13.5" customHeight="1" x14ac:dyDescent="0.2">
      <c r="E1334" s="50"/>
      <c r="H1334" s="12"/>
      <c r="K1334"/>
    </row>
    <row r="1335" spans="5:11" ht="13.5" customHeight="1" x14ac:dyDescent="0.2">
      <c r="E1335" s="50"/>
      <c r="H1335" s="12"/>
      <c r="K1335"/>
    </row>
    <row r="1336" spans="5:11" ht="13.5" customHeight="1" x14ac:dyDescent="0.2">
      <c r="E1336" s="50"/>
      <c r="H1336" s="12"/>
      <c r="K1336"/>
    </row>
    <row r="1337" spans="5:11" ht="13.5" customHeight="1" x14ac:dyDescent="0.2">
      <c r="E1337" s="50"/>
      <c r="H1337" s="12"/>
      <c r="K1337"/>
    </row>
    <row r="1338" spans="5:11" ht="13.5" customHeight="1" x14ac:dyDescent="0.2">
      <c r="E1338" s="50"/>
      <c r="H1338" s="12"/>
      <c r="K1338"/>
    </row>
    <row r="1339" spans="5:11" ht="13.5" customHeight="1" x14ac:dyDescent="0.2">
      <c r="E1339" s="50"/>
      <c r="H1339" s="12"/>
      <c r="K1339"/>
    </row>
    <row r="1340" spans="5:11" ht="13.5" customHeight="1" x14ac:dyDescent="0.2">
      <c r="E1340" s="50"/>
      <c r="H1340" s="12"/>
      <c r="K1340"/>
    </row>
    <row r="1341" spans="5:11" ht="13.5" customHeight="1" x14ac:dyDescent="0.2">
      <c r="E1341" s="50"/>
      <c r="H1341" s="12"/>
      <c r="K1341"/>
    </row>
    <row r="1342" spans="5:11" ht="13.5" customHeight="1" x14ac:dyDescent="0.2">
      <c r="E1342" s="50"/>
      <c r="H1342" s="12"/>
      <c r="K1342"/>
    </row>
    <row r="1343" spans="5:11" ht="13.5" customHeight="1" x14ac:dyDescent="0.2">
      <c r="E1343" s="50"/>
      <c r="H1343" s="12"/>
      <c r="K1343"/>
    </row>
    <row r="1344" spans="5:11" ht="13.5" customHeight="1" x14ac:dyDescent="0.2">
      <c r="E1344" s="50"/>
      <c r="H1344" s="12"/>
      <c r="K1344"/>
    </row>
    <row r="1345" spans="5:11" ht="13.5" customHeight="1" x14ac:dyDescent="0.2">
      <c r="E1345" s="50"/>
      <c r="H1345" s="12"/>
      <c r="K1345"/>
    </row>
    <row r="1346" spans="5:11" ht="13.5" customHeight="1" x14ac:dyDescent="0.2">
      <c r="E1346" s="50"/>
      <c r="H1346" s="12"/>
      <c r="K1346"/>
    </row>
    <row r="1347" spans="5:11" ht="13.5" customHeight="1" x14ac:dyDescent="0.2">
      <c r="E1347" s="50"/>
      <c r="H1347" s="12"/>
      <c r="K1347"/>
    </row>
    <row r="1348" spans="5:11" ht="13.5" customHeight="1" x14ac:dyDescent="0.2">
      <c r="E1348" s="50"/>
      <c r="H1348" s="12"/>
      <c r="K1348"/>
    </row>
    <row r="1349" spans="5:11" ht="13.5" customHeight="1" x14ac:dyDescent="0.2">
      <c r="E1349" s="50"/>
      <c r="H1349" s="12"/>
      <c r="K1349"/>
    </row>
    <row r="1350" spans="5:11" ht="13.5" customHeight="1" x14ac:dyDescent="0.2">
      <c r="E1350" s="50"/>
      <c r="H1350" s="12"/>
      <c r="K1350"/>
    </row>
    <row r="1351" spans="5:11" ht="13.5" customHeight="1" x14ac:dyDescent="0.2">
      <c r="E1351" s="50"/>
      <c r="H1351" s="12"/>
      <c r="K1351"/>
    </row>
    <row r="1352" spans="5:11" ht="13.5" customHeight="1" x14ac:dyDescent="0.2">
      <c r="E1352" s="50"/>
      <c r="H1352" s="12"/>
      <c r="K1352"/>
    </row>
    <row r="1353" spans="5:11" ht="13.5" customHeight="1" x14ac:dyDescent="0.2">
      <c r="E1353" s="50"/>
      <c r="H1353" s="12"/>
      <c r="K1353"/>
    </row>
    <row r="1354" spans="5:11" ht="13.5" customHeight="1" x14ac:dyDescent="0.2">
      <c r="E1354" s="50"/>
      <c r="H1354" s="12"/>
      <c r="K1354"/>
    </row>
    <row r="1355" spans="5:11" ht="13.5" customHeight="1" x14ac:dyDescent="0.2">
      <c r="E1355" s="50"/>
      <c r="H1355" s="12"/>
      <c r="K1355"/>
    </row>
    <row r="1356" spans="5:11" ht="13.5" customHeight="1" x14ac:dyDescent="0.2">
      <c r="E1356" s="50"/>
      <c r="H1356" s="12"/>
      <c r="K1356"/>
    </row>
    <row r="1357" spans="5:11" ht="13.5" customHeight="1" x14ac:dyDescent="0.2">
      <c r="E1357" s="50"/>
      <c r="H1357" s="12"/>
      <c r="K1357"/>
    </row>
    <row r="1358" spans="5:11" ht="13.5" customHeight="1" x14ac:dyDescent="0.2">
      <c r="E1358" s="50"/>
      <c r="H1358" s="12"/>
      <c r="K1358"/>
    </row>
    <row r="1359" spans="5:11" ht="13.5" customHeight="1" x14ac:dyDescent="0.2">
      <c r="E1359" s="50"/>
      <c r="H1359" s="12"/>
      <c r="K1359"/>
    </row>
    <row r="1360" spans="5:11" ht="13.5" customHeight="1" x14ac:dyDescent="0.2">
      <c r="E1360" s="50"/>
      <c r="H1360" s="12"/>
      <c r="K1360"/>
    </row>
    <row r="1361" spans="5:11" ht="13.5" customHeight="1" x14ac:dyDescent="0.2">
      <c r="E1361" s="50"/>
      <c r="H1361" s="12"/>
      <c r="K1361"/>
    </row>
    <row r="1362" spans="5:11" ht="13.5" customHeight="1" x14ac:dyDescent="0.2">
      <c r="E1362" s="50"/>
      <c r="H1362" s="12"/>
      <c r="K1362"/>
    </row>
    <row r="1363" spans="5:11" ht="13.5" customHeight="1" x14ac:dyDescent="0.2">
      <c r="E1363" s="50"/>
      <c r="H1363" s="12"/>
      <c r="K1363"/>
    </row>
    <row r="1364" spans="5:11" ht="13.5" customHeight="1" x14ac:dyDescent="0.2">
      <c r="E1364" s="50"/>
      <c r="H1364" s="12"/>
      <c r="K1364"/>
    </row>
    <row r="1365" spans="5:11" ht="13.5" customHeight="1" x14ac:dyDescent="0.2">
      <c r="E1365" s="50"/>
      <c r="H1365" s="12"/>
      <c r="K1365"/>
    </row>
    <row r="1366" spans="5:11" ht="13.5" customHeight="1" x14ac:dyDescent="0.2">
      <c r="E1366" s="50"/>
      <c r="H1366" s="12"/>
      <c r="K1366"/>
    </row>
    <row r="1367" spans="5:11" ht="13.5" customHeight="1" x14ac:dyDescent="0.2">
      <c r="E1367" s="50"/>
      <c r="H1367" s="12"/>
      <c r="K1367"/>
    </row>
    <row r="1368" spans="5:11" ht="13.5" customHeight="1" x14ac:dyDescent="0.2">
      <c r="E1368" s="50"/>
      <c r="H1368" s="12"/>
      <c r="K1368"/>
    </row>
    <row r="1369" spans="5:11" ht="13.5" customHeight="1" x14ac:dyDescent="0.2">
      <c r="E1369" s="50"/>
      <c r="H1369" s="12"/>
      <c r="K1369"/>
    </row>
    <row r="1370" spans="5:11" ht="13.5" customHeight="1" x14ac:dyDescent="0.2">
      <c r="E1370" s="50"/>
      <c r="H1370" s="12"/>
      <c r="K1370"/>
    </row>
    <row r="1371" spans="5:11" ht="13.5" customHeight="1" x14ac:dyDescent="0.2">
      <c r="E1371" s="50"/>
      <c r="H1371" s="12"/>
      <c r="K1371"/>
    </row>
    <row r="1372" spans="5:11" ht="13.5" customHeight="1" x14ac:dyDescent="0.2">
      <c r="E1372" s="50"/>
      <c r="H1372" s="12"/>
      <c r="K1372"/>
    </row>
    <row r="1373" spans="5:11" ht="13.5" customHeight="1" x14ac:dyDescent="0.2">
      <c r="E1373" s="50"/>
      <c r="H1373" s="12"/>
      <c r="K1373"/>
    </row>
    <row r="1374" spans="5:11" ht="13.5" customHeight="1" x14ac:dyDescent="0.2">
      <c r="E1374" s="50"/>
      <c r="H1374" s="12"/>
      <c r="K1374"/>
    </row>
    <row r="1375" spans="5:11" ht="13.5" customHeight="1" x14ac:dyDescent="0.2">
      <c r="E1375" s="50"/>
      <c r="H1375" s="12"/>
      <c r="K1375"/>
    </row>
    <row r="1376" spans="5:11" ht="13.5" customHeight="1" x14ac:dyDescent="0.2">
      <c r="E1376" s="50"/>
      <c r="H1376" s="12"/>
      <c r="K1376"/>
    </row>
    <row r="1377" spans="5:11" ht="13.5" customHeight="1" x14ac:dyDescent="0.2">
      <c r="E1377" s="50"/>
      <c r="H1377" s="12"/>
      <c r="K1377"/>
    </row>
    <row r="1378" spans="5:11" ht="13.5" customHeight="1" x14ac:dyDescent="0.2">
      <c r="E1378" s="50"/>
      <c r="H1378" s="12"/>
      <c r="K1378"/>
    </row>
    <row r="1379" spans="5:11" ht="13.5" customHeight="1" x14ac:dyDescent="0.2">
      <c r="E1379" s="50"/>
      <c r="H1379" s="12"/>
      <c r="K1379"/>
    </row>
    <row r="1380" spans="5:11" ht="13.5" customHeight="1" x14ac:dyDescent="0.2">
      <c r="E1380" s="50"/>
      <c r="H1380" s="12"/>
      <c r="K1380"/>
    </row>
    <row r="1381" spans="5:11" ht="13.5" customHeight="1" x14ac:dyDescent="0.2">
      <c r="E1381" s="50"/>
      <c r="H1381" s="12"/>
      <c r="K1381"/>
    </row>
    <row r="1382" spans="5:11" ht="13.5" customHeight="1" x14ac:dyDescent="0.2">
      <c r="E1382" s="50"/>
      <c r="H1382" s="12"/>
      <c r="K1382"/>
    </row>
    <row r="1383" spans="5:11" ht="13.5" customHeight="1" x14ac:dyDescent="0.2">
      <c r="E1383" s="50"/>
      <c r="H1383" s="12"/>
      <c r="K1383"/>
    </row>
    <row r="1384" spans="5:11" ht="13.5" customHeight="1" x14ac:dyDescent="0.2">
      <c r="E1384" s="50"/>
      <c r="H1384" s="12"/>
      <c r="K1384"/>
    </row>
    <row r="1385" spans="5:11" ht="13.5" customHeight="1" x14ac:dyDescent="0.2">
      <c r="E1385" s="50"/>
      <c r="H1385" s="12"/>
      <c r="K1385"/>
    </row>
    <row r="1386" spans="5:11" ht="13.5" customHeight="1" x14ac:dyDescent="0.2">
      <c r="E1386" s="50"/>
      <c r="H1386" s="12"/>
      <c r="K1386"/>
    </row>
    <row r="1387" spans="5:11" ht="13.5" customHeight="1" x14ac:dyDescent="0.2">
      <c r="E1387" s="50"/>
      <c r="H1387" s="12"/>
      <c r="K1387"/>
    </row>
    <row r="1388" spans="5:11" ht="13.5" customHeight="1" x14ac:dyDescent="0.2">
      <c r="E1388" s="50"/>
      <c r="H1388" s="12"/>
      <c r="K1388"/>
    </row>
    <row r="1389" spans="5:11" x14ac:dyDescent="0.2">
      <c r="E1389" s="50"/>
      <c r="H1389" s="12"/>
      <c r="K1389"/>
    </row>
    <row r="1390" spans="5:11" x14ac:dyDescent="0.2">
      <c r="E1390" s="50"/>
      <c r="H1390" s="12"/>
      <c r="K1390"/>
    </row>
    <row r="1391" spans="5:11" x14ac:dyDescent="0.2">
      <c r="E1391" s="50"/>
      <c r="H1391" s="12"/>
      <c r="K1391"/>
    </row>
    <row r="1392" spans="5:11" x14ac:dyDescent="0.2">
      <c r="E1392" s="50"/>
      <c r="H1392" s="12"/>
      <c r="K1392"/>
    </row>
    <row r="1393" spans="5:11" x14ac:dyDescent="0.2">
      <c r="E1393" s="50"/>
      <c r="H1393" s="12"/>
      <c r="K1393"/>
    </row>
    <row r="1394" spans="5:11" x14ac:dyDescent="0.2">
      <c r="E1394" s="50"/>
      <c r="H1394" s="12"/>
      <c r="K1394"/>
    </row>
    <row r="1395" spans="5:11" x14ac:dyDescent="0.2">
      <c r="E1395" s="50"/>
      <c r="H1395" s="12"/>
      <c r="K1395"/>
    </row>
    <row r="1396" spans="5:11" x14ac:dyDescent="0.2">
      <c r="E1396" s="50"/>
      <c r="H1396" s="12"/>
      <c r="K1396"/>
    </row>
    <row r="1397" spans="5:11" x14ac:dyDescent="0.2">
      <c r="E1397" s="50"/>
      <c r="H1397" s="12"/>
      <c r="K1397"/>
    </row>
    <row r="1398" spans="5:11" x14ac:dyDescent="0.2">
      <c r="E1398" s="50"/>
      <c r="H1398" s="12"/>
      <c r="K1398"/>
    </row>
    <row r="1399" spans="5:11" x14ac:dyDescent="0.2">
      <c r="E1399" s="50"/>
      <c r="H1399" s="12"/>
      <c r="K1399"/>
    </row>
    <row r="1400" spans="5:11" x14ac:dyDescent="0.2">
      <c r="E1400" s="50"/>
      <c r="H1400" s="12"/>
      <c r="K1400"/>
    </row>
    <row r="1401" spans="5:11" x14ac:dyDescent="0.2">
      <c r="E1401" s="50"/>
      <c r="H1401" s="12"/>
      <c r="K1401"/>
    </row>
    <row r="1402" spans="5:11" x14ac:dyDescent="0.2">
      <c r="E1402" s="50"/>
      <c r="H1402" s="12"/>
      <c r="K1402"/>
    </row>
    <row r="1403" spans="5:11" x14ac:dyDescent="0.2">
      <c r="E1403" s="50"/>
      <c r="H1403" s="12"/>
      <c r="K1403"/>
    </row>
    <row r="1404" spans="5:11" x14ac:dyDescent="0.2">
      <c r="E1404" s="50"/>
      <c r="H1404" s="12"/>
      <c r="K1404"/>
    </row>
    <row r="1405" spans="5:11" x14ac:dyDescent="0.2">
      <c r="E1405" s="50"/>
      <c r="H1405" s="12"/>
      <c r="K1405"/>
    </row>
    <row r="1406" spans="5:11" x14ac:dyDescent="0.2">
      <c r="E1406" s="50"/>
      <c r="H1406" s="12"/>
      <c r="K1406"/>
    </row>
    <row r="1407" spans="5:11" x14ac:dyDescent="0.2">
      <c r="E1407" s="50"/>
      <c r="H1407" s="12"/>
      <c r="K1407"/>
    </row>
    <row r="1408" spans="5:11" x14ac:dyDescent="0.2">
      <c r="E1408" s="50"/>
      <c r="H1408" s="12"/>
      <c r="K1408"/>
    </row>
    <row r="1409" spans="5:11" x14ac:dyDescent="0.2">
      <c r="E1409" s="50"/>
      <c r="H1409" s="12"/>
      <c r="K1409"/>
    </row>
    <row r="1410" spans="5:11" x14ac:dyDescent="0.2">
      <c r="E1410" s="50"/>
      <c r="H1410" s="12"/>
      <c r="K1410"/>
    </row>
    <row r="1411" spans="5:11" x14ac:dyDescent="0.2">
      <c r="E1411" s="50"/>
      <c r="H1411" s="12"/>
      <c r="K1411"/>
    </row>
    <row r="1412" spans="5:11" x14ac:dyDescent="0.2">
      <c r="E1412" s="50"/>
      <c r="H1412" s="12"/>
      <c r="K1412"/>
    </row>
    <row r="1413" spans="5:11" x14ac:dyDescent="0.2">
      <c r="E1413" s="50"/>
      <c r="H1413" s="12"/>
      <c r="K1413"/>
    </row>
    <row r="1414" spans="5:11" x14ac:dyDescent="0.2">
      <c r="E1414" s="50"/>
      <c r="H1414" s="12"/>
      <c r="K1414"/>
    </row>
    <row r="1415" spans="5:11" x14ac:dyDescent="0.2">
      <c r="E1415" s="50"/>
      <c r="H1415" s="12"/>
      <c r="K1415"/>
    </row>
    <row r="1416" spans="5:11" x14ac:dyDescent="0.2">
      <c r="E1416" s="50"/>
      <c r="H1416" s="12"/>
      <c r="K1416"/>
    </row>
    <row r="1417" spans="5:11" x14ac:dyDescent="0.2">
      <c r="E1417" s="50"/>
      <c r="H1417" s="12"/>
      <c r="K1417"/>
    </row>
    <row r="1418" spans="5:11" x14ac:dyDescent="0.2">
      <c r="E1418" s="50"/>
      <c r="H1418" s="12"/>
      <c r="K1418"/>
    </row>
    <row r="1419" spans="5:11" x14ac:dyDescent="0.2">
      <c r="E1419" s="50"/>
      <c r="H1419" s="12"/>
      <c r="K1419"/>
    </row>
    <row r="1420" spans="5:11" x14ac:dyDescent="0.2">
      <c r="E1420" s="50"/>
      <c r="H1420" s="12"/>
      <c r="K1420"/>
    </row>
    <row r="1421" spans="5:11" x14ac:dyDescent="0.2">
      <c r="E1421" s="50"/>
      <c r="H1421" s="12"/>
      <c r="K1421"/>
    </row>
    <row r="1422" spans="5:11" x14ac:dyDescent="0.2">
      <c r="E1422" s="50"/>
      <c r="H1422" s="12"/>
      <c r="K1422"/>
    </row>
    <row r="1423" spans="5:11" x14ac:dyDescent="0.2">
      <c r="E1423" s="50"/>
      <c r="H1423" s="12"/>
      <c r="K1423"/>
    </row>
    <row r="1424" spans="5:11" x14ac:dyDescent="0.2">
      <c r="E1424" s="50"/>
      <c r="H1424" s="12"/>
      <c r="K1424"/>
    </row>
    <row r="1425" spans="5:11" x14ac:dyDescent="0.2">
      <c r="E1425" s="50"/>
      <c r="H1425" s="12"/>
      <c r="K1425"/>
    </row>
    <row r="1426" spans="5:11" x14ac:dyDescent="0.2">
      <c r="E1426" s="50"/>
      <c r="H1426" s="12"/>
      <c r="K1426"/>
    </row>
    <row r="1427" spans="5:11" x14ac:dyDescent="0.2">
      <c r="E1427" s="50"/>
      <c r="H1427" s="12"/>
      <c r="K1427"/>
    </row>
    <row r="1428" spans="5:11" x14ac:dyDescent="0.2">
      <c r="E1428" s="50"/>
      <c r="H1428" s="12"/>
      <c r="K1428"/>
    </row>
    <row r="1429" spans="5:11" x14ac:dyDescent="0.2">
      <c r="E1429" s="50"/>
      <c r="H1429" s="12"/>
      <c r="K1429"/>
    </row>
    <row r="1430" spans="5:11" x14ac:dyDescent="0.2">
      <c r="E1430" s="50"/>
      <c r="H1430" s="12"/>
      <c r="K1430"/>
    </row>
    <row r="1431" spans="5:11" x14ac:dyDescent="0.2">
      <c r="E1431" s="50"/>
      <c r="H1431" s="12"/>
      <c r="K1431"/>
    </row>
    <row r="1432" spans="5:11" x14ac:dyDescent="0.2">
      <c r="E1432" s="50"/>
      <c r="H1432" s="12"/>
      <c r="K1432"/>
    </row>
    <row r="1433" spans="5:11" x14ac:dyDescent="0.2">
      <c r="E1433" s="50"/>
      <c r="H1433" s="12"/>
      <c r="K1433"/>
    </row>
    <row r="1434" spans="5:11" x14ac:dyDescent="0.2">
      <c r="E1434" s="50"/>
      <c r="H1434" s="12"/>
      <c r="K1434"/>
    </row>
    <row r="1435" spans="5:11" x14ac:dyDescent="0.2">
      <c r="E1435" s="50"/>
      <c r="H1435" s="12"/>
      <c r="K1435"/>
    </row>
    <row r="1436" spans="5:11" x14ac:dyDescent="0.2">
      <c r="E1436" s="50"/>
      <c r="H1436" s="12"/>
      <c r="K1436"/>
    </row>
    <row r="1437" spans="5:11" x14ac:dyDescent="0.2">
      <c r="E1437" s="50"/>
      <c r="H1437" s="12"/>
      <c r="K1437"/>
    </row>
    <row r="1438" spans="5:11" x14ac:dyDescent="0.2">
      <c r="E1438" s="50"/>
      <c r="H1438" s="12"/>
      <c r="K1438"/>
    </row>
    <row r="1439" spans="5:11" x14ac:dyDescent="0.2">
      <c r="E1439" s="50"/>
      <c r="H1439" s="12"/>
      <c r="K1439"/>
    </row>
    <row r="1440" spans="5:11" x14ac:dyDescent="0.2">
      <c r="E1440" s="50"/>
      <c r="H1440" s="12"/>
      <c r="K1440"/>
    </row>
    <row r="1441" spans="5:11" x14ac:dyDescent="0.2">
      <c r="E1441" s="50"/>
      <c r="H1441" s="12"/>
      <c r="K1441"/>
    </row>
    <row r="1442" spans="5:11" x14ac:dyDescent="0.2">
      <c r="E1442" s="50"/>
      <c r="H1442" s="12"/>
      <c r="K1442"/>
    </row>
    <row r="1443" spans="5:11" x14ac:dyDescent="0.2">
      <c r="E1443" s="50"/>
      <c r="H1443" s="12"/>
      <c r="K1443"/>
    </row>
    <row r="1444" spans="5:11" x14ac:dyDescent="0.2">
      <c r="E1444" s="50"/>
      <c r="H1444" s="12"/>
      <c r="K1444"/>
    </row>
    <row r="1445" spans="5:11" x14ac:dyDescent="0.2">
      <c r="E1445" s="50"/>
      <c r="H1445" s="12"/>
      <c r="K1445"/>
    </row>
    <row r="1446" spans="5:11" x14ac:dyDescent="0.2">
      <c r="E1446" s="50"/>
      <c r="H1446" s="12"/>
      <c r="K1446"/>
    </row>
    <row r="1447" spans="5:11" x14ac:dyDescent="0.2">
      <c r="E1447" s="50"/>
      <c r="H1447" s="12"/>
      <c r="K1447"/>
    </row>
    <row r="1448" spans="5:11" x14ac:dyDescent="0.2">
      <c r="E1448" s="50"/>
      <c r="H1448" s="12"/>
      <c r="K1448"/>
    </row>
    <row r="1449" spans="5:11" x14ac:dyDescent="0.2">
      <c r="E1449" s="50"/>
      <c r="H1449" s="12"/>
      <c r="K1449"/>
    </row>
    <row r="1450" spans="5:11" x14ac:dyDescent="0.2">
      <c r="E1450" s="50"/>
      <c r="H1450" s="12"/>
      <c r="K1450"/>
    </row>
    <row r="1451" spans="5:11" x14ac:dyDescent="0.2">
      <c r="E1451" s="50"/>
      <c r="H1451" s="12"/>
      <c r="K1451"/>
    </row>
    <row r="1452" spans="5:11" x14ac:dyDescent="0.2">
      <c r="E1452" s="50"/>
      <c r="H1452" s="12"/>
      <c r="K1452"/>
    </row>
    <row r="1453" spans="5:11" x14ac:dyDescent="0.2">
      <c r="E1453" s="50"/>
      <c r="H1453" s="12"/>
      <c r="K1453"/>
    </row>
    <row r="1454" spans="5:11" x14ac:dyDescent="0.2">
      <c r="E1454" s="50"/>
      <c r="H1454" s="12"/>
      <c r="K1454"/>
    </row>
    <row r="1455" spans="5:11" x14ac:dyDescent="0.2">
      <c r="E1455" s="50"/>
      <c r="H1455" s="12"/>
      <c r="K1455"/>
    </row>
    <row r="1456" spans="5:11" x14ac:dyDescent="0.2">
      <c r="E1456" s="50"/>
      <c r="H1456" s="12"/>
      <c r="K1456"/>
    </row>
    <row r="1457" spans="5:11" x14ac:dyDescent="0.2">
      <c r="E1457" s="50"/>
      <c r="H1457" s="12"/>
      <c r="K1457"/>
    </row>
    <row r="1458" spans="5:11" x14ac:dyDescent="0.2">
      <c r="E1458" s="50"/>
      <c r="H1458" s="12"/>
      <c r="K1458"/>
    </row>
    <row r="1459" spans="5:11" x14ac:dyDescent="0.2">
      <c r="E1459" s="50"/>
      <c r="H1459" s="12"/>
      <c r="K1459"/>
    </row>
    <row r="1460" spans="5:11" x14ac:dyDescent="0.2">
      <c r="E1460" s="50"/>
      <c r="H1460" s="12"/>
      <c r="K1460"/>
    </row>
    <row r="1461" spans="5:11" x14ac:dyDescent="0.2">
      <c r="E1461" s="50"/>
      <c r="H1461" s="12"/>
      <c r="K1461"/>
    </row>
    <row r="1462" spans="5:11" x14ac:dyDescent="0.2">
      <c r="E1462" s="50"/>
      <c r="H1462" s="12"/>
      <c r="K1462"/>
    </row>
    <row r="1463" spans="5:11" x14ac:dyDescent="0.2">
      <c r="E1463" s="50"/>
      <c r="H1463" s="12"/>
      <c r="K1463"/>
    </row>
    <row r="1464" spans="5:11" x14ac:dyDescent="0.2">
      <c r="E1464" s="50"/>
      <c r="H1464" s="12"/>
      <c r="K1464"/>
    </row>
    <row r="1465" spans="5:11" x14ac:dyDescent="0.2">
      <c r="E1465" s="50"/>
      <c r="H1465" s="12"/>
      <c r="K1465"/>
    </row>
    <row r="1466" spans="5:11" x14ac:dyDescent="0.2">
      <c r="E1466" s="50"/>
      <c r="H1466" s="12"/>
      <c r="K1466"/>
    </row>
    <row r="1467" spans="5:11" x14ac:dyDescent="0.2">
      <c r="E1467" s="50"/>
      <c r="H1467" s="12"/>
      <c r="K1467"/>
    </row>
    <row r="1468" spans="5:11" x14ac:dyDescent="0.2">
      <c r="E1468" s="50"/>
      <c r="H1468" s="12"/>
      <c r="K1468"/>
    </row>
    <row r="1469" spans="5:11" x14ac:dyDescent="0.2">
      <c r="E1469" s="50"/>
      <c r="H1469" s="12"/>
      <c r="K1469"/>
    </row>
    <row r="1470" spans="5:11" x14ac:dyDescent="0.2">
      <c r="E1470" s="50"/>
      <c r="H1470" s="12"/>
      <c r="K1470"/>
    </row>
    <row r="1471" spans="5:11" x14ac:dyDescent="0.2">
      <c r="E1471" s="50"/>
      <c r="H1471" s="12"/>
      <c r="K1471"/>
    </row>
    <row r="1472" spans="5:11" x14ac:dyDescent="0.2">
      <c r="E1472" s="50"/>
      <c r="H1472" s="12"/>
      <c r="K1472"/>
    </row>
    <row r="1473" spans="5:11" x14ac:dyDescent="0.2">
      <c r="E1473" s="50"/>
      <c r="H1473" s="12"/>
      <c r="K1473"/>
    </row>
    <row r="1474" spans="5:11" x14ac:dyDescent="0.2">
      <c r="E1474" s="50"/>
      <c r="H1474" s="12"/>
      <c r="K1474"/>
    </row>
    <row r="1475" spans="5:11" x14ac:dyDescent="0.2">
      <c r="E1475" s="50"/>
      <c r="H1475" s="12"/>
      <c r="K1475"/>
    </row>
    <row r="1476" spans="5:11" x14ac:dyDescent="0.2">
      <c r="E1476" s="50"/>
      <c r="H1476" s="12"/>
      <c r="K1476"/>
    </row>
    <row r="1477" spans="5:11" x14ac:dyDescent="0.2">
      <c r="E1477" s="50"/>
      <c r="H1477" s="12"/>
      <c r="K1477"/>
    </row>
    <row r="1478" spans="5:11" x14ac:dyDescent="0.2">
      <c r="E1478" s="50"/>
      <c r="H1478" s="12"/>
      <c r="K1478"/>
    </row>
    <row r="1479" spans="5:11" x14ac:dyDescent="0.2">
      <c r="E1479" s="50"/>
      <c r="H1479" s="12"/>
      <c r="K1479"/>
    </row>
    <row r="1480" spans="5:11" x14ac:dyDescent="0.2">
      <c r="E1480" s="50"/>
      <c r="H1480" s="12"/>
      <c r="K1480"/>
    </row>
    <row r="1481" spans="5:11" x14ac:dyDescent="0.2">
      <c r="E1481" s="50"/>
      <c r="H1481" s="12"/>
      <c r="K1481"/>
    </row>
    <row r="1482" spans="5:11" x14ac:dyDescent="0.2">
      <c r="E1482" s="50"/>
      <c r="H1482" s="12"/>
      <c r="K1482"/>
    </row>
    <row r="1483" spans="5:11" x14ac:dyDescent="0.2">
      <c r="E1483" s="50"/>
      <c r="H1483" s="12"/>
      <c r="K1483"/>
    </row>
    <row r="1484" spans="5:11" x14ac:dyDescent="0.2">
      <c r="E1484" s="50"/>
      <c r="H1484" s="12"/>
      <c r="K1484"/>
    </row>
    <row r="1485" spans="5:11" x14ac:dyDescent="0.2">
      <c r="E1485" s="50"/>
      <c r="H1485" s="12"/>
      <c r="K1485"/>
    </row>
    <row r="1486" spans="5:11" x14ac:dyDescent="0.2">
      <c r="E1486" s="50"/>
      <c r="H1486" s="12"/>
      <c r="K1486"/>
    </row>
    <row r="1487" spans="5:11" x14ac:dyDescent="0.2">
      <c r="E1487" s="50"/>
      <c r="H1487" s="12"/>
      <c r="K1487"/>
    </row>
    <row r="1488" spans="5:11" x14ac:dyDescent="0.2">
      <c r="E1488" s="50"/>
      <c r="H1488" s="12"/>
      <c r="K1488"/>
    </row>
    <row r="1489" spans="5:11" x14ac:dyDescent="0.2">
      <c r="E1489" s="50"/>
      <c r="H1489" s="12"/>
      <c r="K1489"/>
    </row>
    <row r="1490" spans="5:11" x14ac:dyDescent="0.2">
      <c r="E1490" s="50"/>
      <c r="H1490" s="12"/>
      <c r="K1490"/>
    </row>
    <row r="1491" spans="5:11" x14ac:dyDescent="0.2">
      <c r="E1491" s="50"/>
      <c r="H1491" s="12"/>
      <c r="K1491"/>
    </row>
    <row r="1492" spans="5:11" x14ac:dyDescent="0.2">
      <c r="E1492" s="50"/>
      <c r="H1492" s="12"/>
      <c r="K1492"/>
    </row>
    <row r="1493" spans="5:11" x14ac:dyDescent="0.2">
      <c r="E1493" s="50"/>
      <c r="H1493" s="12"/>
      <c r="K1493"/>
    </row>
    <row r="1494" spans="5:11" x14ac:dyDescent="0.2">
      <c r="E1494" s="50"/>
      <c r="H1494" s="12"/>
      <c r="K1494"/>
    </row>
    <row r="1495" spans="5:11" x14ac:dyDescent="0.2">
      <c r="E1495" s="50"/>
      <c r="H1495" s="12"/>
      <c r="K1495"/>
    </row>
    <row r="1496" spans="5:11" x14ac:dyDescent="0.2">
      <c r="E1496" s="50"/>
      <c r="H1496" s="12"/>
      <c r="K1496"/>
    </row>
    <row r="1497" spans="5:11" x14ac:dyDescent="0.2">
      <c r="E1497" s="50"/>
      <c r="H1497" s="12"/>
      <c r="K1497"/>
    </row>
    <row r="1498" spans="5:11" x14ac:dyDescent="0.2">
      <c r="E1498" s="50"/>
      <c r="H1498" s="12"/>
      <c r="K1498"/>
    </row>
    <row r="1499" spans="5:11" x14ac:dyDescent="0.2">
      <c r="E1499" s="50"/>
      <c r="H1499" s="12"/>
      <c r="K1499"/>
    </row>
    <row r="1500" spans="5:11" x14ac:dyDescent="0.2">
      <c r="E1500" s="50"/>
      <c r="H1500" s="12"/>
      <c r="K1500"/>
    </row>
    <row r="1501" spans="5:11" x14ac:dyDescent="0.2">
      <c r="E1501" s="50"/>
      <c r="H1501" s="12"/>
      <c r="K1501"/>
    </row>
    <row r="1502" spans="5:11" x14ac:dyDescent="0.2">
      <c r="E1502" s="50"/>
      <c r="H1502" s="12"/>
      <c r="K1502"/>
    </row>
    <row r="1503" spans="5:11" x14ac:dyDescent="0.2">
      <c r="E1503" s="50"/>
      <c r="H1503" s="12"/>
      <c r="K1503"/>
    </row>
    <row r="1504" spans="5:11" x14ac:dyDescent="0.2">
      <c r="E1504" s="50"/>
      <c r="H1504" s="12"/>
      <c r="K1504"/>
    </row>
    <row r="1505" spans="5:11" x14ac:dyDescent="0.2">
      <c r="E1505" s="50"/>
      <c r="H1505" s="12"/>
      <c r="K1505"/>
    </row>
    <row r="1506" spans="5:11" x14ac:dyDescent="0.2">
      <c r="E1506" s="50"/>
      <c r="H1506" s="12"/>
      <c r="K1506"/>
    </row>
    <row r="1507" spans="5:11" x14ac:dyDescent="0.2">
      <c r="E1507" s="50"/>
      <c r="H1507" s="12"/>
      <c r="K1507"/>
    </row>
    <row r="1508" spans="5:11" x14ac:dyDescent="0.2">
      <c r="E1508" s="50"/>
      <c r="H1508" s="12"/>
      <c r="K1508"/>
    </row>
    <row r="1509" spans="5:11" x14ac:dyDescent="0.2">
      <c r="E1509" s="50"/>
      <c r="H1509" s="12"/>
      <c r="K1509"/>
    </row>
    <row r="1510" spans="5:11" x14ac:dyDescent="0.2">
      <c r="E1510" s="50"/>
      <c r="H1510" s="12"/>
      <c r="K1510"/>
    </row>
    <row r="1511" spans="5:11" x14ac:dyDescent="0.2">
      <c r="E1511" s="50"/>
      <c r="H1511" s="12"/>
      <c r="K1511"/>
    </row>
    <row r="1512" spans="5:11" x14ac:dyDescent="0.2">
      <c r="E1512" s="50"/>
      <c r="H1512" s="12"/>
      <c r="K1512"/>
    </row>
    <row r="1513" spans="5:11" x14ac:dyDescent="0.2">
      <c r="E1513" s="50"/>
      <c r="H1513" s="12"/>
      <c r="K1513"/>
    </row>
    <row r="1514" spans="5:11" x14ac:dyDescent="0.2">
      <c r="E1514" s="50"/>
      <c r="H1514" s="12"/>
      <c r="K1514"/>
    </row>
    <row r="1515" spans="5:11" x14ac:dyDescent="0.2">
      <c r="E1515" s="50"/>
      <c r="H1515" s="12"/>
      <c r="K1515"/>
    </row>
    <row r="1516" spans="5:11" x14ac:dyDescent="0.2">
      <c r="E1516" s="50"/>
      <c r="H1516" s="12"/>
      <c r="K1516"/>
    </row>
    <row r="1517" spans="5:11" x14ac:dyDescent="0.2">
      <c r="E1517" s="50"/>
      <c r="H1517" s="12"/>
      <c r="K1517"/>
    </row>
    <row r="1518" spans="5:11" x14ac:dyDescent="0.2">
      <c r="E1518" s="50"/>
      <c r="H1518" s="12"/>
      <c r="K1518"/>
    </row>
    <row r="1519" spans="5:11" x14ac:dyDescent="0.2">
      <c r="E1519" s="50"/>
      <c r="H1519" s="12"/>
      <c r="K1519"/>
    </row>
    <row r="1520" spans="5:11" x14ac:dyDescent="0.2">
      <c r="E1520" s="50"/>
      <c r="H1520" s="12"/>
      <c r="K1520"/>
    </row>
    <row r="1521" spans="5:11" x14ac:dyDescent="0.2">
      <c r="E1521" s="50"/>
      <c r="H1521" s="12"/>
      <c r="K1521"/>
    </row>
    <row r="1522" spans="5:11" x14ac:dyDescent="0.2">
      <c r="E1522" s="50"/>
      <c r="H1522" s="12"/>
      <c r="K1522"/>
    </row>
    <row r="1523" spans="5:11" x14ac:dyDescent="0.2">
      <c r="E1523" s="50"/>
      <c r="H1523" s="12"/>
      <c r="K1523"/>
    </row>
    <row r="1524" spans="5:11" x14ac:dyDescent="0.2">
      <c r="E1524" s="50"/>
      <c r="H1524" s="12"/>
      <c r="K1524"/>
    </row>
    <row r="1525" spans="5:11" x14ac:dyDescent="0.2">
      <c r="E1525" s="50"/>
      <c r="H1525" s="12"/>
      <c r="K1525"/>
    </row>
    <row r="1526" spans="5:11" x14ac:dyDescent="0.2">
      <c r="E1526" s="50"/>
      <c r="H1526" s="12"/>
      <c r="K1526"/>
    </row>
    <row r="1527" spans="5:11" x14ac:dyDescent="0.2">
      <c r="E1527" s="50"/>
      <c r="H1527" s="12"/>
      <c r="K1527"/>
    </row>
    <row r="1528" spans="5:11" x14ac:dyDescent="0.2">
      <c r="E1528" s="50"/>
      <c r="H1528" s="12"/>
      <c r="K1528"/>
    </row>
    <row r="1529" spans="5:11" x14ac:dyDescent="0.2">
      <c r="E1529" s="50"/>
      <c r="H1529" s="12"/>
      <c r="K1529"/>
    </row>
    <row r="1530" spans="5:11" x14ac:dyDescent="0.2">
      <c r="E1530" s="50"/>
      <c r="H1530" s="12"/>
      <c r="K1530"/>
    </row>
    <row r="1531" spans="5:11" x14ac:dyDescent="0.2">
      <c r="E1531" s="50"/>
      <c r="H1531" s="12"/>
      <c r="K1531"/>
    </row>
    <row r="1532" spans="5:11" x14ac:dyDescent="0.2">
      <c r="E1532" s="50"/>
      <c r="H1532" s="12"/>
      <c r="K1532"/>
    </row>
    <row r="1533" spans="5:11" x14ac:dyDescent="0.2">
      <c r="E1533" s="50"/>
      <c r="H1533" s="12"/>
      <c r="K1533"/>
    </row>
    <row r="1534" spans="5:11" x14ac:dyDescent="0.2">
      <c r="E1534" s="50"/>
      <c r="H1534" s="12"/>
      <c r="K1534"/>
    </row>
    <row r="1535" spans="5:11" x14ac:dyDescent="0.2">
      <c r="E1535" s="50"/>
      <c r="H1535" s="12"/>
      <c r="K1535"/>
    </row>
    <row r="1536" spans="5:11" x14ac:dyDescent="0.2">
      <c r="E1536" s="50"/>
      <c r="H1536" s="12"/>
      <c r="K1536"/>
    </row>
    <row r="1537" spans="5:11" x14ac:dyDescent="0.2">
      <c r="E1537" s="50"/>
      <c r="H1537" s="12"/>
      <c r="K1537"/>
    </row>
    <row r="1538" spans="5:11" x14ac:dyDescent="0.2">
      <c r="E1538" s="50"/>
      <c r="H1538" s="12"/>
      <c r="K1538"/>
    </row>
    <row r="1539" spans="5:11" x14ac:dyDescent="0.2">
      <c r="E1539" s="50"/>
      <c r="H1539" s="12"/>
      <c r="K1539"/>
    </row>
    <row r="1540" spans="5:11" x14ac:dyDescent="0.2">
      <c r="E1540" s="50"/>
      <c r="H1540" s="12"/>
      <c r="K1540"/>
    </row>
    <row r="1541" spans="5:11" x14ac:dyDescent="0.2">
      <c r="E1541" s="50"/>
      <c r="H1541" s="12"/>
      <c r="K1541"/>
    </row>
    <row r="1542" spans="5:11" x14ac:dyDescent="0.2">
      <c r="E1542" s="50"/>
      <c r="H1542" s="12"/>
      <c r="K1542"/>
    </row>
    <row r="1543" spans="5:11" x14ac:dyDescent="0.2">
      <c r="E1543" s="50"/>
      <c r="H1543" s="12"/>
      <c r="K1543"/>
    </row>
    <row r="1544" spans="5:11" x14ac:dyDescent="0.2">
      <c r="E1544" s="50"/>
      <c r="H1544" s="12"/>
      <c r="K1544"/>
    </row>
    <row r="1545" spans="5:11" x14ac:dyDescent="0.2">
      <c r="E1545" s="50"/>
      <c r="H1545" s="12"/>
      <c r="K1545"/>
    </row>
    <row r="1546" spans="5:11" x14ac:dyDescent="0.2">
      <c r="E1546" s="50"/>
      <c r="H1546" s="12"/>
      <c r="K1546"/>
    </row>
    <row r="1547" spans="5:11" x14ac:dyDescent="0.2">
      <c r="E1547" s="50"/>
      <c r="H1547" s="12"/>
      <c r="K1547"/>
    </row>
    <row r="1548" spans="5:11" x14ac:dyDescent="0.2">
      <c r="E1548" s="50"/>
      <c r="H1548" s="12"/>
      <c r="K1548"/>
    </row>
    <row r="1549" spans="5:11" x14ac:dyDescent="0.2">
      <c r="E1549" s="50"/>
      <c r="H1549" s="12"/>
      <c r="K1549"/>
    </row>
    <row r="1550" spans="5:11" x14ac:dyDescent="0.2">
      <c r="E1550" s="50"/>
      <c r="H1550" s="12"/>
      <c r="K1550"/>
    </row>
    <row r="1551" spans="5:11" x14ac:dyDescent="0.2">
      <c r="E1551" s="50"/>
      <c r="H1551" s="12"/>
      <c r="K1551"/>
    </row>
    <row r="1552" spans="5:11" x14ac:dyDescent="0.2">
      <c r="E1552" s="50"/>
      <c r="H1552" s="12"/>
      <c r="K1552"/>
    </row>
    <row r="1553" spans="5:11" x14ac:dyDescent="0.2">
      <c r="E1553" s="50"/>
      <c r="H1553" s="12"/>
      <c r="K1553"/>
    </row>
    <row r="1554" spans="5:11" x14ac:dyDescent="0.2">
      <c r="E1554" s="50"/>
      <c r="H1554" s="12"/>
      <c r="K1554"/>
    </row>
    <row r="1555" spans="5:11" x14ac:dyDescent="0.2">
      <c r="E1555" s="50"/>
      <c r="H1555" s="12"/>
      <c r="K1555"/>
    </row>
    <row r="1556" spans="5:11" x14ac:dyDescent="0.2">
      <c r="E1556" s="50"/>
      <c r="H1556" s="12"/>
      <c r="K1556"/>
    </row>
    <row r="1557" spans="5:11" x14ac:dyDescent="0.2">
      <c r="E1557" s="50"/>
      <c r="H1557" s="12"/>
      <c r="K1557"/>
    </row>
    <row r="1558" spans="5:11" x14ac:dyDescent="0.2">
      <c r="E1558" s="50"/>
      <c r="H1558" s="12"/>
      <c r="K1558"/>
    </row>
    <row r="1559" spans="5:11" x14ac:dyDescent="0.2">
      <c r="E1559" s="50"/>
      <c r="H1559" s="12"/>
      <c r="K1559"/>
    </row>
    <row r="1560" spans="5:11" x14ac:dyDescent="0.2">
      <c r="E1560" s="50"/>
      <c r="H1560" s="12"/>
      <c r="K1560"/>
    </row>
    <row r="1561" spans="5:11" x14ac:dyDescent="0.2">
      <c r="E1561" s="50"/>
      <c r="H1561" s="12"/>
      <c r="K1561"/>
    </row>
    <row r="1562" spans="5:11" x14ac:dyDescent="0.2">
      <c r="E1562" s="50"/>
      <c r="H1562" s="12"/>
      <c r="K1562"/>
    </row>
    <row r="1563" spans="5:11" x14ac:dyDescent="0.2">
      <c r="E1563" s="50"/>
      <c r="H1563" s="12"/>
      <c r="K1563"/>
    </row>
    <row r="1564" spans="5:11" x14ac:dyDescent="0.2">
      <c r="E1564" s="50"/>
      <c r="H1564" s="12"/>
      <c r="K1564"/>
    </row>
    <row r="1565" spans="5:11" x14ac:dyDescent="0.2">
      <c r="E1565" s="50"/>
      <c r="H1565" s="12"/>
      <c r="K1565"/>
    </row>
    <row r="1566" spans="5:11" x14ac:dyDescent="0.2">
      <c r="E1566" s="50"/>
      <c r="H1566" s="12"/>
      <c r="K1566"/>
    </row>
    <row r="1567" spans="5:11" x14ac:dyDescent="0.2">
      <c r="E1567" s="50"/>
      <c r="H1567" s="12"/>
      <c r="K1567"/>
    </row>
    <row r="1568" spans="5:11" x14ac:dyDescent="0.2">
      <c r="E1568" s="50"/>
      <c r="H1568" s="12"/>
      <c r="K1568"/>
    </row>
    <row r="1569" spans="5:11" x14ac:dyDescent="0.2">
      <c r="E1569" s="50"/>
      <c r="H1569" s="12"/>
      <c r="K1569"/>
    </row>
    <row r="1570" spans="5:11" x14ac:dyDescent="0.2">
      <c r="E1570" s="50"/>
      <c r="H1570" s="12"/>
      <c r="K1570"/>
    </row>
    <row r="1571" spans="5:11" x14ac:dyDescent="0.2">
      <c r="E1571" s="50"/>
      <c r="H1571" s="12"/>
      <c r="K1571"/>
    </row>
    <row r="1572" spans="5:11" x14ac:dyDescent="0.2">
      <c r="E1572" s="50"/>
      <c r="H1572" s="12"/>
      <c r="K1572"/>
    </row>
    <row r="1573" spans="5:11" x14ac:dyDescent="0.2">
      <c r="E1573" s="50"/>
      <c r="H1573" s="12"/>
      <c r="K1573"/>
    </row>
    <row r="1574" spans="5:11" x14ac:dyDescent="0.2">
      <c r="E1574" s="50"/>
      <c r="H1574" s="12"/>
      <c r="K1574"/>
    </row>
    <row r="1575" spans="5:11" x14ac:dyDescent="0.2">
      <c r="E1575" s="50"/>
      <c r="H1575" s="12"/>
      <c r="K1575"/>
    </row>
    <row r="1576" spans="5:11" x14ac:dyDescent="0.2">
      <c r="E1576" s="50"/>
      <c r="H1576" s="12"/>
      <c r="K1576"/>
    </row>
    <row r="1577" spans="5:11" x14ac:dyDescent="0.2">
      <c r="E1577" s="50"/>
      <c r="H1577" s="12"/>
      <c r="K1577"/>
    </row>
    <row r="1578" spans="5:11" x14ac:dyDescent="0.2">
      <c r="E1578" s="50"/>
      <c r="H1578" s="12"/>
      <c r="K1578"/>
    </row>
    <row r="1579" spans="5:11" x14ac:dyDescent="0.2">
      <c r="E1579" s="50"/>
      <c r="H1579" s="12"/>
      <c r="K1579"/>
    </row>
    <row r="1580" spans="5:11" x14ac:dyDescent="0.2">
      <c r="E1580" s="50"/>
      <c r="H1580" s="12"/>
      <c r="K1580"/>
    </row>
    <row r="1581" spans="5:11" x14ac:dyDescent="0.2">
      <c r="E1581" s="50"/>
      <c r="H1581" s="12"/>
      <c r="K1581"/>
    </row>
    <row r="1582" spans="5:11" x14ac:dyDescent="0.2">
      <c r="E1582" s="50"/>
      <c r="H1582" s="12"/>
      <c r="K1582"/>
    </row>
    <row r="1583" spans="5:11" x14ac:dyDescent="0.2">
      <c r="E1583" s="50"/>
      <c r="H1583" s="12"/>
      <c r="K1583"/>
    </row>
    <row r="1584" spans="5:11" x14ac:dyDescent="0.2">
      <c r="E1584" s="50"/>
      <c r="H1584" s="12"/>
      <c r="K1584"/>
    </row>
    <row r="1585" spans="5:11" x14ac:dyDescent="0.2">
      <c r="E1585" s="50"/>
      <c r="H1585" s="12"/>
      <c r="K1585"/>
    </row>
    <row r="1586" spans="5:11" x14ac:dyDescent="0.2">
      <c r="E1586" s="50"/>
      <c r="H1586" s="12"/>
      <c r="K1586"/>
    </row>
    <row r="1587" spans="5:11" x14ac:dyDescent="0.2">
      <c r="E1587" s="50"/>
      <c r="H1587" s="12"/>
      <c r="K1587"/>
    </row>
    <row r="1588" spans="5:11" x14ac:dyDescent="0.2">
      <c r="E1588" s="50"/>
      <c r="H1588" s="12"/>
      <c r="K1588"/>
    </row>
    <row r="1589" spans="5:11" x14ac:dyDescent="0.2">
      <c r="E1589" s="50"/>
      <c r="H1589" s="12"/>
      <c r="K1589"/>
    </row>
    <row r="1590" spans="5:11" x14ac:dyDescent="0.2">
      <c r="E1590" s="50"/>
      <c r="H1590" s="12"/>
      <c r="K1590"/>
    </row>
    <row r="1591" spans="5:11" x14ac:dyDescent="0.2">
      <c r="E1591" s="50"/>
      <c r="H1591" s="12"/>
      <c r="K1591"/>
    </row>
    <row r="1592" spans="5:11" x14ac:dyDescent="0.2">
      <c r="E1592" s="50"/>
      <c r="H1592" s="12"/>
      <c r="K1592"/>
    </row>
    <row r="1593" spans="5:11" x14ac:dyDescent="0.2">
      <c r="E1593" s="50"/>
      <c r="H1593" s="12"/>
      <c r="K1593"/>
    </row>
    <row r="1594" spans="5:11" x14ac:dyDescent="0.2">
      <c r="E1594" s="50"/>
      <c r="H1594" s="12"/>
      <c r="K1594"/>
    </row>
    <row r="1595" spans="5:11" x14ac:dyDescent="0.2">
      <c r="E1595" s="50"/>
      <c r="H1595" s="12"/>
      <c r="K1595"/>
    </row>
    <row r="1596" spans="5:11" x14ac:dyDescent="0.2">
      <c r="E1596" s="50"/>
      <c r="H1596" s="12"/>
      <c r="K1596"/>
    </row>
    <row r="1597" spans="5:11" x14ac:dyDescent="0.2">
      <c r="E1597" s="50"/>
      <c r="H1597" s="12"/>
      <c r="K1597"/>
    </row>
    <row r="1598" spans="5:11" x14ac:dyDescent="0.2">
      <c r="E1598" s="50"/>
      <c r="H1598" s="12"/>
      <c r="K1598"/>
    </row>
    <row r="1599" spans="5:11" x14ac:dyDescent="0.2">
      <c r="E1599" s="50"/>
      <c r="H1599" s="12"/>
      <c r="K1599"/>
    </row>
    <row r="1600" spans="5:11" x14ac:dyDescent="0.2">
      <c r="E1600" s="50"/>
      <c r="H1600" s="12"/>
      <c r="K1600"/>
    </row>
    <row r="1601" spans="5:11" x14ac:dyDescent="0.2">
      <c r="E1601" s="50"/>
      <c r="H1601" s="12"/>
      <c r="K1601"/>
    </row>
    <row r="1602" spans="5:11" x14ac:dyDescent="0.2">
      <c r="E1602" s="50"/>
      <c r="H1602" s="12"/>
      <c r="K1602"/>
    </row>
    <row r="1603" spans="5:11" x14ac:dyDescent="0.2">
      <c r="E1603" s="50"/>
      <c r="H1603" s="12"/>
      <c r="K1603"/>
    </row>
    <row r="1604" spans="5:11" x14ac:dyDescent="0.2">
      <c r="E1604" s="50"/>
      <c r="H1604" s="12"/>
      <c r="K1604"/>
    </row>
    <row r="1605" spans="5:11" x14ac:dyDescent="0.2">
      <c r="E1605" s="50"/>
      <c r="H1605" s="12"/>
      <c r="K1605"/>
    </row>
    <row r="1606" spans="5:11" x14ac:dyDescent="0.2">
      <c r="E1606" s="50"/>
      <c r="H1606" s="12"/>
      <c r="K1606"/>
    </row>
    <row r="1607" spans="5:11" x14ac:dyDescent="0.2">
      <c r="E1607" s="50"/>
      <c r="H1607" s="12"/>
      <c r="K1607"/>
    </row>
    <row r="1608" spans="5:11" x14ac:dyDescent="0.2">
      <c r="E1608" s="50"/>
      <c r="H1608" s="12"/>
      <c r="K1608"/>
    </row>
    <row r="1609" spans="5:11" x14ac:dyDescent="0.2">
      <c r="E1609" s="50"/>
      <c r="H1609" s="12"/>
      <c r="K1609"/>
    </row>
    <row r="1610" spans="5:11" x14ac:dyDescent="0.2">
      <c r="E1610" s="50"/>
      <c r="H1610" s="12"/>
      <c r="K1610"/>
    </row>
    <row r="1611" spans="5:11" x14ac:dyDescent="0.2">
      <c r="E1611" s="50"/>
      <c r="H1611" s="12"/>
      <c r="K1611"/>
    </row>
    <row r="1612" spans="5:11" x14ac:dyDescent="0.2">
      <c r="E1612" s="50"/>
      <c r="H1612" s="12"/>
      <c r="K1612"/>
    </row>
    <row r="1613" spans="5:11" x14ac:dyDescent="0.2">
      <c r="E1613" s="50"/>
      <c r="H1613" s="12"/>
      <c r="K1613"/>
    </row>
    <row r="1614" spans="5:11" x14ac:dyDescent="0.2">
      <c r="E1614" s="50"/>
      <c r="H1614" s="12"/>
      <c r="K1614"/>
    </row>
    <row r="1615" spans="5:11" x14ac:dyDescent="0.2">
      <c r="E1615" s="50"/>
      <c r="H1615" s="12"/>
      <c r="K1615"/>
    </row>
    <row r="1616" spans="5:11" x14ac:dyDescent="0.2">
      <c r="E1616" s="50"/>
      <c r="H1616" s="12"/>
      <c r="K1616"/>
    </row>
    <row r="1617" spans="5:11" x14ac:dyDescent="0.2">
      <c r="E1617" s="50"/>
      <c r="H1617" s="12"/>
      <c r="K1617"/>
    </row>
    <row r="1618" spans="5:11" x14ac:dyDescent="0.2">
      <c r="E1618" s="50"/>
      <c r="H1618" s="12"/>
      <c r="K1618"/>
    </row>
    <row r="1619" spans="5:11" x14ac:dyDescent="0.2">
      <c r="E1619" s="50"/>
      <c r="H1619" s="12"/>
      <c r="K1619"/>
    </row>
    <row r="1620" spans="5:11" x14ac:dyDescent="0.2">
      <c r="E1620" s="50"/>
      <c r="H1620" s="12"/>
      <c r="K1620"/>
    </row>
    <row r="1621" spans="5:11" x14ac:dyDescent="0.2">
      <c r="E1621" s="50"/>
      <c r="H1621" s="12"/>
      <c r="K1621"/>
    </row>
    <row r="1622" spans="5:11" x14ac:dyDescent="0.2">
      <c r="E1622" s="50"/>
      <c r="H1622" s="12"/>
      <c r="K1622"/>
    </row>
    <row r="1623" spans="5:11" x14ac:dyDescent="0.2">
      <c r="E1623" s="50"/>
      <c r="H1623" s="12"/>
      <c r="K1623"/>
    </row>
    <row r="1624" spans="5:11" x14ac:dyDescent="0.2">
      <c r="E1624" s="50"/>
      <c r="H1624" s="12"/>
      <c r="K1624"/>
    </row>
    <row r="1625" spans="5:11" x14ac:dyDescent="0.2">
      <c r="E1625" s="50"/>
      <c r="H1625" s="12"/>
      <c r="K1625"/>
    </row>
    <row r="1626" spans="5:11" x14ac:dyDescent="0.2">
      <c r="E1626" s="50"/>
      <c r="H1626" s="12"/>
      <c r="K1626"/>
    </row>
    <row r="1627" spans="5:11" x14ac:dyDescent="0.2">
      <c r="E1627" s="50"/>
      <c r="H1627" s="12"/>
      <c r="K1627"/>
    </row>
    <row r="1628" spans="5:11" x14ac:dyDescent="0.2">
      <c r="E1628" s="50"/>
      <c r="H1628" s="12"/>
      <c r="K1628"/>
    </row>
    <row r="1629" spans="5:11" x14ac:dyDescent="0.2">
      <c r="E1629" s="50"/>
      <c r="H1629" s="12"/>
      <c r="K1629"/>
    </row>
    <row r="1630" spans="5:11" x14ac:dyDescent="0.2">
      <c r="E1630" s="50"/>
      <c r="H1630" s="12"/>
      <c r="K1630"/>
    </row>
    <row r="1631" spans="5:11" x14ac:dyDescent="0.2">
      <c r="E1631" s="50"/>
      <c r="H1631" s="12"/>
      <c r="K1631"/>
    </row>
    <row r="1632" spans="5:11" x14ac:dyDescent="0.2">
      <c r="E1632" s="50"/>
      <c r="H1632" s="12"/>
      <c r="K1632"/>
    </row>
    <row r="1633" spans="5:11" x14ac:dyDescent="0.2">
      <c r="E1633" s="50"/>
      <c r="H1633" s="12"/>
      <c r="K1633"/>
    </row>
    <row r="1634" spans="5:11" x14ac:dyDescent="0.2">
      <c r="E1634" s="50"/>
      <c r="H1634" s="12"/>
      <c r="K1634"/>
    </row>
    <row r="1635" spans="5:11" x14ac:dyDescent="0.2">
      <c r="E1635" s="50"/>
      <c r="H1635" s="12"/>
      <c r="K1635"/>
    </row>
    <row r="1636" spans="5:11" x14ac:dyDescent="0.2">
      <c r="E1636" s="50"/>
      <c r="H1636" s="12"/>
      <c r="K1636"/>
    </row>
    <row r="1637" spans="5:11" x14ac:dyDescent="0.2">
      <c r="E1637" s="50"/>
      <c r="H1637" s="12"/>
      <c r="K1637"/>
    </row>
    <row r="1638" spans="5:11" x14ac:dyDescent="0.2">
      <c r="E1638" s="50"/>
      <c r="H1638" s="12"/>
      <c r="K1638"/>
    </row>
    <row r="1639" spans="5:11" x14ac:dyDescent="0.2">
      <c r="E1639" s="50"/>
      <c r="H1639" s="12"/>
      <c r="K1639"/>
    </row>
    <row r="1640" spans="5:11" x14ac:dyDescent="0.2">
      <c r="E1640" s="50"/>
      <c r="H1640" s="12"/>
      <c r="K1640"/>
    </row>
    <row r="1641" spans="5:11" x14ac:dyDescent="0.2">
      <c r="E1641" s="50"/>
      <c r="H1641" s="12"/>
      <c r="K1641"/>
    </row>
    <row r="1642" spans="5:11" x14ac:dyDescent="0.2">
      <c r="E1642" s="50"/>
      <c r="H1642" s="12"/>
      <c r="K1642"/>
    </row>
    <row r="1643" spans="5:11" x14ac:dyDescent="0.2">
      <c r="E1643" s="50"/>
      <c r="H1643" s="12"/>
      <c r="K1643"/>
    </row>
    <row r="1644" spans="5:11" x14ac:dyDescent="0.2">
      <c r="E1644" s="50"/>
      <c r="H1644" s="12"/>
      <c r="K1644"/>
    </row>
    <row r="1645" spans="5:11" x14ac:dyDescent="0.2">
      <c r="E1645" s="50"/>
      <c r="H1645" s="12"/>
      <c r="K1645"/>
    </row>
    <row r="1646" spans="5:11" x14ac:dyDescent="0.2">
      <c r="E1646" s="50"/>
      <c r="H1646" s="12"/>
      <c r="K1646"/>
    </row>
    <row r="1647" spans="5:11" x14ac:dyDescent="0.2">
      <c r="E1647" s="50"/>
      <c r="H1647" s="12"/>
      <c r="K1647"/>
    </row>
    <row r="1648" spans="5:11" x14ac:dyDescent="0.2">
      <c r="E1648" s="50"/>
      <c r="H1648" s="12"/>
      <c r="K1648"/>
    </row>
    <row r="1649" spans="5:11" x14ac:dyDescent="0.2">
      <c r="E1649" s="50"/>
      <c r="H1649" s="12"/>
      <c r="K1649"/>
    </row>
    <row r="1650" spans="5:11" x14ac:dyDescent="0.2">
      <c r="E1650" s="50"/>
      <c r="H1650" s="12"/>
      <c r="K1650"/>
    </row>
    <row r="1651" spans="5:11" x14ac:dyDescent="0.2">
      <c r="E1651" s="50"/>
      <c r="H1651" s="12"/>
      <c r="K1651"/>
    </row>
    <row r="1652" spans="5:11" x14ac:dyDescent="0.2">
      <c r="E1652" s="50"/>
      <c r="H1652" s="12"/>
      <c r="K1652"/>
    </row>
    <row r="1653" spans="5:11" x14ac:dyDescent="0.2">
      <c r="E1653" s="50"/>
      <c r="H1653" s="12"/>
      <c r="K1653"/>
    </row>
    <row r="1654" spans="5:11" x14ac:dyDescent="0.2">
      <c r="E1654" s="50"/>
      <c r="H1654" s="12"/>
      <c r="K1654"/>
    </row>
    <row r="1655" spans="5:11" x14ac:dyDescent="0.2">
      <c r="E1655" s="50"/>
      <c r="H1655" s="12"/>
      <c r="K1655"/>
    </row>
    <row r="1656" spans="5:11" x14ac:dyDescent="0.2">
      <c r="E1656" s="50"/>
      <c r="H1656" s="12"/>
      <c r="K1656"/>
    </row>
    <row r="1657" spans="5:11" x14ac:dyDescent="0.2">
      <c r="E1657" s="50"/>
      <c r="H1657" s="12"/>
      <c r="K1657"/>
    </row>
    <row r="1658" spans="5:11" x14ac:dyDescent="0.2">
      <c r="E1658" s="50"/>
      <c r="H1658" s="12"/>
      <c r="K1658"/>
    </row>
    <row r="1659" spans="5:11" x14ac:dyDescent="0.2">
      <c r="E1659" s="50"/>
      <c r="H1659" s="12"/>
      <c r="K1659"/>
    </row>
    <row r="1660" spans="5:11" x14ac:dyDescent="0.2">
      <c r="E1660" s="50"/>
      <c r="H1660" s="12"/>
      <c r="K1660"/>
    </row>
    <row r="1661" spans="5:11" x14ac:dyDescent="0.2">
      <c r="E1661" s="50"/>
      <c r="H1661" s="12"/>
      <c r="K1661"/>
    </row>
    <row r="1662" spans="5:11" x14ac:dyDescent="0.2">
      <c r="E1662" s="50"/>
      <c r="H1662" s="12"/>
      <c r="K1662"/>
    </row>
    <row r="1663" spans="5:11" x14ac:dyDescent="0.2">
      <c r="E1663" s="50"/>
      <c r="H1663" s="12"/>
      <c r="K1663"/>
    </row>
    <row r="1664" spans="5:11" x14ac:dyDescent="0.2">
      <c r="E1664" s="50"/>
      <c r="H1664" s="12"/>
      <c r="K1664"/>
    </row>
    <row r="1665" spans="5:11" x14ac:dyDescent="0.2">
      <c r="E1665" s="50"/>
      <c r="H1665" s="12"/>
      <c r="K1665"/>
    </row>
    <row r="1666" spans="5:11" x14ac:dyDescent="0.2">
      <c r="E1666" s="50"/>
      <c r="H1666" s="12"/>
      <c r="K1666"/>
    </row>
    <row r="1667" spans="5:11" x14ac:dyDescent="0.2">
      <c r="E1667" s="50"/>
      <c r="H1667" s="12"/>
      <c r="K1667"/>
    </row>
    <row r="1668" spans="5:11" x14ac:dyDescent="0.2">
      <c r="E1668" s="50"/>
      <c r="H1668" s="12"/>
      <c r="K1668"/>
    </row>
    <row r="1669" spans="5:11" x14ac:dyDescent="0.2">
      <c r="E1669" s="50"/>
      <c r="H1669" s="12"/>
      <c r="K1669"/>
    </row>
    <row r="1670" spans="5:11" x14ac:dyDescent="0.2">
      <c r="E1670" s="50"/>
      <c r="H1670" s="12"/>
      <c r="K1670"/>
    </row>
    <row r="1671" spans="5:11" x14ac:dyDescent="0.2">
      <c r="E1671" s="50"/>
      <c r="H1671" s="12"/>
      <c r="K1671"/>
    </row>
    <row r="1672" spans="5:11" x14ac:dyDescent="0.2">
      <c r="E1672" s="50"/>
      <c r="H1672" s="12"/>
      <c r="K1672"/>
    </row>
    <row r="1673" spans="5:11" x14ac:dyDescent="0.2">
      <c r="E1673" s="50"/>
      <c r="H1673" s="12"/>
      <c r="K1673"/>
    </row>
    <row r="1674" spans="5:11" x14ac:dyDescent="0.2">
      <c r="E1674" s="50"/>
      <c r="H1674" s="12"/>
      <c r="K1674"/>
    </row>
    <row r="1675" spans="5:11" x14ac:dyDescent="0.2">
      <c r="E1675" s="50"/>
      <c r="H1675" s="12"/>
      <c r="K1675"/>
    </row>
    <row r="1676" spans="5:11" x14ac:dyDescent="0.2">
      <c r="E1676" s="50"/>
      <c r="H1676" s="12"/>
      <c r="K1676"/>
    </row>
    <row r="1677" spans="5:11" x14ac:dyDescent="0.2">
      <c r="E1677" s="50"/>
      <c r="H1677" s="12"/>
      <c r="K1677"/>
    </row>
    <row r="1678" spans="5:11" x14ac:dyDescent="0.2">
      <c r="E1678" s="50"/>
      <c r="H1678" s="12"/>
      <c r="K1678"/>
    </row>
    <row r="1679" spans="5:11" x14ac:dyDescent="0.2">
      <c r="E1679" s="50"/>
      <c r="H1679" s="12"/>
      <c r="K1679"/>
    </row>
    <row r="1680" spans="5:11" x14ac:dyDescent="0.2">
      <c r="E1680" s="50"/>
      <c r="H1680" s="12"/>
      <c r="K1680"/>
    </row>
    <row r="1681" spans="5:11" x14ac:dyDescent="0.2">
      <c r="E1681" s="50"/>
      <c r="H1681" s="12"/>
      <c r="K1681"/>
    </row>
    <row r="1682" spans="5:11" x14ac:dyDescent="0.2">
      <c r="E1682" s="50"/>
      <c r="H1682" s="12"/>
      <c r="K1682"/>
    </row>
    <row r="1683" spans="5:11" x14ac:dyDescent="0.2">
      <c r="E1683" s="50"/>
      <c r="H1683" s="12"/>
      <c r="K1683"/>
    </row>
    <row r="1684" spans="5:11" x14ac:dyDescent="0.2">
      <c r="E1684" s="50"/>
      <c r="H1684" s="12"/>
      <c r="K1684"/>
    </row>
    <row r="1685" spans="5:11" x14ac:dyDescent="0.2">
      <c r="E1685" s="50"/>
      <c r="H1685" s="12"/>
      <c r="K1685"/>
    </row>
    <row r="1686" spans="5:11" x14ac:dyDescent="0.2">
      <c r="E1686" s="50"/>
      <c r="H1686" s="12"/>
      <c r="K1686"/>
    </row>
    <row r="1687" spans="5:11" x14ac:dyDescent="0.2">
      <c r="E1687" s="50"/>
      <c r="H1687" s="12"/>
      <c r="K1687"/>
    </row>
    <row r="1688" spans="5:11" x14ac:dyDescent="0.2">
      <c r="E1688" s="50"/>
      <c r="H1688" s="12"/>
      <c r="K1688"/>
    </row>
    <row r="1689" spans="5:11" x14ac:dyDescent="0.2">
      <c r="E1689" s="50"/>
      <c r="H1689" s="12"/>
      <c r="K1689"/>
    </row>
    <row r="1690" spans="5:11" x14ac:dyDescent="0.2">
      <c r="E1690" s="50"/>
      <c r="H1690" s="12"/>
      <c r="K1690"/>
    </row>
    <row r="1691" spans="5:11" x14ac:dyDescent="0.2">
      <c r="E1691" s="50"/>
      <c r="H1691" s="12"/>
      <c r="K1691"/>
    </row>
    <row r="1692" spans="5:11" x14ac:dyDescent="0.2">
      <c r="E1692" s="50"/>
      <c r="H1692" s="12"/>
      <c r="K1692"/>
    </row>
    <row r="1693" spans="5:11" x14ac:dyDescent="0.2">
      <c r="E1693" s="50"/>
      <c r="H1693" s="12"/>
      <c r="K1693"/>
    </row>
    <row r="1694" spans="5:11" x14ac:dyDescent="0.2">
      <c r="E1694" s="50"/>
      <c r="H1694" s="12"/>
      <c r="K1694"/>
    </row>
    <row r="1695" spans="5:11" x14ac:dyDescent="0.2">
      <c r="E1695" s="50"/>
      <c r="H1695" s="12"/>
      <c r="K1695"/>
    </row>
    <row r="1696" spans="5:11" x14ac:dyDescent="0.2">
      <c r="E1696" s="50"/>
      <c r="H1696" s="12"/>
      <c r="K1696"/>
    </row>
    <row r="1697" spans="5:11" x14ac:dyDescent="0.2">
      <c r="E1697" s="50"/>
      <c r="H1697" s="12"/>
      <c r="K1697"/>
    </row>
    <row r="1698" spans="5:11" x14ac:dyDescent="0.2">
      <c r="E1698" s="50"/>
      <c r="H1698" s="12"/>
      <c r="K1698"/>
    </row>
    <row r="1699" spans="5:11" x14ac:dyDescent="0.2">
      <c r="E1699" s="50"/>
      <c r="H1699" s="12"/>
      <c r="K1699"/>
    </row>
    <row r="1700" spans="5:11" x14ac:dyDescent="0.2">
      <c r="E1700" s="50"/>
      <c r="H1700" s="12"/>
      <c r="K1700"/>
    </row>
    <row r="1701" spans="5:11" x14ac:dyDescent="0.2">
      <c r="E1701" s="50"/>
      <c r="H1701" s="12"/>
      <c r="K1701"/>
    </row>
    <row r="1702" spans="5:11" x14ac:dyDescent="0.2">
      <c r="E1702" s="50"/>
      <c r="H1702" s="12"/>
      <c r="K1702"/>
    </row>
    <row r="1703" spans="5:11" x14ac:dyDescent="0.2">
      <c r="E1703" s="50"/>
      <c r="H1703" s="12"/>
      <c r="K1703"/>
    </row>
    <row r="1704" spans="5:11" x14ac:dyDescent="0.2">
      <c r="E1704" s="50"/>
      <c r="H1704" s="12"/>
      <c r="K1704"/>
    </row>
    <row r="1705" spans="5:11" x14ac:dyDescent="0.2">
      <c r="E1705" s="50"/>
      <c r="H1705" s="12"/>
      <c r="K1705"/>
    </row>
    <row r="1706" spans="5:11" x14ac:dyDescent="0.2">
      <c r="E1706" s="50"/>
      <c r="H1706" s="12"/>
      <c r="K1706"/>
    </row>
    <row r="1707" spans="5:11" x14ac:dyDescent="0.2">
      <c r="E1707" s="50"/>
      <c r="H1707" s="12"/>
      <c r="K1707"/>
    </row>
    <row r="1708" spans="5:11" x14ac:dyDescent="0.2">
      <c r="E1708" s="50"/>
      <c r="H1708" s="12"/>
      <c r="K1708"/>
    </row>
    <row r="1709" spans="5:11" x14ac:dyDescent="0.2">
      <c r="E1709" s="50"/>
      <c r="H1709" s="12"/>
      <c r="K1709"/>
    </row>
    <row r="1710" spans="5:11" x14ac:dyDescent="0.2">
      <c r="E1710" s="50"/>
      <c r="H1710" s="12"/>
      <c r="K1710"/>
    </row>
    <row r="1711" spans="5:11" x14ac:dyDescent="0.2">
      <c r="E1711" s="50"/>
      <c r="H1711" s="12"/>
      <c r="K1711"/>
    </row>
    <row r="1712" spans="5:11" x14ac:dyDescent="0.2">
      <c r="E1712" s="50"/>
      <c r="H1712" s="12"/>
      <c r="K1712"/>
    </row>
    <row r="1713" spans="5:11" x14ac:dyDescent="0.2">
      <c r="E1713" s="50"/>
      <c r="H1713" s="12"/>
      <c r="K1713"/>
    </row>
    <row r="1714" spans="5:11" x14ac:dyDescent="0.2">
      <c r="E1714" s="50"/>
      <c r="H1714" s="12"/>
      <c r="K1714"/>
    </row>
    <row r="1715" spans="5:11" x14ac:dyDescent="0.2">
      <c r="E1715" s="50"/>
      <c r="H1715" s="12"/>
      <c r="K1715"/>
    </row>
    <row r="1716" spans="5:11" x14ac:dyDescent="0.2">
      <c r="E1716" s="50"/>
      <c r="H1716" s="12"/>
      <c r="K1716"/>
    </row>
    <row r="1717" spans="5:11" x14ac:dyDescent="0.2">
      <c r="E1717" s="50"/>
      <c r="H1717" s="12"/>
      <c r="K1717"/>
    </row>
    <row r="1718" spans="5:11" x14ac:dyDescent="0.2">
      <c r="E1718" s="50"/>
      <c r="H1718" s="12"/>
      <c r="K1718"/>
    </row>
    <row r="1719" spans="5:11" x14ac:dyDescent="0.2">
      <c r="E1719" s="50"/>
      <c r="H1719" s="12"/>
      <c r="K1719"/>
    </row>
    <row r="1720" spans="5:11" x14ac:dyDescent="0.2">
      <c r="E1720" s="50"/>
      <c r="H1720" s="12"/>
      <c r="K1720"/>
    </row>
    <row r="1721" spans="5:11" x14ac:dyDescent="0.2">
      <c r="E1721" s="50"/>
      <c r="H1721" s="12"/>
      <c r="K1721"/>
    </row>
    <row r="1722" spans="5:11" x14ac:dyDescent="0.2">
      <c r="E1722" s="50"/>
      <c r="H1722" s="12"/>
      <c r="K1722"/>
    </row>
    <row r="1723" spans="5:11" x14ac:dyDescent="0.2">
      <c r="E1723" s="50"/>
      <c r="H1723" s="12"/>
      <c r="K1723"/>
    </row>
    <row r="1724" spans="5:11" x14ac:dyDescent="0.2">
      <c r="E1724" s="50"/>
      <c r="H1724" s="12"/>
      <c r="K1724"/>
    </row>
    <row r="1725" spans="5:11" x14ac:dyDescent="0.2">
      <c r="E1725" s="50"/>
      <c r="H1725" s="12"/>
      <c r="K1725"/>
    </row>
    <row r="1726" spans="5:11" x14ac:dyDescent="0.2">
      <c r="E1726" s="50"/>
      <c r="H1726" s="12"/>
      <c r="K1726"/>
    </row>
    <row r="1727" spans="5:11" x14ac:dyDescent="0.2">
      <c r="E1727" s="50"/>
      <c r="H1727" s="12"/>
      <c r="K1727"/>
    </row>
    <row r="1728" spans="5:11" x14ac:dyDescent="0.2">
      <c r="E1728" s="50"/>
      <c r="H1728" s="12"/>
      <c r="K1728"/>
    </row>
    <row r="1729" spans="5:11" x14ac:dyDescent="0.2">
      <c r="E1729" s="50"/>
      <c r="H1729" s="12"/>
      <c r="K1729"/>
    </row>
    <row r="1730" spans="5:11" x14ac:dyDescent="0.2">
      <c r="E1730" s="50"/>
      <c r="H1730" s="12"/>
      <c r="K1730"/>
    </row>
    <row r="1731" spans="5:11" x14ac:dyDescent="0.2">
      <c r="E1731" s="50"/>
      <c r="H1731" s="12"/>
      <c r="K1731"/>
    </row>
    <row r="1732" spans="5:11" x14ac:dyDescent="0.2">
      <c r="E1732" s="50"/>
      <c r="H1732" s="12"/>
      <c r="K1732"/>
    </row>
    <row r="1733" spans="5:11" x14ac:dyDescent="0.2">
      <c r="E1733" s="50"/>
      <c r="H1733" s="12"/>
      <c r="K1733"/>
    </row>
    <row r="1734" spans="5:11" x14ac:dyDescent="0.2">
      <c r="E1734" s="50"/>
      <c r="H1734" s="12"/>
      <c r="K1734"/>
    </row>
    <row r="1735" spans="5:11" x14ac:dyDescent="0.2">
      <c r="E1735" s="50"/>
      <c r="H1735" s="12"/>
      <c r="K1735"/>
    </row>
    <row r="1736" spans="5:11" x14ac:dyDescent="0.2">
      <c r="E1736" s="50"/>
      <c r="H1736" s="12"/>
      <c r="K1736"/>
    </row>
    <row r="1737" spans="5:11" x14ac:dyDescent="0.2">
      <c r="E1737" s="50"/>
      <c r="H1737" s="12"/>
      <c r="K1737"/>
    </row>
    <row r="1738" spans="5:11" x14ac:dyDescent="0.2">
      <c r="E1738" s="50"/>
      <c r="H1738" s="12"/>
      <c r="K1738"/>
    </row>
    <row r="1739" spans="5:11" x14ac:dyDescent="0.2">
      <c r="E1739" s="50"/>
      <c r="H1739" s="12"/>
      <c r="K1739"/>
    </row>
    <row r="1740" spans="5:11" x14ac:dyDescent="0.2">
      <c r="E1740" s="50"/>
      <c r="H1740" s="12"/>
      <c r="K1740"/>
    </row>
    <row r="1741" spans="5:11" x14ac:dyDescent="0.2">
      <c r="E1741" s="50"/>
      <c r="H1741" s="12"/>
      <c r="K1741"/>
    </row>
    <row r="1742" spans="5:11" x14ac:dyDescent="0.2">
      <c r="E1742" s="50"/>
      <c r="H1742" s="12"/>
      <c r="K1742"/>
    </row>
    <row r="1743" spans="5:11" x14ac:dyDescent="0.2">
      <c r="E1743" s="50"/>
      <c r="H1743" s="12"/>
      <c r="K1743"/>
    </row>
    <row r="1744" spans="5:11" x14ac:dyDescent="0.2">
      <c r="E1744" s="50"/>
      <c r="H1744" s="12"/>
      <c r="K1744"/>
    </row>
    <row r="1745" spans="5:11" x14ac:dyDescent="0.2">
      <c r="E1745" s="50"/>
      <c r="H1745" s="12"/>
      <c r="K1745"/>
    </row>
    <row r="1746" spans="5:11" x14ac:dyDescent="0.2">
      <c r="E1746" s="50"/>
      <c r="H1746" s="12"/>
      <c r="K1746"/>
    </row>
    <row r="1747" spans="5:11" x14ac:dyDescent="0.2">
      <c r="E1747" s="50"/>
      <c r="H1747" s="12"/>
      <c r="K1747"/>
    </row>
    <row r="1748" spans="5:11" x14ac:dyDescent="0.2">
      <c r="E1748" s="50"/>
      <c r="H1748" s="12"/>
      <c r="K1748"/>
    </row>
    <row r="1749" spans="5:11" x14ac:dyDescent="0.2">
      <c r="E1749" s="50"/>
      <c r="H1749" s="12"/>
      <c r="K1749"/>
    </row>
    <row r="1750" spans="5:11" x14ac:dyDescent="0.2">
      <c r="E1750" s="50"/>
      <c r="H1750" s="12"/>
      <c r="K1750"/>
    </row>
    <row r="1751" spans="5:11" x14ac:dyDescent="0.2">
      <c r="E1751" s="50"/>
      <c r="H1751" s="12"/>
      <c r="K1751"/>
    </row>
    <row r="1752" spans="5:11" x14ac:dyDescent="0.2">
      <c r="E1752" s="50"/>
      <c r="H1752" s="12"/>
      <c r="K1752"/>
    </row>
    <row r="1753" spans="5:11" x14ac:dyDescent="0.2">
      <c r="E1753" s="50"/>
      <c r="H1753" s="12"/>
      <c r="K1753"/>
    </row>
    <row r="1754" spans="5:11" x14ac:dyDescent="0.2">
      <c r="E1754" s="50"/>
      <c r="H1754" s="12"/>
      <c r="K1754"/>
    </row>
    <row r="1755" spans="5:11" x14ac:dyDescent="0.2">
      <c r="E1755" s="50"/>
      <c r="H1755" s="12"/>
      <c r="K1755"/>
    </row>
    <row r="1756" spans="5:11" x14ac:dyDescent="0.2">
      <c r="E1756" s="50"/>
      <c r="H1756" s="12"/>
      <c r="K1756"/>
    </row>
    <row r="1757" spans="5:11" x14ac:dyDescent="0.2">
      <c r="E1757" s="50"/>
      <c r="H1757" s="12"/>
      <c r="K1757"/>
    </row>
    <row r="1758" spans="5:11" x14ac:dyDescent="0.2">
      <c r="E1758" s="50"/>
      <c r="H1758" s="12"/>
      <c r="K1758"/>
    </row>
    <row r="1759" spans="5:11" x14ac:dyDescent="0.2">
      <c r="E1759" s="50"/>
      <c r="H1759" s="12"/>
      <c r="K1759"/>
    </row>
    <row r="1760" spans="5:11" x14ac:dyDescent="0.2">
      <c r="E1760" s="50"/>
      <c r="H1760" s="12"/>
      <c r="K1760"/>
    </row>
    <row r="1761" spans="5:11" x14ac:dyDescent="0.2">
      <c r="E1761" s="50"/>
      <c r="H1761" s="12"/>
      <c r="K1761"/>
    </row>
    <row r="1762" spans="5:11" x14ac:dyDescent="0.2">
      <c r="E1762" s="50"/>
      <c r="H1762" s="12"/>
      <c r="K1762"/>
    </row>
    <row r="1763" spans="5:11" x14ac:dyDescent="0.2">
      <c r="E1763" s="50"/>
      <c r="H1763" s="12"/>
      <c r="K1763"/>
    </row>
    <row r="1764" spans="5:11" x14ac:dyDescent="0.2">
      <c r="E1764" s="50"/>
      <c r="H1764" s="12"/>
      <c r="K1764"/>
    </row>
    <row r="1765" spans="5:11" x14ac:dyDescent="0.2">
      <c r="E1765" s="50"/>
      <c r="H1765" s="12"/>
      <c r="K1765"/>
    </row>
    <row r="1766" spans="5:11" x14ac:dyDescent="0.2">
      <c r="E1766" s="50"/>
      <c r="H1766" s="12"/>
      <c r="K1766"/>
    </row>
    <row r="1767" spans="5:11" x14ac:dyDescent="0.2">
      <c r="E1767" s="50"/>
      <c r="H1767" s="12"/>
      <c r="K1767"/>
    </row>
    <row r="1768" spans="5:11" x14ac:dyDescent="0.2">
      <c r="E1768" s="50"/>
      <c r="H1768" s="12"/>
      <c r="K1768"/>
    </row>
    <row r="1769" spans="5:11" x14ac:dyDescent="0.2">
      <c r="E1769" s="50"/>
      <c r="H1769" s="12"/>
      <c r="K1769"/>
    </row>
    <row r="1770" spans="5:11" x14ac:dyDescent="0.2">
      <c r="E1770" s="50"/>
      <c r="H1770" s="12"/>
      <c r="K1770"/>
    </row>
    <row r="1771" spans="5:11" x14ac:dyDescent="0.2">
      <c r="E1771" s="50"/>
      <c r="H1771" s="12"/>
      <c r="K1771"/>
    </row>
    <row r="1772" spans="5:11" x14ac:dyDescent="0.2">
      <c r="E1772" s="50"/>
      <c r="H1772" s="12"/>
      <c r="K1772"/>
    </row>
    <row r="1773" spans="5:11" x14ac:dyDescent="0.2">
      <c r="E1773" s="50"/>
      <c r="H1773" s="12"/>
      <c r="K1773"/>
    </row>
    <row r="1774" spans="5:11" x14ac:dyDescent="0.2">
      <c r="E1774" s="50"/>
      <c r="H1774" s="12"/>
      <c r="K1774"/>
    </row>
    <row r="1775" spans="5:11" x14ac:dyDescent="0.2">
      <c r="E1775" s="50"/>
      <c r="H1775" s="12"/>
      <c r="K1775"/>
    </row>
    <row r="1776" spans="5:11" x14ac:dyDescent="0.2">
      <c r="E1776" s="50"/>
      <c r="H1776" s="12"/>
      <c r="K1776"/>
    </row>
    <row r="1777" spans="5:11" x14ac:dyDescent="0.2">
      <c r="E1777" s="50"/>
      <c r="H1777" s="12"/>
      <c r="K1777"/>
    </row>
    <row r="1778" spans="5:11" x14ac:dyDescent="0.2">
      <c r="E1778" s="50"/>
      <c r="H1778" s="12"/>
      <c r="K1778"/>
    </row>
    <row r="1779" spans="5:11" x14ac:dyDescent="0.2">
      <c r="E1779" s="50"/>
      <c r="H1779" s="12"/>
      <c r="K1779"/>
    </row>
    <row r="1780" spans="5:11" x14ac:dyDescent="0.2">
      <c r="E1780" s="50"/>
      <c r="H1780" s="12"/>
      <c r="K1780"/>
    </row>
    <row r="1781" spans="5:11" x14ac:dyDescent="0.2">
      <c r="E1781" s="50"/>
      <c r="H1781" s="12"/>
      <c r="K1781"/>
    </row>
    <row r="1782" spans="5:11" x14ac:dyDescent="0.2">
      <c r="E1782" s="50"/>
      <c r="H1782" s="12"/>
      <c r="K1782"/>
    </row>
    <row r="1783" spans="5:11" x14ac:dyDescent="0.2">
      <c r="E1783" s="50"/>
      <c r="H1783" s="12"/>
      <c r="K1783"/>
    </row>
    <row r="1784" spans="5:11" x14ac:dyDescent="0.2">
      <c r="E1784" s="50"/>
      <c r="H1784" s="12"/>
      <c r="K1784"/>
    </row>
    <row r="1785" spans="5:11" x14ac:dyDescent="0.2">
      <c r="E1785" s="50"/>
      <c r="H1785" s="12"/>
      <c r="K1785"/>
    </row>
    <row r="1786" spans="5:11" x14ac:dyDescent="0.2">
      <c r="E1786" s="50"/>
      <c r="H1786" s="12"/>
      <c r="K1786"/>
    </row>
    <row r="1787" spans="5:11" x14ac:dyDescent="0.2">
      <c r="E1787" s="50"/>
      <c r="H1787" s="12"/>
      <c r="K1787"/>
    </row>
    <row r="1788" spans="5:11" x14ac:dyDescent="0.2">
      <c r="E1788" s="50"/>
      <c r="H1788" s="12"/>
      <c r="K1788"/>
    </row>
    <row r="1789" spans="5:11" x14ac:dyDescent="0.2">
      <c r="E1789" s="50"/>
      <c r="H1789" s="12"/>
      <c r="K1789"/>
    </row>
    <row r="1790" spans="5:11" x14ac:dyDescent="0.2">
      <c r="E1790" s="50"/>
      <c r="H1790" s="12"/>
      <c r="K1790"/>
    </row>
    <row r="1791" spans="5:11" x14ac:dyDescent="0.2">
      <c r="E1791" s="50"/>
      <c r="H1791" s="12"/>
      <c r="K1791"/>
    </row>
    <row r="1792" spans="5:11" x14ac:dyDescent="0.2">
      <c r="E1792" s="50"/>
      <c r="H1792" s="12"/>
      <c r="K1792"/>
    </row>
    <row r="1793" spans="5:11" x14ac:dyDescent="0.2">
      <c r="E1793" s="50"/>
      <c r="H1793" s="12"/>
      <c r="K1793"/>
    </row>
    <row r="1794" spans="5:11" x14ac:dyDescent="0.2">
      <c r="E1794" s="50"/>
      <c r="H1794" s="12"/>
      <c r="K1794"/>
    </row>
    <row r="1795" spans="5:11" x14ac:dyDescent="0.2">
      <c r="E1795" s="50"/>
      <c r="H1795" s="12"/>
      <c r="K1795"/>
    </row>
    <row r="1796" spans="5:11" x14ac:dyDescent="0.2">
      <c r="E1796" s="50"/>
      <c r="H1796" s="12"/>
      <c r="K1796"/>
    </row>
    <row r="1797" spans="5:11" x14ac:dyDescent="0.2">
      <c r="E1797" s="50"/>
      <c r="H1797" s="12"/>
      <c r="K1797"/>
    </row>
    <row r="1798" spans="5:11" x14ac:dyDescent="0.2">
      <c r="E1798" s="50"/>
      <c r="H1798" s="12"/>
      <c r="K1798"/>
    </row>
    <row r="1799" spans="5:11" x14ac:dyDescent="0.2">
      <c r="E1799" s="50"/>
      <c r="H1799" s="12"/>
      <c r="K1799"/>
    </row>
    <row r="1800" spans="5:11" x14ac:dyDescent="0.2">
      <c r="E1800" s="50"/>
      <c r="H1800" s="12"/>
      <c r="K1800"/>
    </row>
    <row r="1801" spans="5:11" x14ac:dyDescent="0.2">
      <c r="E1801" s="50"/>
      <c r="H1801" s="12"/>
      <c r="K1801"/>
    </row>
    <row r="1802" spans="5:11" x14ac:dyDescent="0.2">
      <c r="E1802" s="50"/>
      <c r="H1802" s="12"/>
      <c r="K1802"/>
    </row>
    <row r="1803" spans="5:11" x14ac:dyDescent="0.2">
      <c r="E1803" s="50"/>
      <c r="H1803" s="12"/>
      <c r="K1803"/>
    </row>
    <row r="1804" spans="5:11" x14ac:dyDescent="0.2">
      <c r="E1804" s="50"/>
      <c r="H1804" s="12"/>
      <c r="K1804"/>
    </row>
    <row r="1805" spans="5:11" x14ac:dyDescent="0.2">
      <c r="E1805" s="50"/>
      <c r="H1805" s="12"/>
      <c r="K1805"/>
    </row>
    <row r="1806" spans="5:11" x14ac:dyDescent="0.2">
      <c r="E1806" s="50"/>
      <c r="H1806" s="12"/>
      <c r="K1806"/>
    </row>
    <row r="1807" spans="5:11" x14ac:dyDescent="0.2">
      <c r="E1807" s="50"/>
      <c r="H1807" s="12"/>
      <c r="K1807"/>
    </row>
    <row r="1808" spans="5:11" x14ac:dyDescent="0.2">
      <c r="E1808" s="50"/>
      <c r="H1808" s="12"/>
      <c r="K1808"/>
    </row>
    <row r="1809" spans="5:11" x14ac:dyDescent="0.2">
      <c r="E1809" s="50"/>
      <c r="H1809" s="12"/>
      <c r="K1809"/>
    </row>
    <row r="1810" spans="5:11" x14ac:dyDescent="0.2">
      <c r="E1810" s="50"/>
      <c r="H1810" s="12"/>
      <c r="K1810"/>
    </row>
    <row r="1811" spans="5:11" x14ac:dyDescent="0.2">
      <c r="E1811" s="50"/>
      <c r="H1811" s="12"/>
      <c r="K1811"/>
    </row>
    <row r="1812" spans="5:11" x14ac:dyDescent="0.2">
      <c r="E1812" s="50"/>
      <c r="H1812" s="12"/>
      <c r="K1812"/>
    </row>
    <row r="1813" spans="5:11" x14ac:dyDescent="0.2">
      <c r="E1813" s="50"/>
      <c r="H1813" s="12"/>
      <c r="K1813"/>
    </row>
    <row r="1814" spans="5:11" x14ac:dyDescent="0.2">
      <c r="E1814" s="50"/>
      <c r="H1814" s="12"/>
      <c r="K1814"/>
    </row>
    <row r="1815" spans="5:11" x14ac:dyDescent="0.2">
      <c r="E1815" s="50"/>
      <c r="H1815" s="12"/>
      <c r="K1815"/>
    </row>
    <row r="1816" spans="5:11" x14ac:dyDescent="0.2">
      <c r="E1816" s="50"/>
      <c r="H1816" s="12"/>
      <c r="K1816"/>
    </row>
    <row r="1817" spans="5:11" x14ac:dyDescent="0.2">
      <c r="E1817" s="50"/>
      <c r="H1817" s="12"/>
      <c r="K1817"/>
    </row>
    <row r="1818" spans="5:11" x14ac:dyDescent="0.2">
      <c r="E1818" s="50"/>
      <c r="H1818" s="12"/>
      <c r="K1818"/>
    </row>
    <row r="1819" spans="5:11" x14ac:dyDescent="0.2">
      <c r="E1819" s="50"/>
      <c r="H1819" s="12"/>
      <c r="K1819"/>
    </row>
    <row r="1820" spans="5:11" x14ac:dyDescent="0.2">
      <c r="E1820" s="50"/>
      <c r="H1820" s="12"/>
      <c r="K1820"/>
    </row>
    <row r="1821" spans="5:11" x14ac:dyDescent="0.2">
      <c r="E1821" s="50"/>
      <c r="H1821" s="12"/>
      <c r="K1821"/>
    </row>
    <row r="1822" spans="5:11" x14ac:dyDescent="0.2">
      <c r="E1822" s="50"/>
      <c r="H1822" s="12"/>
      <c r="K1822"/>
    </row>
    <row r="1823" spans="5:11" x14ac:dyDescent="0.2">
      <c r="E1823" s="50"/>
      <c r="H1823" s="12"/>
      <c r="K1823"/>
    </row>
    <row r="1824" spans="5:11" x14ac:dyDescent="0.2">
      <c r="E1824" s="50"/>
      <c r="H1824" s="12"/>
      <c r="K1824"/>
    </row>
    <row r="1825" spans="5:11" x14ac:dyDescent="0.2">
      <c r="E1825" s="50"/>
      <c r="H1825" s="12"/>
      <c r="K1825"/>
    </row>
    <row r="1826" spans="5:11" x14ac:dyDescent="0.2">
      <c r="E1826" s="50"/>
      <c r="H1826" s="12"/>
      <c r="K1826"/>
    </row>
    <row r="1827" spans="5:11" x14ac:dyDescent="0.2">
      <c r="E1827" s="50"/>
      <c r="H1827" s="12"/>
      <c r="K1827"/>
    </row>
    <row r="1828" spans="5:11" x14ac:dyDescent="0.2">
      <c r="E1828" s="50"/>
      <c r="H1828" s="12"/>
      <c r="K1828"/>
    </row>
    <row r="1829" spans="5:11" x14ac:dyDescent="0.2">
      <c r="E1829" s="50"/>
      <c r="H1829" s="12"/>
      <c r="K1829"/>
    </row>
    <row r="1830" spans="5:11" x14ac:dyDescent="0.2">
      <c r="E1830" s="50"/>
      <c r="H1830" s="12"/>
      <c r="K1830"/>
    </row>
    <row r="1831" spans="5:11" x14ac:dyDescent="0.2">
      <c r="E1831" s="50"/>
      <c r="H1831" s="12"/>
      <c r="K1831"/>
    </row>
    <row r="1832" spans="5:11" x14ac:dyDescent="0.2">
      <c r="E1832" s="50"/>
      <c r="H1832" s="12"/>
      <c r="K1832"/>
    </row>
    <row r="1833" spans="5:11" x14ac:dyDescent="0.2">
      <c r="E1833" s="50"/>
      <c r="H1833" s="12"/>
      <c r="K1833"/>
    </row>
    <row r="1834" spans="5:11" x14ac:dyDescent="0.2">
      <c r="E1834" s="50"/>
      <c r="H1834" s="12"/>
      <c r="K1834"/>
    </row>
    <row r="1835" spans="5:11" x14ac:dyDescent="0.2">
      <c r="E1835" s="50"/>
      <c r="H1835" s="12"/>
      <c r="K1835"/>
    </row>
    <row r="1836" spans="5:11" x14ac:dyDescent="0.2">
      <c r="E1836" s="50"/>
      <c r="H1836" s="12"/>
      <c r="K1836"/>
    </row>
    <row r="1837" spans="5:11" x14ac:dyDescent="0.2">
      <c r="E1837" s="50"/>
      <c r="H1837" s="12"/>
      <c r="K1837"/>
    </row>
    <row r="1838" spans="5:11" x14ac:dyDescent="0.2">
      <c r="E1838" s="50"/>
      <c r="H1838" s="12"/>
      <c r="K1838"/>
    </row>
    <row r="1839" spans="5:11" x14ac:dyDescent="0.2">
      <c r="E1839" s="50"/>
      <c r="H1839" s="12"/>
      <c r="K1839"/>
    </row>
    <row r="1840" spans="5:11" x14ac:dyDescent="0.2">
      <c r="E1840" s="50"/>
      <c r="H1840" s="12"/>
      <c r="K1840"/>
    </row>
    <row r="1841" spans="5:11" x14ac:dyDescent="0.2">
      <c r="E1841" s="50"/>
      <c r="H1841" s="12"/>
      <c r="K1841"/>
    </row>
    <row r="1842" spans="5:11" x14ac:dyDescent="0.2">
      <c r="E1842" s="50"/>
      <c r="H1842" s="12"/>
      <c r="K1842"/>
    </row>
    <row r="1843" spans="5:11" x14ac:dyDescent="0.2">
      <c r="E1843" s="50"/>
      <c r="H1843" s="12"/>
      <c r="K1843"/>
    </row>
    <row r="1844" spans="5:11" x14ac:dyDescent="0.2">
      <c r="E1844" s="50"/>
      <c r="H1844" s="12"/>
      <c r="K1844"/>
    </row>
    <row r="1845" spans="5:11" x14ac:dyDescent="0.2">
      <c r="E1845" s="50"/>
      <c r="H1845" s="12"/>
      <c r="K1845"/>
    </row>
    <row r="1846" spans="5:11" x14ac:dyDescent="0.2">
      <c r="E1846" s="50"/>
      <c r="H1846" s="12"/>
      <c r="K1846"/>
    </row>
    <row r="1847" spans="5:11" x14ac:dyDescent="0.2">
      <c r="E1847" s="50"/>
      <c r="H1847" s="12"/>
      <c r="K1847"/>
    </row>
    <row r="1848" spans="5:11" x14ac:dyDescent="0.2">
      <c r="E1848" s="50"/>
      <c r="H1848" s="12"/>
      <c r="K1848"/>
    </row>
    <row r="1849" spans="5:11" x14ac:dyDescent="0.2">
      <c r="E1849" s="50"/>
      <c r="H1849" s="12"/>
      <c r="K1849"/>
    </row>
    <row r="1850" spans="5:11" x14ac:dyDescent="0.2">
      <c r="E1850" s="50"/>
      <c r="H1850" s="12"/>
      <c r="K1850"/>
    </row>
    <row r="1851" spans="5:11" x14ac:dyDescent="0.2">
      <c r="E1851" s="50"/>
      <c r="H1851" s="12"/>
      <c r="K1851"/>
    </row>
    <row r="1852" spans="5:11" x14ac:dyDescent="0.2">
      <c r="E1852" s="50"/>
      <c r="H1852" s="12"/>
      <c r="K1852"/>
    </row>
    <row r="1853" spans="5:11" x14ac:dyDescent="0.2">
      <c r="E1853" s="50"/>
      <c r="H1853" s="12"/>
      <c r="K1853"/>
    </row>
    <row r="1854" spans="5:11" x14ac:dyDescent="0.2">
      <c r="E1854" s="50"/>
      <c r="H1854" s="12"/>
      <c r="K1854"/>
    </row>
    <row r="1855" spans="5:11" x14ac:dyDescent="0.2">
      <c r="E1855" s="50"/>
      <c r="H1855" s="12"/>
      <c r="K1855"/>
    </row>
    <row r="1856" spans="5:11" x14ac:dyDescent="0.2">
      <c r="E1856" s="50"/>
      <c r="H1856" s="12"/>
      <c r="K1856"/>
    </row>
    <row r="1857" spans="5:11" x14ac:dyDescent="0.2">
      <c r="E1857" s="50"/>
      <c r="H1857" s="12"/>
      <c r="K1857"/>
    </row>
    <row r="1858" spans="5:11" x14ac:dyDescent="0.2">
      <c r="E1858" s="50"/>
      <c r="H1858" s="12"/>
      <c r="K1858"/>
    </row>
    <row r="1859" spans="5:11" x14ac:dyDescent="0.2">
      <c r="E1859" s="50"/>
      <c r="H1859" s="12"/>
      <c r="K1859"/>
    </row>
    <row r="1860" spans="5:11" x14ac:dyDescent="0.2">
      <c r="E1860" s="50"/>
      <c r="H1860" s="12"/>
      <c r="K1860"/>
    </row>
    <row r="1861" spans="5:11" x14ac:dyDescent="0.2">
      <c r="E1861" s="50"/>
      <c r="H1861" s="12"/>
      <c r="K1861"/>
    </row>
    <row r="1862" spans="5:11" x14ac:dyDescent="0.2">
      <c r="E1862" s="50"/>
      <c r="H1862" s="12"/>
      <c r="K1862"/>
    </row>
    <row r="1863" spans="5:11" x14ac:dyDescent="0.2">
      <c r="E1863" s="50"/>
      <c r="H1863" s="12"/>
      <c r="K1863"/>
    </row>
    <row r="1864" spans="5:11" x14ac:dyDescent="0.2">
      <c r="E1864" s="50"/>
      <c r="H1864" s="12"/>
      <c r="K1864"/>
    </row>
    <row r="1865" spans="5:11" x14ac:dyDescent="0.2">
      <c r="E1865" s="50"/>
      <c r="H1865" s="12"/>
      <c r="K1865"/>
    </row>
    <row r="1866" spans="5:11" x14ac:dyDescent="0.2">
      <c r="E1866" s="50"/>
      <c r="H1866" s="12"/>
      <c r="K1866"/>
    </row>
    <row r="1867" spans="5:11" x14ac:dyDescent="0.2">
      <c r="E1867" s="50"/>
      <c r="H1867" s="12"/>
      <c r="K1867"/>
    </row>
    <row r="1868" spans="5:11" x14ac:dyDescent="0.2">
      <c r="E1868" s="50"/>
      <c r="H1868" s="12"/>
      <c r="K1868"/>
    </row>
    <row r="1869" spans="5:11" x14ac:dyDescent="0.2">
      <c r="E1869" s="50"/>
      <c r="H1869" s="12"/>
      <c r="K1869"/>
    </row>
    <row r="1870" spans="5:11" x14ac:dyDescent="0.2">
      <c r="E1870" s="50"/>
      <c r="H1870" s="12"/>
      <c r="K1870"/>
    </row>
    <row r="1871" spans="5:11" x14ac:dyDescent="0.2">
      <c r="E1871" s="50"/>
      <c r="H1871" s="12"/>
      <c r="K1871"/>
    </row>
    <row r="1872" spans="5:11" x14ac:dyDescent="0.2">
      <c r="E1872" s="50"/>
      <c r="H1872" s="12"/>
      <c r="K1872"/>
    </row>
    <row r="1873" spans="5:11" x14ac:dyDescent="0.2">
      <c r="E1873" s="50"/>
      <c r="H1873" s="12"/>
      <c r="K1873"/>
    </row>
    <row r="1874" spans="5:11" x14ac:dyDescent="0.2">
      <c r="E1874" s="50"/>
      <c r="H1874" s="12"/>
      <c r="K1874"/>
    </row>
    <row r="1875" spans="5:11" x14ac:dyDescent="0.2">
      <c r="E1875" s="50"/>
      <c r="H1875" s="12"/>
      <c r="K1875"/>
    </row>
    <row r="1876" spans="5:11" x14ac:dyDescent="0.2">
      <c r="E1876" s="50"/>
      <c r="H1876" s="12"/>
      <c r="K1876"/>
    </row>
    <row r="1877" spans="5:11" x14ac:dyDescent="0.2">
      <c r="E1877" s="50"/>
      <c r="H1877" s="12"/>
      <c r="K1877"/>
    </row>
    <row r="1878" spans="5:11" x14ac:dyDescent="0.2">
      <c r="E1878" s="50"/>
      <c r="H1878" s="12"/>
      <c r="K1878"/>
    </row>
    <row r="1879" spans="5:11" x14ac:dyDescent="0.2">
      <c r="E1879" s="50"/>
      <c r="H1879" s="12"/>
      <c r="K1879"/>
    </row>
    <row r="1880" spans="5:11" x14ac:dyDescent="0.2">
      <c r="E1880" s="50"/>
      <c r="H1880" s="12"/>
      <c r="K1880"/>
    </row>
    <row r="1881" spans="5:11" x14ac:dyDescent="0.2">
      <c r="E1881" s="50"/>
      <c r="H1881" s="12"/>
      <c r="K1881"/>
    </row>
    <row r="1882" spans="5:11" x14ac:dyDescent="0.2">
      <c r="E1882" s="50"/>
      <c r="H1882" s="12"/>
      <c r="K1882"/>
    </row>
    <row r="1883" spans="5:11" x14ac:dyDescent="0.2">
      <c r="E1883" s="50"/>
      <c r="H1883" s="12"/>
      <c r="K1883"/>
    </row>
    <row r="1884" spans="5:11" x14ac:dyDescent="0.2">
      <c r="E1884" s="50"/>
      <c r="H1884" s="12"/>
      <c r="K1884"/>
    </row>
    <row r="1885" spans="5:11" x14ac:dyDescent="0.2">
      <c r="E1885" s="50"/>
      <c r="H1885" s="12"/>
      <c r="K1885"/>
    </row>
    <row r="1886" spans="5:11" x14ac:dyDescent="0.2">
      <c r="E1886" s="50"/>
      <c r="H1886" s="12"/>
      <c r="K1886"/>
    </row>
    <row r="1887" spans="5:11" x14ac:dyDescent="0.2">
      <c r="E1887" s="50"/>
      <c r="H1887" s="12"/>
      <c r="K1887"/>
    </row>
    <row r="1888" spans="5:11" x14ac:dyDescent="0.2">
      <c r="E1888" s="50"/>
      <c r="H1888" s="12"/>
      <c r="K1888"/>
    </row>
    <row r="1889" spans="5:11" x14ac:dyDescent="0.2">
      <c r="E1889" s="50"/>
      <c r="H1889" s="12"/>
      <c r="K1889"/>
    </row>
    <row r="1890" spans="5:11" x14ac:dyDescent="0.2">
      <c r="E1890" s="50"/>
      <c r="H1890" s="12"/>
      <c r="K1890"/>
    </row>
    <row r="1891" spans="5:11" x14ac:dyDescent="0.2">
      <c r="E1891" s="50"/>
      <c r="H1891" s="12"/>
      <c r="K1891"/>
    </row>
    <row r="1892" spans="5:11" x14ac:dyDescent="0.2">
      <c r="E1892" s="50"/>
      <c r="H1892" s="12"/>
      <c r="K1892"/>
    </row>
    <row r="1893" spans="5:11" x14ac:dyDescent="0.2">
      <c r="E1893" s="50"/>
      <c r="H1893" s="12"/>
      <c r="K1893"/>
    </row>
    <row r="1894" spans="5:11" x14ac:dyDescent="0.2">
      <c r="E1894" s="50"/>
      <c r="H1894" s="12"/>
      <c r="K1894"/>
    </row>
    <row r="1895" spans="5:11" x14ac:dyDescent="0.2">
      <c r="E1895" s="50"/>
      <c r="H1895" s="12"/>
      <c r="K1895"/>
    </row>
    <row r="1896" spans="5:11" x14ac:dyDescent="0.2">
      <c r="E1896" s="50"/>
      <c r="H1896" s="12"/>
      <c r="K1896"/>
    </row>
    <row r="1897" spans="5:11" x14ac:dyDescent="0.2">
      <c r="E1897" s="50"/>
      <c r="H1897" s="12"/>
      <c r="K1897"/>
    </row>
    <row r="1898" spans="5:11" x14ac:dyDescent="0.2">
      <c r="E1898" s="50"/>
      <c r="H1898" s="12"/>
      <c r="K1898"/>
    </row>
    <row r="1899" spans="5:11" x14ac:dyDescent="0.2">
      <c r="E1899" s="50"/>
      <c r="H1899" s="12"/>
      <c r="K1899"/>
    </row>
    <row r="1900" spans="5:11" x14ac:dyDescent="0.2">
      <c r="E1900" s="50"/>
      <c r="H1900" s="12"/>
      <c r="K1900"/>
    </row>
    <row r="1901" spans="5:11" x14ac:dyDescent="0.2">
      <c r="E1901" s="50"/>
      <c r="H1901" s="12"/>
      <c r="K1901"/>
    </row>
    <row r="1902" spans="5:11" x14ac:dyDescent="0.2">
      <c r="E1902" s="50"/>
      <c r="H1902" s="12"/>
      <c r="K1902"/>
    </row>
    <row r="1903" spans="5:11" x14ac:dyDescent="0.2">
      <c r="E1903" s="50"/>
      <c r="H1903" s="12"/>
      <c r="K1903"/>
    </row>
    <row r="1904" spans="5:11" x14ac:dyDescent="0.2">
      <c r="E1904" s="50"/>
      <c r="H1904" s="12"/>
      <c r="K1904"/>
    </row>
    <row r="1905" spans="5:11" x14ac:dyDescent="0.2">
      <c r="E1905" s="50"/>
      <c r="H1905" s="12"/>
      <c r="K1905"/>
    </row>
    <row r="1906" spans="5:11" x14ac:dyDescent="0.2">
      <c r="E1906" s="50"/>
      <c r="H1906" s="12"/>
      <c r="K1906"/>
    </row>
    <row r="1907" spans="5:11" x14ac:dyDescent="0.2">
      <c r="E1907" s="50"/>
      <c r="H1907" s="12"/>
      <c r="K1907"/>
    </row>
    <row r="1908" spans="5:11" x14ac:dyDescent="0.2">
      <c r="E1908" s="50"/>
      <c r="H1908" s="12"/>
      <c r="K1908"/>
    </row>
    <row r="1909" spans="5:11" x14ac:dyDescent="0.2">
      <c r="E1909" s="50"/>
      <c r="H1909" s="12"/>
      <c r="K1909"/>
    </row>
    <row r="1910" spans="5:11" x14ac:dyDescent="0.2">
      <c r="E1910" s="50"/>
      <c r="H1910" s="12"/>
      <c r="K1910"/>
    </row>
    <row r="1911" spans="5:11" x14ac:dyDescent="0.2">
      <c r="E1911" s="50"/>
      <c r="H1911" s="12"/>
      <c r="K1911"/>
    </row>
    <row r="1912" spans="5:11" x14ac:dyDescent="0.2">
      <c r="E1912" s="50"/>
      <c r="H1912" s="12"/>
      <c r="K1912"/>
    </row>
    <row r="1913" spans="5:11" x14ac:dyDescent="0.2">
      <c r="E1913" s="50"/>
      <c r="H1913" s="12"/>
      <c r="K1913"/>
    </row>
    <row r="1914" spans="5:11" x14ac:dyDescent="0.2">
      <c r="E1914" s="50"/>
      <c r="H1914" s="12"/>
      <c r="K1914"/>
    </row>
    <row r="1915" spans="5:11" x14ac:dyDescent="0.2">
      <c r="E1915" s="50"/>
      <c r="H1915" s="12"/>
      <c r="K1915"/>
    </row>
    <row r="1916" spans="5:11" x14ac:dyDescent="0.2">
      <c r="E1916" s="50"/>
      <c r="H1916" s="12"/>
      <c r="K1916"/>
    </row>
    <row r="1917" spans="5:11" x14ac:dyDescent="0.2">
      <c r="E1917" s="50"/>
      <c r="H1917" s="12"/>
      <c r="K1917"/>
    </row>
    <row r="1918" spans="5:11" x14ac:dyDescent="0.2">
      <c r="E1918" s="50"/>
      <c r="H1918" s="12"/>
      <c r="K1918"/>
    </row>
    <row r="1919" spans="5:11" x14ac:dyDescent="0.2">
      <c r="E1919" s="50"/>
      <c r="H1919" s="12"/>
      <c r="K1919"/>
    </row>
    <row r="1920" spans="5:11" x14ac:dyDescent="0.2">
      <c r="E1920" s="50"/>
      <c r="H1920" s="12"/>
      <c r="K1920"/>
    </row>
    <row r="1921" spans="5:11" x14ac:dyDescent="0.2">
      <c r="E1921" s="50"/>
      <c r="H1921" s="12"/>
      <c r="K1921"/>
    </row>
    <row r="1922" spans="5:11" x14ac:dyDescent="0.2">
      <c r="E1922" s="50"/>
      <c r="H1922" s="12"/>
      <c r="K1922"/>
    </row>
    <row r="1923" spans="5:11" x14ac:dyDescent="0.2">
      <c r="E1923" s="50"/>
      <c r="H1923" s="12"/>
      <c r="K1923"/>
    </row>
    <row r="1924" spans="5:11" x14ac:dyDescent="0.2">
      <c r="E1924" s="50"/>
      <c r="H1924" s="12"/>
      <c r="K1924"/>
    </row>
    <row r="1925" spans="5:11" x14ac:dyDescent="0.2">
      <c r="E1925" s="50"/>
      <c r="H1925" s="12"/>
      <c r="K1925"/>
    </row>
    <row r="1926" spans="5:11" x14ac:dyDescent="0.2">
      <c r="E1926" s="50"/>
      <c r="H1926" s="12"/>
      <c r="K1926"/>
    </row>
    <row r="1927" spans="5:11" x14ac:dyDescent="0.2">
      <c r="E1927" s="50"/>
      <c r="H1927" s="12"/>
      <c r="K1927"/>
    </row>
    <row r="1928" spans="5:11" x14ac:dyDescent="0.2">
      <c r="E1928" s="50"/>
      <c r="H1928" s="12"/>
      <c r="K1928"/>
    </row>
    <row r="1929" spans="5:11" x14ac:dyDescent="0.2">
      <c r="E1929" s="50"/>
      <c r="H1929" s="12"/>
      <c r="K1929"/>
    </row>
    <row r="1930" spans="5:11" x14ac:dyDescent="0.2">
      <c r="E1930" s="50"/>
      <c r="H1930" s="12"/>
      <c r="K1930"/>
    </row>
    <row r="1931" spans="5:11" x14ac:dyDescent="0.2">
      <c r="E1931" s="50"/>
      <c r="H1931" s="12"/>
      <c r="K1931"/>
    </row>
    <row r="1932" spans="5:11" x14ac:dyDescent="0.2">
      <c r="E1932" s="50"/>
      <c r="H1932" s="12"/>
      <c r="K1932"/>
    </row>
    <row r="1933" spans="5:11" x14ac:dyDescent="0.2">
      <c r="E1933" s="50"/>
      <c r="H1933" s="12"/>
      <c r="K1933"/>
    </row>
    <row r="1934" spans="5:11" x14ac:dyDescent="0.2">
      <c r="E1934" s="50"/>
      <c r="H1934" s="12"/>
      <c r="K1934"/>
    </row>
    <row r="1935" spans="5:11" x14ac:dyDescent="0.2">
      <c r="E1935" s="50"/>
      <c r="H1935" s="12"/>
      <c r="K1935"/>
    </row>
    <row r="1936" spans="5:11" x14ac:dyDescent="0.2">
      <c r="E1936" s="50"/>
      <c r="H1936" s="12"/>
      <c r="K1936"/>
    </row>
    <row r="1937" spans="5:11" x14ac:dyDescent="0.2">
      <c r="E1937" s="50"/>
      <c r="H1937" s="12"/>
      <c r="K1937"/>
    </row>
    <row r="1938" spans="5:11" x14ac:dyDescent="0.2">
      <c r="E1938" s="50"/>
      <c r="H1938" s="12"/>
      <c r="K1938"/>
    </row>
    <row r="1939" spans="5:11" x14ac:dyDescent="0.2">
      <c r="E1939" s="50"/>
      <c r="H1939" s="12"/>
      <c r="K1939"/>
    </row>
    <row r="1940" spans="5:11" x14ac:dyDescent="0.2">
      <c r="E1940" s="50"/>
      <c r="H1940" s="12"/>
      <c r="K1940"/>
    </row>
    <row r="1941" spans="5:11" x14ac:dyDescent="0.2">
      <c r="E1941" s="50"/>
      <c r="H1941" s="12"/>
      <c r="K1941"/>
    </row>
    <row r="1942" spans="5:11" x14ac:dyDescent="0.2">
      <c r="E1942" s="50"/>
      <c r="H1942" s="12"/>
      <c r="K1942"/>
    </row>
    <row r="1943" spans="5:11" x14ac:dyDescent="0.2">
      <c r="E1943" s="50"/>
      <c r="H1943" s="12"/>
      <c r="K1943"/>
    </row>
    <row r="1944" spans="5:11" x14ac:dyDescent="0.2">
      <c r="E1944" s="50"/>
      <c r="H1944" s="12"/>
      <c r="K1944"/>
    </row>
    <row r="1945" spans="5:11" x14ac:dyDescent="0.2">
      <c r="E1945" s="50"/>
      <c r="H1945" s="12"/>
      <c r="K1945"/>
    </row>
    <row r="1946" spans="5:11" x14ac:dyDescent="0.2">
      <c r="E1946" s="50"/>
      <c r="H1946" s="12"/>
      <c r="K1946"/>
    </row>
    <row r="1947" spans="5:11" x14ac:dyDescent="0.2">
      <c r="E1947" s="50"/>
      <c r="H1947" s="12"/>
      <c r="K1947"/>
    </row>
    <row r="1948" spans="5:11" x14ac:dyDescent="0.2">
      <c r="E1948" s="50"/>
      <c r="H1948" s="12"/>
      <c r="K1948"/>
    </row>
    <row r="1949" spans="5:11" x14ac:dyDescent="0.2">
      <c r="E1949" s="50"/>
      <c r="H1949" s="12"/>
      <c r="K1949"/>
    </row>
    <row r="1950" spans="5:11" x14ac:dyDescent="0.2">
      <c r="E1950" s="50"/>
      <c r="H1950" s="12"/>
      <c r="K1950"/>
    </row>
    <row r="1951" spans="5:11" x14ac:dyDescent="0.2">
      <c r="E1951" s="50"/>
      <c r="H1951" s="12"/>
      <c r="K1951"/>
    </row>
    <row r="1952" spans="5:11" x14ac:dyDescent="0.2">
      <c r="E1952" s="50"/>
      <c r="H1952" s="12"/>
      <c r="K1952"/>
    </row>
    <row r="1953" spans="5:11" x14ac:dyDescent="0.2">
      <c r="E1953" s="50"/>
      <c r="H1953" s="12"/>
      <c r="K1953"/>
    </row>
    <row r="1954" spans="5:11" x14ac:dyDescent="0.2">
      <c r="E1954" s="50"/>
      <c r="H1954" s="12"/>
      <c r="K1954"/>
    </row>
    <row r="1955" spans="5:11" x14ac:dyDescent="0.2">
      <c r="E1955" s="50"/>
      <c r="H1955" s="12"/>
      <c r="K1955"/>
    </row>
    <row r="1956" spans="5:11" x14ac:dyDescent="0.2">
      <c r="E1956" s="50"/>
      <c r="H1956" s="12"/>
      <c r="K1956"/>
    </row>
    <row r="1957" spans="5:11" x14ac:dyDescent="0.2">
      <c r="E1957" s="50"/>
      <c r="H1957" s="12"/>
      <c r="K1957"/>
    </row>
    <row r="1958" spans="5:11" x14ac:dyDescent="0.2">
      <c r="E1958" s="50"/>
      <c r="H1958" s="12"/>
      <c r="K1958"/>
    </row>
    <row r="1959" spans="5:11" x14ac:dyDescent="0.2">
      <c r="E1959" s="50"/>
      <c r="H1959" s="12"/>
      <c r="K1959"/>
    </row>
    <row r="1960" spans="5:11" x14ac:dyDescent="0.2">
      <c r="E1960" s="50"/>
      <c r="H1960" s="12"/>
      <c r="K1960"/>
    </row>
    <row r="1961" spans="5:11" x14ac:dyDescent="0.2">
      <c r="E1961" s="50"/>
      <c r="H1961" s="12"/>
      <c r="K1961"/>
    </row>
    <row r="1962" spans="5:11" x14ac:dyDescent="0.2">
      <c r="E1962" s="50"/>
      <c r="H1962" s="12"/>
      <c r="K1962"/>
    </row>
    <row r="1963" spans="5:11" x14ac:dyDescent="0.2">
      <c r="E1963" s="50"/>
      <c r="H1963" s="12"/>
      <c r="K1963"/>
    </row>
    <row r="1964" spans="5:11" x14ac:dyDescent="0.2">
      <c r="E1964" s="50"/>
      <c r="H1964" s="12"/>
      <c r="K1964"/>
    </row>
    <row r="1965" spans="5:11" x14ac:dyDescent="0.2">
      <c r="E1965" s="50"/>
      <c r="H1965" s="12"/>
      <c r="K1965"/>
    </row>
    <row r="1966" spans="5:11" x14ac:dyDescent="0.2">
      <c r="E1966" s="50"/>
      <c r="H1966" s="12"/>
      <c r="K1966"/>
    </row>
    <row r="1967" spans="5:11" x14ac:dyDescent="0.2">
      <c r="E1967" s="50"/>
      <c r="H1967" s="12"/>
      <c r="K1967"/>
    </row>
    <row r="1968" spans="5:11" x14ac:dyDescent="0.2">
      <c r="E1968" s="50"/>
      <c r="H1968" s="12"/>
      <c r="K1968"/>
    </row>
    <row r="1969" spans="5:11" x14ac:dyDescent="0.2">
      <c r="E1969" s="50"/>
      <c r="H1969" s="12"/>
      <c r="K1969"/>
    </row>
    <row r="1970" spans="5:11" x14ac:dyDescent="0.2">
      <c r="E1970" s="50"/>
      <c r="H1970" s="12"/>
      <c r="K1970"/>
    </row>
    <row r="1971" spans="5:11" x14ac:dyDescent="0.2">
      <c r="E1971" s="50"/>
      <c r="H1971" s="12"/>
      <c r="K1971"/>
    </row>
    <row r="1972" spans="5:11" x14ac:dyDescent="0.2">
      <c r="E1972" s="50"/>
      <c r="H1972" s="12"/>
      <c r="K1972"/>
    </row>
    <row r="1973" spans="5:11" x14ac:dyDescent="0.2">
      <c r="E1973" s="50"/>
      <c r="H1973" s="12"/>
      <c r="K1973"/>
    </row>
    <row r="1974" spans="5:11" x14ac:dyDescent="0.2">
      <c r="E1974" s="50"/>
      <c r="H1974" s="12"/>
      <c r="K1974"/>
    </row>
    <row r="1975" spans="5:11" x14ac:dyDescent="0.2">
      <c r="E1975" s="50"/>
      <c r="H1975" s="12"/>
      <c r="K1975"/>
    </row>
    <row r="1976" spans="5:11" x14ac:dyDescent="0.2">
      <c r="E1976" s="50"/>
      <c r="H1976" s="12"/>
      <c r="K1976"/>
    </row>
    <row r="1977" spans="5:11" x14ac:dyDescent="0.2">
      <c r="E1977" s="50"/>
      <c r="H1977" s="12"/>
      <c r="K1977"/>
    </row>
    <row r="1978" spans="5:11" x14ac:dyDescent="0.2">
      <c r="E1978" s="50"/>
      <c r="H1978" s="12"/>
      <c r="K1978"/>
    </row>
    <row r="1979" spans="5:11" x14ac:dyDescent="0.2">
      <c r="E1979" s="50"/>
      <c r="H1979" s="12"/>
      <c r="K1979"/>
    </row>
    <row r="1980" spans="5:11" x14ac:dyDescent="0.2">
      <c r="E1980" s="50"/>
      <c r="H1980" s="12"/>
      <c r="K1980"/>
    </row>
    <row r="1981" spans="5:11" x14ac:dyDescent="0.2">
      <c r="E1981" s="50"/>
      <c r="H1981" s="12"/>
      <c r="K1981"/>
    </row>
    <row r="1982" spans="5:11" x14ac:dyDescent="0.2">
      <c r="E1982" s="50"/>
      <c r="H1982" s="12"/>
      <c r="K1982"/>
    </row>
    <row r="1983" spans="5:11" x14ac:dyDescent="0.2">
      <c r="E1983" s="50"/>
      <c r="H1983" s="12"/>
      <c r="K1983"/>
    </row>
    <row r="1984" spans="5:11" x14ac:dyDescent="0.2">
      <c r="E1984" s="50"/>
      <c r="H1984" s="12"/>
      <c r="K1984"/>
    </row>
    <row r="1985" spans="5:11" x14ac:dyDescent="0.2">
      <c r="E1985" s="50"/>
      <c r="H1985" s="12"/>
      <c r="K1985"/>
    </row>
    <row r="1986" spans="5:11" x14ac:dyDescent="0.2">
      <c r="E1986" s="50"/>
      <c r="H1986" s="12"/>
      <c r="K1986"/>
    </row>
    <row r="1987" spans="5:11" x14ac:dyDescent="0.2">
      <c r="E1987" s="50"/>
      <c r="H1987" s="12"/>
      <c r="K1987"/>
    </row>
    <row r="1988" spans="5:11" x14ac:dyDescent="0.2">
      <c r="E1988" s="50"/>
      <c r="H1988" s="12"/>
      <c r="K1988"/>
    </row>
    <row r="1989" spans="5:11" x14ac:dyDescent="0.2">
      <c r="E1989" s="50"/>
      <c r="H1989" s="12"/>
      <c r="K1989"/>
    </row>
    <row r="1990" spans="5:11" x14ac:dyDescent="0.2">
      <c r="E1990" s="50"/>
      <c r="H1990" s="12"/>
      <c r="K1990"/>
    </row>
    <row r="1991" spans="5:11" x14ac:dyDescent="0.2">
      <c r="E1991" s="50"/>
      <c r="H1991" s="12"/>
      <c r="K1991"/>
    </row>
    <row r="1992" spans="5:11" x14ac:dyDescent="0.2">
      <c r="E1992" s="50"/>
      <c r="H1992" s="12"/>
      <c r="K1992"/>
    </row>
    <row r="1993" spans="5:11" x14ac:dyDescent="0.2">
      <c r="E1993" s="50"/>
      <c r="H1993" s="12"/>
      <c r="K1993"/>
    </row>
    <row r="1994" spans="5:11" x14ac:dyDescent="0.2">
      <c r="E1994" s="50"/>
      <c r="H1994" s="12"/>
      <c r="K1994"/>
    </row>
    <row r="1995" spans="5:11" x14ac:dyDescent="0.2">
      <c r="E1995" s="50"/>
      <c r="H1995" s="12"/>
      <c r="K1995"/>
    </row>
    <row r="1996" spans="5:11" x14ac:dyDescent="0.2">
      <c r="E1996" s="50"/>
      <c r="H1996" s="12"/>
      <c r="K1996"/>
    </row>
    <row r="1997" spans="5:11" x14ac:dyDescent="0.2">
      <c r="E1997" s="50"/>
      <c r="H1997" s="12"/>
      <c r="K1997"/>
    </row>
    <row r="1998" spans="5:11" x14ac:dyDescent="0.2">
      <c r="E1998" s="50"/>
      <c r="H1998" s="12"/>
      <c r="K1998"/>
    </row>
    <row r="1999" spans="5:11" x14ac:dyDescent="0.2">
      <c r="E1999" s="50"/>
      <c r="H1999" s="12"/>
      <c r="K1999"/>
    </row>
    <row r="2000" spans="5:11" x14ac:dyDescent="0.2">
      <c r="E2000" s="50"/>
      <c r="H2000" s="12"/>
      <c r="K2000"/>
    </row>
    <row r="2001" spans="5:11" x14ac:dyDescent="0.2">
      <c r="E2001" s="50"/>
      <c r="H2001" s="12"/>
      <c r="K2001"/>
    </row>
    <row r="2002" spans="5:11" x14ac:dyDescent="0.2">
      <c r="E2002" s="50"/>
      <c r="H2002" s="12"/>
      <c r="K2002"/>
    </row>
    <row r="2003" spans="5:11" x14ac:dyDescent="0.2">
      <c r="E2003" s="50"/>
      <c r="H2003" s="12"/>
      <c r="K2003"/>
    </row>
    <row r="2004" spans="5:11" x14ac:dyDescent="0.2">
      <c r="E2004" s="50"/>
      <c r="H2004" s="12"/>
      <c r="K2004"/>
    </row>
    <row r="2005" spans="5:11" x14ac:dyDescent="0.2">
      <c r="E2005" s="50"/>
      <c r="H2005" s="12"/>
      <c r="K2005"/>
    </row>
    <row r="2006" spans="5:11" x14ac:dyDescent="0.2">
      <c r="E2006" s="50"/>
      <c r="H2006" s="12"/>
      <c r="K2006"/>
    </row>
    <row r="2007" spans="5:11" x14ac:dyDescent="0.2">
      <c r="E2007" s="50"/>
      <c r="H2007" s="12"/>
      <c r="K2007"/>
    </row>
    <row r="2008" spans="5:11" x14ac:dyDescent="0.2">
      <c r="E2008" s="50"/>
      <c r="H2008" s="12"/>
      <c r="K2008"/>
    </row>
    <row r="2009" spans="5:11" x14ac:dyDescent="0.2">
      <c r="E2009" s="50"/>
      <c r="H2009" s="12"/>
      <c r="K2009"/>
    </row>
    <row r="2010" spans="5:11" x14ac:dyDescent="0.2">
      <c r="E2010" s="50"/>
      <c r="H2010" s="12"/>
      <c r="K2010"/>
    </row>
    <row r="2011" spans="5:11" x14ac:dyDescent="0.2">
      <c r="E2011" s="50"/>
      <c r="H2011" s="12"/>
      <c r="K2011"/>
    </row>
    <row r="2012" spans="5:11" x14ac:dyDescent="0.2">
      <c r="E2012" s="50"/>
      <c r="H2012" s="12"/>
      <c r="K2012"/>
    </row>
    <row r="2013" spans="5:11" x14ac:dyDescent="0.2">
      <c r="E2013" s="50"/>
      <c r="H2013" s="12"/>
      <c r="K2013"/>
    </row>
    <row r="2014" spans="5:11" x14ac:dyDescent="0.2">
      <c r="E2014" s="50"/>
      <c r="H2014" s="12"/>
      <c r="K2014"/>
    </row>
    <row r="2015" spans="5:11" x14ac:dyDescent="0.2">
      <c r="E2015" s="50"/>
      <c r="H2015" s="12"/>
      <c r="K2015"/>
    </row>
    <row r="2016" spans="5:11" x14ac:dyDescent="0.2">
      <c r="E2016" s="50"/>
      <c r="H2016" s="12"/>
      <c r="K2016"/>
    </row>
    <row r="2017" spans="5:11" x14ac:dyDescent="0.2">
      <c r="E2017" s="50"/>
      <c r="H2017" s="12"/>
      <c r="K2017"/>
    </row>
    <row r="2018" spans="5:11" x14ac:dyDescent="0.2">
      <c r="E2018" s="50"/>
      <c r="H2018" s="12"/>
      <c r="K2018"/>
    </row>
    <row r="2019" spans="5:11" x14ac:dyDescent="0.2">
      <c r="E2019" s="50"/>
      <c r="H2019" s="12"/>
      <c r="K2019"/>
    </row>
    <row r="2020" spans="5:11" x14ac:dyDescent="0.2">
      <c r="E2020" s="50"/>
      <c r="H2020" s="12"/>
      <c r="K2020"/>
    </row>
    <row r="2021" spans="5:11" x14ac:dyDescent="0.2">
      <c r="E2021" s="50"/>
      <c r="H2021" s="12"/>
      <c r="K2021"/>
    </row>
    <row r="2022" spans="5:11" x14ac:dyDescent="0.2">
      <c r="E2022" s="50"/>
      <c r="H2022" s="12"/>
      <c r="K2022"/>
    </row>
    <row r="2023" spans="5:11" x14ac:dyDescent="0.2">
      <c r="E2023" s="50"/>
      <c r="H2023" s="12"/>
      <c r="K2023"/>
    </row>
    <row r="2024" spans="5:11" x14ac:dyDescent="0.2">
      <c r="E2024" s="50"/>
      <c r="H2024" s="12"/>
      <c r="K2024"/>
    </row>
    <row r="2025" spans="5:11" x14ac:dyDescent="0.2">
      <c r="E2025" s="50"/>
      <c r="H2025" s="12"/>
      <c r="K2025"/>
    </row>
    <row r="2026" spans="5:11" x14ac:dyDescent="0.2">
      <c r="E2026" s="50"/>
      <c r="H2026" s="12"/>
      <c r="K2026"/>
    </row>
    <row r="2027" spans="5:11" x14ac:dyDescent="0.2">
      <c r="E2027" s="50"/>
      <c r="H2027" s="12"/>
      <c r="K2027"/>
    </row>
    <row r="2028" spans="5:11" x14ac:dyDescent="0.2">
      <c r="E2028" s="50"/>
      <c r="H2028" s="12"/>
      <c r="K2028"/>
    </row>
    <row r="2029" spans="5:11" x14ac:dyDescent="0.2">
      <c r="E2029" s="50"/>
      <c r="H2029" s="12"/>
      <c r="K2029"/>
    </row>
    <row r="2030" spans="5:11" x14ac:dyDescent="0.2">
      <c r="E2030" s="50"/>
      <c r="H2030" s="12"/>
      <c r="K2030"/>
    </row>
    <row r="2031" spans="5:11" x14ac:dyDescent="0.2">
      <c r="E2031" s="50"/>
      <c r="H2031" s="12"/>
      <c r="K2031"/>
    </row>
    <row r="2032" spans="5:11" x14ac:dyDescent="0.2">
      <c r="E2032" s="50"/>
      <c r="H2032" s="12"/>
      <c r="K2032"/>
    </row>
    <row r="2033" spans="5:11" x14ac:dyDescent="0.2">
      <c r="E2033" s="50"/>
      <c r="H2033" s="12"/>
      <c r="K2033"/>
    </row>
    <row r="2034" spans="5:11" x14ac:dyDescent="0.2">
      <c r="E2034" s="50"/>
      <c r="H2034" s="12"/>
      <c r="K2034"/>
    </row>
    <row r="2035" spans="5:11" x14ac:dyDescent="0.2">
      <c r="E2035" s="50"/>
      <c r="H2035" s="12"/>
      <c r="K2035"/>
    </row>
    <row r="2036" spans="5:11" x14ac:dyDescent="0.2">
      <c r="E2036" s="50"/>
      <c r="H2036" s="12"/>
      <c r="K2036"/>
    </row>
    <row r="2037" spans="5:11" x14ac:dyDescent="0.2">
      <c r="E2037" s="50"/>
      <c r="H2037" s="12"/>
      <c r="K2037"/>
    </row>
    <row r="2038" spans="5:11" x14ac:dyDescent="0.2">
      <c r="E2038" s="50"/>
      <c r="H2038" s="12"/>
      <c r="K2038"/>
    </row>
    <row r="2039" spans="5:11" x14ac:dyDescent="0.2">
      <c r="E2039" s="50"/>
      <c r="H2039" s="12"/>
      <c r="K2039"/>
    </row>
    <row r="2040" spans="5:11" x14ac:dyDescent="0.2">
      <c r="E2040" s="50"/>
      <c r="H2040" s="12"/>
      <c r="K2040"/>
    </row>
    <row r="2041" spans="5:11" x14ac:dyDescent="0.2">
      <c r="E2041" s="50"/>
      <c r="H2041" s="12"/>
      <c r="K2041"/>
    </row>
    <row r="2042" spans="5:11" x14ac:dyDescent="0.2">
      <c r="E2042" s="50"/>
      <c r="H2042" s="12"/>
      <c r="K2042"/>
    </row>
    <row r="2043" spans="5:11" x14ac:dyDescent="0.2">
      <c r="E2043" s="50"/>
      <c r="H2043" s="12"/>
      <c r="K2043"/>
    </row>
    <row r="2044" spans="5:11" x14ac:dyDescent="0.2">
      <c r="E2044" s="50"/>
      <c r="H2044" s="12"/>
      <c r="K2044"/>
    </row>
    <row r="2045" spans="5:11" x14ac:dyDescent="0.2">
      <c r="E2045" s="50"/>
      <c r="H2045" s="12"/>
      <c r="K2045"/>
    </row>
    <row r="2046" spans="5:11" x14ac:dyDescent="0.2">
      <c r="E2046" s="50"/>
      <c r="H2046" s="12"/>
      <c r="K2046"/>
    </row>
    <row r="2047" spans="5:11" x14ac:dyDescent="0.2">
      <c r="E2047" s="50"/>
      <c r="H2047" s="12"/>
      <c r="K2047"/>
    </row>
    <row r="2048" spans="5:11" x14ac:dyDescent="0.2">
      <c r="E2048" s="50"/>
      <c r="H2048" s="12"/>
      <c r="K2048"/>
    </row>
    <row r="2049" spans="5:11" x14ac:dyDescent="0.2">
      <c r="E2049" s="50"/>
      <c r="H2049" s="12"/>
      <c r="K2049"/>
    </row>
    <row r="2050" spans="5:11" x14ac:dyDescent="0.2">
      <c r="E2050" s="50"/>
      <c r="H2050" s="12"/>
      <c r="K2050"/>
    </row>
    <row r="2051" spans="5:11" x14ac:dyDescent="0.2">
      <c r="E2051" s="50"/>
      <c r="H2051" s="12"/>
      <c r="K2051"/>
    </row>
    <row r="2052" spans="5:11" x14ac:dyDescent="0.2">
      <c r="E2052" s="50"/>
      <c r="H2052" s="12"/>
      <c r="K2052"/>
    </row>
    <row r="2053" spans="5:11" x14ac:dyDescent="0.2">
      <c r="E2053" s="50"/>
      <c r="H2053" s="12"/>
      <c r="K2053"/>
    </row>
    <row r="2054" spans="5:11" x14ac:dyDescent="0.2">
      <c r="E2054" s="50"/>
      <c r="H2054" s="12"/>
      <c r="K2054"/>
    </row>
    <row r="2055" spans="5:11" x14ac:dyDescent="0.2">
      <c r="E2055" s="50"/>
      <c r="H2055" s="12"/>
      <c r="K2055"/>
    </row>
    <row r="2056" spans="5:11" x14ac:dyDescent="0.2">
      <c r="E2056" s="50"/>
      <c r="H2056" s="12"/>
      <c r="K2056"/>
    </row>
    <row r="2057" spans="5:11" x14ac:dyDescent="0.2">
      <c r="E2057" s="50"/>
      <c r="H2057" s="12"/>
      <c r="K2057"/>
    </row>
    <row r="2058" spans="5:11" x14ac:dyDescent="0.2">
      <c r="E2058" s="50"/>
      <c r="H2058" s="12"/>
      <c r="K2058"/>
    </row>
    <row r="2059" spans="5:11" x14ac:dyDescent="0.2">
      <c r="E2059" s="50"/>
      <c r="H2059" s="12"/>
      <c r="K2059"/>
    </row>
    <row r="2060" spans="5:11" x14ac:dyDescent="0.2">
      <c r="E2060" s="50"/>
      <c r="H2060" s="12"/>
      <c r="K2060"/>
    </row>
    <row r="2061" spans="5:11" x14ac:dyDescent="0.2">
      <c r="E2061" s="50"/>
      <c r="H2061" s="12"/>
      <c r="K2061"/>
    </row>
    <row r="2062" spans="5:11" x14ac:dyDescent="0.2">
      <c r="E2062" s="50"/>
      <c r="H2062" s="12"/>
      <c r="K2062"/>
    </row>
    <row r="2063" spans="5:11" x14ac:dyDescent="0.2">
      <c r="E2063" s="50"/>
      <c r="H2063" s="12"/>
      <c r="K2063"/>
    </row>
    <row r="2064" spans="5:11" x14ac:dyDescent="0.2">
      <c r="E2064" s="50"/>
      <c r="H2064" s="12"/>
      <c r="K2064"/>
    </row>
    <row r="2065" spans="5:11" x14ac:dyDescent="0.2">
      <c r="E2065" s="50"/>
      <c r="H2065" s="12"/>
      <c r="K2065"/>
    </row>
    <row r="2066" spans="5:11" x14ac:dyDescent="0.2">
      <c r="E2066" s="50"/>
      <c r="H2066" s="12"/>
      <c r="K2066"/>
    </row>
    <row r="2067" spans="5:11" x14ac:dyDescent="0.2">
      <c r="E2067" s="50"/>
      <c r="H2067" s="12"/>
      <c r="K2067"/>
    </row>
    <row r="2068" spans="5:11" x14ac:dyDescent="0.2">
      <c r="E2068" s="50"/>
      <c r="H2068" s="12"/>
      <c r="K2068"/>
    </row>
    <row r="2069" spans="5:11" x14ac:dyDescent="0.2">
      <c r="E2069" s="50"/>
      <c r="H2069" s="12"/>
      <c r="K2069"/>
    </row>
    <row r="2070" spans="5:11" x14ac:dyDescent="0.2">
      <c r="E2070" s="50"/>
      <c r="H2070" s="12"/>
      <c r="K2070"/>
    </row>
    <row r="2071" spans="5:11" x14ac:dyDescent="0.2">
      <c r="E2071" s="50"/>
      <c r="H2071" s="12"/>
      <c r="K2071"/>
    </row>
    <row r="2072" spans="5:11" x14ac:dyDescent="0.2">
      <c r="E2072" s="50"/>
      <c r="H2072" s="12"/>
      <c r="K2072"/>
    </row>
    <row r="2073" spans="5:11" x14ac:dyDescent="0.2">
      <c r="E2073" s="50"/>
      <c r="H2073" s="12"/>
      <c r="K2073"/>
    </row>
    <row r="2074" spans="5:11" x14ac:dyDescent="0.2">
      <c r="E2074" s="50"/>
      <c r="H2074" s="12"/>
      <c r="K2074"/>
    </row>
    <row r="2075" spans="5:11" x14ac:dyDescent="0.2">
      <c r="E2075" s="50"/>
      <c r="H2075" s="12"/>
      <c r="K2075"/>
    </row>
    <row r="2076" spans="5:11" x14ac:dyDescent="0.2">
      <c r="E2076" s="50"/>
      <c r="H2076" s="12"/>
      <c r="K2076"/>
    </row>
    <row r="2077" spans="5:11" x14ac:dyDescent="0.2">
      <c r="E2077" s="50"/>
      <c r="H2077" s="12"/>
      <c r="K2077"/>
    </row>
    <row r="2078" spans="5:11" x14ac:dyDescent="0.2">
      <c r="E2078" s="50"/>
      <c r="H2078" s="12"/>
      <c r="K2078"/>
    </row>
    <row r="2079" spans="5:11" x14ac:dyDescent="0.2">
      <c r="E2079" s="50"/>
      <c r="H2079" s="12"/>
      <c r="K2079"/>
    </row>
    <row r="2080" spans="5:11" x14ac:dyDescent="0.2">
      <c r="E2080" s="50"/>
      <c r="H2080" s="12"/>
      <c r="K2080"/>
    </row>
    <row r="2081" spans="5:11" x14ac:dyDescent="0.2">
      <c r="E2081" s="50"/>
      <c r="H2081" s="12"/>
      <c r="K2081"/>
    </row>
    <row r="2082" spans="5:11" x14ac:dyDescent="0.2">
      <c r="E2082" s="50"/>
      <c r="H2082" s="12"/>
      <c r="K2082"/>
    </row>
    <row r="2083" spans="5:11" x14ac:dyDescent="0.2">
      <c r="E2083" s="50"/>
      <c r="H2083" s="12"/>
      <c r="K2083"/>
    </row>
    <row r="2084" spans="5:11" x14ac:dyDescent="0.2">
      <c r="E2084" s="50"/>
      <c r="H2084" s="12"/>
      <c r="K2084"/>
    </row>
    <row r="2085" spans="5:11" x14ac:dyDescent="0.2">
      <c r="E2085" s="50"/>
      <c r="H2085" s="12"/>
      <c r="K2085"/>
    </row>
    <row r="2086" spans="5:11" x14ac:dyDescent="0.2">
      <c r="E2086" s="50"/>
      <c r="H2086" s="12"/>
      <c r="K2086"/>
    </row>
    <row r="2087" spans="5:11" x14ac:dyDescent="0.2">
      <c r="E2087" s="50"/>
      <c r="H2087" s="12"/>
      <c r="K2087"/>
    </row>
    <row r="2088" spans="5:11" x14ac:dyDescent="0.2">
      <c r="E2088" s="50"/>
      <c r="H2088" s="12"/>
      <c r="K2088"/>
    </row>
    <row r="2089" spans="5:11" x14ac:dyDescent="0.2">
      <c r="E2089" s="50"/>
      <c r="H2089" s="12"/>
      <c r="K2089"/>
    </row>
    <row r="2090" spans="5:11" x14ac:dyDescent="0.2">
      <c r="E2090" s="50"/>
      <c r="H2090" s="12"/>
      <c r="K2090"/>
    </row>
    <row r="2091" spans="5:11" x14ac:dyDescent="0.2">
      <c r="E2091" s="50"/>
      <c r="H2091" s="12"/>
      <c r="K2091"/>
    </row>
    <row r="2092" spans="5:11" x14ac:dyDescent="0.2">
      <c r="E2092" s="50"/>
      <c r="H2092" s="12"/>
      <c r="K2092"/>
    </row>
    <row r="2093" spans="5:11" x14ac:dyDescent="0.2">
      <c r="E2093" s="50"/>
      <c r="H2093" s="12"/>
      <c r="K2093"/>
    </row>
    <row r="2094" spans="5:11" x14ac:dyDescent="0.2">
      <c r="E2094" s="50"/>
      <c r="H2094" s="12"/>
      <c r="K2094"/>
    </row>
    <row r="2095" spans="5:11" x14ac:dyDescent="0.2">
      <c r="E2095" s="50"/>
      <c r="H2095" s="12"/>
      <c r="K2095"/>
    </row>
    <row r="2096" spans="5:11" x14ac:dyDescent="0.2">
      <c r="E2096" s="50"/>
      <c r="H2096" s="12"/>
      <c r="K2096"/>
    </row>
    <row r="2097" spans="5:11" x14ac:dyDescent="0.2">
      <c r="E2097" s="50"/>
      <c r="H2097" s="12"/>
      <c r="K2097"/>
    </row>
    <row r="2098" spans="5:11" x14ac:dyDescent="0.2">
      <c r="E2098" s="50"/>
      <c r="H2098" s="12"/>
      <c r="K2098"/>
    </row>
    <row r="2099" spans="5:11" x14ac:dyDescent="0.2">
      <c r="E2099" s="50"/>
      <c r="H2099" s="12"/>
      <c r="K2099"/>
    </row>
    <row r="2100" spans="5:11" x14ac:dyDescent="0.2">
      <c r="E2100" s="50"/>
      <c r="H2100" s="12"/>
      <c r="K2100"/>
    </row>
    <row r="2101" spans="5:11" x14ac:dyDescent="0.2">
      <c r="E2101" s="50"/>
      <c r="H2101" s="12"/>
      <c r="K2101"/>
    </row>
    <row r="2102" spans="5:11" x14ac:dyDescent="0.2">
      <c r="E2102" s="50"/>
      <c r="H2102" s="12"/>
      <c r="K2102"/>
    </row>
    <row r="2103" spans="5:11" x14ac:dyDescent="0.2">
      <c r="E2103" s="50"/>
      <c r="H2103" s="12"/>
      <c r="K2103"/>
    </row>
    <row r="2104" spans="5:11" x14ac:dyDescent="0.2">
      <c r="E2104" s="50"/>
      <c r="H2104" s="12"/>
      <c r="K2104"/>
    </row>
    <row r="2105" spans="5:11" x14ac:dyDescent="0.2">
      <c r="E2105" s="50"/>
      <c r="H2105" s="12"/>
      <c r="K2105"/>
    </row>
    <row r="2106" spans="5:11" x14ac:dyDescent="0.2">
      <c r="E2106" s="50"/>
      <c r="H2106" s="12"/>
      <c r="K2106"/>
    </row>
    <row r="2107" spans="5:11" x14ac:dyDescent="0.2">
      <c r="E2107" s="50"/>
      <c r="H2107" s="12"/>
      <c r="K2107"/>
    </row>
    <row r="2108" spans="5:11" x14ac:dyDescent="0.2">
      <c r="E2108" s="50"/>
      <c r="H2108" s="12"/>
      <c r="K2108"/>
    </row>
    <row r="2109" spans="5:11" x14ac:dyDescent="0.2">
      <c r="E2109" s="50"/>
      <c r="H2109" s="12"/>
      <c r="K2109"/>
    </row>
    <row r="2110" spans="5:11" x14ac:dyDescent="0.2">
      <c r="E2110" s="50"/>
      <c r="H2110" s="12"/>
      <c r="K2110"/>
    </row>
    <row r="2111" spans="5:11" x14ac:dyDescent="0.2">
      <c r="E2111" s="50"/>
      <c r="H2111" s="12"/>
      <c r="K2111"/>
    </row>
    <row r="2112" spans="5:11" x14ac:dyDescent="0.2">
      <c r="E2112" s="50"/>
      <c r="H2112" s="12"/>
      <c r="K2112"/>
    </row>
    <row r="2113" spans="5:11" x14ac:dyDescent="0.2">
      <c r="E2113" s="50"/>
      <c r="H2113" s="12"/>
      <c r="K2113"/>
    </row>
    <row r="2114" spans="5:11" x14ac:dyDescent="0.2">
      <c r="E2114" s="50"/>
      <c r="H2114" s="12"/>
      <c r="K2114"/>
    </row>
    <row r="2115" spans="5:11" x14ac:dyDescent="0.2">
      <c r="E2115" s="50"/>
      <c r="H2115" s="12"/>
      <c r="K2115"/>
    </row>
    <row r="2116" spans="5:11" x14ac:dyDescent="0.2">
      <c r="E2116" s="50"/>
      <c r="H2116" s="12"/>
      <c r="K2116"/>
    </row>
    <row r="2117" spans="5:11" x14ac:dyDescent="0.2">
      <c r="E2117" s="50"/>
      <c r="H2117" s="12"/>
      <c r="K2117"/>
    </row>
    <row r="2118" spans="5:11" x14ac:dyDescent="0.2">
      <c r="E2118" s="50"/>
      <c r="H2118" s="12"/>
      <c r="K2118"/>
    </row>
    <row r="2119" spans="5:11" x14ac:dyDescent="0.2">
      <c r="E2119" s="50"/>
      <c r="H2119" s="12"/>
      <c r="K2119"/>
    </row>
    <row r="2120" spans="5:11" x14ac:dyDescent="0.2">
      <c r="E2120" s="50"/>
      <c r="H2120" s="12"/>
      <c r="K2120"/>
    </row>
    <row r="2121" spans="5:11" x14ac:dyDescent="0.2">
      <c r="E2121" s="50"/>
      <c r="H2121" s="12"/>
      <c r="K2121"/>
    </row>
    <row r="2122" spans="5:11" x14ac:dyDescent="0.2">
      <c r="E2122" s="50"/>
      <c r="H2122" s="12"/>
      <c r="K2122"/>
    </row>
    <row r="2123" spans="5:11" x14ac:dyDescent="0.2">
      <c r="E2123" s="50"/>
      <c r="H2123" s="12"/>
      <c r="K2123"/>
    </row>
    <row r="2124" spans="5:11" x14ac:dyDescent="0.2">
      <c r="E2124" s="50"/>
      <c r="H2124" s="12"/>
      <c r="K2124"/>
    </row>
    <row r="2125" spans="5:11" x14ac:dyDescent="0.2">
      <c r="E2125" s="50"/>
      <c r="H2125" s="12"/>
      <c r="K2125"/>
    </row>
    <row r="2126" spans="5:11" x14ac:dyDescent="0.2">
      <c r="E2126" s="50"/>
      <c r="H2126" s="12"/>
      <c r="K2126"/>
    </row>
    <row r="2127" spans="5:11" x14ac:dyDescent="0.2">
      <c r="E2127" s="50"/>
      <c r="H2127" s="12"/>
      <c r="K2127"/>
    </row>
    <row r="2128" spans="5:11" x14ac:dyDescent="0.2">
      <c r="E2128" s="50"/>
      <c r="H2128" s="12"/>
      <c r="K2128"/>
    </row>
    <row r="2129" spans="5:11" x14ac:dyDescent="0.2">
      <c r="E2129" s="50"/>
      <c r="H2129" s="12"/>
      <c r="K2129"/>
    </row>
    <row r="2130" spans="5:11" x14ac:dyDescent="0.2">
      <c r="E2130" s="50"/>
      <c r="H2130" s="12"/>
      <c r="K2130"/>
    </row>
    <row r="2131" spans="5:11" x14ac:dyDescent="0.2">
      <c r="E2131" s="50"/>
      <c r="H2131" s="12"/>
      <c r="K2131"/>
    </row>
    <row r="2132" spans="5:11" x14ac:dyDescent="0.2">
      <c r="E2132" s="50"/>
      <c r="H2132" s="12"/>
      <c r="K2132"/>
    </row>
    <row r="2133" spans="5:11" x14ac:dyDescent="0.2">
      <c r="E2133" s="50"/>
      <c r="H2133" s="12"/>
      <c r="K2133"/>
    </row>
    <row r="2134" spans="5:11" x14ac:dyDescent="0.2">
      <c r="E2134" s="50"/>
      <c r="H2134" s="12"/>
      <c r="K2134"/>
    </row>
    <row r="2135" spans="5:11" x14ac:dyDescent="0.2">
      <c r="E2135" s="50"/>
      <c r="H2135" s="12"/>
      <c r="K2135"/>
    </row>
    <row r="2136" spans="5:11" x14ac:dyDescent="0.2">
      <c r="E2136" s="50"/>
      <c r="H2136" s="12"/>
      <c r="K2136"/>
    </row>
    <row r="2137" spans="5:11" x14ac:dyDescent="0.2">
      <c r="E2137" s="50"/>
      <c r="H2137" s="12"/>
      <c r="K2137"/>
    </row>
    <row r="2138" spans="5:11" x14ac:dyDescent="0.2">
      <c r="E2138" s="50"/>
      <c r="H2138" s="12"/>
      <c r="K2138"/>
    </row>
    <row r="2139" spans="5:11" x14ac:dyDescent="0.2">
      <c r="E2139" s="50"/>
      <c r="H2139" s="12"/>
      <c r="K2139"/>
    </row>
    <row r="2140" spans="5:11" x14ac:dyDescent="0.2">
      <c r="E2140" s="50"/>
      <c r="H2140" s="12"/>
      <c r="K2140"/>
    </row>
    <row r="2141" spans="5:11" x14ac:dyDescent="0.2">
      <c r="E2141" s="50"/>
      <c r="H2141" s="12"/>
      <c r="K2141"/>
    </row>
    <row r="2142" spans="5:11" x14ac:dyDescent="0.2">
      <c r="E2142" s="50"/>
      <c r="H2142" s="12"/>
      <c r="K2142"/>
    </row>
    <row r="2143" spans="5:11" x14ac:dyDescent="0.2">
      <c r="E2143" s="50"/>
      <c r="H2143" s="12"/>
      <c r="K2143"/>
    </row>
    <row r="2144" spans="5:11" x14ac:dyDescent="0.2">
      <c r="E2144" s="50"/>
      <c r="H2144" s="12"/>
      <c r="K2144"/>
    </row>
    <row r="2145" spans="5:11" x14ac:dyDescent="0.2">
      <c r="E2145" s="50"/>
      <c r="H2145" s="12"/>
      <c r="K2145"/>
    </row>
    <row r="2146" spans="5:11" x14ac:dyDescent="0.2">
      <c r="E2146" s="50"/>
      <c r="H2146" s="12"/>
      <c r="K2146"/>
    </row>
    <row r="2147" spans="5:11" x14ac:dyDescent="0.2">
      <c r="E2147" s="50"/>
      <c r="H2147" s="12"/>
      <c r="K2147"/>
    </row>
    <row r="2148" spans="5:11" x14ac:dyDescent="0.2">
      <c r="E2148" s="50"/>
      <c r="H2148" s="12"/>
      <c r="K2148"/>
    </row>
    <row r="2149" spans="5:11" x14ac:dyDescent="0.2">
      <c r="E2149" s="50"/>
      <c r="H2149" s="12"/>
      <c r="K2149"/>
    </row>
    <row r="2150" spans="5:11" x14ac:dyDescent="0.2">
      <c r="E2150" s="50"/>
      <c r="H2150" s="12"/>
      <c r="K2150"/>
    </row>
    <row r="2151" spans="5:11" x14ac:dyDescent="0.2">
      <c r="E2151" s="50"/>
      <c r="H2151" s="12"/>
      <c r="K2151"/>
    </row>
    <row r="2152" spans="5:11" x14ac:dyDescent="0.2">
      <c r="E2152" s="50"/>
      <c r="H2152" s="12"/>
      <c r="K2152"/>
    </row>
    <row r="2153" spans="5:11" x14ac:dyDescent="0.2">
      <c r="E2153" s="50"/>
      <c r="H2153" s="12"/>
      <c r="K2153"/>
    </row>
    <row r="2154" spans="5:11" x14ac:dyDescent="0.2">
      <c r="E2154" s="50"/>
      <c r="H2154" s="12"/>
      <c r="K2154"/>
    </row>
    <row r="2155" spans="5:11" x14ac:dyDescent="0.2">
      <c r="E2155" s="50"/>
      <c r="H2155" s="12"/>
      <c r="K2155"/>
    </row>
    <row r="2156" spans="5:11" x14ac:dyDescent="0.2">
      <c r="E2156" s="50"/>
      <c r="H2156" s="12"/>
      <c r="K2156"/>
    </row>
    <row r="2157" spans="5:11" x14ac:dyDescent="0.2">
      <c r="E2157" s="50"/>
      <c r="H2157" s="12"/>
      <c r="K2157"/>
    </row>
    <row r="2158" spans="5:11" x14ac:dyDescent="0.2">
      <c r="E2158" s="50"/>
      <c r="H2158" s="12"/>
      <c r="K2158"/>
    </row>
    <row r="2159" spans="5:11" x14ac:dyDescent="0.2">
      <c r="E2159" s="50"/>
      <c r="H2159" s="12"/>
      <c r="K2159"/>
    </row>
    <row r="2160" spans="5:11" x14ac:dyDescent="0.2">
      <c r="E2160" s="50"/>
      <c r="H2160" s="12"/>
      <c r="K2160"/>
    </row>
    <row r="2161" spans="5:11" x14ac:dyDescent="0.2">
      <c r="E2161" s="50"/>
      <c r="H2161" s="12"/>
      <c r="K2161"/>
    </row>
    <row r="2162" spans="5:11" x14ac:dyDescent="0.2">
      <c r="E2162" s="50"/>
      <c r="H2162" s="12"/>
      <c r="K2162"/>
    </row>
    <row r="2163" spans="5:11" x14ac:dyDescent="0.2">
      <c r="E2163" s="50"/>
      <c r="H2163" s="12"/>
      <c r="K2163"/>
    </row>
    <row r="2164" spans="5:11" x14ac:dyDescent="0.2">
      <c r="E2164" s="50"/>
      <c r="H2164" s="12"/>
      <c r="K2164"/>
    </row>
    <row r="2165" spans="5:11" x14ac:dyDescent="0.2">
      <c r="E2165" s="50"/>
      <c r="H2165" s="12"/>
      <c r="K2165"/>
    </row>
    <row r="2166" spans="5:11" x14ac:dyDescent="0.2">
      <c r="E2166" s="50"/>
      <c r="H2166" s="12"/>
      <c r="K2166"/>
    </row>
    <row r="2167" spans="5:11" x14ac:dyDescent="0.2">
      <c r="E2167" s="50"/>
      <c r="H2167" s="12"/>
      <c r="K2167"/>
    </row>
    <row r="2168" spans="5:11" x14ac:dyDescent="0.2">
      <c r="E2168" s="50"/>
      <c r="H2168" s="12"/>
      <c r="K2168"/>
    </row>
    <row r="2169" spans="5:11" x14ac:dyDescent="0.2">
      <c r="E2169" s="50"/>
      <c r="H2169" s="12"/>
      <c r="K2169"/>
    </row>
    <row r="2170" spans="5:11" x14ac:dyDescent="0.2">
      <c r="E2170" s="50"/>
      <c r="H2170" s="12"/>
      <c r="K2170"/>
    </row>
    <row r="2171" spans="5:11" x14ac:dyDescent="0.2">
      <c r="E2171" s="50"/>
      <c r="H2171" s="12"/>
      <c r="K2171"/>
    </row>
    <row r="2172" spans="5:11" x14ac:dyDescent="0.2">
      <c r="E2172" s="50"/>
      <c r="H2172" s="12"/>
      <c r="K2172"/>
    </row>
    <row r="2173" spans="5:11" x14ac:dyDescent="0.2">
      <c r="E2173" s="50"/>
      <c r="H2173" s="12"/>
      <c r="K2173"/>
    </row>
    <row r="2174" spans="5:11" x14ac:dyDescent="0.2">
      <c r="E2174" s="50"/>
      <c r="H2174" s="12"/>
      <c r="K2174"/>
    </row>
    <row r="2175" spans="5:11" x14ac:dyDescent="0.2">
      <c r="E2175" s="50"/>
      <c r="H2175" s="12"/>
      <c r="K2175"/>
    </row>
    <row r="2176" spans="5:11" x14ac:dyDescent="0.2">
      <c r="E2176" s="50"/>
      <c r="H2176" s="12"/>
      <c r="K2176"/>
    </row>
    <row r="2177" spans="5:11" x14ac:dyDescent="0.2">
      <c r="E2177" s="50"/>
      <c r="H2177" s="12"/>
      <c r="K2177"/>
    </row>
    <row r="2178" spans="5:11" x14ac:dyDescent="0.2">
      <c r="E2178" s="50"/>
      <c r="H2178" s="12"/>
      <c r="K2178"/>
    </row>
    <row r="2179" spans="5:11" x14ac:dyDescent="0.2">
      <c r="E2179" s="50"/>
      <c r="H2179" s="12"/>
      <c r="K2179"/>
    </row>
    <row r="2180" spans="5:11" x14ac:dyDescent="0.2">
      <c r="E2180" s="50"/>
      <c r="H2180" s="12"/>
      <c r="K2180"/>
    </row>
    <row r="2181" spans="5:11" x14ac:dyDescent="0.2">
      <c r="E2181" s="50"/>
      <c r="H2181" s="12"/>
      <c r="K2181"/>
    </row>
    <row r="2182" spans="5:11" x14ac:dyDescent="0.2">
      <c r="E2182" s="50"/>
      <c r="H2182" s="12"/>
      <c r="K2182"/>
    </row>
    <row r="2183" spans="5:11" x14ac:dyDescent="0.2">
      <c r="E2183" s="50"/>
      <c r="H2183" s="12"/>
      <c r="K2183"/>
    </row>
    <row r="2184" spans="5:11" x14ac:dyDescent="0.2">
      <c r="E2184" s="50"/>
      <c r="H2184" s="12"/>
      <c r="K2184"/>
    </row>
    <row r="2185" spans="5:11" x14ac:dyDescent="0.2">
      <c r="E2185" s="50"/>
      <c r="H2185" s="12"/>
      <c r="K2185"/>
    </row>
    <row r="2186" spans="5:11" x14ac:dyDescent="0.2">
      <c r="E2186" s="50"/>
      <c r="H2186" s="12"/>
      <c r="K2186"/>
    </row>
    <row r="2187" spans="5:11" x14ac:dyDescent="0.2">
      <c r="E2187" s="50"/>
      <c r="H2187" s="12"/>
      <c r="K2187"/>
    </row>
    <row r="2188" spans="5:11" x14ac:dyDescent="0.2">
      <c r="E2188" s="50"/>
      <c r="H2188" s="12"/>
      <c r="K2188"/>
    </row>
    <row r="2189" spans="5:11" x14ac:dyDescent="0.2">
      <c r="E2189" s="50"/>
      <c r="H2189" s="12"/>
      <c r="K2189"/>
    </row>
    <row r="2190" spans="5:11" x14ac:dyDescent="0.2">
      <c r="E2190" s="50"/>
      <c r="H2190" s="12"/>
      <c r="K2190"/>
    </row>
    <row r="2191" spans="5:11" x14ac:dyDescent="0.2">
      <c r="E2191" s="50"/>
      <c r="H2191" s="12"/>
      <c r="K2191"/>
    </row>
    <row r="2192" spans="5:11" x14ac:dyDescent="0.2">
      <c r="E2192" s="50"/>
      <c r="H2192" s="12"/>
      <c r="K2192"/>
    </row>
    <row r="2193" spans="5:11" x14ac:dyDescent="0.2">
      <c r="E2193" s="50"/>
      <c r="H2193" s="12"/>
      <c r="K2193"/>
    </row>
    <row r="2194" spans="5:11" x14ac:dyDescent="0.2">
      <c r="E2194" s="50"/>
      <c r="H2194" s="12"/>
      <c r="K2194"/>
    </row>
    <row r="2195" spans="5:11" x14ac:dyDescent="0.2">
      <c r="E2195" s="50"/>
      <c r="H2195" s="12"/>
      <c r="K2195"/>
    </row>
    <row r="2196" spans="5:11" x14ac:dyDescent="0.2">
      <c r="E2196" s="50"/>
      <c r="H2196" s="12"/>
      <c r="K2196"/>
    </row>
    <row r="2197" spans="5:11" x14ac:dyDescent="0.2">
      <c r="E2197" s="50"/>
      <c r="H2197" s="12"/>
      <c r="K2197"/>
    </row>
    <row r="2198" spans="5:11" x14ac:dyDescent="0.2">
      <c r="E2198" s="50"/>
      <c r="H2198" s="12"/>
      <c r="K2198"/>
    </row>
    <row r="2199" spans="5:11" x14ac:dyDescent="0.2">
      <c r="E2199" s="50"/>
      <c r="H2199" s="12"/>
      <c r="K2199"/>
    </row>
    <row r="2200" spans="5:11" x14ac:dyDescent="0.2">
      <c r="E2200" s="50"/>
      <c r="H2200" s="12"/>
      <c r="K2200"/>
    </row>
    <row r="2201" spans="5:11" x14ac:dyDescent="0.2">
      <c r="E2201" s="50"/>
      <c r="H2201" s="12"/>
      <c r="K2201"/>
    </row>
    <row r="2202" spans="5:11" x14ac:dyDescent="0.2">
      <c r="E2202" s="50"/>
      <c r="H2202" s="12"/>
      <c r="K2202"/>
    </row>
    <row r="2203" spans="5:11" x14ac:dyDescent="0.2">
      <c r="E2203" s="50"/>
      <c r="H2203" s="12"/>
      <c r="K2203"/>
    </row>
    <row r="2204" spans="5:11" x14ac:dyDescent="0.2">
      <c r="E2204" s="50"/>
      <c r="H2204" s="12"/>
      <c r="K2204"/>
    </row>
    <row r="2205" spans="5:11" x14ac:dyDescent="0.2">
      <c r="E2205" s="50"/>
      <c r="H2205" s="12"/>
      <c r="K2205"/>
    </row>
    <row r="2206" spans="5:11" x14ac:dyDescent="0.2">
      <c r="E2206" s="50"/>
      <c r="H2206" s="12"/>
      <c r="K2206"/>
    </row>
    <row r="2207" spans="5:11" x14ac:dyDescent="0.2">
      <c r="E2207" s="50"/>
      <c r="H2207" s="12"/>
      <c r="K2207"/>
    </row>
    <row r="2208" spans="5:11" x14ac:dyDescent="0.2">
      <c r="E2208" s="50"/>
      <c r="H2208" s="12"/>
      <c r="K2208"/>
    </row>
    <row r="2209" spans="5:11" x14ac:dyDescent="0.2">
      <c r="E2209" s="50"/>
      <c r="H2209" s="12"/>
      <c r="K2209"/>
    </row>
    <row r="2210" spans="5:11" x14ac:dyDescent="0.2">
      <c r="E2210" s="50"/>
      <c r="H2210" s="12"/>
      <c r="K2210"/>
    </row>
    <row r="2211" spans="5:11" x14ac:dyDescent="0.2">
      <c r="E2211" s="50"/>
      <c r="H2211" s="12"/>
      <c r="K2211"/>
    </row>
    <row r="2212" spans="5:11" x14ac:dyDescent="0.2">
      <c r="E2212" s="50"/>
      <c r="H2212" s="12"/>
      <c r="K2212"/>
    </row>
    <row r="2213" spans="5:11" x14ac:dyDescent="0.2">
      <c r="E2213" s="50"/>
      <c r="H2213" s="12"/>
      <c r="K2213"/>
    </row>
    <row r="2214" spans="5:11" x14ac:dyDescent="0.2">
      <c r="E2214" s="50"/>
      <c r="H2214" s="12"/>
      <c r="K2214"/>
    </row>
    <row r="2215" spans="5:11" x14ac:dyDescent="0.2">
      <c r="E2215" s="50"/>
      <c r="H2215" s="12"/>
      <c r="K2215"/>
    </row>
    <row r="2216" spans="5:11" x14ac:dyDescent="0.2">
      <c r="E2216" s="50"/>
      <c r="H2216" s="12"/>
      <c r="K2216"/>
    </row>
    <row r="2217" spans="5:11" x14ac:dyDescent="0.2">
      <c r="E2217" s="50"/>
      <c r="H2217" s="12"/>
      <c r="K2217"/>
    </row>
    <row r="2218" spans="5:11" x14ac:dyDescent="0.2">
      <c r="E2218" s="50"/>
      <c r="H2218" s="12"/>
      <c r="K2218"/>
    </row>
    <row r="2219" spans="5:11" x14ac:dyDescent="0.2">
      <c r="E2219" s="50"/>
      <c r="H2219" s="12"/>
      <c r="K2219"/>
    </row>
    <row r="2220" spans="5:11" x14ac:dyDescent="0.2">
      <c r="E2220" s="50"/>
      <c r="H2220" s="12"/>
      <c r="K2220"/>
    </row>
    <row r="2221" spans="5:11" x14ac:dyDescent="0.2">
      <c r="E2221" s="50"/>
      <c r="H2221" s="12"/>
      <c r="K2221"/>
    </row>
    <row r="2222" spans="5:11" x14ac:dyDescent="0.2">
      <c r="E2222" s="50"/>
      <c r="H2222" s="12"/>
      <c r="K2222"/>
    </row>
    <row r="2223" spans="5:11" x14ac:dyDescent="0.2">
      <c r="E2223" s="50"/>
      <c r="H2223" s="12"/>
      <c r="K2223"/>
    </row>
    <row r="2224" spans="5:11" x14ac:dyDescent="0.2">
      <c r="E2224" s="50"/>
      <c r="H2224" s="12"/>
      <c r="K2224"/>
    </row>
    <row r="2225" spans="5:11" x14ac:dyDescent="0.2">
      <c r="E2225" s="50"/>
      <c r="H2225" s="12"/>
      <c r="K2225"/>
    </row>
    <row r="2226" spans="5:11" x14ac:dyDescent="0.2">
      <c r="E2226" s="50"/>
      <c r="H2226" s="12"/>
      <c r="K2226"/>
    </row>
    <row r="2227" spans="5:11" x14ac:dyDescent="0.2">
      <c r="E2227" s="50"/>
      <c r="H2227" s="12"/>
      <c r="K2227"/>
    </row>
    <row r="2228" spans="5:11" x14ac:dyDescent="0.2">
      <c r="E2228" s="50"/>
      <c r="H2228" s="12"/>
      <c r="K2228"/>
    </row>
    <row r="2229" spans="5:11" x14ac:dyDescent="0.2">
      <c r="E2229" s="50"/>
      <c r="H2229" s="12"/>
      <c r="K2229"/>
    </row>
    <row r="2230" spans="5:11" x14ac:dyDescent="0.2">
      <c r="E2230" s="50"/>
      <c r="H2230" s="12"/>
      <c r="K2230"/>
    </row>
    <row r="2231" spans="5:11" x14ac:dyDescent="0.2">
      <c r="E2231" s="50"/>
      <c r="H2231" s="12"/>
      <c r="K2231"/>
    </row>
    <row r="2232" spans="5:11" x14ac:dyDescent="0.2">
      <c r="E2232" s="50"/>
      <c r="H2232" s="12"/>
      <c r="K2232"/>
    </row>
    <row r="2233" spans="5:11" x14ac:dyDescent="0.2">
      <c r="E2233" s="50"/>
      <c r="H2233" s="12"/>
      <c r="K2233"/>
    </row>
    <row r="2234" spans="5:11" x14ac:dyDescent="0.2">
      <c r="E2234" s="50"/>
      <c r="H2234" s="12"/>
      <c r="K2234"/>
    </row>
    <row r="2235" spans="5:11" x14ac:dyDescent="0.2">
      <c r="E2235" s="50"/>
      <c r="H2235" s="12"/>
      <c r="K2235"/>
    </row>
    <row r="2236" spans="5:11" x14ac:dyDescent="0.2">
      <c r="E2236" s="50"/>
      <c r="H2236" s="12"/>
      <c r="K2236"/>
    </row>
    <row r="2237" spans="5:11" x14ac:dyDescent="0.2">
      <c r="E2237" s="50"/>
      <c r="H2237" s="12"/>
      <c r="K2237"/>
    </row>
    <row r="2238" spans="5:11" x14ac:dyDescent="0.2">
      <c r="E2238" s="50"/>
      <c r="H2238" s="12"/>
      <c r="K2238"/>
    </row>
    <row r="2239" spans="5:11" x14ac:dyDescent="0.2">
      <c r="E2239" s="50"/>
      <c r="H2239" s="12"/>
      <c r="K2239"/>
    </row>
    <row r="2240" spans="5:11" x14ac:dyDescent="0.2">
      <c r="E2240" s="50"/>
      <c r="H2240" s="12"/>
      <c r="K2240"/>
    </row>
    <row r="2241" spans="5:11" x14ac:dyDescent="0.2">
      <c r="E2241" s="50"/>
      <c r="H2241" s="12"/>
      <c r="K2241"/>
    </row>
    <row r="2242" spans="5:11" x14ac:dyDescent="0.2">
      <c r="E2242" s="50"/>
      <c r="H2242" s="12"/>
      <c r="K2242"/>
    </row>
    <row r="2243" spans="5:11" x14ac:dyDescent="0.2">
      <c r="E2243" s="50"/>
      <c r="H2243" s="12"/>
      <c r="K2243"/>
    </row>
    <row r="2244" spans="5:11" x14ac:dyDescent="0.2">
      <c r="E2244" s="50"/>
      <c r="H2244" s="12"/>
      <c r="K2244"/>
    </row>
    <row r="2245" spans="5:11" x14ac:dyDescent="0.2">
      <c r="E2245" s="50"/>
      <c r="H2245" s="12"/>
      <c r="K2245"/>
    </row>
    <row r="2246" spans="5:11" x14ac:dyDescent="0.2">
      <c r="E2246" s="50"/>
      <c r="H2246" s="12"/>
      <c r="K2246"/>
    </row>
    <row r="2247" spans="5:11" x14ac:dyDescent="0.2">
      <c r="E2247" s="50"/>
      <c r="H2247" s="12"/>
      <c r="K2247"/>
    </row>
    <row r="2248" spans="5:11" x14ac:dyDescent="0.2">
      <c r="E2248" s="50"/>
      <c r="H2248" s="12"/>
      <c r="K2248"/>
    </row>
    <row r="2249" spans="5:11" x14ac:dyDescent="0.2">
      <c r="E2249" s="50"/>
      <c r="H2249" s="12"/>
      <c r="K2249"/>
    </row>
    <row r="2250" spans="5:11" x14ac:dyDescent="0.2">
      <c r="E2250" s="50"/>
      <c r="H2250" s="12"/>
      <c r="K2250"/>
    </row>
    <row r="2251" spans="5:11" x14ac:dyDescent="0.2">
      <c r="E2251" s="50"/>
      <c r="H2251" s="12"/>
      <c r="K2251"/>
    </row>
    <row r="2252" spans="5:11" x14ac:dyDescent="0.2">
      <c r="E2252" s="50"/>
      <c r="H2252" s="12"/>
      <c r="K2252"/>
    </row>
    <row r="2253" spans="5:11" x14ac:dyDescent="0.2">
      <c r="E2253" s="50"/>
      <c r="H2253" s="12"/>
      <c r="K2253"/>
    </row>
    <row r="2254" spans="5:11" x14ac:dyDescent="0.2">
      <c r="E2254" s="50"/>
      <c r="H2254" s="12"/>
      <c r="K2254"/>
    </row>
    <row r="2255" spans="5:11" x14ac:dyDescent="0.2">
      <c r="E2255" s="50"/>
      <c r="H2255" s="12"/>
      <c r="K2255"/>
    </row>
    <row r="2256" spans="5:11" x14ac:dyDescent="0.2">
      <c r="E2256" s="50"/>
      <c r="H2256" s="12"/>
      <c r="K2256"/>
    </row>
    <row r="2257" spans="5:11" x14ac:dyDescent="0.2">
      <c r="E2257" s="50"/>
      <c r="H2257" s="12"/>
      <c r="K2257"/>
    </row>
    <row r="2258" spans="5:11" x14ac:dyDescent="0.2">
      <c r="E2258" s="50"/>
      <c r="H2258" s="12"/>
      <c r="K2258"/>
    </row>
    <row r="2259" spans="5:11" x14ac:dyDescent="0.2">
      <c r="E2259" s="50"/>
      <c r="H2259" s="12"/>
      <c r="K2259"/>
    </row>
    <row r="2260" spans="5:11" x14ac:dyDescent="0.2">
      <c r="E2260" s="50"/>
      <c r="H2260" s="12"/>
      <c r="K2260"/>
    </row>
    <row r="2261" spans="5:11" x14ac:dyDescent="0.2">
      <c r="E2261" s="50"/>
      <c r="H2261" s="12"/>
      <c r="K2261"/>
    </row>
    <row r="2262" spans="5:11" x14ac:dyDescent="0.2">
      <c r="E2262" s="50"/>
      <c r="H2262" s="12"/>
      <c r="K2262"/>
    </row>
    <row r="2263" spans="5:11" x14ac:dyDescent="0.2">
      <c r="E2263" s="50"/>
      <c r="H2263" s="12"/>
      <c r="K2263"/>
    </row>
    <row r="2264" spans="5:11" x14ac:dyDescent="0.2">
      <c r="E2264" s="50"/>
      <c r="H2264" s="12"/>
      <c r="K2264"/>
    </row>
    <row r="2265" spans="5:11" x14ac:dyDescent="0.2">
      <c r="E2265" s="50"/>
      <c r="H2265" s="12"/>
      <c r="K2265"/>
    </row>
    <row r="2266" spans="5:11" x14ac:dyDescent="0.2">
      <c r="E2266" s="50"/>
      <c r="H2266" s="12"/>
      <c r="K2266"/>
    </row>
    <row r="2267" spans="5:11" x14ac:dyDescent="0.2">
      <c r="E2267" s="50"/>
      <c r="H2267" s="12"/>
      <c r="K2267"/>
    </row>
    <row r="2268" spans="5:11" x14ac:dyDescent="0.2">
      <c r="E2268" s="50"/>
      <c r="H2268" s="12"/>
      <c r="K2268"/>
    </row>
    <row r="2269" spans="5:11" x14ac:dyDescent="0.2">
      <c r="E2269" s="50"/>
      <c r="H2269" s="12"/>
      <c r="K2269"/>
    </row>
    <row r="2270" spans="5:11" x14ac:dyDescent="0.2">
      <c r="E2270" s="50"/>
      <c r="H2270" s="12"/>
      <c r="K2270"/>
    </row>
    <row r="2271" spans="5:11" x14ac:dyDescent="0.2">
      <c r="E2271" s="50"/>
      <c r="H2271" s="12"/>
      <c r="K2271"/>
    </row>
    <row r="2272" spans="5:11" x14ac:dyDescent="0.2">
      <c r="E2272" s="50"/>
      <c r="H2272" s="12"/>
      <c r="K2272"/>
    </row>
    <row r="2273" spans="5:11" x14ac:dyDescent="0.2">
      <c r="E2273" s="50"/>
      <c r="H2273" s="12"/>
      <c r="K2273"/>
    </row>
    <row r="2274" spans="5:11" x14ac:dyDescent="0.2">
      <c r="E2274" s="50"/>
      <c r="H2274" s="12"/>
      <c r="K2274"/>
    </row>
    <row r="2275" spans="5:11" x14ac:dyDescent="0.2">
      <c r="E2275" s="50"/>
      <c r="H2275" s="12"/>
      <c r="K2275"/>
    </row>
    <row r="2276" spans="5:11" x14ac:dyDescent="0.2">
      <c r="E2276" s="50"/>
      <c r="H2276" s="12"/>
      <c r="K2276"/>
    </row>
    <row r="2277" spans="5:11" x14ac:dyDescent="0.2">
      <c r="E2277" s="50"/>
      <c r="H2277" s="12"/>
      <c r="K2277"/>
    </row>
    <row r="2278" spans="5:11" x14ac:dyDescent="0.2">
      <c r="E2278" s="50"/>
      <c r="H2278" s="12"/>
      <c r="K2278"/>
    </row>
    <row r="2279" spans="5:11" x14ac:dyDescent="0.2">
      <c r="E2279" s="50"/>
      <c r="H2279" s="12"/>
      <c r="K2279"/>
    </row>
    <row r="2280" spans="5:11" x14ac:dyDescent="0.2">
      <c r="E2280" s="50"/>
      <c r="H2280" s="12"/>
      <c r="K2280"/>
    </row>
    <row r="2281" spans="5:11" x14ac:dyDescent="0.2">
      <c r="E2281" s="50"/>
      <c r="H2281" s="12"/>
      <c r="K2281"/>
    </row>
    <row r="2282" spans="5:11" x14ac:dyDescent="0.2">
      <c r="E2282" s="50"/>
      <c r="H2282" s="12"/>
      <c r="K2282"/>
    </row>
    <row r="2283" spans="5:11" x14ac:dyDescent="0.2">
      <c r="E2283" s="50"/>
      <c r="H2283" s="12"/>
      <c r="K2283"/>
    </row>
    <row r="2284" spans="5:11" x14ac:dyDescent="0.2">
      <c r="E2284" s="50"/>
      <c r="H2284" s="12"/>
      <c r="K2284"/>
    </row>
    <row r="2285" spans="5:11" x14ac:dyDescent="0.2">
      <c r="E2285" s="50"/>
      <c r="H2285" s="12"/>
      <c r="K2285"/>
    </row>
    <row r="2286" spans="5:11" x14ac:dyDescent="0.2">
      <c r="E2286" s="50"/>
      <c r="H2286" s="12"/>
      <c r="K2286"/>
    </row>
    <row r="2287" spans="5:11" x14ac:dyDescent="0.2">
      <c r="E2287" s="50"/>
      <c r="H2287" s="12"/>
      <c r="K2287"/>
    </row>
    <row r="2288" spans="5:11" x14ac:dyDescent="0.2">
      <c r="E2288" s="50"/>
      <c r="H2288" s="12"/>
      <c r="K2288"/>
    </row>
    <row r="2289" spans="5:11" x14ac:dyDescent="0.2">
      <c r="E2289" s="50"/>
      <c r="H2289" s="12"/>
      <c r="K2289"/>
    </row>
    <row r="2290" spans="5:11" x14ac:dyDescent="0.2">
      <c r="E2290" s="50"/>
      <c r="H2290" s="12"/>
      <c r="K2290"/>
    </row>
    <row r="2291" spans="5:11" x14ac:dyDescent="0.2">
      <c r="E2291" s="50"/>
      <c r="H2291" s="12"/>
      <c r="K2291"/>
    </row>
    <row r="2292" spans="5:11" x14ac:dyDescent="0.2">
      <c r="E2292" s="50"/>
      <c r="H2292" s="12"/>
      <c r="K2292"/>
    </row>
    <row r="2293" spans="5:11" x14ac:dyDescent="0.2">
      <c r="E2293" s="50"/>
      <c r="H2293" s="12"/>
      <c r="K2293"/>
    </row>
    <row r="2294" spans="5:11" x14ac:dyDescent="0.2">
      <c r="E2294" s="50"/>
      <c r="H2294" s="12"/>
      <c r="K2294"/>
    </row>
    <row r="2295" spans="5:11" x14ac:dyDescent="0.2">
      <c r="E2295" s="50"/>
      <c r="H2295" s="12"/>
      <c r="K2295"/>
    </row>
    <row r="2296" spans="5:11" x14ac:dyDescent="0.2">
      <c r="E2296" s="50"/>
      <c r="H2296" s="12"/>
      <c r="K2296"/>
    </row>
    <row r="2297" spans="5:11" x14ac:dyDescent="0.2">
      <c r="E2297" s="50"/>
      <c r="H2297" s="12"/>
      <c r="K2297"/>
    </row>
    <row r="2298" spans="5:11" x14ac:dyDescent="0.2">
      <c r="E2298" s="50"/>
      <c r="H2298" s="12"/>
      <c r="K2298"/>
    </row>
    <row r="2299" spans="5:11" x14ac:dyDescent="0.2">
      <c r="E2299" s="50"/>
      <c r="H2299" s="12"/>
      <c r="K2299"/>
    </row>
    <row r="2300" spans="5:11" x14ac:dyDescent="0.2">
      <c r="E2300" s="50"/>
      <c r="H2300" s="12"/>
      <c r="K2300"/>
    </row>
    <row r="2301" spans="5:11" x14ac:dyDescent="0.2">
      <c r="E2301" s="50"/>
      <c r="H2301" s="12"/>
      <c r="K2301"/>
    </row>
    <row r="2302" spans="5:11" x14ac:dyDescent="0.2">
      <c r="E2302" s="50"/>
      <c r="H2302" s="12"/>
      <c r="K2302"/>
    </row>
    <row r="2303" spans="5:11" x14ac:dyDescent="0.2">
      <c r="E2303" s="50"/>
      <c r="H2303" s="12"/>
      <c r="K2303"/>
    </row>
    <row r="2304" spans="5:11" x14ac:dyDescent="0.2">
      <c r="E2304" s="50"/>
      <c r="H2304" s="12"/>
      <c r="K2304"/>
    </row>
    <row r="2305" spans="5:11" x14ac:dyDescent="0.2">
      <c r="E2305" s="50"/>
      <c r="H2305" s="12"/>
      <c r="K2305"/>
    </row>
    <row r="2306" spans="5:11" x14ac:dyDescent="0.2">
      <c r="E2306" s="50"/>
      <c r="H2306" s="12"/>
      <c r="K2306"/>
    </row>
    <row r="2307" spans="5:11" x14ac:dyDescent="0.2">
      <c r="E2307" s="50"/>
      <c r="H2307" s="12"/>
      <c r="K2307"/>
    </row>
    <row r="2308" spans="5:11" x14ac:dyDescent="0.2">
      <c r="E2308" s="50"/>
      <c r="H2308" s="12"/>
      <c r="K2308"/>
    </row>
    <row r="2309" spans="5:11" x14ac:dyDescent="0.2">
      <c r="E2309" s="50"/>
      <c r="H2309" s="12"/>
      <c r="K2309"/>
    </row>
    <row r="2310" spans="5:11" x14ac:dyDescent="0.2">
      <c r="E2310" s="50"/>
      <c r="H2310" s="12"/>
      <c r="K2310"/>
    </row>
    <row r="2311" spans="5:11" x14ac:dyDescent="0.2">
      <c r="E2311" s="50"/>
      <c r="H2311" s="12"/>
      <c r="K2311"/>
    </row>
    <row r="2312" spans="5:11" x14ac:dyDescent="0.2">
      <c r="E2312" s="50"/>
      <c r="H2312" s="12"/>
      <c r="K2312"/>
    </row>
    <row r="2313" spans="5:11" x14ac:dyDescent="0.2">
      <c r="E2313" s="50"/>
      <c r="H2313" s="12"/>
      <c r="K2313"/>
    </row>
    <row r="2314" spans="5:11" x14ac:dyDescent="0.2">
      <c r="E2314" s="50"/>
      <c r="H2314" s="12"/>
      <c r="K2314"/>
    </row>
    <row r="2315" spans="5:11" x14ac:dyDescent="0.2">
      <c r="E2315" s="50"/>
      <c r="H2315" s="12"/>
      <c r="K2315"/>
    </row>
    <row r="2316" spans="5:11" x14ac:dyDescent="0.2">
      <c r="E2316" s="50"/>
      <c r="H2316" s="12"/>
      <c r="K2316"/>
    </row>
    <row r="2317" spans="5:11" x14ac:dyDescent="0.2">
      <c r="E2317" s="50"/>
      <c r="H2317" s="12"/>
      <c r="K2317"/>
    </row>
    <row r="2318" spans="5:11" x14ac:dyDescent="0.2">
      <c r="E2318" s="50"/>
      <c r="H2318" s="12"/>
      <c r="K2318"/>
    </row>
    <row r="2319" spans="5:11" x14ac:dyDescent="0.2">
      <c r="E2319" s="50"/>
      <c r="H2319" s="12"/>
      <c r="K2319"/>
    </row>
    <row r="2320" spans="5:11" x14ac:dyDescent="0.2">
      <c r="E2320" s="50"/>
      <c r="H2320" s="12"/>
      <c r="K2320"/>
    </row>
    <row r="2321" spans="5:11" x14ac:dyDescent="0.2">
      <c r="E2321" s="50"/>
      <c r="H2321" s="12"/>
      <c r="K2321"/>
    </row>
    <row r="2322" spans="5:11" x14ac:dyDescent="0.2">
      <c r="E2322" s="50"/>
      <c r="H2322" s="12"/>
      <c r="K2322"/>
    </row>
    <row r="2323" spans="5:11" x14ac:dyDescent="0.2">
      <c r="E2323" s="50"/>
      <c r="H2323" s="12"/>
      <c r="K2323"/>
    </row>
    <row r="2324" spans="5:11" x14ac:dyDescent="0.2">
      <c r="E2324" s="50"/>
      <c r="H2324" s="12"/>
      <c r="K2324"/>
    </row>
    <row r="2325" spans="5:11" x14ac:dyDescent="0.2">
      <c r="E2325" s="50"/>
      <c r="H2325" s="12"/>
      <c r="K2325"/>
    </row>
    <row r="2326" spans="5:11" x14ac:dyDescent="0.2">
      <c r="E2326" s="50"/>
      <c r="H2326" s="12"/>
      <c r="K2326"/>
    </row>
    <row r="2327" spans="5:11" x14ac:dyDescent="0.2">
      <c r="E2327" s="50"/>
      <c r="H2327" s="12"/>
      <c r="K2327"/>
    </row>
    <row r="2328" spans="5:11" x14ac:dyDescent="0.2">
      <c r="E2328" s="50"/>
      <c r="H2328" s="12"/>
      <c r="K2328"/>
    </row>
    <row r="2329" spans="5:11" x14ac:dyDescent="0.2">
      <c r="E2329" s="50"/>
      <c r="H2329" s="12"/>
      <c r="K2329"/>
    </row>
    <row r="2330" spans="5:11" x14ac:dyDescent="0.2">
      <c r="E2330" s="50"/>
      <c r="H2330" s="12"/>
      <c r="K2330"/>
    </row>
    <row r="2331" spans="5:11" x14ac:dyDescent="0.2">
      <c r="E2331" s="50"/>
      <c r="H2331" s="12"/>
      <c r="K2331"/>
    </row>
    <row r="2332" spans="5:11" x14ac:dyDescent="0.2">
      <c r="E2332" s="50"/>
      <c r="H2332" s="12"/>
      <c r="K2332"/>
    </row>
    <row r="2333" spans="5:11" x14ac:dyDescent="0.2">
      <c r="E2333" s="50"/>
      <c r="H2333" s="12"/>
      <c r="K2333"/>
    </row>
    <row r="2334" spans="5:11" x14ac:dyDescent="0.2">
      <c r="E2334" s="50"/>
      <c r="H2334" s="12"/>
      <c r="K2334"/>
    </row>
    <row r="2335" spans="5:11" x14ac:dyDescent="0.2">
      <c r="E2335" s="50"/>
      <c r="H2335" s="12"/>
      <c r="K2335"/>
    </row>
    <row r="2336" spans="5:11" x14ac:dyDescent="0.2">
      <c r="E2336" s="50"/>
      <c r="H2336" s="12"/>
      <c r="K2336"/>
    </row>
    <row r="2337" spans="5:11" x14ac:dyDescent="0.2">
      <c r="E2337" s="50"/>
      <c r="H2337" s="12"/>
      <c r="K2337"/>
    </row>
    <row r="2338" spans="5:11" x14ac:dyDescent="0.2">
      <c r="E2338" s="50"/>
      <c r="H2338" s="12"/>
      <c r="K2338"/>
    </row>
    <row r="2339" spans="5:11" x14ac:dyDescent="0.2">
      <c r="E2339" s="50"/>
      <c r="H2339" s="12"/>
      <c r="K2339"/>
    </row>
    <row r="2340" spans="5:11" x14ac:dyDescent="0.2">
      <c r="E2340" s="50"/>
      <c r="H2340" s="12"/>
      <c r="K2340"/>
    </row>
    <row r="2341" spans="5:11" x14ac:dyDescent="0.2">
      <c r="E2341" s="50"/>
      <c r="H2341" s="12"/>
      <c r="K2341"/>
    </row>
    <row r="2342" spans="5:11" x14ac:dyDescent="0.2">
      <c r="E2342" s="50"/>
      <c r="H2342" s="12"/>
      <c r="K2342"/>
    </row>
    <row r="2343" spans="5:11" x14ac:dyDescent="0.2">
      <c r="E2343" s="50"/>
      <c r="H2343" s="12"/>
      <c r="K2343"/>
    </row>
    <row r="2344" spans="5:11" x14ac:dyDescent="0.2">
      <c r="E2344" s="50"/>
      <c r="H2344" s="12"/>
      <c r="K2344"/>
    </row>
    <row r="2345" spans="5:11" x14ac:dyDescent="0.2">
      <c r="E2345" s="50"/>
      <c r="H2345" s="12"/>
      <c r="K2345"/>
    </row>
    <row r="2346" spans="5:11" x14ac:dyDescent="0.2">
      <c r="E2346" s="50"/>
      <c r="H2346" s="12"/>
      <c r="K2346"/>
    </row>
    <row r="2347" spans="5:11" x14ac:dyDescent="0.2">
      <c r="E2347" s="50"/>
      <c r="H2347" s="12"/>
      <c r="K2347"/>
    </row>
    <row r="2348" spans="5:11" x14ac:dyDescent="0.2">
      <c r="E2348" s="50"/>
      <c r="H2348" s="12"/>
      <c r="K2348"/>
    </row>
    <row r="2349" spans="5:11" x14ac:dyDescent="0.2">
      <c r="E2349" s="50"/>
      <c r="H2349" s="12"/>
      <c r="K2349"/>
    </row>
    <row r="2350" spans="5:11" x14ac:dyDescent="0.2">
      <c r="E2350" s="50"/>
      <c r="H2350" s="12"/>
      <c r="K2350"/>
    </row>
    <row r="2351" spans="5:11" x14ac:dyDescent="0.2">
      <c r="E2351" s="50"/>
      <c r="H2351" s="12"/>
      <c r="K2351"/>
    </row>
    <row r="2352" spans="5:11" x14ac:dyDescent="0.2">
      <c r="E2352" s="50"/>
      <c r="H2352" s="12"/>
      <c r="K2352"/>
    </row>
    <row r="2353" spans="5:11" x14ac:dyDescent="0.2">
      <c r="E2353" s="50"/>
      <c r="H2353" s="12"/>
      <c r="K2353"/>
    </row>
    <row r="2354" spans="5:11" x14ac:dyDescent="0.2">
      <c r="E2354" s="50"/>
      <c r="H2354" s="12"/>
      <c r="K2354"/>
    </row>
    <row r="2355" spans="5:11" x14ac:dyDescent="0.2">
      <c r="E2355" s="50"/>
      <c r="H2355" s="12"/>
      <c r="K2355"/>
    </row>
    <row r="2356" spans="5:11" x14ac:dyDescent="0.2">
      <c r="E2356" s="50"/>
      <c r="H2356" s="12"/>
      <c r="K2356"/>
    </row>
    <row r="2357" spans="5:11" x14ac:dyDescent="0.2">
      <c r="E2357" s="50"/>
      <c r="H2357" s="12"/>
      <c r="K2357"/>
    </row>
    <row r="2358" spans="5:11" x14ac:dyDescent="0.2">
      <c r="E2358" s="50"/>
      <c r="H2358" s="12"/>
      <c r="K2358"/>
    </row>
    <row r="2359" spans="5:11" x14ac:dyDescent="0.2">
      <c r="E2359" s="50"/>
      <c r="H2359" s="12"/>
      <c r="K2359"/>
    </row>
    <row r="2360" spans="5:11" x14ac:dyDescent="0.2">
      <c r="E2360" s="50"/>
      <c r="H2360" s="12"/>
      <c r="K2360"/>
    </row>
    <row r="2361" spans="5:11" x14ac:dyDescent="0.2">
      <c r="E2361" s="50"/>
      <c r="H2361" s="12"/>
      <c r="K2361"/>
    </row>
    <row r="2362" spans="5:11" x14ac:dyDescent="0.2">
      <c r="E2362" s="50"/>
      <c r="H2362" s="12"/>
      <c r="K2362"/>
    </row>
    <row r="2363" spans="5:11" x14ac:dyDescent="0.2">
      <c r="E2363" s="50"/>
      <c r="H2363" s="12"/>
      <c r="K2363"/>
    </row>
    <row r="2364" spans="5:11" x14ac:dyDescent="0.2">
      <c r="E2364" s="50"/>
      <c r="H2364" s="12"/>
      <c r="K2364"/>
    </row>
    <row r="2365" spans="5:11" x14ac:dyDescent="0.2">
      <c r="E2365" s="50"/>
      <c r="H2365" s="12"/>
      <c r="K2365"/>
    </row>
    <row r="2366" spans="5:11" x14ac:dyDescent="0.2">
      <c r="E2366" s="50"/>
      <c r="H2366" s="12"/>
      <c r="K2366"/>
    </row>
    <row r="2367" spans="5:11" x14ac:dyDescent="0.2">
      <c r="E2367" s="50"/>
      <c r="H2367" s="12"/>
      <c r="K2367"/>
    </row>
    <row r="2368" spans="5:11" x14ac:dyDescent="0.2">
      <c r="E2368" s="50"/>
      <c r="H2368" s="12"/>
      <c r="K2368"/>
    </row>
    <row r="2369" spans="5:11" x14ac:dyDescent="0.2">
      <c r="E2369" s="50"/>
      <c r="H2369" s="12"/>
      <c r="K2369"/>
    </row>
    <row r="2370" spans="5:11" x14ac:dyDescent="0.2">
      <c r="E2370" s="50"/>
      <c r="H2370" s="12"/>
      <c r="K2370"/>
    </row>
    <row r="2371" spans="5:11" x14ac:dyDescent="0.2">
      <c r="E2371" s="50"/>
      <c r="H2371" s="12"/>
      <c r="K2371"/>
    </row>
    <row r="2372" spans="5:11" x14ac:dyDescent="0.2">
      <c r="E2372" s="50"/>
      <c r="H2372" s="12"/>
      <c r="K2372"/>
    </row>
    <row r="2373" spans="5:11" x14ac:dyDescent="0.2">
      <c r="E2373" s="50"/>
      <c r="H2373" s="12"/>
      <c r="K2373"/>
    </row>
    <row r="2374" spans="5:11" x14ac:dyDescent="0.2">
      <c r="E2374" s="50"/>
      <c r="H2374" s="12"/>
      <c r="K2374"/>
    </row>
    <row r="2375" spans="5:11" x14ac:dyDescent="0.2">
      <c r="E2375" s="50"/>
      <c r="H2375" s="12"/>
      <c r="K2375"/>
    </row>
    <row r="2376" spans="5:11" x14ac:dyDescent="0.2">
      <c r="E2376" s="50"/>
      <c r="H2376" s="12"/>
      <c r="K2376"/>
    </row>
    <row r="2377" spans="5:11" x14ac:dyDescent="0.2">
      <c r="E2377" s="50"/>
      <c r="H2377" s="12"/>
      <c r="K2377"/>
    </row>
    <row r="2378" spans="5:11" x14ac:dyDescent="0.2">
      <c r="E2378" s="50"/>
      <c r="H2378" s="12"/>
      <c r="K2378"/>
    </row>
    <row r="2379" spans="5:11" x14ac:dyDescent="0.2">
      <c r="E2379" s="50"/>
      <c r="H2379" s="12"/>
      <c r="K2379"/>
    </row>
    <row r="2380" spans="5:11" x14ac:dyDescent="0.2">
      <c r="E2380" s="50"/>
      <c r="H2380" s="12"/>
      <c r="K2380"/>
    </row>
    <row r="2381" spans="5:11" x14ac:dyDescent="0.2">
      <c r="E2381" s="50"/>
      <c r="H2381" s="12"/>
      <c r="K2381"/>
    </row>
    <row r="2382" spans="5:11" x14ac:dyDescent="0.2">
      <c r="E2382" s="50"/>
      <c r="H2382" s="12"/>
      <c r="K2382"/>
    </row>
    <row r="2383" spans="5:11" x14ac:dyDescent="0.2">
      <c r="E2383" s="50"/>
      <c r="H2383" s="12"/>
      <c r="K2383"/>
    </row>
    <row r="2384" spans="5:11" x14ac:dyDescent="0.2">
      <c r="E2384" s="50"/>
      <c r="H2384" s="12"/>
      <c r="K2384"/>
    </row>
    <row r="2385" spans="5:11" x14ac:dyDescent="0.2">
      <c r="E2385" s="50"/>
      <c r="H2385" s="12"/>
      <c r="K2385"/>
    </row>
    <row r="2386" spans="5:11" x14ac:dyDescent="0.2">
      <c r="E2386" s="50"/>
      <c r="H2386" s="12"/>
      <c r="K2386"/>
    </row>
    <row r="2387" spans="5:11" x14ac:dyDescent="0.2">
      <c r="E2387" s="50"/>
      <c r="H2387" s="12"/>
      <c r="K2387"/>
    </row>
    <row r="2388" spans="5:11" x14ac:dyDescent="0.2">
      <c r="E2388" s="50"/>
      <c r="H2388" s="12"/>
      <c r="K2388"/>
    </row>
    <row r="2389" spans="5:11" x14ac:dyDescent="0.2">
      <c r="E2389" s="50"/>
      <c r="H2389" s="12"/>
      <c r="K2389"/>
    </row>
    <row r="2390" spans="5:11" x14ac:dyDescent="0.2">
      <c r="E2390" s="50"/>
      <c r="H2390" s="12"/>
      <c r="K2390"/>
    </row>
    <row r="2391" spans="5:11" x14ac:dyDescent="0.2">
      <c r="E2391" s="50"/>
      <c r="H2391" s="12"/>
      <c r="K2391"/>
    </row>
    <row r="2392" spans="5:11" x14ac:dyDescent="0.2">
      <c r="E2392" s="50"/>
      <c r="H2392" s="12"/>
      <c r="K2392"/>
    </row>
    <row r="2393" spans="5:11" x14ac:dyDescent="0.2">
      <c r="E2393" s="50"/>
      <c r="H2393" s="12"/>
      <c r="K2393"/>
    </row>
    <row r="2394" spans="5:11" x14ac:dyDescent="0.2">
      <c r="E2394" s="50"/>
      <c r="H2394" s="12"/>
      <c r="K2394"/>
    </row>
    <row r="2395" spans="5:11" x14ac:dyDescent="0.2">
      <c r="E2395" s="50"/>
      <c r="H2395" s="12"/>
      <c r="K2395"/>
    </row>
    <row r="2396" spans="5:11" x14ac:dyDescent="0.2">
      <c r="E2396" s="50"/>
      <c r="H2396" s="12"/>
      <c r="K2396"/>
    </row>
    <row r="2397" spans="5:11" x14ac:dyDescent="0.2">
      <c r="E2397" s="50"/>
      <c r="H2397" s="12"/>
      <c r="K2397"/>
    </row>
    <row r="2398" spans="5:11" x14ac:dyDescent="0.2">
      <c r="E2398" s="50"/>
      <c r="H2398" s="12"/>
      <c r="K2398"/>
    </row>
    <row r="2399" spans="5:11" x14ac:dyDescent="0.2">
      <c r="E2399" s="50"/>
      <c r="H2399" s="12"/>
      <c r="K2399"/>
    </row>
    <row r="2400" spans="5:11" x14ac:dyDescent="0.2">
      <c r="E2400" s="50"/>
      <c r="H2400" s="12"/>
      <c r="K2400"/>
    </row>
    <row r="2401" spans="5:11" x14ac:dyDescent="0.2">
      <c r="E2401" s="50"/>
      <c r="H2401" s="12"/>
      <c r="K2401"/>
    </row>
    <row r="2402" spans="5:11" x14ac:dyDescent="0.2">
      <c r="E2402" s="50"/>
      <c r="H2402" s="12"/>
      <c r="K2402"/>
    </row>
    <row r="2403" spans="5:11" x14ac:dyDescent="0.2">
      <c r="E2403" s="50"/>
      <c r="H2403" s="12"/>
      <c r="K2403"/>
    </row>
    <row r="2404" spans="5:11" x14ac:dyDescent="0.2">
      <c r="E2404" s="50"/>
      <c r="H2404" s="12"/>
      <c r="K2404"/>
    </row>
    <row r="2405" spans="5:11" x14ac:dyDescent="0.2">
      <c r="E2405" s="50"/>
      <c r="H2405" s="12"/>
      <c r="K2405"/>
    </row>
    <row r="2406" spans="5:11" x14ac:dyDescent="0.2">
      <c r="E2406" s="50"/>
      <c r="H2406" s="12"/>
      <c r="K2406"/>
    </row>
    <row r="2407" spans="5:11" x14ac:dyDescent="0.2">
      <c r="E2407" s="50"/>
      <c r="H2407" s="12"/>
      <c r="K2407"/>
    </row>
    <row r="2408" spans="5:11" x14ac:dyDescent="0.2">
      <c r="E2408" s="50"/>
      <c r="H2408" s="12"/>
      <c r="K2408"/>
    </row>
    <row r="2409" spans="5:11" x14ac:dyDescent="0.2">
      <c r="E2409" s="50"/>
      <c r="H2409" s="12"/>
      <c r="K2409"/>
    </row>
    <row r="2410" spans="5:11" x14ac:dyDescent="0.2">
      <c r="E2410" s="50"/>
      <c r="H2410" s="12"/>
      <c r="K2410"/>
    </row>
    <row r="2411" spans="5:11" x14ac:dyDescent="0.2">
      <c r="E2411" s="50"/>
      <c r="H2411" s="12"/>
      <c r="K2411"/>
    </row>
    <row r="2412" spans="5:11" x14ac:dyDescent="0.2">
      <c r="E2412" s="50"/>
      <c r="H2412" s="12"/>
      <c r="K2412"/>
    </row>
    <row r="2413" spans="5:11" x14ac:dyDescent="0.2">
      <c r="E2413" s="50"/>
      <c r="H2413" s="12"/>
      <c r="K2413"/>
    </row>
    <row r="2414" spans="5:11" x14ac:dyDescent="0.2">
      <c r="E2414" s="50"/>
      <c r="H2414" s="12"/>
      <c r="K2414"/>
    </row>
    <row r="2415" spans="5:11" x14ac:dyDescent="0.2">
      <c r="E2415" s="50"/>
      <c r="H2415" s="12"/>
      <c r="K2415"/>
    </row>
    <row r="2416" spans="5:11" x14ac:dyDescent="0.2">
      <c r="E2416" s="50"/>
      <c r="H2416" s="12"/>
      <c r="K2416"/>
    </row>
    <row r="2417" spans="5:11" x14ac:dyDescent="0.2">
      <c r="E2417" s="50"/>
      <c r="H2417" s="12"/>
      <c r="K2417"/>
    </row>
    <row r="2418" spans="5:11" x14ac:dyDescent="0.2">
      <c r="E2418" s="50"/>
      <c r="H2418" s="12"/>
      <c r="K2418"/>
    </row>
    <row r="2419" spans="5:11" x14ac:dyDescent="0.2">
      <c r="E2419" s="50"/>
      <c r="H2419" s="12"/>
      <c r="K2419"/>
    </row>
    <row r="2420" spans="5:11" x14ac:dyDescent="0.2">
      <c r="E2420" s="50"/>
      <c r="H2420" s="12"/>
      <c r="K2420"/>
    </row>
    <row r="2421" spans="5:11" x14ac:dyDescent="0.2">
      <c r="E2421" s="50"/>
      <c r="H2421" s="12"/>
      <c r="K2421"/>
    </row>
    <row r="2422" spans="5:11" x14ac:dyDescent="0.2">
      <c r="E2422" s="50"/>
      <c r="H2422" s="12"/>
      <c r="K2422"/>
    </row>
    <row r="2423" spans="5:11" x14ac:dyDescent="0.2">
      <c r="E2423" s="50"/>
      <c r="H2423" s="12"/>
      <c r="K2423"/>
    </row>
    <row r="2424" spans="5:11" x14ac:dyDescent="0.2">
      <c r="E2424" s="50"/>
      <c r="H2424" s="12"/>
      <c r="K2424"/>
    </row>
    <row r="2425" spans="5:11" x14ac:dyDescent="0.2">
      <c r="E2425" s="50"/>
      <c r="H2425" s="12"/>
      <c r="K2425"/>
    </row>
    <row r="2426" spans="5:11" x14ac:dyDescent="0.2">
      <c r="E2426" s="50"/>
      <c r="H2426" s="12"/>
      <c r="K2426"/>
    </row>
    <row r="2427" spans="5:11" x14ac:dyDescent="0.2">
      <c r="E2427" s="50"/>
      <c r="H2427" s="12"/>
      <c r="K2427"/>
    </row>
    <row r="2428" spans="5:11" x14ac:dyDescent="0.2">
      <c r="E2428" s="50"/>
      <c r="H2428" s="12"/>
      <c r="K2428"/>
    </row>
    <row r="2429" spans="5:11" x14ac:dyDescent="0.2">
      <c r="E2429" s="50"/>
      <c r="H2429" s="12"/>
      <c r="K2429"/>
    </row>
    <row r="2430" spans="5:11" x14ac:dyDescent="0.2">
      <c r="E2430" s="50"/>
      <c r="H2430" s="12"/>
      <c r="K2430"/>
    </row>
    <row r="2431" spans="5:11" x14ac:dyDescent="0.2">
      <c r="E2431" s="50"/>
      <c r="H2431" s="12"/>
      <c r="K2431"/>
    </row>
    <row r="2432" spans="5:11" x14ac:dyDescent="0.2">
      <c r="E2432" s="50"/>
      <c r="H2432" s="12"/>
      <c r="K2432"/>
    </row>
    <row r="2433" spans="5:11" x14ac:dyDescent="0.2">
      <c r="E2433" s="50"/>
      <c r="H2433" s="12"/>
      <c r="K2433"/>
    </row>
    <row r="2434" spans="5:11" x14ac:dyDescent="0.2">
      <c r="E2434" s="50"/>
      <c r="H2434" s="12"/>
      <c r="K2434"/>
    </row>
    <row r="2435" spans="5:11" x14ac:dyDescent="0.2">
      <c r="E2435" s="50"/>
      <c r="H2435" s="12"/>
      <c r="K2435"/>
    </row>
    <row r="2436" spans="5:11" x14ac:dyDescent="0.2">
      <c r="E2436" s="50"/>
      <c r="H2436" s="12"/>
      <c r="K2436"/>
    </row>
    <row r="2437" spans="5:11" x14ac:dyDescent="0.2">
      <c r="E2437" s="50"/>
      <c r="H2437" s="12"/>
      <c r="K2437"/>
    </row>
    <row r="2438" spans="5:11" x14ac:dyDescent="0.2">
      <c r="E2438" s="50"/>
      <c r="H2438" s="12"/>
      <c r="K2438"/>
    </row>
    <row r="2439" spans="5:11" x14ac:dyDescent="0.2">
      <c r="E2439" s="50"/>
      <c r="H2439" s="12"/>
      <c r="K2439"/>
    </row>
    <row r="2440" spans="5:11" x14ac:dyDescent="0.2">
      <c r="E2440" s="50"/>
      <c r="H2440" s="12"/>
      <c r="K2440"/>
    </row>
    <row r="2441" spans="5:11" x14ac:dyDescent="0.2">
      <c r="E2441" s="50"/>
      <c r="H2441" s="12"/>
      <c r="K2441"/>
    </row>
    <row r="2442" spans="5:11" x14ac:dyDescent="0.2">
      <c r="E2442" s="50"/>
      <c r="H2442" s="12"/>
      <c r="K2442"/>
    </row>
    <row r="2443" spans="5:11" x14ac:dyDescent="0.2">
      <c r="E2443" s="50"/>
      <c r="H2443" s="12"/>
      <c r="K2443"/>
    </row>
    <row r="2444" spans="5:11" x14ac:dyDescent="0.2">
      <c r="E2444" s="50"/>
      <c r="H2444" s="12"/>
      <c r="K2444"/>
    </row>
    <row r="2445" spans="5:11" x14ac:dyDescent="0.2">
      <c r="E2445" s="50"/>
      <c r="H2445" s="12"/>
      <c r="K2445"/>
    </row>
    <row r="2446" spans="5:11" x14ac:dyDescent="0.2">
      <c r="E2446" s="50"/>
      <c r="H2446" s="12"/>
      <c r="K2446"/>
    </row>
    <row r="2447" spans="5:11" x14ac:dyDescent="0.2">
      <c r="E2447" s="50"/>
      <c r="H2447" s="12"/>
      <c r="K2447"/>
    </row>
    <row r="2448" spans="5:11" x14ac:dyDescent="0.2">
      <c r="E2448" s="50"/>
      <c r="H2448" s="12"/>
      <c r="K2448"/>
    </row>
    <row r="2449" spans="5:11" x14ac:dyDescent="0.2">
      <c r="E2449" s="50"/>
      <c r="H2449" s="12"/>
      <c r="K2449"/>
    </row>
    <row r="2450" spans="5:11" x14ac:dyDescent="0.2">
      <c r="E2450" s="50"/>
      <c r="H2450" s="12"/>
      <c r="K2450"/>
    </row>
    <row r="2451" spans="5:11" x14ac:dyDescent="0.2">
      <c r="E2451" s="50"/>
      <c r="H2451" s="12"/>
      <c r="K2451"/>
    </row>
    <row r="2452" spans="5:11" x14ac:dyDescent="0.2">
      <c r="E2452" s="50"/>
      <c r="H2452" s="12"/>
      <c r="K2452"/>
    </row>
    <row r="2453" spans="5:11" x14ac:dyDescent="0.2">
      <c r="E2453" s="50"/>
      <c r="H2453" s="12"/>
      <c r="K2453"/>
    </row>
    <row r="2454" spans="5:11" x14ac:dyDescent="0.2">
      <c r="E2454" s="50"/>
      <c r="H2454" s="12"/>
      <c r="K2454"/>
    </row>
    <row r="2455" spans="5:11" x14ac:dyDescent="0.2">
      <c r="E2455" s="50"/>
      <c r="H2455" s="12"/>
      <c r="K2455"/>
    </row>
    <row r="2456" spans="5:11" x14ac:dyDescent="0.2">
      <c r="E2456" s="50"/>
      <c r="H2456" s="12"/>
      <c r="K2456"/>
    </row>
    <row r="2457" spans="5:11" x14ac:dyDescent="0.2">
      <c r="E2457" s="50"/>
      <c r="H2457" s="12"/>
      <c r="K2457"/>
    </row>
    <row r="2458" spans="5:11" x14ac:dyDescent="0.2">
      <c r="E2458" s="50"/>
      <c r="H2458" s="12"/>
      <c r="K2458"/>
    </row>
    <row r="2459" spans="5:11" x14ac:dyDescent="0.2">
      <c r="E2459" s="50"/>
      <c r="H2459" s="12"/>
      <c r="K2459"/>
    </row>
    <row r="2460" spans="5:11" x14ac:dyDescent="0.2">
      <c r="E2460" s="50"/>
      <c r="H2460" s="12"/>
      <c r="K2460"/>
    </row>
    <row r="2461" spans="5:11" x14ac:dyDescent="0.2">
      <c r="E2461" s="50"/>
      <c r="H2461" s="12"/>
      <c r="K2461"/>
    </row>
    <row r="2462" spans="5:11" x14ac:dyDescent="0.2">
      <c r="E2462" s="50"/>
      <c r="H2462" s="12"/>
      <c r="K2462"/>
    </row>
    <row r="2463" spans="5:11" x14ac:dyDescent="0.2">
      <c r="E2463" s="50"/>
      <c r="H2463" s="12"/>
      <c r="K2463"/>
    </row>
    <row r="2464" spans="5:11" x14ac:dyDescent="0.2">
      <c r="E2464" s="50"/>
      <c r="H2464" s="12"/>
      <c r="K2464"/>
    </row>
    <row r="2465" spans="5:11" x14ac:dyDescent="0.2">
      <c r="E2465" s="50"/>
      <c r="H2465" s="12"/>
      <c r="K2465"/>
    </row>
    <row r="2466" spans="5:11" x14ac:dyDescent="0.2">
      <c r="E2466" s="50"/>
      <c r="H2466" s="12"/>
      <c r="K2466"/>
    </row>
    <row r="2467" spans="5:11" x14ac:dyDescent="0.2">
      <c r="E2467" s="50"/>
      <c r="H2467" s="12"/>
      <c r="K2467"/>
    </row>
    <row r="2468" spans="5:11" x14ac:dyDescent="0.2">
      <c r="E2468" s="50"/>
      <c r="H2468" s="12"/>
      <c r="K2468"/>
    </row>
    <row r="2469" spans="5:11" x14ac:dyDescent="0.2">
      <c r="E2469" s="50"/>
      <c r="H2469" s="12"/>
      <c r="K2469"/>
    </row>
    <row r="2470" spans="5:11" x14ac:dyDescent="0.2">
      <c r="E2470" s="50"/>
      <c r="H2470" s="12"/>
      <c r="K2470"/>
    </row>
    <row r="2471" spans="5:11" x14ac:dyDescent="0.2">
      <c r="E2471" s="50"/>
      <c r="H2471" s="12"/>
      <c r="K2471"/>
    </row>
    <row r="2472" spans="5:11" x14ac:dyDescent="0.2">
      <c r="E2472" s="50"/>
      <c r="H2472" s="12"/>
      <c r="K2472"/>
    </row>
    <row r="2473" spans="5:11" x14ac:dyDescent="0.2">
      <c r="E2473" s="50"/>
      <c r="H2473" s="12"/>
      <c r="K2473"/>
    </row>
    <row r="2474" spans="5:11" x14ac:dyDescent="0.2">
      <c r="E2474" s="50"/>
      <c r="H2474" s="12"/>
      <c r="K2474"/>
    </row>
    <row r="2475" spans="5:11" x14ac:dyDescent="0.2">
      <c r="E2475" s="50"/>
      <c r="H2475" s="12"/>
      <c r="K2475"/>
    </row>
    <row r="2476" spans="5:11" x14ac:dyDescent="0.2">
      <c r="E2476" s="50"/>
      <c r="H2476" s="12"/>
      <c r="K2476"/>
    </row>
    <row r="2477" spans="5:11" x14ac:dyDescent="0.2">
      <c r="E2477" s="50"/>
      <c r="H2477" s="12"/>
      <c r="K2477"/>
    </row>
    <row r="2478" spans="5:11" x14ac:dyDescent="0.2">
      <c r="E2478" s="50"/>
      <c r="H2478" s="12"/>
      <c r="K2478"/>
    </row>
    <row r="2479" spans="5:11" x14ac:dyDescent="0.2">
      <c r="E2479" s="50"/>
      <c r="H2479" s="12"/>
      <c r="K2479"/>
    </row>
    <row r="2480" spans="5:11" x14ac:dyDescent="0.2">
      <c r="E2480" s="50"/>
      <c r="H2480" s="12"/>
      <c r="K2480"/>
    </row>
    <row r="2481" spans="5:11" x14ac:dyDescent="0.2">
      <c r="E2481" s="50"/>
      <c r="H2481" s="12"/>
      <c r="K2481"/>
    </row>
    <row r="2482" spans="5:11" x14ac:dyDescent="0.2">
      <c r="E2482" s="50"/>
      <c r="H2482" s="12"/>
      <c r="K2482"/>
    </row>
    <row r="2483" spans="5:11" x14ac:dyDescent="0.2">
      <c r="E2483" s="50"/>
      <c r="H2483" s="12"/>
      <c r="K2483"/>
    </row>
    <row r="2484" spans="5:11" x14ac:dyDescent="0.2">
      <c r="E2484" s="50"/>
      <c r="H2484" s="12"/>
      <c r="K2484"/>
    </row>
    <row r="2485" spans="5:11" x14ac:dyDescent="0.2">
      <c r="E2485" s="50"/>
      <c r="H2485" s="12"/>
      <c r="K2485"/>
    </row>
    <row r="2486" spans="5:11" x14ac:dyDescent="0.2">
      <c r="E2486" s="50"/>
      <c r="H2486" s="12"/>
      <c r="K2486"/>
    </row>
    <row r="2487" spans="5:11" x14ac:dyDescent="0.2">
      <c r="E2487" s="50"/>
      <c r="H2487" s="12"/>
      <c r="K2487"/>
    </row>
    <row r="2488" spans="5:11" x14ac:dyDescent="0.2">
      <c r="E2488" s="50"/>
      <c r="H2488" s="12"/>
      <c r="K2488"/>
    </row>
    <row r="2489" spans="5:11" x14ac:dyDescent="0.2">
      <c r="E2489" s="50"/>
      <c r="H2489" s="12"/>
      <c r="K2489"/>
    </row>
    <row r="2490" spans="5:11" x14ac:dyDescent="0.2">
      <c r="E2490" s="50"/>
      <c r="H2490" s="12"/>
      <c r="K2490"/>
    </row>
    <row r="2491" spans="5:11" x14ac:dyDescent="0.2">
      <c r="E2491" s="50"/>
      <c r="H2491" s="12"/>
      <c r="K2491"/>
    </row>
    <row r="2492" spans="5:11" x14ac:dyDescent="0.2">
      <c r="E2492" s="50"/>
      <c r="H2492" s="12"/>
      <c r="K2492"/>
    </row>
    <row r="2493" spans="5:11" x14ac:dyDescent="0.2">
      <c r="E2493" s="50"/>
      <c r="H2493" s="12"/>
      <c r="K2493"/>
    </row>
    <row r="2494" spans="5:11" x14ac:dyDescent="0.2">
      <c r="E2494" s="50"/>
      <c r="H2494" s="12"/>
      <c r="K2494"/>
    </row>
    <row r="2495" spans="5:11" x14ac:dyDescent="0.2">
      <c r="E2495" s="50"/>
      <c r="H2495" s="12"/>
      <c r="K2495"/>
    </row>
    <row r="2496" spans="5:11" x14ac:dyDescent="0.2">
      <c r="E2496" s="50"/>
      <c r="H2496" s="12"/>
      <c r="K2496"/>
    </row>
    <row r="2497" spans="5:11" x14ac:dyDescent="0.2">
      <c r="E2497" s="50"/>
      <c r="H2497" s="12"/>
      <c r="K2497"/>
    </row>
    <row r="2498" spans="5:11" x14ac:dyDescent="0.2">
      <c r="E2498" s="50"/>
      <c r="H2498" s="12"/>
      <c r="K2498"/>
    </row>
    <row r="2499" spans="5:11" x14ac:dyDescent="0.2">
      <c r="E2499" s="50"/>
      <c r="H2499" s="12"/>
      <c r="K2499"/>
    </row>
    <row r="2500" spans="5:11" x14ac:dyDescent="0.2">
      <c r="E2500" s="50"/>
      <c r="H2500" s="12"/>
      <c r="K2500"/>
    </row>
    <row r="2501" spans="5:11" x14ac:dyDescent="0.2">
      <c r="E2501" s="50"/>
      <c r="H2501" s="12"/>
      <c r="K2501"/>
    </row>
    <row r="2502" spans="5:11" x14ac:dyDescent="0.2">
      <c r="E2502" s="50"/>
      <c r="H2502" s="12"/>
      <c r="K2502"/>
    </row>
    <row r="2503" spans="5:11" x14ac:dyDescent="0.2">
      <c r="E2503" s="50"/>
      <c r="H2503" s="12"/>
      <c r="K2503"/>
    </row>
    <row r="2504" spans="5:11" x14ac:dyDescent="0.2">
      <c r="E2504" s="50"/>
      <c r="H2504" s="12"/>
      <c r="K2504"/>
    </row>
    <row r="2505" spans="5:11" x14ac:dyDescent="0.2">
      <c r="E2505" s="50"/>
      <c r="H2505" s="12"/>
      <c r="K2505"/>
    </row>
    <row r="2506" spans="5:11" x14ac:dyDescent="0.2">
      <c r="E2506" s="50"/>
      <c r="H2506" s="12"/>
      <c r="K2506"/>
    </row>
    <row r="2507" spans="5:11" x14ac:dyDescent="0.2">
      <c r="E2507" s="50"/>
      <c r="H2507" s="12"/>
      <c r="K2507"/>
    </row>
    <row r="2508" spans="5:11" x14ac:dyDescent="0.2">
      <c r="E2508" s="50"/>
      <c r="H2508" s="12"/>
      <c r="K2508"/>
    </row>
    <row r="2509" spans="5:11" x14ac:dyDescent="0.2">
      <c r="E2509" s="50"/>
      <c r="H2509" s="12"/>
      <c r="K2509"/>
    </row>
    <row r="2510" spans="5:11" x14ac:dyDescent="0.2">
      <c r="E2510" s="50"/>
      <c r="H2510" s="12"/>
      <c r="K2510"/>
    </row>
    <row r="2511" spans="5:11" x14ac:dyDescent="0.2">
      <c r="E2511" s="50"/>
      <c r="H2511" s="12"/>
      <c r="K2511"/>
    </row>
    <row r="2512" spans="5:11" x14ac:dyDescent="0.2">
      <c r="E2512" s="50"/>
      <c r="H2512" s="12"/>
      <c r="K2512"/>
    </row>
    <row r="2513" spans="5:11" x14ac:dyDescent="0.2">
      <c r="E2513" s="50"/>
      <c r="H2513" s="12"/>
      <c r="K2513"/>
    </row>
    <row r="2514" spans="5:11" x14ac:dyDescent="0.2">
      <c r="E2514" s="50"/>
      <c r="H2514" s="12"/>
      <c r="K2514"/>
    </row>
    <row r="2515" spans="5:11" x14ac:dyDescent="0.2">
      <c r="E2515" s="50"/>
      <c r="H2515" s="12"/>
      <c r="K2515"/>
    </row>
    <row r="2516" spans="5:11" x14ac:dyDescent="0.2">
      <c r="E2516" s="50"/>
      <c r="H2516" s="12"/>
      <c r="K2516"/>
    </row>
    <row r="2517" spans="5:11" x14ac:dyDescent="0.2">
      <c r="E2517" s="50"/>
      <c r="H2517" s="12"/>
      <c r="K2517"/>
    </row>
    <row r="2518" spans="5:11" x14ac:dyDescent="0.2">
      <c r="E2518" s="50"/>
      <c r="H2518" s="12"/>
      <c r="K2518"/>
    </row>
    <row r="2519" spans="5:11" x14ac:dyDescent="0.2">
      <c r="E2519" s="50"/>
      <c r="H2519" s="12"/>
      <c r="K2519"/>
    </row>
    <row r="2520" spans="5:11" x14ac:dyDescent="0.2">
      <c r="E2520" s="50"/>
      <c r="H2520" s="12"/>
      <c r="K2520"/>
    </row>
    <row r="2521" spans="5:11" x14ac:dyDescent="0.2">
      <c r="E2521" s="50"/>
      <c r="H2521" s="12"/>
      <c r="K2521"/>
    </row>
    <row r="2522" spans="5:11" x14ac:dyDescent="0.2">
      <c r="E2522" s="50"/>
      <c r="H2522" s="12"/>
      <c r="K2522"/>
    </row>
    <row r="2523" spans="5:11" x14ac:dyDescent="0.2">
      <c r="E2523" s="50"/>
      <c r="H2523" s="12"/>
      <c r="K2523"/>
    </row>
    <row r="2524" spans="5:11" x14ac:dyDescent="0.2">
      <c r="E2524" s="50"/>
      <c r="H2524" s="12"/>
      <c r="K2524"/>
    </row>
    <row r="2525" spans="5:11" x14ac:dyDescent="0.2">
      <c r="E2525" s="50"/>
      <c r="H2525" s="12"/>
      <c r="K2525"/>
    </row>
    <row r="2526" spans="5:11" x14ac:dyDescent="0.2">
      <c r="E2526" s="50"/>
      <c r="H2526" s="12"/>
      <c r="K2526"/>
    </row>
    <row r="2527" spans="5:11" x14ac:dyDescent="0.2">
      <c r="E2527" s="50"/>
      <c r="H2527" s="12"/>
      <c r="K2527"/>
    </row>
    <row r="2528" spans="5:11" x14ac:dyDescent="0.2">
      <c r="E2528" s="50"/>
      <c r="H2528" s="12"/>
      <c r="K2528"/>
    </row>
    <row r="2529" spans="5:11" x14ac:dyDescent="0.2">
      <c r="E2529" s="50"/>
      <c r="H2529" s="12"/>
      <c r="K2529"/>
    </row>
    <row r="2530" spans="5:11" x14ac:dyDescent="0.2">
      <c r="E2530" s="50"/>
      <c r="H2530" s="12"/>
      <c r="K2530"/>
    </row>
    <row r="2531" spans="5:11" x14ac:dyDescent="0.2">
      <c r="E2531" s="50"/>
      <c r="H2531" s="12"/>
      <c r="K2531"/>
    </row>
    <row r="2532" spans="5:11" x14ac:dyDescent="0.2">
      <c r="E2532" s="50"/>
      <c r="H2532" s="12"/>
      <c r="K2532"/>
    </row>
    <row r="2533" spans="5:11" x14ac:dyDescent="0.2">
      <c r="E2533" s="50"/>
      <c r="H2533" s="12"/>
      <c r="K2533"/>
    </row>
    <row r="2534" spans="5:11" x14ac:dyDescent="0.2">
      <c r="E2534" s="50"/>
      <c r="H2534" s="12"/>
      <c r="K2534"/>
    </row>
    <row r="2535" spans="5:11" x14ac:dyDescent="0.2">
      <c r="E2535" s="50"/>
      <c r="H2535" s="12"/>
      <c r="K2535"/>
    </row>
    <row r="2536" spans="5:11" x14ac:dyDescent="0.2">
      <c r="E2536" s="50"/>
      <c r="H2536" s="12"/>
      <c r="K2536"/>
    </row>
    <row r="2537" spans="5:11" x14ac:dyDescent="0.2">
      <c r="E2537" s="50"/>
      <c r="H2537" s="12"/>
      <c r="K2537"/>
    </row>
    <row r="2538" spans="5:11" x14ac:dyDescent="0.2">
      <c r="E2538" s="50"/>
      <c r="H2538" s="12"/>
      <c r="K2538"/>
    </row>
    <row r="2539" spans="5:11" x14ac:dyDescent="0.2">
      <c r="E2539" s="50"/>
      <c r="H2539" s="12"/>
      <c r="K2539"/>
    </row>
    <row r="2540" spans="5:11" x14ac:dyDescent="0.2">
      <c r="E2540" s="50"/>
      <c r="H2540" s="12"/>
      <c r="K2540"/>
    </row>
    <row r="2541" spans="5:11" x14ac:dyDescent="0.2">
      <c r="E2541" s="50"/>
      <c r="H2541" s="12"/>
      <c r="K2541"/>
    </row>
    <row r="2542" spans="5:11" x14ac:dyDescent="0.2">
      <c r="E2542" s="50"/>
      <c r="H2542" s="12"/>
      <c r="K2542"/>
    </row>
    <row r="2543" spans="5:11" x14ac:dyDescent="0.2">
      <c r="E2543" s="50"/>
      <c r="H2543" s="12"/>
      <c r="K2543"/>
    </row>
    <row r="2544" spans="5:11" x14ac:dyDescent="0.2">
      <c r="E2544" s="50"/>
      <c r="H2544" s="12"/>
      <c r="K2544"/>
    </row>
    <row r="2545" spans="5:11" x14ac:dyDescent="0.2">
      <c r="E2545" s="50"/>
      <c r="H2545" s="12"/>
      <c r="K2545"/>
    </row>
    <row r="2546" spans="5:11" x14ac:dyDescent="0.2">
      <c r="E2546" s="50"/>
      <c r="H2546" s="12"/>
      <c r="K2546"/>
    </row>
    <row r="2547" spans="5:11" x14ac:dyDescent="0.2">
      <c r="E2547" s="50"/>
      <c r="H2547" s="12"/>
      <c r="K2547"/>
    </row>
    <row r="2548" spans="5:11" x14ac:dyDescent="0.2">
      <c r="E2548" s="50"/>
      <c r="H2548" s="12"/>
      <c r="K2548"/>
    </row>
    <row r="2549" spans="5:11" x14ac:dyDescent="0.2">
      <c r="E2549" s="50"/>
      <c r="H2549" s="12"/>
      <c r="K2549"/>
    </row>
    <row r="2550" spans="5:11" x14ac:dyDescent="0.2">
      <c r="E2550" s="50"/>
      <c r="H2550" s="12"/>
      <c r="K2550"/>
    </row>
    <row r="2551" spans="5:11" x14ac:dyDescent="0.2">
      <c r="E2551" s="50"/>
      <c r="H2551" s="12"/>
      <c r="K2551"/>
    </row>
    <row r="2552" spans="5:11" x14ac:dyDescent="0.2">
      <c r="E2552" s="50"/>
      <c r="H2552" s="12"/>
      <c r="K2552"/>
    </row>
    <row r="2553" spans="5:11" x14ac:dyDescent="0.2">
      <c r="E2553" s="50"/>
      <c r="H2553" s="12"/>
      <c r="K2553"/>
    </row>
    <row r="2554" spans="5:11" x14ac:dyDescent="0.2">
      <c r="E2554" s="50"/>
      <c r="H2554" s="12"/>
      <c r="K2554"/>
    </row>
    <row r="2555" spans="5:11" x14ac:dyDescent="0.2">
      <c r="E2555" s="50"/>
      <c r="H2555" s="12"/>
      <c r="K2555"/>
    </row>
    <row r="2556" spans="5:11" x14ac:dyDescent="0.2">
      <c r="E2556" s="50"/>
      <c r="H2556" s="12"/>
      <c r="K2556"/>
    </row>
    <row r="2557" spans="5:11" x14ac:dyDescent="0.2">
      <c r="E2557" s="50"/>
      <c r="H2557" s="12"/>
      <c r="K2557"/>
    </row>
    <row r="2558" spans="5:11" x14ac:dyDescent="0.2">
      <c r="E2558" s="50"/>
      <c r="H2558" s="12"/>
      <c r="K2558"/>
    </row>
    <row r="2559" spans="5:11" x14ac:dyDescent="0.2">
      <c r="E2559" s="50"/>
      <c r="H2559" s="12"/>
      <c r="K2559"/>
    </row>
    <row r="2560" spans="5:11" x14ac:dyDescent="0.2">
      <c r="E2560" s="50"/>
      <c r="H2560" s="12"/>
      <c r="K2560"/>
    </row>
    <row r="2561" spans="5:11" x14ac:dyDescent="0.2">
      <c r="E2561" s="50"/>
      <c r="H2561" s="12"/>
      <c r="K2561"/>
    </row>
    <row r="2562" spans="5:11" x14ac:dyDescent="0.2">
      <c r="E2562" s="50"/>
      <c r="H2562" s="12"/>
      <c r="K2562"/>
    </row>
    <row r="2563" spans="5:11" x14ac:dyDescent="0.2">
      <c r="E2563" s="50"/>
      <c r="H2563" s="12"/>
      <c r="K2563"/>
    </row>
    <row r="2564" spans="5:11" x14ac:dyDescent="0.2">
      <c r="E2564" s="50"/>
      <c r="H2564" s="12"/>
      <c r="K2564"/>
    </row>
    <row r="2565" spans="5:11" x14ac:dyDescent="0.2">
      <c r="E2565" s="50"/>
      <c r="H2565" s="12"/>
      <c r="K2565"/>
    </row>
    <row r="2566" spans="5:11" x14ac:dyDescent="0.2">
      <c r="E2566" s="50"/>
      <c r="H2566" s="12"/>
      <c r="K2566"/>
    </row>
    <row r="2567" spans="5:11" x14ac:dyDescent="0.2">
      <c r="E2567" s="50"/>
      <c r="H2567" s="12"/>
      <c r="K2567"/>
    </row>
    <row r="2568" spans="5:11" x14ac:dyDescent="0.2">
      <c r="E2568" s="50"/>
      <c r="H2568" s="12"/>
      <c r="K2568"/>
    </row>
    <row r="2569" spans="5:11" x14ac:dyDescent="0.2">
      <c r="E2569" s="50"/>
      <c r="H2569" s="12"/>
      <c r="K2569"/>
    </row>
    <row r="2570" spans="5:11" x14ac:dyDescent="0.2">
      <c r="E2570" s="50"/>
      <c r="H2570" s="12"/>
      <c r="K2570"/>
    </row>
    <row r="2571" spans="5:11" x14ac:dyDescent="0.2">
      <c r="E2571" s="50"/>
      <c r="H2571" s="12"/>
      <c r="K2571"/>
    </row>
    <row r="2572" spans="5:11" x14ac:dyDescent="0.2">
      <c r="E2572" s="50"/>
      <c r="H2572" s="12"/>
      <c r="K2572"/>
    </row>
    <row r="2573" spans="5:11" x14ac:dyDescent="0.2">
      <c r="E2573" s="50"/>
      <c r="H2573" s="12"/>
      <c r="K2573"/>
    </row>
    <row r="2574" spans="5:11" x14ac:dyDescent="0.2">
      <c r="E2574" s="50"/>
      <c r="H2574" s="12"/>
      <c r="K2574"/>
    </row>
    <row r="2575" spans="5:11" x14ac:dyDescent="0.2">
      <c r="E2575" s="50"/>
      <c r="H2575" s="12"/>
      <c r="K2575"/>
    </row>
    <row r="2576" spans="5:11" x14ac:dyDescent="0.2">
      <c r="E2576" s="50"/>
      <c r="H2576" s="12"/>
      <c r="K2576"/>
    </row>
    <row r="2577" spans="5:11" x14ac:dyDescent="0.2">
      <c r="E2577" s="50"/>
      <c r="H2577" s="12"/>
      <c r="K2577"/>
    </row>
    <row r="2578" spans="5:11" x14ac:dyDescent="0.2">
      <c r="E2578" s="50"/>
      <c r="H2578" s="12"/>
      <c r="K2578"/>
    </row>
    <row r="2579" spans="5:11" x14ac:dyDescent="0.2">
      <c r="E2579" s="50"/>
      <c r="H2579" s="12"/>
      <c r="K2579"/>
    </row>
    <row r="2580" spans="5:11" x14ac:dyDescent="0.2">
      <c r="E2580" s="50"/>
      <c r="H2580" s="12"/>
      <c r="K2580"/>
    </row>
    <row r="2581" spans="5:11" x14ac:dyDescent="0.2">
      <c r="E2581" s="50"/>
      <c r="H2581" s="12"/>
      <c r="K2581"/>
    </row>
    <row r="2582" spans="5:11" x14ac:dyDescent="0.2">
      <c r="E2582" s="50"/>
      <c r="H2582" s="12"/>
      <c r="K2582"/>
    </row>
    <row r="2583" spans="5:11" x14ac:dyDescent="0.2">
      <c r="E2583" s="50"/>
      <c r="H2583" s="12"/>
      <c r="K2583"/>
    </row>
    <row r="2584" spans="5:11" x14ac:dyDescent="0.2">
      <c r="E2584" s="50"/>
      <c r="H2584" s="12"/>
      <c r="K2584"/>
    </row>
    <row r="2585" spans="5:11" x14ac:dyDescent="0.2">
      <c r="E2585" s="50"/>
      <c r="H2585" s="12"/>
      <c r="K2585"/>
    </row>
    <row r="2586" spans="5:11" x14ac:dyDescent="0.2">
      <c r="E2586" s="50"/>
      <c r="H2586" s="12"/>
      <c r="K2586"/>
    </row>
    <row r="2587" spans="5:11" x14ac:dyDescent="0.2">
      <c r="E2587" s="50"/>
      <c r="H2587" s="12"/>
      <c r="K2587"/>
    </row>
    <row r="2588" spans="5:11" x14ac:dyDescent="0.2">
      <c r="E2588" s="50"/>
      <c r="H2588" s="12"/>
      <c r="K2588"/>
    </row>
    <row r="2589" spans="5:11" x14ac:dyDescent="0.2">
      <c r="E2589" s="50"/>
      <c r="H2589" s="12"/>
      <c r="K2589"/>
    </row>
    <row r="2590" spans="5:11" x14ac:dyDescent="0.2">
      <c r="E2590" s="50"/>
      <c r="H2590" s="12"/>
      <c r="K2590"/>
    </row>
    <row r="2591" spans="5:11" x14ac:dyDescent="0.2">
      <c r="E2591" s="50"/>
      <c r="H2591" s="12"/>
      <c r="K2591"/>
    </row>
    <row r="2592" spans="5:11" x14ac:dyDescent="0.2">
      <c r="E2592" s="50"/>
      <c r="H2592" s="12"/>
      <c r="K2592"/>
    </row>
    <row r="2593" spans="5:11" x14ac:dyDescent="0.2">
      <c r="E2593" s="50"/>
      <c r="H2593" s="12"/>
      <c r="K2593"/>
    </row>
    <row r="2594" spans="5:11" x14ac:dyDescent="0.2">
      <c r="E2594" s="50"/>
      <c r="H2594" s="12"/>
      <c r="K2594"/>
    </row>
    <row r="2595" spans="5:11" x14ac:dyDescent="0.2">
      <c r="E2595" s="50"/>
      <c r="H2595" s="12"/>
      <c r="K2595"/>
    </row>
    <row r="2596" spans="5:11" x14ac:dyDescent="0.2">
      <c r="E2596" s="50"/>
      <c r="H2596" s="12"/>
      <c r="K2596"/>
    </row>
    <row r="2597" spans="5:11" x14ac:dyDescent="0.2">
      <c r="E2597" s="50"/>
      <c r="H2597" s="12"/>
      <c r="K2597"/>
    </row>
    <row r="2598" spans="5:11" x14ac:dyDescent="0.2">
      <c r="E2598" s="50"/>
      <c r="H2598" s="12"/>
      <c r="K2598"/>
    </row>
    <row r="2599" spans="5:11" x14ac:dyDescent="0.2">
      <c r="E2599" s="50"/>
      <c r="H2599" s="12"/>
      <c r="K2599"/>
    </row>
    <row r="2600" spans="5:11" x14ac:dyDescent="0.2">
      <c r="E2600" s="50"/>
      <c r="H2600" s="12"/>
      <c r="K2600"/>
    </row>
    <row r="2601" spans="5:11" x14ac:dyDescent="0.2">
      <c r="E2601" s="50"/>
      <c r="H2601" s="12"/>
      <c r="K2601"/>
    </row>
    <row r="2602" spans="5:11" x14ac:dyDescent="0.2">
      <c r="E2602" s="50"/>
      <c r="H2602" s="12"/>
      <c r="K2602"/>
    </row>
    <row r="2603" spans="5:11" x14ac:dyDescent="0.2">
      <c r="E2603" s="50"/>
      <c r="H2603" s="12"/>
      <c r="K2603"/>
    </row>
    <row r="2604" spans="5:11" x14ac:dyDescent="0.2">
      <c r="E2604" s="50"/>
      <c r="H2604" s="12"/>
      <c r="K2604"/>
    </row>
    <row r="2605" spans="5:11" x14ac:dyDescent="0.2">
      <c r="E2605" s="50"/>
      <c r="H2605" s="12"/>
      <c r="K2605"/>
    </row>
    <row r="2606" spans="5:11" x14ac:dyDescent="0.2">
      <c r="E2606" s="50"/>
      <c r="H2606" s="12"/>
      <c r="K2606"/>
    </row>
    <row r="2607" spans="5:11" x14ac:dyDescent="0.2">
      <c r="E2607" s="50"/>
      <c r="H2607" s="12"/>
      <c r="K2607"/>
    </row>
    <row r="2608" spans="5:11" x14ac:dyDescent="0.2">
      <c r="E2608" s="50"/>
      <c r="H2608" s="12"/>
      <c r="K2608"/>
    </row>
    <row r="2609" spans="5:11" x14ac:dyDescent="0.2">
      <c r="E2609" s="50"/>
      <c r="H2609" s="12"/>
      <c r="K2609"/>
    </row>
    <row r="2610" spans="5:11" x14ac:dyDescent="0.2">
      <c r="E2610" s="50"/>
      <c r="H2610" s="12"/>
      <c r="K2610"/>
    </row>
    <row r="2611" spans="5:11" x14ac:dyDescent="0.2">
      <c r="E2611" s="50"/>
      <c r="H2611" s="12"/>
      <c r="K2611"/>
    </row>
    <row r="2612" spans="5:11" x14ac:dyDescent="0.2">
      <c r="E2612" s="50"/>
      <c r="H2612" s="12"/>
      <c r="K2612"/>
    </row>
    <row r="2613" spans="5:11" x14ac:dyDescent="0.2">
      <c r="E2613" s="50"/>
      <c r="H2613" s="12"/>
      <c r="K2613"/>
    </row>
    <row r="2614" spans="5:11" x14ac:dyDescent="0.2">
      <c r="E2614" s="50"/>
      <c r="H2614" s="12"/>
      <c r="K2614"/>
    </row>
    <row r="2615" spans="5:11" x14ac:dyDescent="0.2">
      <c r="E2615" s="50"/>
      <c r="H2615" s="12"/>
      <c r="K2615"/>
    </row>
    <row r="2616" spans="5:11" x14ac:dyDescent="0.2">
      <c r="E2616" s="50"/>
      <c r="H2616" s="12"/>
      <c r="K2616"/>
    </row>
    <row r="2617" spans="5:11" x14ac:dyDescent="0.2">
      <c r="E2617" s="50"/>
      <c r="H2617" s="12"/>
      <c r="K2617"/>
    </row>
    <row r="2618" spans="5:11" x14ac:dyDescent="0.2">
      <c r="E2618" s="50"/>
      <c r="H2618" s="12"/>
      <c r="K2618"/>
    </row>
    <row r="2619" spans="5:11" x14ac:dyDescent="0.2">
      <c r="E2619" s="50"/>
      <c r="H2619" s="12"/>
      <c r="K2619"/>
    </row>
    <row r="2620" spans="5:11" x14ac:dyDescent="0.2">
      <c r="E2620" s="50"/>
      <c r="H2620" s="12"/>
      <c r="K2620"/>
    </row>
    <row r="2621" spans="5:11" x14ac:dyDescent="0.2">
      <c r="E2621" s="50"/>
      <c r="H2621" s="12"/>
      <c r="K2621"/>
    </row>
    <row r="2622" spans="5:11" x14ac:dyDescent="0.2">
      <c r="E2622" s="50"/>
      <c r="H2622" s="12"/>
      <c r="K2622"/>
    </row>
    <row r="2623" spans="5:11" x14ac:dyDescent="0.2">
      <c r="E2623" s="50"/>
      <c r="H2623" s="12"/>
      <c r="K2623"/>
    </row>
    <row r="2624" spans="5:11" x14ac:dyDescent="0.2">
      <c r="E2624" s="50"/>
      <c r="H2624" s="12"/>
      <c r="K2624"/>
    </row>
    <row r="2625" spans="5:11" x14ac:dyDescent="0.2">
      <c r="E2625" s="50"/>
      <c r="H2625" s="12"/>
      <c r="K2625"/>
    </row>
    <row r="2626" spans="5:11" x14ac:dyDescent="0.2">
      <c r="E2626" s="50"/>
      <c r="H2626" s="12"/>
      <c r="K2626"/>
    </row>
    <row r="2627" spans="5:11" x14ac:dyDescent="0.2">
      <c r="E2627" s="50"/>
      <c r="H2627" s="12"/>
      <c r="K2627"/>
    </row>
    <row r="2628" spans="5:11" x14ac:dyDescent="0.2">
      <c r="E2628" s="50"/>
      <c r="H2628" s="12"/>
      <c r="K2628"/>
    </row>
    <row r="2629" spans="5:11" x14ac:dyDescent="0.2">
      <c r="E2629" s="50"/>
      <c r="H2629" s="12"/>
      <c r="K2629"/>
    </row>
    <row r="2630" spans="5:11" x14ac:dyDescent="0.2">
      <c r="E2630" s="50"/>
      <c r="H2630" s="12"/>
      <c r="K2630"/>
    </row>
    <row r="2631" spans="5:11" x14ac:dyDescent="0.2">
      <c r="E2631" s="50"/>
      <c r="H2631" s="12"/>
      <c r="K2631"/>
    </row>
    <row r="2632" spans="5:11" x14ac:dyDescent="0.2">
      <c r="E2632" s="50"/>
      <c r="H2632" s="12"/>
      <c r="K2632"/>
    </row>
    <row r="2633" spans="5:11" x14ac:dyDescent="0.2">
      <c r="E2633" s="50"/>
      <c r="H2633" s="12"/>
      <c r="K2633"/>
    </row>
    <row r="2634" spans="5:11" x14ac:dyDescent="0.2">
      <c r="E2634" s="50"/>
      <c r="H2634" s="12"/>
      <c r="K2634"/>
    </row>
    <row r="2635" spans="5:11" x14ac:dyDescent="0.2">
      <c r="E2635" s="50"/>
      <c r="H2635" s="12"/>
      <c r="K2635"/>
    </row>
    <row r="2636" spans="5:11" x14ac:dyDescent="0.2">
      <c r="E2636" s="50"/>
      <c r="H2636" s="12"/>
      <c r="K2636"/>
    </row>
    <row r="2637" spans="5:11" x14ac:dyDescent="0.2">
      <c r="E2637" s="50"/>
      <c r="H2637" s="12"/>
      <c r="K2637"/>
    </row>
    <row r="2638" spans="5:11" x14ac:dyDescent="0.2">
      <c r="E2638" s="50"/>
      <c r="H2638" s="12"/>
      <c r="K2638"/>
    </row>
    <row r="2639" spans="5:11" x14ac:dyDescent="0.2">
      <c r="E2639" s="50"/>
      <c r="H2639" s="12"/>
      <c r="K2639"/>
    </row>
    <row r="2640" spans="5:11" x14ac:dyDescent="0.2">
      <c r="E2640" s="50"/>
      <c r="H2640" s="12"/>
      <c r="K2640"/>
    </row>
    <row r="2641" spans="5:11" x14ac:dyDescent="0.2">
      <c r="E2641" s="50"/>
      <c r="H2641" s="12"/>
      <c r="K2641"/>
    </row>
    <row r="2642" spans="5:11" x14ac:dyDescent="0.2">
      <c r="E2642" s="50"/>
      <c r="H2642" s="12"/>
      <c r="K2642"/>
    </row>
    <row r="2643" spans="5:11" x14ac:dyDescent="0.2">
      <c r="E2643" s="50"/>
      <c r="H2643" s="12"/>
      <c r="K2643"/>
    </row>
    <row r="2644" spans="5:11" x14ac:dyDescent="0.2">
      <c r="E2644" s="50"/>
      <c r="H2644" s="12"/>
      <c r="K2644"/>
    </row>
    <row r="2645" spans="5:11" x14ac:dyDescent="0.2">
      <c r="E2645" s="50"/>
      <c r="H2645" s="12"/>
      <c r="K2645"/>
    </row>
    <row r="2646" spans="5:11" x14ac:dyDescent="0.2">
      <c r="E2646" s="50"/>
      <c r="H2646" s="12"/>
      <c r="K2646"/>
    </row>
    <row r="2647" spans="5:11" x14ac:dyDescent="0.2">
      <c r="E2647" s="50"/>
      <c r="H2647" s="12"/>
      <c r="K2647"/>
    </row>
    <row r="2648" spans="5:11" x14ac:dyDescent="0.2">
      <c r="E2648" s="50"/>
      <c r="H2648" s="12"/>
      <c r="K2648"/>
    </row>
    <row r="2649" spans="5:11" x14ac:dyDescent="0.2">
      <c r="E2649" s="50"/>
      <c r="H2649" s="12"/>
      <c r="K2649"/>
    </row>
    <row r="2650" spans="5:11" x14ac:dyDescent="0.2">
      <c r="E2650" s="50"/>
      <c r="H2650" s="12"/>
      <c r="K2650"/>
    </row>
    <row r="2651" spans="5:11" x14ac:dyDescent="0.2">
      <c r="E2651" s="50"/>
      <c r="H2651" s="12"/>
      <c r="K2651"/>
    </row>
    <row r="2652" spans="5:11" x14ac:dyDescent="0.2">
      <c r="E2652" s="50"/>
      <c r="H2652" s="12"/>
      <c r="K2652"/>
    </row>
    <row r="2653" spans="5:11" x14ac:dyDescent="0.2">
      <c r="E2653" s="50"/>
      <c r="H2653" s="12"/>
      <c r="K2653"/>
    </row>
    <row r="2654" spans="5:11" x14ac:dyDescent="0.2">
      <c r="E2654" s="50"/>
      <c r="H2654" s="12"/>
      <c r="K2654"/>
    </row>
    <row r="2655" spans="5:11" x14ac:dyDescent="0.2">
      <c r="E2655" s="50"/>
      <c r="H2655" s="12"/>
      <c r="K2655"/>
    </row>
    <row r="2656" spans="5:11" x14ac:dyDescent="0.2">
      <c r="E2656" s="50"/>
      <c r="H2656" s="12"/>
      <c r="K2656"/>
    </row>
    <row r="2657" spans="5:11" x14ac:dyDescent="0.2">
      <c r="E2657" s="50"/>
      <c r="H2657" s="12"/>
      <c r="K2657"/>
    </row>
    <row r="2658" spans="5:11" x14ac:dyDescent="0.2">
      <c r="E2658" s="50"/>
      <c r="H2658" s="12"/>
      <c r="K2658"/>
    </row>
    <row r="2659" spans="5:11" x14ac:dyDescent="0.2">
      <c r="E2659" s="50"/>
      <c r="H2659" s="12"/>
      <c r="K2659"/>
    </row>
    <row r="2660" spans="5:11" x14ac:dyDescent="0.2">
      <c r="E2660" s="50"/>
      <c r="H2660" s="12"/>
      <c r="K2660"/>
    </row>
    <row r="2661" spans="5:11" x14ac:dyDescent="0.2">
      <c r="E2661" s="50"/>
      <c r="H2661" s="12"/>
      <c r="K2661"/>
    </row>
    <row r="2662" spans="5:11" x14ac:dyDescent="0.2">
      <c r="E2662" s="50"/>
      <c r="H2662" s="12"/>
      <c r="K2662"/>
    </row>
    <row r="2663" spans="5:11" x14ac:dyDescent="0.2">
      <c r="E2663" s="50"/>
      <c r="H2663" s="12"/>
      <c r="K2663"/>
    </row>
    <row r="2664" spans="5:11" x14ac:dyDescent="0.2">
      <c r="E2664" s="50"/>
      <c r="H2664" s="12"/>
      <c r="K2664"/>
    </row>
    <row r="2665" spans="5:11" x14ac:dyDescent="0.2">
      <c r="E2665" s="50"/>
      <c r="H2665" s="12"/>
      <c r="K2665"/>
    </row>
    <row r="2666" spans="5:11" x14ac:dyDescent="0.2">
      <c r="E2666" s="50"/>
      <c r="H2666" s="12"/>
      <c r="K2666"/>
    </row>
    <row r="2667" spans="5:11" x14ac:dyDescent="0.2">
      <c r="E2667" s="50"/>
      <c r="H2667" s="12"/>
      <c r="K2667"/>
    </row>
    <row r="2668" spans="5:11" x14ac:dyDescent="0.2">
      <c r="E2668" s="50"/>
      <c r="H2668" s="12"/>
      <c r="K2668"/>
    </row>
    <row r="2669" spans="5:11" x14ac:dyDescent="0.2">
      <c r="E2669" s="50"/>
      <c r="H2669" s="12"/>
      <c r="K2669"/>
    </row>
    <row r="2670" spans="5:11" x14ac:dyDescent="0.2">
      <c r="E2670" s="50"/>
      <c r="H2670" s="12"/>
      <c r="K2670"/>
    </row>
    <row r="2671" spans="5:11" x14ac:dyDescent="0.2">
      <c r="E2671" s="50"/>
      <c r="H2671" s="12"/>
      <c r="K2671"/>
    </row>
    <row r="2672" spans="5:11" x14ac:dyDescent="0.2">
      <c r="E2672" s="50"/>
      <c r="H2672" s="12"/>
      <c r="K2672"/>
    </row>
    <row r="2673" spans="5:11" x14ac:dyDescent="0.2">
      <c r="E2673" s="50"/>
      <c r="H2673" s="12"/>
      <c r="K2673"/>
    </row>
    <row r="2674" spans="5:11" x14ac:dyDescent="0.2">
      <c r="E2674" s="50"/>
      <c r="H2674" s="12"/>
      <c r="K2674"/>
    </row>
    <row r="2675" spans="5:11" x14ac:dyDescent="0.2">
      <c r="E2675" s="50"/>
      <c r="H2675" s="12"/>
      <c r="K2675"/>
    </row>
    <row r="2676" spans="5:11" x14ac:dyDescent="0.2">
      <c r="E2676" s="50"/>
      <c r="H2676" s="12"/>
      <c r="K2676"/>
    </row>
    <row r="2677" spans="5:11" x14ac:dyDescent="0.2">
      <c r="E2677" s="50"/>
      <c r="H2677" s="12"/>
      <c r="K2677"/>
    </row>
    <row r="2678" spans="5:11" x14ac:dyDescent="0.2">
      <c r="E2678" s="50"/>
      <c r="H2678" s="12"/>
      <c r="K2678"/>
    </row>
    <row r="2679" spans="5:11" x14ac:dyDescent="0.2">
      <c r="E2679" s="50"/>
      <c r="H2679" s="12"/>
      <c r="K2679"/>
    </row>
    <row r="2680" spans="5:11" x14ac:dyDescent="0.2">
      <c r="E2680" s="50"/>
      <c r="H2680" s="12"/>
      <c r="K2680"/>
    </row>
    <row r="2681" spans="5:11" x14ac:dyDescent="0.2">
      <c r="E2681" s="50"/>
      <c r="H2681" s="12"/>
      <c r="K2681"/>
    </row>
    <row r="2682" spans="5:11" x14ac:dyDescent="0.2">
      <c r="E2682" s="50"/>
      <c r="H2682" s="12"/>
      <c r="K2682"/>
    </row>
    <row r="2683" spans="5:11" x14ac:dyDescent="0.2">
      <c r="E2683" s="50"/>
      <c r="H2683" s="12"/>
      <c r="K2683"/>
    </row>
    <row r="2684" spans="5:11" x14ac:dyDescent="0.2">
      <c r="E2684" s="50"/>
      <c r="H2684" s="12"/>
      <c r="K2684"/>
    </row>
    <row r="2685" spans="5:11" x14ac:dyDescent="0.2">
      <c r="E2685" s="50"/>
      <c r="H2685" s="12"/>
      <c r="K2685"/>
    </row>
    <row r="2686" spans="5:11" x14ac:dyDescent="0.2">
      <c r="E2686" s="50"/>
      <c r="H2686" s="12"/>
      <c r="K2686"/>
    </row>
    <row r="2687" spans="5:11" x14ac:dyDescent="0.2">
      <c r="E2687" s="50"/>
      <c r="H2687" s="12"/>
      <c r="K2687"/>
    </row>
    <row r="2688" spans="5:11" x14ac:dyDescent="0.2">
      <c r="E2688" s="50"/>
      <c r="H2688" s="12"/>
      <c r="K2688"/>
    </row>
    <row r="2689" spans="5:11" x14ac:dyDescent="0.2">
      <c r="E2689" s="50"/>
      <c r="H2689" s="12"/>
      <c r="K2689"/>
    </row>
    <row r="2690" spans="5:11" x14ac:dyDescent="0.2">
      <c r="E2690" s="50"/>
      <c r="H2690" s="12"/>
      <c r="K2690"/>
    </row>
    <row r="2691" spans="5:11" x14ac:dyDescent="0.2">
      <c r="E2691" s="50"/>
      <c r="H2691" s="12"/>
      <c r="K2691"/>
    </row>
    <row r="2692" spans="5:11" x14ac:dyDescent="0.2">
      <c r="E2692" s="50"/>
      <c r="H2692" s="12"/>
      <c r="K2692"/>
    </row>
    <row r="2693" spans="5:11" x14ac:dyDescent="0.2">
      <c r="E2693" s="50"/>
      <c r="H2693" s="12"/>
      <c r="K2693"/>
    </row>
    <row r="2694" spans="5:11" x14ac:dyDescent="0.2">
      <c r="E2694" s="50"/>
      <c r="H2694" s="12"/>
      <c r="K2694"/>
    </row>
    <row r="2695" spans="5:11" x14ac:dyDescent="0.2">
      <c r="E2695" s="50"/>
      <c r="H2695" s="12"/>
      <c r="K2695"/>
    </row>
    <row r="2696" spans="5:11" x14ac:dyDescent="0.2">
      <c r="E2696" s="50"/>
      <c r="H2696" s="12"/>
      <c r="K2696"/>
    </row>
    <row r="2697" spans="5:11" x14ac:dyDescent="0.2">
      <c r="E2697" s="50"/>
      <c r="H2697" s="12"/>
      <c r="K2697"/>
    </row>
    <row r="2698" spans="5:11" x14ac:dyDescent="0.2">
      <c r="E2698" s="50"/>
      <c r="H2698" s="12"/>
      <c r="K2698"/>
    </row>
    <row r="2699" spans="5:11" x14ac:dyDescent="0.2">
      <c r="E2699" s="50"/>
      <c r="H2699" s="12"/>
      <c r="K2699"/>
    </row>
    <row r="2700" spans="5:11" x14ac:dyDescent="0.2">
      <c r="E2700" s="50"/>
      <c r="H2700" s="12"/>
      <c r="K2700"/>
    </row>
    <row r="2701" spans="5:11" x14ac:dyDescent="0.2">
      <c r="E2701" s="50"/>
      <c r="H2701" s="12"/>
      <c r="K2701"/>
    </row>
    <row r="2702" spans="5:11" x14ac:dyDescent="0.2">
      <c r="E2702" s="50"/>
      <c r="H2702" s="12"/>
      <c r="K2702"/>
    </row>
    <row r="2703" spans="5:11" x14ac:dyDescent="0.2">
      <c r="E2703" s="50"/>
      <c r="H2703" s="12"/>
      <c r="K2703"/>
    </row>
    <row r="2704" spans="5:11" x14ac:dyDescent="0.2">
      <c r="E2704" s="50"/>
      <c r="H2704" s="12"/>
      <c r="K2704"/>
    </row>
    <row r="2705" spans="5:11" x14ac:dyDescent="0.2">
      <c r="E2705" s="50"/>
      <c r="H2705" s="12"/>
      <c r="K2705"/>
    </row>
    <row r="2706" spans="5:11" x14ac:dyDescent="0.2">
      <c r="E2706" s="50"/>
      <c r="H2706" s="12"/>
      <c r="K2706"/>
    </row>
    <row r="2707" spans="5:11" x14ac:dyDescent="0.2">
      <c r="E2707" s="50"/>
      <c r="H2707" s="12"/>
      <c r="K2707"/>
    </row>
    <row r="2708" spans="5:11" x14ac:dyDescent="0.2">
      <c r="E2708" s="50"/>
      <c r="H2708" s="12"/>
      <c r="K2708"/>
    </row>
    <row r="2709" spans="5:11" x14ac:dyDescent="0.2">
      <c r="E2709" s="50"/>
      <c r="H2709" s="12"/>
      <c r="K2709"/>
    </row>
    <row r="2710" spans="5:11" x14ac:dyDescent="0.2">
      <c r="E2710" s="50"/>
      <c r="H2710" s="12"/>
      <c r="K2710"/>
    </row>
    <row r="2711" spans="5:11" x14ac:dyDescent="0.2">
      <c r="E2711" s="50"/>
      <c r="H2711" s="12"/>
      <c r="K2711"/>
    </row>
    <row r="2712" spans="5:11" x14ac:dyDescent="0.2">
      <c r="E2712" s="50"/>
      <c r="H2712" s="12"/>
      <c r="K2712"/>
    </row>
    <row r="2713" spans="5:11" x14ac:dyDescent="0.2">
      <c r="E2713" s="50"/>
      <c r="H2713" s="12"/>
      <c r="K2713"/>
    </row>
    <row r="2714" spans="5:11" x14ac:dyDescent="0.2">
      <c r="E2714" s="50"/>
      <c r="H2714" s="12"/>
      <c r="K2714"/>
    </row>
    <row r="2715" spans="5:11" x14ac:dyDescent="0.2">
      <c r="E2715" s="50"/>
      <c r="H2715" s="12"/>
      <c r="K2715"/>
    </row>
    <row r="2716" spans="5:11" x14ac:dyDescent="0.2">
      <c r="E2716" s="50"/>
      <c r="H2716" s="12"/>
      <c r="K2716"/>
    </row>
    <row r="2717" spans="5:11" x14ac:dyDescent="0.2">
      <c r="E2717" s="50"/>
      <c r="H2717" s="12"/>
      <c r="K2717"/>
    </row>
    <row r="2718" spans="5:11" x14ac:dyDescent="0.2">
      <c r="E2718" s="50"/>
      <c r="H2718" s="12"/>
      <c r="K2718"/>
    </row>
    <row r="2719" spans="5:11" x14ac:dyDescent="0.2">
      <c r="E2719" s="50"/>
      <c r="H2719" s="12"/>
      <c r="K2719"/>
    </row>
    <row r="2720" spans="5:11" x14ac:dyDescent="0.2">
      <c r="E2720" s="50"/>
      <c r="H2720" s="12"/>
      <c r="K2720"/>
    </row>
    <row r="2721" spans="5:11" x14ac:dyDescent="0.2">
      <c r="E2721" s="50"/>
      <c r="H2721" s="12"/>
      <c r="K2721"/>
    </row>
    <row r="2722" spans="5:11" x14ac:dyDescent="0.2">
      <c r="E2722" s="50"/>
      <c r="H2722" s="12"/>
      <c r="K2722"/>
    </row>
    <row r="2723" spans="5:11" x14ac:dyDescent="0.2">
      <c r="E2723" s="50"/>
      <c r="H2723" s="12"/>
      <c r="K2723"/>
    </row>
    <row r="2724" spans="5:11" x14ac:dyDescent="0.2">
      <c r="E2724" s="50"/>
      <c r="H2724" s="12"/>
      <c r="K2724"/>
    </row>
    <row r="2725" spans="5:11" x14ac:dyDescent="0.2">
      <c r="E2725" s="50"/>
      <c r="H2725" s="12"/>
      <c r="K2725"/>
    </row>
    <row r="2726" spans="5:11" x14ac:dyDescent="0.2">
      <c r="E2726" s="50"/>
      <c r="H2726" s="12"/>
      <c r="K2726"/>
    </row>
    <row r="2727" spans="5:11" x14ac:dyDescent="0.2">
      <c r="E2727" s="50"/>
      <c r="H2727" s="12"/>
      <c r="K2727"/>
    </row>
    <row r="2728" spans="5:11" x14ac:dyDescent="0.2">
      <c r="E2728" s="50"/>
      <c r="H2728" s="12"/>
      <c r="K2728"/>
    </row>
    <row r="2729" spans="5:11" x14ac:dyDescent="0.2">
      <c r="E2729" s="50"/>
      <c r="H2729" s="12"/>
      <c r="K2729"/>
    </row>
    <row r="2730" spans="5:11" x14ac:dyDescent="0.2">
      <c r="E2730" s="50"/>
      <c r="H2730" s="12"/>
      <c r="K2730"/>
    </row>
    <row r="2731" spans="5:11" x14ac:dyDescent="0.2">
      <c r="E2731" s="50"/>
      <c r="H2731" s="12"/>
      <c r="K2731"/>
    </row>
    <row r="2732" spans="5:11" x14ac:dyDescent="0.2">
      <c r="E2732" s="50"/>
      <c r="H2732" s="12"/>
      <c r="K2732"/>
    </row>
    <row r="2733" spans="5:11" x14ac:dyDescent="0.2">
      <c r="E2733" s="50"/>
      <c r="H2733" s="12"/>
      <c r="K2733"/>
    </row>
    <row r="2734" spans="5:11" x14ac:dyDescent="0.2">
      <c r="E2734" s="50"/>
      <c r="H2734" s="12"/>
      <c r="K2734"/>
    </row>
    <row r="2735" spans="5:11" x14ac:dyDescent="0.2">
      <c r="E2735" s="50"/>
      <c r="H2735" s="12"/>
      <c r="K2735"/>
    </row>
    <row r="2736" spans="5:11" x14ac:dyDescent="0.2">
      <c r="E2736" s="50"/>
      <c r="H2736" s="12"/>
      <c r="K2736"/>
    </row>
    <row r="2737" spans="5:11" x14ac:dyDescent="0.2">
      <c r="E2737" s="50"/>
      <c r="H2737" s="12"/>
      <c r="K2737"/>
    </row>
    <row r="2738" spans="5:11" x14ac:dyDescent="0.2">
      <c r="E2738" s="50"/>
      <c r="H2738" s="12"/>
      <c r="K2738"/>
    </row>
    <row r="2739" spans="5:11" x14ac:dyDescent="0.2">
      <c r="E2739" s="50"/>
      <c r="H2739" s="12"/>
      <c r="K2739"/>
    </row>
    <row r="2740" spans="5:11" x14ac:dyDescent="0.2">
      <c r="E2740" s="50"/>
      <c r="H2740" s="12"/>
      <c r="K2740"/>
    </row>
    <row r="2741" spans="5:11" x14ac:dyDescent="0.2">
      <c r="E2741" s="50"/>
      <c r="H2741" s="12"/>
      <c r="K2741"/>
    </row>
    <row r="2742" spans="5:11" x14ac:dyDescent="0.2">
      <c r="E2742" s="50"/>
      <c r="H2742" s="12"/>
      <c r="K2742"/>
    </row>
    <row r="2743" spans="5:11" x14ac:dyDescent="0.2">
      <c r="E2743" s="50"/>
      <c r="H2743" s="12"/>
      <c r="K2743"/>
    </row>
    <row r="2744" spans="5:11" x14ac:dyDescent="0.2">
      <c r="E2744" s="50"/>
      <c r="H2744" s="12"/>
      <c r="K2744"/>
    </row>
    <row r="2745" spans="5:11" x14ac:dyDescent="0.2">
      <c r="E2745" s="50"/>
      <c r="H2745" s="12"/>
      <c r="K2745"/>
    </row>
    <row r="2746" spans="5:11" x14ac:dyDescent="0.2">
      <c r="E2746" s="50"/>
      <c r="H2746" s="12"/>
      <c r="K2746"/>
    </row>
    <row r="2747" spans="5:11" x14ac:dyDescent="0.2">
      <c r="E2747" s="50"/>
      <c r="H2747" s="12"/>
      <c r="K2747"/>
    </row>
    <row r="2748" spans="5:11" x14ac:dyDescent="0.2">
      <c r="E2748" s="50"/>
      <c r="H2748" s="12"/>
      <c r="K2748"/>
    </row>
    <row r="2749" spans="5:11" x14ac:dyDescent="0.2">
      <c r="E2749" s="50"/>
      <c r="H2749" s="12"/>
      <c r="K2749"/>
    </row>
    <row r="2750" spans="5:11" x14ac:dyDescent="0.2">
      <c r="E2750" s="50"/>
      <c r="H2750" s="12"/>
      <c r="K2750"/>
    </row>
    <row r="2751" spans="5:11" x14ac:dyDescent="0.2">
      <c r="E2751" s="50"/>
      <c r="H2751" s="12"/>
      <c r="K2751"/>
    </row>
    <row r="2752" spans="5:11" x14ac:dyDescent="0.2">
      <c r="E2752" s="50"/>
      <c r="H2752" s="12"/>
      <c r="K2752"/>
    </row>
    <row r="2753" spans="5:11" x14ac:dyDescent="0.2">
      <c r="E2753" s="50"/>
      <c r="H2753" s="12"/>
      <c r="K2753"/>
    </row>
    <row r="2754" spans="5:11" x14ac:dyDescent="0.2">
      <c r="E2754" s="50"/>
      <c r="H2754" s="12"/>
      <c r="K2754"/>
    </row>
    <row r="2755" spans="5:11" x14ac:dyDescent="0.2">
      <c r="E2755" s="50"/>
      <c r="H2755" s="12"/>
      <c r="K2755"/>
    </row>
    <row r="2756" spans="5:11" x14ac:dyDescent="0.2">
      <c r="E2756" s="50"/>
      <c r="H2756" s="12"/>
      <c r="K2756"/>
    </row>
    <row r="2757" spans="5:11" x14ac:dyDescent="0.2">
      <c r="E2757" s="50"/>
      <c r="H2757" s="12"/>
      <c r="K2757"/>
    </row>
    <row r="2758" spans="5:11" x14ac:dyDescent="0.2">
      <c r="E2758" s="50"/>
      <c r="H2758" s="12"/>
      <c r="K2758"/>
    </row>
    <row r="2759" spans="5:11" x14ac:dyDescent="0.2">
      <c r="E2759" s="50"/>
      <c r="H2759" s="12"/>
      <c r="K2759"/>
    </row>
    <row r="2760" spans="5:11" x14ac:dyDescent="0.2">
      <c r="E2760" s="50"/>
      <c r="H2760" s="12"/>
      <c r="K2760"/>
    </row>
    <row r="2761" spans="5:11" x14ac:dyDescent="0.2">
      <c r="E2761" s="50"/>
      <c r="H2761" s="12"/>
      <c r="K2761"/>
    </row>
    <row r="2762" spans="5:11" x14ac:dyDescent="0.2">
      <c r="E2762" s="50"/>
      <c r="H2762" s="12"/>
      <c r="K2762"/>
    </row>
    <row r="2763" spans="5:11" x14ac:dyDescent="0.2">
      <c r="E2763" s="50"/>
      <c r="H2763" s="12"/>
      <c r="K2763"/>
    </row>
    <row r="2764" spans="5:11" x14ac:dyDescent="0.2">
      <c r="E2764" s="50"/>
      <c r="H2764" s="12"/>
      <c r="K2764"/>
    </row>
    <row r="2765" spans="5:11" x14ac:dyDescent="0.2">
      <c r="E2765" s="50"/>
      <c r="H2765" s="12"/>
      <c r="K2765"/>
    </row>
    <row r="2766" spans="5:11" x14ac:dyDescent="0.2">
      <c r="E2766" s="50"/>
      <c r="H2766" s="12"/>
      <c r="K2766"/>
    </row>
    <row r="2767" spans="5:11" x14ac:dyDescent="0.2">
      <c r="E2767" s="50"/>
      <c r="H2767" s="12"/>
      <c r="K2767"/>
    </row>
    <row r="2768" spans="5:11" x14ac:dyDescent="0.2">
      <c r="E2768" s="50"/>
      <c r="H2768" s="12"/>
      <c r="K2768"/>
    </row>
    <row r="2769" spans="5:11" x14ac:dyDescent="0.2">
      <c r="E2769" s="50"/>
      <c r="H2769" s="12"/>
      <c r="K2769"/>
    </row>
    <row r="2770" spans="5:11" x14ac:dyDescent="0.2">
      <c r="E2770" s="50"/>
      <c r="H2770" s="12"/>
      <c r="K2770"/>
    </row>
    <row r="2771" spans="5:11" x14ac:dyDescent="0.2">
      <c r="E2771" s="50"/>
      <c r="H2771" s="12"/>
      <c r="K2771"/>
    </row>
    <row r="2772" spans="5:11" x14ac:dyDescent="0.2">
      <c r="E2772" s="50"/>
      <c r="H2772" s="12"/>
      <c r="K2772"/>
    </row>
    <row r="2773" spans="5:11" x14ac:dyDescent="0.2">
      <c r="E2773" s="50"/>
      <c r="H2773" s="12"/>
      <c r="K2773"/>
    </row>
    <row r="2774" spans="5:11" x14ac:dyDescent="0.2">
      <c r="E2774" s="50"/>
      <c r="H2774" s="12"/>
      <c r="K2774"/>
    </row>
    <row r="2775" spans="5:11" x14ac:dyDescent="0.2">
      <c r="E2775" s="50"/>
      <c r="H2775" s="12"/>
      <c r="K2775"/>
    </row>
    <row r="2776" spans="5:11" x14ac:dyDescent="0.2">
      <c r="E2776" s="50"/>
      <c r="H2776" s="12"/>
      <c r="K2776"/>
    </row>
    <row r="2777" spans="5:11" x14ac:dyDescent="0.2">
      <c r="E2777" s="50"/>
      <c r="H2777" s="12"/>
      <c r="K2777"/>
    </row>
    <row r="2778" spans="5:11" x14ac:dyDescent="0.2">
      <c r="E2778" s="50"/>
      <c r="H2778" s="12"/>
      <c r="K2778"/>
    </row>
    <row r="2779" spans="5:11" x14ac:dyDescent="0.2">
      <c r="E2779" s="50"/>
      <c r="H2779" s="12"/>
      <c r="K2779"/>
    </row>
    <row r="2780" spans="5:11" x14ac:dyDescent="0.2">
      <c r="E2780" s="50"/>
      <c r="H2780" s="12"/>
      <c r="K2780"/>
    </row>
    <row r="2781" spans="5:11" x14ac:dyDescent="0.2">
      <c r="E2781" s="50"/>
      <c r="H2781" s="12"/>
      <c r="K2781"/>
    </row>
    <row r="2782" spans="5:11" x14ac:dyDescent="0.2">
      <c r="E2782" s="50"/>
      <c r="H2782" s="12"/>
      <c r="K2782"/>
    </row>
    <row r="2783" spans="5:11" x14ac:dyDescent="0.2">
      <c r="E2783" s="50"/>
      <c r="H2783" s="12"/>
      <c r="K2783"/>
    </row>
    <row r="2784" spans="5:11" x14ac:dyDescent="0.2">
      <c r="E2784" s="50"/>
      <c r="H2784" s="12"/>
      <c r="K2784"/>
    </row>
    <row r="2785" spans="5:11" x14ac:dyDescent="0.2">
      <c r="E2785" s="50"/>
      <c r="H2785" s="12"/>
      <c r="K2785"/>
    </row>
    <row r="2786" spans="5:11" x14ac:dyDescent="0.2">
      <c r="E2786" s="50"/>
      <c r="H2786" s="12"/>
      <c r="K2786"/>
    </row>
    <row r="2787" spans="5:11" x14ac:dyDescent="0.2">
      <c r="E2787" s="50"/>
      <c r="H2787" s="12"/>
      <c r="K2787"/>
    </row>
    <row r="2788" spans="5:11" x14ac:dyDescent="0.2">
      <c r="E2788" s="50"/>
      <c r="H2788" s="12"/>
      <c r="K2788"/>
    </row>
    <row r="2789" spans="5:11" x14ac:dyDescent="0.2">
      <c r="E2789" s="50"/>
      <c r="H2789" s="12"/>
      <c r="K2789"/>
    </row>
    <row r="2790" spans="5:11" x14ac:dyDescent="0.2">
      <c r="E2790" s="50"/>
      <c r="H2790" s="12"/>
      <c r="K2790"/>
    </row>
    <row r="2791" spans="5:11" x14ac:dyDescent="0.2">
      <c r="E2791" s="50"/>
      <c r="H2791" s="12"/>
      <c r="K2791"/>
    </row>
    <row r="2792" spans="5:11" x14ac:dyDescent="0.2">
      <c r="E2792" s="50"/>
      <c r="H2792" s="12"/>
      <c r="K2792"/>
    </row>
    <row r="2793" spans="5:11" x14ac:dyDescent="0.2">
      <c r="E2793" s="50"/>
      <c r="H2793" s="12"/>
      <c r="K2793"/>
    </row>
    <row r="2794" spans="5:11" x14ac:dyDescent="0.2">
      <c r="E2794" s="50"/>
      <c r="H2794" s="12"/>
      <c r="K2794"/>
    </row>
    <row r="2795" spans="5:11" x14ac:dyDescent="0.2">
      <c r="E2795" s="50"/>
      <c r="H2795" s="12"/>
      <c r="K2795"/>
    </row>
    <row r="2796" spans="5:11" x14ac:dyDescent="0.2">
      <c r="E2796" s="50"/>
      <c r="H2796" s="12"/>
      <c r="K2796"/>
    </row>
    <row r="2797" spans="5:11" x14ac:dyDescent="0.2">
      <c r="E2797" s="50"/>
      <c r="H2797" s="12"/>
      <c r="K2797"/>
    </row>
    <row r="2798" spans="5:11" x14ac:dyDescent="0.2">
      <c r="E2798" s="50"/>
      <c r="H2798" s="12"/>
      <c r="K2798"/>
    </row>
    <row r="2799" spans="5:11" x14ac:dyDescent="0.2">
      <c r="E2799" s="50"/>
      <c r="H2799" s="12"/>
      <c r="K2799"/>
    </row>
    <row r="2800" spans="5:11" x14ac:dyDescent="0.2">
      <c r="E2800" s="50"/>
      <c r="H2800" s="12"/>
      <c r="K2800"/>
    </row>
    <row r="2801" spans="5:11" x14ac:dyDescent="0.2">
      <c r="E2801" s="50"/>
      <c r="H2801" s="12"/>
      <c r="K2801"/>
    </row>
    <row r="2802" spans="5:11" x14ac:dyDescent="0.2">
      <c r="E2802" s="50"/>
      <c r="H2802" s="12"/>
      <c r="K2802"/>
    </row>
    <row r="2803" spans="5:11" x14ac:dyDescent="0.2">
      <c r="E2803" s="50"/>
      <c r="H2803" s="12"/>
      <c r="K2803"/>
    </row>
    <row r="2804" spans="5:11" x14ac:dyDescent="0.2">
      <c r="E2804" s="50"/>
      <c r="H2804" s="12"/>
      <c r="K2804"/>
    </row>
    <row r="2805" spans="5:11" x14ac:dyDescent="0.2">
      <c r="E2805" s="50"/>
      <c r="H2805" s="12"/>
      <c r="K2805"/>
    </row>
    <row r="2806" spans="5:11" x14ac:dyDescent="0.2">
      <c r="E2806" s="50"/>
      <c r="H2806" s="12"/>
      <c r="K2806"/>
    </row>
    <row r="2807" spans="5:11" x14ac:dyDescent="0.2">
      <c r="E2807" s="50"/>
      <c r="H2807" s="12"/>
      <c r="K2807"/>
    </row>
    <row r="2808" spans="5:11" x14ac:dyDescent="0.2">
      <c r="E2808" s="50"/>
      <c r="H2808" s="12"/>
      <c r="K2808"/>
    </row>
    <row r="2809" spans="5:11" x14ac:dyDescent="0.2">
      <c r="E2809" s="50"/>
      <c r="H2809" s="12"/>
      <c r="K2809"/>
    </row>
    <row r="2810" spans="5:11" x14ac:dyDescent="0.2">
      <c r="E2810" s="50"/>
      <c r="H2810" s="12"/>
      <c r="K2810"/>
    </row>
    <row r="2811" spans="5:11" x14ac:dyDescent="0.2">
      <c r="E2811" s="50"/>
      <c r="H2811" s="12"/>
      <c r="K2811"/>
    </row>
    <row r="2812" spans="5:11" x14ac:dyDescent="0.2">
      <c r="E2812" s="50"/>
      <c r="H2812" s="12"/>
      <c r="K2812"/>
    </row>
    <row r="2813" spans="5:11" x14ac:dyDescent="0.2">
      <c r="E2813" s="50"/>
      <c r="H2813" s="12"/>
      <c r="K2813"/>
    </row>
    <row r="2814" spans="5:11" x14ac:dyDescent="0.2">
      <c r="E2814" s="50"/>
      <c r="H2814" s="12"/>
      <c r="K2814"/>
    </row>
    <row r="2815" spans="5:11" x14ac:dyDescent="0.2">
      <c r="E2815" s="50"/>
      <c r="H2815" s="12"/>
      <c r="K2815"/>
    </row>
    <row r="2816" spans="5:11" x14ac:dyDescent="0.2">
      <c r="E2816" s="50"/>
      <c r="H2816" s="12"/>
      <c r="K2816"/>
    </row>
    <row r="2817" spans="5:11" x14ac:dyDescent="0.2">
      <c r="E2817" s="50"/>
      <c r="H2817" s="12"/>
      <c r="K2817"/>
    </row>
    <row r="2818" spans="5:11" x14ac:dyDescent="0.2">
      <c r="E2818" s="50"/>
      <c r="H2818" s="12"/>
      <c r="K2818"/>
    </row>
    <row r="2819" spans="5:11" x14ac:dyDescent="0.2">
      <c r="E2819" s="50"/>
      <c r="H2819" s="12"/>
      <c r="K2819"/>
    </row>
    <row r="2820" spans="5:11" x14ac:dyDescent="0.2">
      <c r="E2820" s="50"/>
      <c r="H2820" s="12"/>
      <c r="K2820"/>
    </row>
    <row r="2821" spans="5:11" x14ac:dyDescent="0.2">
      <c r="E2821" s="50"/>
      <c r="H2821" s="12"/>
      <c r="K2821"/>
    </row>
    <row r="2822" spans="5:11" x14ac:dyDescent="0.2">
      <c r="E2822" s="50"/>
      <c r="H2822" s="12"/>
      <c r="K2822"/>
    </row>
    <row r="2823" spans="5:11" x14ac:dyDescent="0.2">
      <c r="E2823" s="50"/>
      <c r="H2823" s="12"/>
      <c r="K2823"/>
    </row>
    <row r="2824" spans="5:11" x14ac:dyDescent="0.2">
      <c r="E2824" s="50"/>
      <c r="H2824" s="12"/>
      <c r="K2824"/>
    </row>
    <row r="2825" spans="5:11" x14ac:dyDescent="0.2">
      <c r="E2825" s="50"/>
      <c r="H2825" s="12"/>
      <c r="K2825"/>
    </row>
    <row r="2826" spans="5:11" x14ac:dyDescent="0.2">
      <c r="E2826" s="50"/>
      <c r="H2826" s="12"/>
      <c r="K2826"/>
    </row>
    <row r="2827" spans="5:11" x14ac:dyDescent="0.2">
      <c r="E2827" s="50"/>
      <c r="H2827" s="12"/>
      <c r="K2827"/>
    </row>
    <row r="2828" spans="5:11" x14ac:dyDescent="0.2">
      <c r="E2828" s="50"/>
      <c r="H2828" s="12"/>
      <c r="K2828"/>
    </row>
    <row r="2829" spans="5:11" x14ac:dyDescent="0.2">
      <c r="E2829" s="50"/>
      <c r="H2829" s="12"/>
      <c r="K2829"/>
    </row>
    <row r="2830" spans="5:11" x14ac:dyDescent="0.2">
      <c r="E2830" s="50"/>
      <c r="H2830" s="12"/>
      <c r="K2830"/>
    </row>
    <row r="2831" spans="5:11" x14ac:dyDescent="0.2">
      <c r="E2831" s="50"/>
      <c r="H2831" s="12"/>
      <c r="K2831"/>
    </row>
    <row r="2832" spans="5:11" x14ac:dyDescent="0.2">
      <c r="E2832" s="50"/>
      <c r="H2832" s="12"/>
      <c r="K2832"/>
    </row>
    <row r="2833" spans="5:11" x14ac:dyDescent="0.2">
      <c r="E2833" s="50"/>
      <c r="H2833" s="12"/>
      <c r="K2833"/>
    </row>
    <row r="2834" spans="5:11" x14ac:dyDescent="0.2">
      <c r="E2834" s="50"/>
      <c r="H2834" s="12"/>
      <c r="K2834"/>
    </row>
    <row r="2835" spans="5:11" x14ac:dyDescent="0.2">
      <c r="E2835" s="50"/>
      <c r="H2835" s="12"/>
      <c r="K2835"/>
    </row>
    <row r="2836" spans="5:11" x14ac:dyDescent="0.2">
      <c r="E2836" s="50"/>
      <c r="H2836" s="12"/>
      <c r="K2836"/>
    </row>
    <row r="2837" spans="5:11" x14ac:dyDescent="0.2">
      <c r="E2837" s="50"/>
      <c r="H2837" s="12"/>
      <c r="K2837"/>
    </row>
    <row r="2838" spans="5:11" x14ac:dyDescent="0.2">
      <c r="E2838" s="50"/>
      <c r="H2838" s="12"/>
      <c r="K2838"/>
    </row>
    <row r="2839" spans="5:11" x14ac:dyDescent="0.2">
      <c r="E2839" s="50"/>
      <c r="H2839" s="12"/>
      <c r="K2839"/>
    </row>
    <row r="2840" spans="5:11" x14ac:dyDescent="0.2">
      <c r="E2840" s="50"/>
      <c r="H2840" s="12"/>
      <c r="K2840"/>
    </row>
    <row r="2841" spans="5:11" x14ac:dyDescent="0.2">
      <c r="E2841" s="50"/>
      <c r="H2841" s="12"/>
      <c r="K2841"/>
    </row>
    <row r="2842" spans="5:11" x14ac:dyDescent="0.2">
      <c r="E2842" s="50"/>
      <c r="H2842" s="12"/>
      <c r="K2842"/>
    </row>
    <row r="2843" spans="5:11" x14ac:dyDescent="0.2">
      <c r="E2843" s="50"/>
      <c r="H2843" s="12"/>
      <c r="K2843"/>
    </row>
    <row r="2844" spans="5:11" x14ac:dyDescent="0.2">
      <c r="E2844" s="50"/>
      <c r="H2844" s="12"/>
      <c r="K2844"/>
    </row>
    <row r="2845" spans="5:11" x14ac:dyDescent="0.2">
      <c r="E2845" s="50"/>
      <c r="H2845" s="12"/>
      <c r="K2845"/>
    </row>
    <row r="2846" spans="5:11" x14ac:dyDescent="0.2">
      <c r="E2846" s="50"/>
      <c r="H2846" s="12"/>
      <c r="K2846"/>
    </row>
    <row r="2847" spans="5:11" x14ac:dyDescent="0.2">
      <c r="E2847" s="50"/>
      <c r="H2847" s="12"/>
      <c r="K2847"/>
    </row>
    <row r="2848" spans="5:11" x14ac:dyDescent="0.2">
      <c r="E2848" s="50"/>
      <c r="H2848" s="12"/>
      <c r="K2848"/>
    </row>
    <row r="2849" spans="5:11" x14ac:dyDescent="0.2">
      <c r="E2849" s="50"/>
      <c r="H2849" s="12"/>
      <c r="K2849"/>
    </row>
    <row r="2850" spans="5:11" x14ac:dyDescent="0.2">
      <c r="E2850" s="50"/>
      <c r="H2850" s="12"/>
      <c r="K2850"/>
    </row>
    <row r="2851" spans="5:11" x14ac:dyDescent="0.2">
      <c r="E2851" s="50"/>
      <c r="H2851" s="12"/>
      <c r="K2851"/>
    </row>
    <row r="2852" spans="5:11" x14ac:dyDescent="0.2">
      <c r="E2852" s="50"/>
      <c r="H2852" s="12"/>
      <c r="K2852"/>
    </row>
    <row r="2853" spans="5:11" x14ac:dyDescent="0.2">
      <c r="E2853" s="50"/>
      <c r="H2853" s="12"/>
      <c r="K2853"/>
    </row>
    <row r="2854" spans="5:11" x14ac:dyDescent="0.2">
      <c r="E2854" s="50"/>
      <c r="H2854" s="12"/>
      <c r="K2854"/>
    </row>
    <row r="2855" spans="5:11" x14ac:dyDescent="0.2">
      <c r="E2855" s="50"/>
      <c r="H2855" s="12"/>
      <c r="K2855"/>
    </row>
    <row r="2856" spans="5:11" x14ac:dyDescent="0.2">
      <c r="E2856" s="50"/>
      <c r="H2856" s="12"/>
      <c r="K2856"/>
    </row>
    <row r="2857" spans="5:11" x14ac:dyDescent="0.2">
      <c r="E2857" s="50"/>
      <c r="H2857" s="12"/>
      <c r="K2857"/>
    </row>
    <row r="2858" spans="5:11" x14ac:dyDescent="0.2">
      <c r="E2858" s="50"/>
      <c r="H2858" s="12"/>
      <c r="K2858"/>
    </row>
    <row r="2859" spans="5:11" x14ac:dyDescent="0.2">
      <c r="E2859" s="50"/>
      <c r="H2859" s="12"/>
      <c r="K2859"/>
    </row>
    <row r="2860" spans="5:11" x14ac:dyDescent="0.2">
      <c r="E2860" s="50"/>
      <c r="H2860" s="12"/>
      <c r="K2860"/>
    </row>
    <row r="2861" spans="5:11" x14ac:dyDescent="0.2">
      <c r="E2861" s="50"/>
      <c r="H2861" s="12"/>
      <c r="K2861"/>
    </row>
    <row r="2862" spans="5:11" x14ac:dyDescent="0.2">
      <c r="E2862" s="50"/>
      <c r="H2862" s="12"/>
      <c r="K2862"/>
    </row>
    <row r="2863" spans="5:11" x14ac:dyDescent="0.2">
      <c r="E2863" s="50"/>
      <c r="H2863" s="12"/>
      <c r="K2863"/>
    </row>
    <row r="2864" spans="5:11" x14ac:dyDescent="0.2">
      <c r="E2864" s="50"/>
      <c r="H2864" s="12"/>
      <c r="K2864"/>
    </row>
    <row r="2865" spans="5:11" x14ac:dyDescent="0.2">
      <c r="E2865" s="50"/>
      <c r="H2865" s="12"/>
      <c r="K2865"/>
    </row>
    <row r="2866" spans="5:11" x14ac:dyDescent="0.2">
      <c r="E2866" s="50"/>
      <c r="H2866" s="12"/>
      <c r="K2866"/>
    </row>
    <row r="2867" spans="5:11" x14ac:dyDescent="0.2">
      <c r="E2867" s="50"/>
      <c r="H2867" s="12"/>
      <c r="K2867"/>
    </row>
    <row r="2868" spans="5:11" x14ac:dyDescent="0.2">
      <c r="E2868" s="50"/>
      <c r="H2868" s="12"/>
      <c r="K2868"/>
    </row>
    <row r="2869" spans="5:11" x14ac:dyDescent="0.2">
      <c r="E2869" s="50"/>
      <c r="H2869" s="12"/>
      <c r="K2869"/>
    </row>
    <row r="2870" spans="5:11" x14ac:dyDescent="0.2">
      <c r="E2870" s="50"/>
      <c r="H2870" s="12"/>
      <c r="K2870"/>
    </row>
    <row r="2871" spans="5:11" x14ac:dyDescent="0.2">
      <c r="E2871" s="50"/>
      <c r="F2871" s="41"/>
      <c r="H2871" s="12"/>
      <c r="K2871"/>
    </row>
    <row r="2872" spans="5:11" x14ac:dyDescent="0.2">
      <c r="E2872" s="50"/>
      <c r="H2872" s="12"/>
      <c r="K2872"/>
    </row>
    <row r="2873" spans="5:11" x14ac:dyDescent="0.2">
      <c r="E2873" s="50"/>
      <c r="H2873" s="12"/>
      <c r="K2873"/>
    </row>
    <row r="2874" spans="5:11" x14ac:dyDescent="0.2">
      <c r="E2874" s="50"/>
      <c r="H2874" s="12"/>
      <c r="K2874"/>
    </row>
    <row r="2875" spans="5:11" x14ac:dyDescent="0.2">
      <c r="E2875" s="50"/>
      <c r="H2875" s="12"/>
      <c r="K2875"/>
    </row>
    <row r="2876" spans="5:11" x14ac:dyDescent="0.2">
      <c r="E2876" s="50"/>
      <c r="H2876" s="12"/>
      <c r="K2876"/>
    </row>
    <row r="2877" spans="5:11" x14ac:dyDescent="0.2">
      <c r="E2877" s="50"/>
      <c r="H2877" s="12"/>
      <c r="K2877"/>
    </row>
    <row r="2878" spans="5:11" x14ac:dyDescent="0.2">
      <c r="E2878" s="50"/>
      <c r="H2878" s="12"/>
      <c r="K2878"/>
    </row>
    <row r="2879" spans="5:11" x14ac:dyDescent="0.2">
      <c r="E2879" s="50"/>
      <c r="H2879" s="12"/>
      <c r="K2879"/>
    </row>
    <row r="2880" spans="5:11" x14ac:dyDescent="0.2">
      <c r="E2880" s="50"/>
      <c r="H2880" s="12"/>
      <c r="K2880"/>
    </row>
    <row r="2881" spans="1:11" x14ac:dyDescent="0.2">
      <c r="E2881" s="50"/>
      <c r="H2881" s="12"/>
      <c r="K2881"/>
    </row>
    <row r="2882" spans="1:11" x14ac:dyDescent="0.2">
      <c r="E2882" s="50"/>
      <c r="H2882" s="12"/>
      <c r="K2882"/>
    </row>
    <row r="2883" spans="1:11" x14ac:dyDescent="0.2">
      <c r="E2883" s="50"/>
      <c r="H2883" s="12"/>
      <c r="K2883"/>
    </row>
    <row r="2884" spans="1:11" x14ac:dyDescent="0.2">
      <c r="E2884" s="50"/>
      <c r="H2884" s="12"/>
      <c r="K2884"/>
    </row>
    <row r="2885" spans="1:11" x14ac:dyDescent="0.2">
      <c r="E2885" s="50"/>
      <c r="H2885" s="12"/>
      <c r="K2885"/>
    </row>
    <row r="2886" spans="1:11" x14ac:dyDescent="0.2">
      <c r="E2886" s="50"/>
      <c r="H2886" s="12"/>
      <c r="K2886"/>
    </row>
    <row r="2887" spans="1:11" x14ac:dyDescent="0.2">
      <c r="E2887" s="50"/>
      <c r="H2887" s="12"/>
      <c r="K2887"/>
    </row>
    <row r="2888" spans="1:11" x14ac:dyDescent="0.2">
      <c r="E2888" s="50"/>
      <c r="H2888" s="12"/>
      <c r="K2888"/>
    </row>
    <row r="2889" spans="1:11" x14ac:dyDescent="0.2">
      <c r="E2889" s="50"/>
      <c r="H2889" s="12"/>
      <c r="K2889"/>
    </row>
    <row r="2890" spans="1:11" x14ac:dyDescent="0.2">
      <c r="E2890" s="50"/>
      <c r="H2890" s="12"/>
      <c r="K2890"/>
    </row>
    <row r="2891" spans="1:11" x14ac:dyDescent="0.2">
      <c r="E2891" s="50"/>
      <c r="H2891" s="12"/>
      <c r="K2891"/>
    </row>
    <row r="2892" spans="1:11" x14ac:dyDescent="0.2">
      <c r="E2892" s="50"/>
      <c r="H2892" s="12"/>
      <c r="K2892"/>
    </row>
    <row r="2893" spans="1:11" x14ac:dyDescent="0.2">
      <c r="E2893" s="50"/>
      <c r="H2893" s="12"/>
      <c r="K2893"/>
    </row>
    <row r="2894" spans="1:11" x14ac:dyDescent="0.2">
      <c r="E2894" s="50"/>
      <c r="H2894" s="12"/>
      <c r="K2894"/>
    </row>
    <row r="2895" spans="1:11" x14ac:dyDescent="0.2">
      <c r="E2895" s="50"/>
      <c r="H2895" s="12"/>
      <c r="K2895"/>
    </row>
    <row r="2896" spans="1:11" x14ac:dyDescent="0.2">
      <c r="A2896" s="43"/>
      <c r="B2896" s="43"/>
      <c r="C2896" s="43"/>
      <c r="D2896" s="28" t="s">
        <v>55</v>
      </c>
      <c r="E2896" s="53" t="s">
        <v>43</v>
      </c>
      <c r="G2896" s="29"/>
      <c r="H2896" s="12"/>
    </row>
    <row r="2897" spans="1:9" ht="12" customHeight="1" x14ac:dyDescent="0.2">
      <c r="A2897" s="45" t="s">
        <v>0</v>
      </c>
      <c r="D2897" s="27" t="s">
        <v>17</v>
      </c>
      <c r="E2897" s="63">
        <v>44348</v>
      </c>
      <c r="G2897" s="26" t="s">
        <v>12</v>
      </c>
      <c r="H2897" s="123">
        <v>44348</v>
      </c>
      <c r="I2897" s="12" t="s">
        <v>53</v>
      </c>
    </row>
    <row r="2898" spans="1:9" x14ac:dyDescent="0.2">
      <c r="A2898" s="46" t="s">
        <v>41</v>
      </c>
      <c r="D2898" s="27" t="s">
        <v>17</v>
      </c>
      <c r="E2898" s="63">
        <v>44349</v>
      </c>
      <c r="G2898" s="26" t="s">
        <v>20</v>
      </c>
      <c r="H2898" s="123">
        <v>44349</v>
      </c>
      <c r="I2898" s="12" t="s">
        <v>53</v>
      </c>
    </row>
    <row r="2899" spans="1:9" x14ac:dyDescent="0.2">
      <c r="D2899" s="27" t="s">
        <v>17</v>
      </c>
      <c r="E2899" s="63">
        <v>44350</v>
      </c>
      <c r="G2899" s="26" t="s">
        <v>21</v>
      </c>
      <c r="H2899" s="123">
        <v>44350</v>
      </c>
      <c r="I2899" s="12" t="s">
        <v>53</v>
      </c>
    </row>
    <row r="2900" spans="1:9" x14ac:dyDescent="0.2">
      <c r="D2900" s="27" t="s">
        <v>17</v>
      </c>
      <c r="E2900" s="63">
        <v>44351</v>
      </c>
      <c r="G2900" s="26" t="s">
        <v>19</v>
      </c>
      <c r="H2900" s="123">
        <v>44351</v>
      </c>
      <c r="I2900" s="12" t="s">
        <v>53</v>
      </c>
    </row>
    <row r="2901" spans="1:9" x14ac:dyDescent="0.2">
      <c r="D2901" s="27" t="s">
        <v>17</v>
      </c>
      <c r="E2901" s="63">
        <v>44352</v>
      </c>
      <c r="G2901" s="26" t="s">
        <v>14</v>
      </c>
      <c r="H2901" s="123">
        <v>44354</v>
      </c>
      <c r="I2901" s="12" t="s">
        <v>53</v>
      </c>
    </row>
    <row r="2902" spans="1:9" x14ac:dyDescent="0.2">
      <c r="D2902" s="27" t="s">
        <v>17</v>
      </c>
      <c r="E2902" s="63">
        <v>44353</v>
      </c>
      <c r="G2902" s="26" t="s">
        <v>15</v>
      </c>
      <c r="H2902" s="123">
        <v>44354</v>
      </c>
      <c r="I2902" s="12" t="s">
        <v>53</v>
      </c>
    </row>
    <row r="2903" spans="1:9" x14ac:dyDescent="0.2">
      <c r="D2903" s="27" t="s">
        <v>17</v>
      </c>
      <c r="E2903" s="63">
        <v>44354</v>
      </c>
      <c r="G2903" s="26" t="s">
        <v>16</v>
      </c>
      <c r="H2903" s="123">
        <v>44354</v>
      </c>
      <c r="I2903" s="12" t="s">
        <v>53</v>
      </c>
    </row>
    <row r="2904" spans="1:9" x14ac:dyDescent="0.2">
      <c r="D2904" s="27" t="s">
        <v>17</v>
      </c>
      <c r="E2904" s="63">
        <v>44355</v>
      </c>
      <c r="G2904" s="26" t="s">
        <v>25</v>
      </c>
      <c r="H2904" s="123">
        <v>44355</v>
      </c>
      <c r="I2904" s="12" t="s">
        <v>53</v>
      </c>
    </row>
    <row r="2905" spans="1:9" x14ac:dyDescent="0.2">
      <c r="D2905" s="27" t="s">
        <v>17</v>
      </c>
      <c r="E2905" s="63">
        <v>44356</v>
      </c>
      <c r="G2905" s="26" t="s">
        <v>26</v>
      </c>
      <c r="H2905" s="123">
        <v>44356</v>
      </c>
      <c r="I2905" s="12" t="s">
        <v>53</v>
      </c>
    </row>
    <row r="2906" spans="1:9" x14ac:dyDescent="0.2">
      <c r="D2906" s="27" t="s">
        <v>17</v>
      </c>
      <c r="E2906" s="63">
        <v>44357</v>
      </c>
      <c r="G2906" s="26" t="s">
        <v>36</v>
      </c>
      <c r="H2906" s="123">
        <v>44357</v>
      </c>
      <c r="I2906" s="12" t="s">
        <v>53</v>
      </c>
    </row>
    <row r="2907" spans="1:9" x14ac:dyDescent="0.2">
      <c r="D2907" s="27" t="s">
        <v>17</v>
      </c>
      <c r="E2907" s="63">
        <v>44358</v>
      </c>
      <c r="G2907" s="26" t="s">
        <v>31</v>
      </c>
      <c r="H2907" s="123">
        <v>44358</v>
      </c>
      <c r="I2907" s="12" t="s">
        <v>53</v>
      </c>
    </row>
    <row r="2908" spans="1:9" x14ac:dyDescent="0.2">
      <c r="D2908" s="27" t="s">
        <v>17</v>
      </c>
      <c r="E2908" s="63">
        <v>44359</v>
      </c>
      <c r="G2908" s="26" t="s">
        <v>29</v>
      </c>
      <c r="H2908" s="123">
        <v>44361</v>
      </c>
      <c r="I2908" s="12" t="s">
        <v>53</v>
      </c>
    </row>
    <row r="2909" spans="1:9" x14ac:dyDescent="0.2">
      <c r="D2909" s="27" t="s">
        <v>17</v>
      </c>
      <c r="E2909" s="63">
        <v>44360</v>
      </c>
      <c r="G2909" s="26" t="s">
        <v>32</v>
      </c>
      <c r="H2909" s="123">
        <v>44361</v>
      </c>
      <c r="I2909" s="12" t="s">
        <v>53</v>
      </c>
    </row>
    <row r="2910" spans="1:9" x14ac:dyDescent="0.2">
      <c r="D2910" s="27" t="s">
        <v>17</v>
      </c>
      <c r="E2910" s="63">
        <v>44361</v>
      </c>
      <c r="G2910" s="26" t="s">
        <v>33</v>
      </c>
      <c r="H2910" s="123">
        <v>44361</v>
      </c>
      <c r="I2910" s="12" t="s">
        <v>53</v>
      </c>
    </row>
    <row r="2911" spans="1:9" x14ac:dyDescent="0.2">
      <c r="D2911" s="27" t="s">
        <v>17</v>
      </c>
      <c r="E2911" s="63">
        <v>44362</v>
      </c>
      <c r="G2911" s="26" t="s">
        <v>34</v>
      </c>
      <c r="H2911" s="123">
        <v>44362</v>
      </c>
      <c r="I2911" s="12" t="s">
        <v>53</v>
      </c>
    </row>
    <row r="2912" spans="1:9" x14ac:dyDescent="0.2">
      <c r="D2912" s="27" t="s">
        <v>17</v>
      </c>
      <c r="E2912" s="63">
        <v>44363</v>
      </c>
      <c r="G2912" s="26" t="s">
        <v>7</v>
      </c>
      <c r="H2912" s="123">
        <v>44363</v>
      </c>
      <c r="I2912" s="12" t="s">
        <v>53</v>
      </c>
    </row>
    <row r="2913" spans="4:9" x14ac:dyDescent="0.2">
      <c r="D2913" s="27" t="s">
        <v>17</v>
      </c>
      <c r="E2913" s="63">
        <v>44364</v>
      </c>
      <c r="G2913" s="26" t="s">
        <v>8</v>
      </c>
      <c r="H2913" s="123">
        <v>44364</v>
      </c>
      <c r="I2913" s="12" t="s">
        <v>53</v>
      </c>
    </row>
    <row r="2914" spans="4:9" x14ac:dyDescent="0.2">
      <c r="D2914" s="27" t="s">
        <v>17</v>
      </c>
      <c r="E2914" s="63">
        <v>44365</v>
      </c>
      <c r="G2914" s="26" t="s">
        <v>9</v>
      </c>
      <c r="H2914" s="123">
        <v>44365</v>
      </c>
      <c r="I2914" s="12" t="s">
        <v>53</v>
      </c>
    </row>
    <row r="2915" spans="4:9" x14ac:dyDescent="0.2">
      <c r="D2915" s="27" t="s">
        <v>17</v>
      </c>
      <c r="E2915" s="63">
        <v>44366</v>
      </c>
      <c r="G2915" s="26" t="s">
        <v>52</v>
      </c>
      <c r="H2915" s="123">
        <v>44368</v>
      </c>
      <c r="I2915" s="12" t="s">
        <v>53</v>
      </c>
    </row>
    <row r="2916" spans="4:9" x14ac:dyDescent="0.2">
      <c r="D2916" s="27" t="s">
        <v>17</v>
      </c>
      <c r="E2916" s="63">
        <v>44367</v>
      </c>
      <c r="G2916" s="26" t="s">
        <v>30</v>
      </c>
      <c r="H2916" s="123">
        <v>44368</v>
      </c>
      <c r="I2916" s="12" t="s">
        <v>53</v>
      </c>
    </row>
    <row r="2917" spans="4:9" x14ac:dyDescent="0.2">
      <c r="D2917" s="27" t="s">
        <v>17</v>
      </c>
      <c r="E2917" s="63">
        <v>44368</v>
      </c>
      <c r="G2917" s="26" t="s">
        <v>51</v>
      </c>
      <c r="H2917" s="123">
        <v>44368</v>
      </c>
      <c r="I2917" s="12" t="s">
        <v>53</v>
      </c>
    </row>
    <row r="2918" spans="4:9" x14ac:dyDescent="0.2">
      <c r="D2918" s="27" t="s">
        <v>17</v>
      </c>
      <c r="E2918" s="63">
        <v>44369</v>
      </c>
      <c r="G2918" s="26" t="s">
        <v>38</v>
      </c>
      <c r="H2918" s="123">
        <v>44369</v>
      </c>
      <c r="I2918" s="12" t="s">
        <v>53</v>
      </c>
    </row>
    <row r="2919" spans="4:9" x14ac:dyDescent="0.2">
      <c r="D2919" s="27" t="s">
        <v>17</v>
      </c>
      <c r="E2919" s="63">
        <v>44370</v>
      </c>
      <c r="G2919" s="26" t="s">
        <v>39</v>
      </c>
      <c r="H2919" s="123">
        <v>44370</v>
      </c>
      <c r="I2919" s="12" t="s">
        <v>53</v>
      </c>
    </row>
    <row r="2920" spans="4:9" x14ac:dyDescent="0.2">
      <c r="D2920" s="27" t="s">
        <v>17</v>
      </c>
      <c r="E2920" s="63">
        <v>44371</v>
      </c>
      <c r="G2920" s="26" t="s">
        <v>27</v>
      </c>
      <c r="H2920" s="123">
        <v>44371</v>
      </c>
      <c r="I2920" s="12" t="s">
        <v>53</v>
      </c>
    </row>
    <row r="2921" spans="4:9" x14ac:dyDescent="0.2">
      <c r="D2921" s="27" t="s">
        <v>17</v>
      </c>
      <c r="E2921" s="63">
        <v>44372</v>
      </c>
      <c r="G2921" s="26" t="s">
        <v>28</v>
      </c>
      <c r="H2921" s="123">
        <v>44372</v>
      </c>
      <c r="I2921" s="12" t="s">
        <v>53</v>
      </c>
    </row>
    <row r="2922" spans="4:9" x14ac:dyDescent="0.2">
      <c r="D2922" s="27" t="s">
        <v>17</v>
      </c>
      <c r="E2922" s="63">
        <v>44373</v>
      </c>
      <c r="G2922" s="26" t="s">
        <v>18</v>
      </c>
      <c r="H2922" s="123">
        <v>44375</v>
      </c>
      <c r="I2922" s="12" t="s">
        <v>53</v>
      </c>
    </row>
    <row r="2923" spans="4:9" x14ac:dyDescent="0.2">
      <c r="D2923" s="27" t="s">
        <v>17</v>
      </c>
      <c r="E2923" s="63">
        <v>44374</v>
      </c>
      <c r="G2923" s="26" t="s">
        <v>6</v>
      </c>
      <c r="H2923" s="123">
        <v>44375</v>
      </c>
      <c r="I2923" s="12" t="s">
        <v>53</v>
      </c>
    </row>
    <row r="2924" spans="4:9" x14ac:dyDescent="0.2">
      <c r="D2924" s="27" t="s">
        <v>17</v>
      </c>
      <c r="E2924" s="63">
        <v>44375</v>
      </c>
      <c r="G2924" s="26" t="s">
        <v>22</v>
      </c>
      <c r="H2924" s="123">
        <v>44375</v>
      </c>
      <c r="I2924" s="12" t="s">
        <v>53</v>
      </c>
    </row>
    <row r="2925" spans="4:9" x14ac:dyDescent="0.2">
      <c r="D2925" s="27" t="s">
        <v>17</v>
      </c>
      <c r="E2925" s="63">
        <v>44376</v>
      </c>
      <c r="G2925" s="26" t="s">
        <v>45</v>
      </c>
      <c r="H2925" s="123">
        <v>44376</v>
      </c>
      <c r="I2925" s="12" t="s">
        <v>53</v>
      </c>
    </row>
    <row r="2926" spans="4:9" x14ac:dyDescent="0.2">
      <c r="D2926" s="27" t="s">
        <v>17</v>
      </c>
      <c r="E2926" s="63">
        <v>44377</v>
      </c>
      <c r="G2926" s="26" t="s">
        <v>13</v>
      </c>
      <c r="H2926" s="123">
        <v>44377</v>
      </c>
      <c r="I2926" s="12" t="s">
        <v>53</v>
      </c>
    </row>
    <row r="2927" spans="4:9" x14ac:dyDescent="0.2">
      <c r="D2927" s="27" t="s">
        <v>17</v>
      </c>
      <c r="E2927" s="63"/>
      <c r="G2927" s="26"/>
      <c r="H2927" s="123"/>
      <c r="I2927" s="12" t="s">
        <v>53</v>
      </c>
    </row>
    <row r="2928" spans="4:9" x14ac:dyDescent="0.2">
      <c r="D2928" s="27" t="s">
        <v>44</v>
      </c>
      <c r="E2928" s="59">
        <v>44352</v>
      </c>
      <c r="G2928" s="26" t="s">
        <v>1</v>
      </c>
      <c r="H2928" s="65">
        <v>44352</v>
      </c>
      <c r="I2928" s="12"/>
    </row>
    <row r="2929" spans="4:9" x14ac:dyDescent="0.2">
      <c r="D2929" s="27" t="s">
        <v>44</v>
      </c>
      <c r="E2929" s="59">
        <v>44353</v>
      </c>
      <c r="G2929" s="26" t="s">
        <v>10</v>
      </c>
      <c r="H2929" s="65">
        <v>44353</v>
      </c>
    </row>
    <row r="2930" spans="4:9" x14ac:dyDescent="0.2">
      <c r="D2930" s="27" t="s">
        <v>44</v>
      </c>
      <c r="E2930" s="59">
        <v>44359</v>
      </c>
      <c r="G2930" s="26" t="s">
        <v>11</v>
      </c>
      <c r="H2930" s="65">
        <v>44359</v>
      </c>
    </row>
    <row r="2931" spans="4:9" x14ac:dyDescent="0.2">
      <c r="D2931" s="27" t="s">
        <v>44</v>
      </c>
      <c r="E2931" s="59">
        <v>44360</v>
      </c>
      <c r="G2931" s="26" t="s">
        <v>23</v>
      </c>
      <c r="H2931" s="65">
        <v>44360</v>
      </c>
    </row>
    <row r="2932" spans="4:9" x14ac:dyDescent="0.2">
      <c r="D2932" s="27" t="s">
        <v>44</v>
      </c>
      <c r="E2932" s="59">
        <v>44366</v>
      </c>
      <c r="G2932" s="26" t="s">
        <v>4</v>
      </c>
      <c r="H2932" s="65">
        <v>44366</v>
      </c>
    </row>
    <row r="2933" spans="4:9" x14ac:dyDescent="0.2">
      <c r="D2933" s="27" t="s">
        <v>44</v>
      </c>
      <c r="E2933" s="59">
        <v>44367</v>
      </c>
      <c r="G2933" s="26" t="s">
        <v>24</v>
      </c>
      <c r="H2933" s="65">
        <v>44367</v>
      </c>
    </row>
    <row r="2934" spans="4:9" x14ac:dyDescent="0.2">
      <c r="D2934" s="27" t="s">
        <v>44</v>
      </c>
      <c r="E2934" s="59">
        <v>44373</v>
      </c>
      <c r="G2934" s="26" t="s">
        <v>37</v>
      </c>
      <c r="H2934" s="65">
        <v>44373</v>
      </c>
    </row>
    <row r="2935" spans="4:9" x14ac:dyDescent="0.2">
      <c r="D2935" s="27" t="s">
        <v>44</v>
      </c>
      <c r="E2935" s="59">
        <v>44374</v>
      </c>
      <c r="H2935" s="65">
        <v>44374</v>
      </c>
    </row>
    <row r="2936" spans="4:9" x14ac:dyDescent="0.2">
      <c r="D2936" s="27" t="s">
        <v>44</v>
      </c>
      <c r="E2936" s="50"/>
      <c r="H2936" s="3"/>
    </row>
    <row r="2937" spans="4:9" x14ac:dyDescent="0.2">
      <c r="D2937" s="27"/>
      <c r="E2937" s="50"/>
      <c r="H2937" s="3"/>
    </row>
    <row r="2938" spans="4:9" x14ac:dyDescent="0.2">
      <c r="D2938" s="27"/>
      <c r="H2938" s="35"/>
    </row>
    <row r="2943" spans="4:9" x14ac:dyDescent="0.2">
      <c r="I2943" s="30"/>
    </row>
    <row r="2944" spans="4:9" x14ac:dyDescent="0.2">
      <c r="I2944" s="30"/>
    </row>
    <row r="2945" spans="9:9" x14ac:dyDescent="0.2">
      <c r="I2945" s="30"/>
    </row>
    <row r="2946" spans="9:9" x14ac:dyDescent="0.2">
      <c r="I2946" s="30"/>
    </row>
    <row r="2947" spans="9:9" x14ac:dyDescent="0.2">
      <c r="I2947" s="30"/>
    </row>
    <row r="2948" spans="9:9" x14ac:dyDescent="0.2">
      <c r="I2948" s="30"/>
    </row>
    <row r="2949" spans="9:9" x14ac:dyDescent="0.2">
      <c r="I2949" s="30"/>
    </row>
    <row r="2950" spans="9:9" x14ac:dyDescent="0.2">
      <c r="I2950" s="30"/>
    </row>
    <row r="2951" spans="9:9" x14ac:dyDescent="0.2">
      <c r="I2951" s="30"/>
    </row>
    <row r="2952" spans="9:9" x14ac:dyDescent="0.2">
      <c r="I2952" s="30"/>
    </row>
    <row r="2953" spans="9:9" x14ac:dyDescent="0.2">
      <c r="I2953" s="30"/>
    </row>
    <row r="2954" spans="9:9" x14ac:dyDescent="0.2">
      <c r="I2954" s="30"/>
    </row>
    <row r="2955" spans="9:9" x14ac:dyDescent="0.2">
      <c r="I2955" s="30"/>
    </row>
    <row r="2956" spans="9:9" x14ac:dyDescent="0.2">
      <c r="I2956" s="30"/>
    </row>
    <row r="2957" spans="9:9" x14ac:dyDescent="0.2">
      <c r="I2957" s="30"/>
    </row>
    <row r="2958" spans="9:9" x14ac:dyDescent="0.2">
      <c r="I2958" s="30"/>
    </row>
    <row r="2959" spans="9:9" x14ac:dyDescent="0.2">
      <c r="I2959" s="30"/>
    </row>
    <row r="2960" spans="9:9" x14ac:dyDescent="0.2">
      <c r="I2960" s="30"/>
    </row>
    <row r="2961" spans="9:9" x14ac:dyDescent="0.2">
      <c r="I2961" s="30"/>
    </row>
    <row r="2962" spans="9:9" x14ac:dyDescent="0.2">
      <c r="I2962" s="30"/>
    </row>
    <row r="2963" spans="9:9" x14ac:dyDescent="0.2">
      <c r="I2963" s="30"/>
    </row>
    <row r="2964" spans="9:9" x14ac:dyDescent="0.2">
      <c r="I2964" s="30"/>
    </row>
    <row r="2965" spans="9:9" x14ac:dyDescent="0.2">
      <c r="I2965" s="30"/>
    </row>
    <row r="2966" spans="9:9" x14ac:dyDescent="0.2">
      <c r="I2966" s="30"/>
    </row>
    <row r="2967" spans="9:9" x14ac:dyDescent="0.2">
      <c r="I2967" s="30"/>
    </row>
    <row r="2968" spans="9:9" x14ac:dyDescent="0.2">
      <c r="I2968" s="30"/>
    </row>
    <row r="2969" spans="9:9" x14ac:dyDescent="0.2">
      <c r="I2969" s="30"/>
    </row>
    <row r="2970" spans="9:9" x14ac:dyDescent="0.2">
      <c r="I2970" s="30"/>
    </row>
    <row r="2971" spans="9:9" x14ac:dyDescent="0.2">
      <c r="I2971" s="30"/>
    </row>
    <row r="2972" spans="9:9" x14ac:dyDescent="0.2">
      <c r="I2972" s="30"/>
    </row>
    <row r="2973" spans="9:9" x14ac:dyDescent="0.2">
      <c r="I2973" s="30"/>
    </row>
  </sheetData>
  <autoFilter ref="C1:H219" xr:uid="{00000000-0009-0000-0000-00000C000000}"/>
  <pageMargins left="0.19685039370078741" right="0.19685039370078741" top="0.98425196850393704" bottom="0.98425196850393704" header="0.51181102362204722" footer="0.51181102362204722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AF50"/>
  <sheetViews>
    <sheetView zoomScale="75" zoomScaleNormal="75" workbookViewId="0">
      <pane xSplit="1" ySplit="4" topLeftCell="I5" activePane="bottomRight" state="frozen"/>
      <selection activeCell="F32" sqref="F32:F35"/>
      <selection pane="topRight" activeCell="F32" sqref="F32:F35"/>
      <selection pane="bottomLeft" activeCell="F32" sqref="F32:F35"/>
      <selection pane="bottomRight" activeCell="A15" sqref="A15:IV15"/>
    </sheetView>
  </sheetViews>
  <sheetFormatPr defaultColWidth="15.7109375" defaultRowHeight="12.75" x14ac:dyDescent="0.2"/>
  <cols>
    <col min="1" max="1" width="15.7109375" customWidth="1"/>
    <col min="2" max="12" width="15.7109375" style="1" customWidth="1"/>
    <col min="13" max="24" width="15.7109375" customWidth="1"/>
  </cols>
  <sheetData>
    <row r="1" spans="1:23" s="2" customFormat="1" x14ac:dyDescent="0.2">
      <c r="B1" s="2" t="str">
        <f>IF(B5=1,"Domingo",IF(B5=2,"Segunda",IF(B5=3,"Terça",IF(B5=4,"Quarta",IF(B5=5,"Quinta",IF(B5=6,"Sexta",IF(B5=7,"Sábado",0)))))))</f>
        <v>Terça</v>
      </c>
      <c r="C1" s="2" t="str">
        <f t="shared" ref="C1:V1" si="0">IF(C5=1,"Domingo",IF(C5=2,"Segunda",IF(C5=3,"Terça",IF(C5=4,"Quarta",IF(C5=5,"Quinta",IF(C5=6,"Sexta",IF(C5=7,"Sábado",0)))))))</f>
        <v>Quarta</v>
      </c>
      <c r="D1" s="2" t="str">
        <f t="shared" si="0"/>
        <v>Quinta</v>
      </c>
      <c r="E1" s="2" t="str">
        <f t="shared" si="0"/>
        <v>Sexta</v>
      </c>
      <c r="F1" s="2" t="str">
        <f t="shared" si="0"/>
        <v>Segunda</v>
      </c>
      <c r="G1" s="2" t="str">
        <f t="shared" si="0"/>
        <v>Terça</v>
      </c>
      <c r="H1" s="2" t="str">
        <f t="shared" si="0"/>
        <v>Quarta</v>
      </c>
      <c r="I1" s="2" t="str">
        <f t="shared" si="0"/>
        <v>Quinta</v>
      </c>
      <c r="J1" s="2" t="str">
        <f t="shared" si="0"/>
        <v>Sexta</v>
      </c>
      <c r="K1" s="2" t="str">
        <f t="shared" si="0"/>
        <v>Segunda</v>
      </c>
      <c r="L1" s="2" t="str">
        <f t="shared" si="0"/>
        <v>Terça</v>
      </c>
      <c r="M1" s="2" t="str">
        <f t="shared" si="0"/>
        <v>Quarta</v>
      </c>
      <c r="N1" s="2" t="str">
        <f t="shared" si="0"/>
        <v>Quinta</v>
      </c>
      <c r="O1" s="2" t="str">
        <f t="shared" si="0"/>
        <v>Sexta</v>
      </c>
      <c r="P1" s="2" t="str">
        <f t="shared" si="0"/>
        <v>Segunda</v>
      </c>
      <c r="Q1" s="2" t="str">
        <f t="shared" si="0"/>
        <v>Terça</v>
      </c>
      <c r="R1" s="2" t="str">
        <f t="shared" si="0"/>
        <v>Quarta</v>
      </c>
      <c r="S1" s="2" t="str">
        <f t="shared" si="0"/>
        <v>Quinta</v>
      </c>
      <c r="T1" s="2" t="str">
        <f t="shared" si="0"/>
        <v>Sexta</v>
      </c>
      <c r="U1" s="2" t="str">
        <f t="shared" si="0"/>
        <v>Segunda</v>
      </c>
      <c r="V1" s="2" t="str">
        <f t="shared" si="0"/>
        <v>Terça</v>
      </c>
      <c r="W1" s="2" t="str">
        <f>IF(W5=1,"Domingo",IF(W5=2,"Segunda",IF(W5=3,"Terça",IF(W5=4,"Quarta",IF(W5=5,"Quinta",IF(W5=6,"Sexta",IF(W5=7,"Sábado",0)))))))</f>
        <v>Quarta</v>
      </c>
    </row>
    <row r="2" spans="1:23" s="3" customFormat="1" x14ac:dyDescent="0.2">
      <c r="A2" s="4" t="s">
        <v>2</v>
      </c>
      <c r="B2" s="3">
        <f t="shared" ref="B2:V2" si="1">B29</f>
        <v>44348</v>
      </c>
      <c r="C2" s="3">
        <f t="shared" si="1"/>
        <v>44349</v>
      </c>
      <c r="D2" s="3">
        <f t="shared" si="1"/>
        <v>44350</v>
      </c>
      <c r="E2" s="3">
        <f t="shared" si="1"/>
        <v>44351</v>
      </c>
      <c r="F2" s="3">
        <f t="shared" si="1"/>
        <v>44354</v>
      </c>
      <c r="G2" s="3">
        <f t="shared" si="1"/>
        <v>44355</v>
      </c>
      <c r="H2" s="3">
        <f t="shared" si="1"/>
        <v>44356</v>
      </c>
      <c r="I2" s="3">
        <f t="shared" si="1"/>
        <v>44357</v>
      </c>
      <c r="J2" s="3">
        <f t="shared" si="1"/>
        <v>44358</v>
      </c>
      <c r="K2" s="3">
        <f t="shared" si="1"/>
        <v>44361</v>
      </c>
      <c r="L2" s="3">
        <f t="shared" si="1"/>
        <v>44362</v>
      </c>
      <c r="M2" s="3">
        <f t="shared" si="1"/>
        <v>44363</v>
      </c>
      <c r="N2" s="3">
        <f t="shared" si="1"/>
        <v>44364</v>
      </c>
      <c r="O2" s="3">
        <f t="shared" si="1"/>
        <v>44365</v>
      </c>
      <c r="P2" s="3">
        <f t="shared" si="1"/>
        <v>44368</v>
      </c>
      <c r="Q2" s="3">
        <f t="shared" si="1"/>
        <v>44369</v>
      </c>
      <c r="R2" s="3">
        <f t="shared" si="1"/>
        <v>44370</v>
      </c>
      <c r="S2" s="3">
        <f t="shared" si="1"/>
        <v>44371</v>
      </c>
      <c r="T2" s="3">
        <f t="shared" si="1"/>
        <v>44372</v>
      </c>
      <c r="U2" s="3">
        <f t="shared" si="1"/>
        <v>44375</v>
      </c>
      <c r="V2" s="3">
        <f t="shared" si="1"/>
        <v>44376</v>
      </c>
      <c r="W2" s="3">
        <f>W29</f>
        <v>44377</v>
      </c>
    </row>
    <row r="3" spans="1:23" ht="3.75" customHeight="1" thickBo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23" ht="14.25" thickTop="1" thickBot="1" x14ac:dyDescent="0.25">
      <c r="A4" s="7" t="s">
        <v>40</v>
      </c>
      <c r="B4" s="8">
        <f>Fluxo_05_21!V38</f>
        <v>-11932.709999999981</v>
      </c>
      <c r="C4" s="8">
        <f>B38</f>
        <v>-19741.25999999998</v>
      </c>
      <c r="D4" s="8">
        <f>C38</f>
        <v>-19741.25999999998</v>
      </c>
      <c r="E4" s="8">
        <f>D38</f>
        <v>-19741.25999999998</v>
      </c>
      <c r="F4" s="8">
        <f>E38</f>
        <v>-11211.519999999975</v>
      </c>
      <c r="G4" s="8">
        <f>F38</f>
        <v>-20726.489999999976</v>
      </c>
      <c r="H4" s="8">
        <f t="shared" ref="H4:T4" si="2">G38</f>
        <v>-18266.969999999976</v>
      </c>
      <c r="I4" s="8">
        <f t="shared" si="2"/>
        <v>-17429.609999999975</v>
      </c>
      <c r="J4" s="8">
        <f t="shared" si="2"/>
        <v>-14870.269999999975</v>
      </c>
      <c r="K4" s="8">
        <f t="shared" si="2"/>
        <v>-19721.689999999973</v>
      </c>
      <c r="L4" s="8">
        <f t="shared" si="2"/>
        <v>-1741.7299999999741</v>
      </c>
      <c r="M4" s="8">
        <f t="shared" si="2"/>
        <v>-5729.1099999999742</v>
      </c>
      <c r="N4" s="8">
        <f t="shared" si="2"/>
        <v>-3456.0299999999743</v>
      </c>
      <c r="O4" s="8">
        <f t="shared" si="2"/>
        <v>-12568.729999999974</v>
      </c>
      <c r="P4" s="8">
        <f t="shared" si="2"/>
        <v>-19581.689999999973</v>
      </c>
      <c r="Q4" s="8">
        <f t="shared" si="2"/>
        <v>-20005.409999999974</v>
      </c>
      <c r="R4" s="8">
        <f t="shared" si="2"/>
        <v>-12458.349999999975</v>
      </c>
      <c r="S4" s="8">
        <f t="shared" si="2"/>
        <v>-16283.889999999972</v>
      </c>
      <c r="T4" s="8">
        <f t="shared" si="2"/>
        <v>-15100.54999999997</v>
      </c>
      <c r="U4" s="8">
        <f>T38</f>
        <v>-2450.1199999999662</v>
      </c>
      <c r="V4" s="8">
        <f>U38</f>
        <v>1534.920000000031</v>
      </c>
      <c r="W4" s="8">
        <f>V38</f>
        <v>-18416.899999999972</v>
      </c>
    </row>
    <row r="5" spans="1:23" ht="6.95" customHeight="1" thickTop="1" x14ac:dyDescent="0.2">
      <c r="A5" s="9"/>
      <c r="B5" s="10">
        <f t="shared" ref="B5:V5" si="3">WEEKDAY(B2)</f>
        <v>3</v>
      </c>
      <c r="C5" s="10">
        <f t="shared" si="3"/>
        <v>4</v>
      </c>
      <c r="D5" s="10">
        <f t="shared" si="3"/>
        <v>5</v>
      </c>
      <c r="E5" s="10">
        <f t="shared" si="3"/>
        <v>6</v>
      </c>
      <c r="F5" s="10">
        <f t="shared" si="3"/>
        <v>2</v>
      </c>
      <c r="G5" s="10">
        <f t="shared" si="3"/>
        <v>3</v>
      </c>
      <c r="H5" s="10">
        <f t="shared" si="3"/>
        <v>4</v>
      </c>
      <c r="I5" s="10">
        <f t="shared" si="3"/>
        <v>5</v>
      </c>
      <c r="J5" s="10">
        <f t="shared" si="3"/>
        <v>6</v>
      </c>
      <c r="K5" s="10">
        <f t="shared" si="3"/>
        <v>2</v>
      </c>
      <c r="L5" s="10">
        <f t="shared" si="3"/>
        <v>3</v>
      </c>
      <c r="M5" s="10">
        <f t="shared" si="3"/>
        <v>4</v>
      </c>
      <c r="N5" s="10">
        <f t="shared" si="3"/>
        <v>5</v>
      </c>
      <c r="O5" s="10">
        <f t="shared" si="3"/>
        <v>6</v>
      </c>
      <c r="P5" s="10">
        <f t="shared" si="3"/>
        <v>2</v>
      </c>
      <c r="Q5" s="10">
        <f t="shared" si="3"/>
        <v>3</v>
      </c>
      <c r="R5" s="10">
        <f t="shared" si="3"/>
        <v>4</v>
      </c>
      <c r="S5" s="10">
        <f t="shared" si="3"/>
        <v>5</v>
      </c>
      <c r="T5" s="10">
        <f t="shared" si="3"/>
        <v>6</v>
      </c>
      <c r="U5" s="10">
        <f t="shared" si="3"/>
        <v>2</v>
      </c>
      <c r="V5" s="10">
        <f t="shared" si="3"/>
        <v>3</v>
      </c>
      <c r="W5" s="10">
        <f>WEEKDAY(W2)</f>
        <v>4</v>
      </c>
    </row>
    <row r="6" spans="1:23" x14ac:dyDescent="0.2">
      <c r="A6" s="20" t="s">
        <v>3</v>
      </c>
      <c r="B6" s="23">
        <f t="shared" ref="B6:V6" si="4">SUM(B7:B26)</f>
        <v>0</v>
      </c>
      <c r="C6" s="23">
        <f t="shared" si="4"/>
        <v>0</v>
      </c>
      <c r="D6" s="23">
        <f t="shared" si="4"/>
        <v>0</v>
      </c>
      <c r="E6" s="23">
        <f t="shared" si="4"/>
        <v>77150.25</v>
      </c>
      <c r="F6" s="23">
        <f t="shared" si="4"/>
        <v>85556.22</v>
      </c>
      <c r="G6" s="23">
        <f t="shared" si="4"/>
        <v>3924.52</v>
      </c>
      <c r="H6" s="23">
        <f t="shared" si="4"/>
        <v>3980.22</v>
      </c>
      <c r="I6" s="23">
        <f t="shared" si="4"/>
        <v>9044.27</v>
      </c>
      <c r="J6" s="23">
        <f t="shared" si="4"/>
        <v>2153.33</v>
      </c>
      <c r="K6" s="23">
        <f t="shared" si="4"/>
        <v>41908.46</v>
      </c>
      <c r="L6" s="23">
        <f t="shared" si="4"/>
        <v>4463.28</v>
      </c>
      <c r="M6" s="23">
        <f t="shared" si="4"/>
        <v>11480.96</v>
      </c>
      <c r="N6" s="23">
        <f t="shared" si="4"/>
        <v>7915.1</v>
      </c>
      <c r="O6" s="23">
        <f t="shared" si="4"/>
        <v>0</v>
      </c>
      <c r="P6" s="23">
        <f t="shared" si="4"/>
        <v>9172.7999999999993</v>
      </c>
      <c r="Q6" s="23">
        <f t="shared" si="4"/>
        <v>17529.05</v>
      </c>
      <c r="R6" s="23">
        <f t="shared" si="4"/>
        <v>16936.68</v>
      </c>
      <c r="S6" s="23">
        <f t="shared" si="4"/>
        <v>15049.87</v>
      </c>
      <c r="T6" s="23">
        <f t="shared" si="4"/>
        <v>51149.560000000005</v>
      </c>
      <c r="U6" s="23">
        <f t="shared" si="4"/>
        <v>28581.5</v>
      </c>
      <c r="V6" s="23">
        <f t="shared" si="4"/>
        <v>3634.15</v>
      </c>
      <c r="W6" s="23">
        <f>SUM(W7:W26)</f>
        <v>1749.12</v>
      </c>
    </row>
    <row r="7" spans="1:23" x14ac:dyDescent="0.2">
      <c r="A7" t="s">
        <v>137</v>
      </c>
      <c r="D7" s="93"/>
      <c r="E7" s="74">
        <v>48354.51</v>
      </c>
      <c r="F7" s="15"/>
      <c r="G7" s="15"/>
      <c r="H7" s="15"/>
      <c r="I7" s="74">
        <v>2260</v>
      </c>
      <c r="J7" s="15"/>
      <c r="K7" s="74">
        <f>17057.8</f>
        <v>17057.8</v>
      </c>
      <c r="L7" s="74"/>
      <c r="M7" s="15"/>
      <c r="N7" s="15"/>
      <c r="O7" s="15"/>
      <c r="P7" s="15"/>
      <c r="Q7" s="74">
        <f>17529.05</f>
        <v>17529.05</v>
      </c>
      <c r="R7" s="15"/>
      <c r="S7" s="74">
        <f>15049.87</f>
        <v>15049.87</v>
      </c>
      <c r="T7" s="15"/>
      <c r="U7" s="15"/>
      <c r="V7" s="15"/>
      <c r="W7" s="15"/>
    </row>
    <row r="8" spans="1:23" x14ac:dyDescent="0.2">
      <c r="A8" t="s">
        <v>60</v>
      </c>
      <c r="G8" s="15"/>
      <c r="I8" s="15"/>
      <c r="J8" s="15"/>
      <c r="N8" s="1"/>
      <c r="O8" s="15"/>
      <c r="P8" s="15"/>
      <c r="Q8" s="15"/>
      <c r="R8" s="15"/>
      <c r="S8" s="15"/>
      <c r="T8" s="1"/>
      <c r="U8" s="1"/>
      <c r="V8" s="1"/>
    </row>
    <row r="9" spans="1:23" x14ac:dyDescent="0.2">
      <c r="A9" t="s">
        <v>79</v>
      </c>
      <c r="C9"/>
      <c r="E9" s="109">
        <v>17208.560000000001</v>
      </c>
      <c r="F9" s="109">
        <v>85556.22</v>
      </c>
      <c r="K9" s="104">
        <f>14903.05</f>
        <v>14903.05</v>
      </c>
      <c r="M9" s="1"/>
      <c r="N9" s="1"/>
      <c r="O9" s="105"/>
      <c r="Q9" s="15"/>
      <c r="R9" s="110">
        <v>12000</v>
      </c>
      <c r="S9" s="15"/>
      <c r="T9" s="112">
        <f>9562.15+41587.41</f>
        <v>51149.560000000005</v>
      </c>
      <c r="U9" s="110">
        <v>18979.47</v>
      </c>
      <c r="V9" s="15"/>
      <c r="W9" s="15"/>
    </row>
    <row r="10" spans="1:23" x14ac:dyDescent="0.2">
      <c r="A10" t="s">
        <v>138</v>
      </c>
      <c r="C10"/>
      <c r="G10" s="15"/>
      <c r="H10" s="15"/>
      <c r="I10" s="15"/>
      <c r="J10" s="15"/>
      <c r="K10" s="15"/>
      <c r="L10" s="15"/>
      <c r="M10" s="15"/>
      <c r="N10" s="15"/>
      <c r="P10" s="74">
        <f>1834.56+7338.24</f>
        <v>9172.7999999999993</v>
      </c>
      <c r="Q10" s="15"/>
      <c r="R10" s="74"/>
      <c r="S10" s="15"/>
      <c r="V10" s="15"/>
    </row>
    <row r="11" spans="1:23" x14ac:dyDescent="0.2">
      <c r="A11" t="s">
        <v>61</v>
      </c>
      <c r="B11" s="14"/>
      <c r="D1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4"/>
      <c r="R11" s="74"/>
    </row>
    <row r="12" spans="1:23" x14ac:dyDescent="0.2">
      <c r="A12" t="s">
        <v>58</v>
      </c>
      <c r="C12"/>
      <c r="D12"/>
      <c r="E12" s="15"/>
      <c r="F12" s="15"/>
      <c r="G12" s="74">
        <v>2211.23</v>
      </c>
      <c r="H12" s="15"/>
      <c r="I12" s="15"/>
      <c r="J12" s="74">
        <v>2153.33</v>
      </c>
      <c r="L12" s="15"/>
      <c r="N12" s="15"/>
      <c r="O12" s="15"/>
      <c r="P12" s="15"/>
      <c r="R12" s="106"/>
      <c r="W12" s="106">
        <v>1749.12</v>
      </c>
    </row>
    <row r="13" spans="1:23" x14ac:dyDescent="0.2">
      <c r="A13" t="s">
        <v>230</v>
      </c>
      <c r="B13" s="15"/>
      <c r="C13" s="15"/>
      <c r="D13" s="15"/>
      <c r="E13" s="15"/>
      <c r="F13"/>
      <c r="G13" s="74">
        <f>1713.29</f>
        <v>1713.29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74"/>
      <c r="S13" s="15"/>
      <c r="V13" s="15"/>
    </row>
    <row r="14" spans="1:23" x14ac:dyDescent="0.2">
      <c r="A14" t="s">
        <v>139</v>
      </c>
      <c r="B14"/>
      <c r="C14"/>
      <c r="D14" s="71"/>
      <c r="E14" s="71"/>
      <c r="F14" s="15"/>
      <c r="G14" s="71"/>
      <c r="H14" s="110">
        <v>3980.22</v>
      </c>
      <c r="I14" s="74">
        <f>6784.27</f>
        <v>6784.27</v>
      </c>
      <c r="J14" s="15"/>
      <c r="K14" s="74">
        <f>331.95</f>
        <v>331.95</v>
      </c>
      <c r="L14" s="106">
        <v>4463.28</v>
      </c>
      <c r="M14" s="15"/>
      <c r="N14" s="15"/>
      <c r="O14" s="15"/>
      <c r="P14" s="15"/>
      <c r="Q14" s="15"/>
      <c r="R14" s="110">
        <f>5148.14-211.46</f>
        <v>4936.68</v>
      </c>
      <c r="V14" s="110">
        <v>3634.15</v>
      </c>
    </row>
    <row r="15" spans="1:23" x14ac:dyDescent="0.2">
      <c r="A15" t="s">
        <v>140</v>
      </c>
      <c r="B15"/>
      <c r="C15"/>
      <c r="D15" s="72"/>
      <c r="E15" s="72"/>
      <c r="F15" s="72"/>
      <c r="G15" s="72"/>
      <c r="H15" s="72"/>
      <c r="I15" s="72"/>
      <c r="J15" s="71"/>
      <c r="K15" s="74">
        <f>3653.79+2258.73+3703.14</f>
        <v>9615.66</v>
      </c>
      <c r="L15" s="15"/>
      <c r="M15" s="15"/>
      <c r="N15" s="15"/>
      <c r="O15" s="15"/>
      <c r="P15" s="15"/>
      <c r="Q15" s="15"/>
      <c r="R15" s="15"/>
      <c r="S15" s="15"/>
      <c r="T15" s="15"/>
      <c r="U15" s="106">
        <f>3853.14+3822.62+1926.27</f>
        <v>9602.0300000000007</v>
      </c>
    </row>
    <row r="16" spans="1:23" x14ac:dyDescent="0.2">
      <c r="A16" t="s">
        <v>57</v>
      </c>
      <c r="B16"/>
      <c r="C16"/>
      <c r="D16" s="73"/>
      <c r="E16" s="71"/>
      <c r="F16" s="71"/>
      <c r="G16" s="71"/>
      <c r="H16" s="71"/>
      <c r="I16" s="71"/>
      <c r="J16" s="71"/>
      <c r="K16" s="15"/>
      <c r="L16" s="71"/>
      <c r="M16" s="15"/>
      <c r="N16" s="15"/>
      <c r="O16" s="15"/>
      <c r="P16" s="15"/>
      <c r="Q16" s="15"/>
      <c r="R16" s="71"/>
      <c r="S16" s="15"/>
      <c r="T16" s="15"/>
    </row>
    <row r="17" spans="1:32" x14ac:dyDescent="0.2">
      <c r="A17" t="s">
        <v>680</v>
      </c>
      <c r="B17" s="13"/>
      <c r="E17" s="104">
        <v>11587.18</v>
      </c>
      <c r="F17" s="15"/>
      <c r="G17" s="15"/>
      <c r="H17" s="15"/>
      <c r="I17" s="13"/>
      <c r="J17" s="15"/>
      <c r="K17" s="15"/>
      <c r="M17" s="109">
        <v>11480.96</v>
      </c>
      <c r="N17" s="15"/>
      <c r="O17" s="15"/>
      <c r="P17" s="1"/>
      <c r="Q17" s="1"/>
      <c r="R17" s="15"/>
      <c r="S17" s="15"/>
      <c r="T17" s="15"/>
      <c r="W17" s="13"/>
    </row>
    <row r="18" spans="1:32" x14ac:dyDescent="0.2">
      <c r="A18" t="s">
        <v>59</v>
      </c>
      <c r="D18" s="13"/>
      <c r="E18" s="16"/>
      <c r="F18" s="15"/>
      <c r="G18" s="15"/>
      <c r="I18" s="15"/>
      <c r="J18" s="15"/>
      <c r="M18" s="14"/>
      <c r="N18" s="110">
        <v>7915.1</v>
      </c>
      <c r="O18" s="17"/>
      <c r="P18" s="19"/>
      <c r="R18" s="15"/>
      <c r="S18" s="15"/>
      <c r="T18" s="19"/>
    </row>
    <row r="19" spans="1:32" x14ac:dyDescent="0.2">
      <c r="E19" s="16"/>
      <c r="F19" s="15"/>
      <c r="G19" s="15"/>
      <c r="I19" s="15"/>
      <c r="J19" s="15"/>
      <c r="K19" s="15"/>
      <c r="M19" s="15"/>
      <c r="N19" s="1"/>
      <c r="O19" s="48"/>
      <c r="P19" s="19"/>
      <c r="R19" s="15"/>
      <c r="S19" s="15"/>
      <c r="T19" s="19"/>
    </row>
    <row r="20" spans="1:32" x14ac:dyDescent="0.2">
      <c r="A20" s="12"/>
      <c r="E20" s="16"/>
      <c r="F20" s="15"/>
      <c r="G20" s="15"/>
      <c r="I20" s="15"/>
      <c r="J20" s="14"/>
      <c r="K20" s="15"/>
      <c r="M20" s="15"/>
      <c r="N20" s="1"/>
      <c r="O20" s="48"/>
      <c r="P20" s="19"/>
      <c r="R20" s="15"/>
      <c r="S20" s="15"/>
      <c r="T20" s="19"/>
    </row>
    <row r="21" spans="1:32" x14ac:dyDescent="0.2">
      <c r="A21" s="12"/>
      <c r="B21" s="15"/>
      <c r="C2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32" x14ac:dyDescent="0.2">
      <c r="B22"/>
      <c r="C22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spans="1:32" x14ac:dyDescent="0.2">
      <c r="D23" s="13"/>
      <c r="E23" s="16"/>
      <c r="F23" s="15"/>
      <c r="G23" s="15"/>
      <c r="I23" s="15"/>
      <c r="J23" s="15"/>
      <c r="M23" s="15"/>
      <c r="N23" s="15"/>
      <c r="O23" s="17"/>
      <c r="P23" s="19"/>
      <c r="R23" s="15"/>
      <c r="S23" s="15"/>
      <c r="T23" s="19"/>
    </row>
    <row r="24" spans="1:32" x14ac:dyDescent="0.2">
      <c r="D24" s="13"/>
      <c r="E24" s="16"/>
      <c r="F24" s="15"/>
      <c r="G24" s="15"/>
      <c r="I24" s="15"/>
      <c r="J24" s="15"/>
      <c r="M24" s="15"/>
      <c r="N24" s="15"/>
      <c r="O24" s="48"/>
      <c r="P24" s="19"/>
      <c r="R24" s="15"/>
      <c r="S24" s="15"/>
      <c r="T24" s="19"/>
      <c r="W24" s="12"/>
    </row>
    <row r="25" spans="1:32" x14ac:dyDescent="0.2">
      <c r="A25" s="12"/>
      <c r="D25" s="13"/>
      <c r="E25" s="47"/>
      <c r="F25" s="15"/>
      <c r="G25" s="15"/>
      <c r="I25" s="15"/>
      <c r="J25" s="15"/>
      <c r="M25" s="15"/>
      <c r="N25" s="15"/>
      <c r="O25" s="17"/>
      <c r="P25" s="19"/>
      <c r="R25" s="15"/>
      <c r="S25" s="15"/>
      <c r="T25" s="19"/>
    </row>
    <row r="26" spans="1:32" x14ac:dyDescent="0.2">
      <c r="A26" s="12"/>
      <c r="B26"/>
      <c r="C26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32" x14ac:dyDescent="0.2">
      <c r="A27" s="21" t="s">
        <v>54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spans="1:32" x14ac:dyDescent="0.2">
      <c r="A28" s="80" t="s">
        <v>62</v>
      </c>
      <c r="B28" s="80" t="s">
        <v>42</v>
      </c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2"/>
    </row>
    <row r="29" spans="1:32" x14ac:dyDescent="0.2">
      <c r="A29" s="80" t="s">
        <v>50</v>
      </c>
      <c r="B29" s="83">
        <v>44348</v>
      </c>
      <c r="C29" s="84">
        <v>44349</v>
      </c>
      <c r="D29" s="84">
        <v>44350</v>
      </c>
      <c r="E29" s="84">
        <v>44351</v>
      </c>
      <c r="F29" s="84">
        <v>44354</v>
      </c>
      <c r="G29" s="84">
        <v>44355</v>
      </c>
      <c r="H29" s="84">
        <v>44356</v>
      </c>
      <c r="I29" s="84">
        <v>44357</v>
      </c>
      <c r="J29" s="84">
        <v>44358</v>
      </c>
      <c r="K29" s="84">
        <v>44361</v>
      </c>
      <c r="L29" s="84">
        <v>44362</v>
      </c>
      <c r="M29" s="84">
        <v>44363</v>
      </c>
      <c r="N29" s="84">
        <v>44364</v>
      </c>
      <c r="O29" s="84">
        <v>44365</v>
      </c>
      <c r="P29" s="84">
        <v>44368</v>
      </c>
      <c r="Q29" s="84">
        <v>44369</v>
      </c>
      <c r="R29" s="84">
        <v>44370</v>
      </c>
      <c r="S29" s="84">
        <v>44371</v>
      </c>
      <c r="T29" s="84">
        <v>44372</v>
      </c>
      <c r="U29" s="84">
        <v>44375</v>
      </c>
      <c r="V29" s="84">
        <v>44376</v>
      </c>
      <c r="W29" s="84">
        <v>44377</v>
      </c>
      <c r="X29" s="85" t="s">
        <v>71</v>
      </c>
    </row>
    <row r="30" spans="1:32" s="11" customFormat="1" x14ac:dyDescent="0.2">
      <c r="A30" s="86" t="s">
        <v>63</v>
      </c>
      <c r="B30" s="86">
        <v>3699.5</v>
      </c>
      <c r="C30" s="87"/>
      <c r="D30" s="87"/>
      <c r="E30" s="87">
        <v>4678.5</v>
      </c>
      <c r="F30" s="87">
        <v>574.99</v>
      </c>
      <c r="G30" s="87"/>
      <c r="H30" s="87"/>
      <c r="I30" s="87">
        <v>3000</v>
      </c>
      <c r="J30" s="87">
        <v>2080</v>
      </c>
      <c r="K30" s="87">
        <v>2850</v>
      </c>
      <c r="L30" s="87"/>
      <c r="M30" s="87"/>
      <c r="N30" s="87">
        <v>2650</v>
      </c>
      <c r="O30" s="87">
        <v>2500</v>
      </c>
      <c r="P30" s="87"/>
      <c r="Q30" s="87"/>
      <c r="R30" s="87">
        <v>300</v>
      </c>
      <c r="S30" s="87">
        <v>2500</v>
      </c>
      <c r="T30" s="87">
        <v>7968.68</v>
      </c>
      <c r="U30" s="87">
        <v>2876.77</v>
      </c>
      <c r="V30" s="87">
        <v>235</v>
      </c>
      <c r="W30" s="87"/>
      <c r="X30" s="85">
        <v>35913.439999999995</v>
      </c>
      <c r="Y30"/>
      <c r="Z30"/>
      <c r="AA30"/>
      <c r="AB30"/>
      <c r="AC30"/>
      <c r="AD30"/>
      <c r="AE30"/>
      <c r="AF30"/>
    </row>
    <row r="31" spans="1:32" s="11" customFormat="1" x14ac:dyDescent="0.2">
      <c r="A31" s="88" t="s">
        <v>67</v>
      </c>
      <c r="B31" s="88">
        <v>3545</v>
      </c>
      <c r="C31">
        <v>0</v>
      </c>
      <c r="D31">
        <v>0</v>
      </c>
      <c r="E31">
        <v>10897.55</v>
      </c>
      <c r="F31">
        <v>3291.63</v>
      </c>
      <c r="G31">
        <v>1000</v>
      </c>
      <c r="H31"/>
      <c r="I31">
        <v>3008.21</v>
      </c>
      <c r="J31">
        <v>411.6</v>
      </c>
      <c r="K31">
        <v>10732.39</v>
      </c>
      <c r="L31">
        <v>152.25</v>
      </c>
      <c r="M31">
        <v>2305.23</v>
      </c>
      <c r="N31">
        <v>2728.59</v>
      </c>
      <c r="O31">
        <v>3792</v>
      </c>
      <c r="P31">
        <v>770</v>
      </c>
      <c r="Q31"/>
      <c r="R31">
        <v>2863.4399999999996</v>
      </c>
      <c r="S31">
        <v>10024.56</v>
      </c>
      <c r="T31">
        <v>8871.14</v>
      </c>
      <c r="U31">
        <v>3160.18</v>
      </c>
      <c r="V31">
        <v>7206.83</v>
      </c>
      <c r="W31"/>
      <c r="X31" s="89">
        <v>74760.599999999991</v>
      </c>
      <c r="Y31"/>
      <c r="Z31"/>
      <c r="AA31"/>
      <c r="AB31"/>
      <c r="AC31"/>
      <c r="AD31"/>
      <c r="AE31"/>
      <c r="AF31"/>
    </row>
    <row r="32" spans="1:32" s="11" customFormat="1" x14ac:dyDescent="0.2">
      <c r="A32" s="88" t="s">
        <v>68</v>
      </c>
      <c r="B32" s="88"/>
      <c r="C32"/>
      <c r="D32"/>
      <c r="E32"/>
      <c r="F32"/>
      <c r="G32"/>
      <c r="H32"/>
      <c r="I32"/>
      <c r="J32"/>
      <c r="K32"/>
      <c r="L32">
        <v>1251.76</v>
      </c>
      <c r="M32"/>
      <c r="N32"/>
      <c r="O32"/>
      <c r="P32"/>
      <c r="Q32"/>
      <c r="R32">
        <v>500</v>
      </c>
      <c r="S32"/>
      <c r="T32"/>
      <c r="U32"/>
      <c r="V32"/>
      <c r="W32"/>
      <c r="X32" s="89">
        <v>1751.76</v>
      </c>
      <c r="Y32"/>
      <c r="Z32"/>
      <c r="AA32"/>
      <c r="AB32"/>
      <c r="AC32"/>
      <c r="AD32"/>
      <c r="AE32"/>
      <c r="AF32"/>
    </row>
    <row r="33" spans="1:32" s="11" customFormat="1" x14ac:dyDescent="0.2">
      <c r="A33" s="88" t="s">
        <v>64</v>
      </c>
      <c r="B33" s="88"/>
      <c r="C33"/>
      <c r="D33"/>
      <c r="E33"/>
      <c r="F33"/>
      <c r="G33"/>
      <c r="H33"/>
      <c r="I33"/>
      <c r="J33"/>
      <c r="K33"/>
      <c r="L33">
        <v>3594.05</v>
      </c>
      <c r="M33">
        <v>380.73</v>
      </c>
      <c r="N33"/>
      <c r="O33"/>
      <c r="P33"/>
      <c r="Q33"/>
      <c r="R33"/>
      <c r="S33"/>
      <c r="T33"/>
      <c r="U33"/>
      <c r="V33"/>
      <c r="W33"/>
      <c r="X33" s="89">
        <v>3974.78</v>
      </c>
      <c r="Y33"/>
      <c r="Z33"/>
      <c r="AA33"/>
      <c r="AB33"/>
      <c r="AC33"/>
      <c r="AD33"/>
      <c r="AE33"/>
      <c r="AF33"/>
    </row>
    <row r="34" spans="1:32" s="11" customFormat="1" x14ac:dyDescent="0.2">
      <c r="A34" s="88" t="s">
        <v>91</v>
      </c>
      <c r="B34" s="88">
        <v>564.04999999999995</v>
      </c>
      <c r="C34"/>
      <c r="D34"/>
      <c r="E34">
        <v>53044.459999999992</v>
      </c>
      <c r="F34">
        <v>91204.57</v>
      </c>
      <c r="G34">
        <v>465</v>
      </c>
      <c r="H34">
        <v>3142.86</v>
      </c>
      <c r="I34">
        <v>476.71999999999997</v>
      </c>
      <c r="J34">
        <v>4513.1499999999996</v>
      </c>
      <c r="K34">
        <v>10346.109999999999</v>
      </c>
      <c r="L34">
        <v>3452.6</v>
      </c>
      <c r="M34">
        <v>6521.9199999999992</v>
      </c>
      <c r="N34">
        <v>11649.21</v>
      </c>
      <c r="O34">
        <v>720.96</v>
      </c>
      <c r="P34">
        <v>8826.52</v>
      </c>
      <c r="Q34">
        <v>9981.99</v>
      </c>
      <c r="R34">
        <v>16895.89</v>
      </c>
      <c r="S34">
        <v>1341.97</v>
      </c>
      <c r="T34">
        <v>21659.31</v>
      </c>
      <c r="U34">
        <v>18559.510000000002</v>
      </c>
      <c r="V34">
        <v>16144.14</v>
      </c>
      <c r="W34">
        <v>2347.6999999999998</v>
      </c>
      <c r="X34" s="89">
        <v>281858.63999999996</v>
      </c>
      <c r="Y34"/>
      <c r="Z34"/>
      <c r="AA34"/>
      <c r="AB34"/>
      <c r="AC34"/>
      <c r="AD34"/>
      <c r="AE34"/>
      <c r="AF34"/>
    </row>
    <row r="35" spans="1:32" s="11" customFormat="1" x14ac:dyDescent="0.2">
      <c r="A35" s="88" t="s">
        <v>181</v>
      </c>
      <c r="B35" s="88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>
        <v>202.89</v>
      </c>
      <c r="S35"/>
      <c r="T35"/>
      <c r="U35"/>
      <c r="V35"/>
      <c r="W35"/>
      <c r="X35" s="89">
        <v>202.89</v>
      </c>
      <c r="Y35"/>
      <c r="Z35"/>
      <c r="AA35"/>
      <c r="AB35"/>
      <c r="AC35"/>
      <c r="AD35"/>
      <c r="AE35"/>
      <c r="AF35"/>
    </row>
    <row r="36" spans="1:32" s="11" customFormat="1" x14ac:dyDescent="0.2">
      <c r="A36" s="90" t="s">
        <v>71</v>
      </c>
      <c r="B36" s="90">
        <v>7808.55</v>
      </c>
      <c r="C36" s="91">
        <v>0</v>
      </c>
      <c r="D36" s="91">
        <v>0</v>
      </c>
      <c r="E36" s="91">
        <v>68620.509999999995</v>
      </c>
      <c r="F36" s="91">
        <v>95071.19</v>
      </c>
      <c r="G36" s="91">
        <v>1465</v>
      </c>
      <c r="H36" s="91">
        <v>3142.86</v>
      </c>
      <c r="I36" s="91">
        <v>6484.93</v>
      </c>
      <c r="J36" s="91">
        <v>7004.75</v>
      </c>
      <c r="K36" s="91">
        <v>23928.5</v>
      </c>
      <c r="L36" s="91">
        <v>8450.66</v>
      </c>
      <c r="M36" s="91">
        <v>9207.8799999999992</v>
      </c>
      <c r="N36" s="91">
        <v>17027.8</v>
      </c>
      <c r="O36" s="91">
        <v>7012.96</v>
      </c>
      <c r="P36" s="91">
        <v>9596.52</v>
      </c>
      <c r="Q36" s="91">
        <v>9981.99</v>
      </c>
      <c r="R36" s="91">
        <v>20762.219999999998</v>
      </c>
      <c r="S36" s="91">
        <v>13866.529999999999</v>
      </c>
      <c r="T36" s="91">
        <v>38499.130000000005</v>
      </c>
      <c r="U36" s="91">
        <v>24596.460000000003</v>
      </c>
      <c r="V36" s="91">
        <v>23585.97</v>
      </c>
      <c r="W36" s="91">
        <v>2347.6999999999998</v>
      </c>
      <c r="X36" s="92">
        <v>398462.10999999993</v>
      </c>
      <c r="Y36"/>
      <c r="Z36"/>
      <c r="AA36"/>
      <c r="AB36"/>
      <c r="AC36"/>
      <c r="AD36"/>
      <c r="AE36"/>
      <c r="AF36"/>
    </row>
    <row r="37" spans="1:32" s="1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2" s="25" customFormat="1" ht="13.5" thickBot="1" x14ac:dyDescent="0.25">
      <c r="A38" s="24" t="s">
        <v>35</v>
      </c>
      <c r="B38" s="24">
        <f>B4+B6-GETPIVOTDATA("Valor",$A$28,"Pagto.",DATE(2021,6,1))</f>
        <v>-19741.25999999998</v>
      </c>
      <c r="C38" s="24">
        <f>C4+C6-GETPIVOTDATA("Valor",$A$28,"Pagto.",DATE(2021,6,2))</f>
        <v>-19741.25999999998</v>
      </c>
      <c r="D38" s="24">
        <f>D4+D6-GETPIVOTDATA("Valor",$A$28,"Pagto.",DATE(2021,6,3))</f>
        <v>-19741.25999999998</v>
      </c>
      <c r="E38" s="24">
        <f>E4+E6-GETPIVOTDATA("Valor",$A$28,"Pagto.",DATE(2021,6,4))</f>
        <v>-11211.519999999975</v>
      </c>
      <c r="F38" s="24">
        <f>F4+F6-GETPIVOTDATA("Valor",$A$28,"Pagto.",DATE(2021,6,7))</f>
        <v>-20726.489999999976</v>
      </c>
      <c r="G38" s="24">
        <f>G4+G6-GETPIVOTDATA("Valor",$A$28,"Pagto.",DATE(2021,6,8))</f>
        <v>-18266.969999999976</v>
      </c>
      <c r="H38" s="24">
        <f>H4+H6-GETPIVOTDATA("Valor",$A$28,"Pagto.",DATE(2021,6,9))</f>
        <v>-17429.609999999975</v>
      </c>
      <c r="I38" s="24">
        <f>I4+I6-GETPIVOTDATA("Valor",$A$28,"Pagto.",DATE(2021,6,10))</f>
        <v>-14870.269999999975</v>
      </c>
      <c r="J38" s="24">
        <f>J4+J6-GETPIVOTDATA("Valor",$A$28,"Pagto.",DATE(2021,6,11))</f>
        <v>-19721.689999999973</v>
      </c>
      <c r="K38" s="24">
        <f>K4+K6-GETPIVOTDATA("Valor",$A$28,"Pagto.",DATE(2021,6,14))</f>
        <v>-1741.7299999999741</v>
      </c>
      <c r="L38" s="24">
        <f>L4+L6-GETPIVOTDATA("Valor",$A$28,"Pagto.",DATE(2021,6,15))</f>
        <v>-5729.1099999999742</v>
      </c>
      <c r="M38" s="24">
        <f>M4+M6-GETPIVOTDATA("Valor",$A$28,"Pagto.",DATE(2021,6,16))</f>
        <v>-3456.0299999999743</v>
      </c>
      <c r="N38" s="24">
        <f>N4+N6-GETPIVOTDATA("Valor",$A$28,"Pagto.",DATE(2021,6,17))</f>
        <v>-12568.729999999974</v>
      </c>
      <c r="O38" s="24">
        <f>O4+O6-GETPIVOTDATA("Valor",$A$28,"Pagto.",DATE(2021,6,18))</f>
        <v>-19581.689999999973</v>
      </c>
      <c r="P38" s="24">
        <f>P4+P6-GETPIVOTDATA("Valor",$A$28,"Pagto.",DATE(2021,6,21))</f>
        <v>-20005.409999999974</v>
      </c>
      <c r="Q38" s="24">
        <f>Q4+Q6-GETPIVOTDATA("Valor",$A$28,"Pagto.",DATE(2021,6,22))</f>
        <v>-12458.349999999975</v>
      </c>
      <c r="R38" s="24">
        <f>R4+R6-GETPIVOTDATA("Valor",$A$28,"Pagto.",DATE(2021,6,23))</f>
        <v>-16283.889999999972</v>
      </c>
      <c r="S38" s="24">
        <f>S4+S6-GETPIVOTDATA("Valor",$A$28,"Pagto.",DATE(2021,6,24))</f>
        <v>-15100.54999999997</v>
      </c>
      <c r="T38" s="24">
        <f>T4+T6-GETPIVOTDATA("Valor",$A$28,"Pagto.",DATE(2021,6,25))</f>
        <v>-2450.1199999999662</v>
      </c>
      <c r="U38" s="24">
        <f>U4+U6-GETPIVOTDATA("Valor",$A$28,"Pagto.",DATE(2021,6,28))</f>
        <v>1534.920000000031</v>
      </c>
      <c r="V38" s="24">
        <f>V4+V6-GETPIVOTDATA("Valor",$A$28,"Pagto.",DATE(2021,6,29))</f>
        <v>-18416.899999999972</v>
      </c>
      <c r="W38" s="24">
        <f>W4+W6-GETPIVOTDATA("Valor",$A$28,"Pagto.",DATE(2021,6,30))</f>
        <v>-19015.479999999974</v>
      </c>
    </row>
    <row r="39" spans="1:32" ht="13.5" thickTop="1" x14ac:dyDescent="0.2">
      <c r="B39"/>
      <c r="C39"/>
      <c r="D39"/>
      <c r="E39"/>
      <c r="F39"/>
      <c r="G39"/>
      <c r="H39"/>
      <c r="I39"/>
      <c r="J39"/>
      <c r="K39"/>
      <c r="L39"/>
    </row>
    <row r="40" spans="1:32" x14ac:dyDescent="0.2">
      <c r="B40"/>
      <c r="C40"/>
      <c r="D40"/>
      <c r="E40"/>
      <c r="F40"/>
      <c r="G40"/>
      <c r="H40"/>
      <c r="I40"/>
    </row>
    <row r="41" spans="1:32" x14ac:dyDescent="0.2">
      <c r="B41"/>
      <c r="C41"/>
      <c r="D41"/>
      <c r="E41"/>
      <c r="F41"/>
      <c r="G41"/>
      <c r="H41"/>
      <c r="I41"/>
    </row>
    <row r="42" spans="1:32" x14ac:dyDescent="0.2">
      <c r="B42"/>
      <c r="C42"/>
      <c r="D42"/>
      <c r="E42"/>
      <c r="F42"/>
      <c r="G42"/>
      <c r="H42"/>
      <c r="I42"/>
    </row>
    <row r="43" spans="1:32" x14ac:dyDescent="0.2">
      <c r="B43"/>
      <c r="C43"/>
      <c r="D43"/>
      <c r="E43"/>
      <c r="F43"/>
      <c r="G43"/>
      <c r="H43"/>
      <c r="I43"/>
    </row>
    <row r="44" spans="1:32" x14ac:dyDescent="0.2">
      <c r="B44"/>
      <c r="C44"/>
      <c r="D44"/>
      <c r="E44"/>
      <c r="F44"/>
      <c r="G44"/>
      <c r="H44"/>
      <c r="I44"/>
    </row>
    <row r="45" spans="1:32" x14ac:dyDescent="0.2">
      <c r="B45"/>
      <c r="C45"/>
      <c r="D45"/>
      <c r="E45"/>
      <c r="F45"/>
      <c r="G45"/>
      <c r="H45"/>
      <c r="I45"/>
    </row>
    <row r="46" spans="1:32" x14ac:dyDescent="0.2">
      <c r="B46"/>
      <c r="C46"/>
      <c r="D46"/>
      <c r="E46"/>
      <c r="F46"/>
      <c r="G46"/>
      <c r="H46"/>
      <c r="I46"/>
    </row>
    <row r="47" spans="1:32" x14ac:dyDescent="0.2">
      <c r="B47"/>
      <c r="C47"/>
      <c r="D47"/>
      <c r="E47"/>
      <c r="F47"/>
      <c r="G47"/>
      <c r="H47"/>
      <c r="I47"/>
    </row>
    <row r="48" spans="1:32" x14ac:dyDescent="0.2">
      <c r="B48"/>
      <c r="C48"/>
      <c r="D48"/>
      <c r="E48"/>
      <c r="F48"/>
      <c r="G48"/>
      <c r="H48"/>
      <c r="I48"/>
    </row>
    <row r="49" spans="2:9" x14ac:dyDescent="0.2">
      <c r="B49"/>
      <c r="C49"/>
      <c r="D49"/>
      <c r="E49"/>
      <c r="F49"/>
      <c r="G49"/>
      <c r="H49"/>
      <c r="I49"/>
    </row>
    <row r="50" spans="2:9" x14ac:dyDescent="0.2">
      <c r="B50"/>
      <c r="C50"/>
      <c r="D50"/>
      <c r="E50"/>
      <c r="F50"/>
      <c r="G50"/>
      <c r="H50"/>
      <c r="I50"/>
    </row>
  </sheetData>
  <conditionalFormatting sqref="A36 A38:XFD38 A4:XFD4">
    <cfRule type="cellIs" dxfId="17" priority="3" stopIfTrue="1" operator="lessThan">
      <formula>0</formula>
    </cfRule>
  </conditionalFormatting>
  <conditionalFormatting sqref="A1:XFD1">
    <cfRule type="cellIs" dxfId="16" priority="1" stopIfTrue="1" operator="equal">
      <formula>"Sábado"</formula>
    </cfRule>
    <cfRule type="cellIs" dxfId="15" priority="2" stopIfTrue="1" operator="equal">
      <formula>"Domingo"</formula>
    </cfRule>
  </conditionalFormatting>
  <pageMargins left="0.74791666666666667" right="0.74791666666666667" top="0.98402777777777783" bottom="0.98402777777777783" header="0.51180555555555562" footer="0.51180555555555562"/>
  <pageSetup paperSize="9" firstPageNumber="0" orientation="landscape" horizontalDpi="300" verticalDpi="300" r:id="rId2"/>
  <headerFooter alignWithMargins="0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M2895"/>
  <sheetViews>
    <sheetView zoomScaleNormal="100" workbookViewId="0">
      <pane ySplit="1" topLeftCell="A72" activePane="bottomLeft" state="frozen"/>
      <selection activeCell="F32" sqref="F32:F35"/>
      <selection pane="bottomLeft" activeCell="D109" sqref="D109"/>
    </sheetView>
  </sheetViews>
  <sheetFormatPr defaultRowHeight="12.75" x14ac:dyDescent="0.2"/>
  <cols>
    <col min="1" max="1" width="7.140625" customWidth="1"/>
    <col min="2" max="2" width="5.7109375" customWidth="1"/>
    <col min="3" max="3" width="16.7109375" bestFit="1" customWidth="1"/>
    <col min="4" max="4" width="77.42578125" bestFit="1" customWidth="1"/>
    <col min="5" max="5" width="12.5703125" style="49" customWidth="1"/>
    <col min="6" max="6" width="17.42578125" style="40" customWidth="1"/>
    <col min="7" max="7" width="24.85546875" customWidth="1"/>
    <col min="8" max="8" width="15.28515625" style="75" customWidth="1"/>
    <col min="9" max="9" width="21.7109375" bestFit="1" customWidth="1"/>
    <col min="10" max="10" width="29.28515625" bestFit="1" customWidth="1"/>
    <col min="11" max="11" width="18.28515625" style="1" customWidth="1"/>
    <col min="12" max="12" width="17.28515625" customWidth="1"/>
    <col min="13" max="13" width="14.140625" customWidth="1"/>
    <col min="14" max="14" width="19.140625" customWidth="1"/>
  </cols>
  <sheetData>
    <row r="1" spans="1:11" s="36" customFormat="1" x14ac:dyDescent="0.2">
      <c r="A1" s="36">
        <v>0</v>
      </c>
      <c r="B1" s="36" t="s">
        <v>5</v>
      </c>
      <c r="C1" s="36" t="s">
        <v>46</v>
      </c>
      <c r="D1" s="36" t="s">
        <v>47</v>
      </c>
      <c r="E1" s="36" t="s">
        <v>48</v>
      </c>
      <c r="F1" s="67" t="s">
        <v>49</v>
      </c>
      <c r="G1" s="36" t="s">
        <v>50</v>
      </c>
      <c r="H1" s="33" t="s">
        <v>42</v>
      </c>
      <c r="K1" s="37"/>
    </row>
    <row r="2" spans="1:11" s="35" customFormat="1" x14ac:dyDescent="0.2">
      <c r="C2" s="12" t="s">
        <v>170</v>
      </c>
      <c r="D2" s="57" t="s">
        <v>823</v>
      </c>
      <c r="E2" s="60">
        <v>44317</v>
      </c>
      <c r="F2" s="58">
        <v>133.47</v>
      </c>
      <c r="G2" s="12" t="s">
        <v>1676</v>
      </c>
      <c r="H2" s="61">
        <f t="shared" ref="H2:H65" si="0">VLOOKUP(E2,$E$2815:$H$2864,4,FALSE)</f>
        <v>44319</v>
      </c>
      <c r="K2" s="64"/>
    </row>
    <row r="3" spans="1:11" s="35" customFormat="1" x14ac:dyDescent="0.2">
      <c r="C3" s="12" t="s">
        <v>164</v>
      </c>
      <c r="D3" s="57" t="s">
        <v>1696</v>
      </c>
      <c r="E3" s="60">
        <v>44318</v>
      </c>
      <c r="F3" s="58">
        <v>140</v>
      </c>
      <c r="G3" s="12" t="s">
        <v>1689</v>
      </c>
      <c r="H3" s="61">
        <f t="shared" si="0"/>
        <v>44319</v>
      </c>
      <c r="K3" s="64"/>
    </row>
    <row r="4" spans="1:11" s="35" customFormat="1" x14ac:dyDescent="0.2">
      <c r="C4" s="12" t="s">
        <v>164</v>
      </c>
      <c r="D4" s="57" t="s">
        <v>846</v>
      </c>
      <c r="E4" s="60">
        <v>44319</v>
      </c>
      <c r="F4" s="58">
        <v>300</v>
      </c>
      <c r="G4" s="12" t="s">
        <v>1689</v>
      </c>
      <c r="H4" s="61">
        <f t="shared" si="0"/>
        <v>44319</v>
      </c>
      <c r="K4" s="64"/>
    </row>
    <row r="5" spans="1:11" s="35" customFormat="1" x14ac:dyDescent="0.2">
      <c r="C5" s="12" t="s">
        <v>80</v>
      </c>
      <c r="D5" s="57" t="s">
        <v>530</v>
      </c>
      <c r="E5" s="60">
        <v>44319</v>
      </c>
      <c r="F5" s="58">
        <v>150</v>
      </c>
      <c r="G5" s="12" t="s">
        <v>1689</v>
      </c>
      <c r="H5" s="61">
        <f t="shared" si="0"/>
        <v>44319</v>
      </c>
      <c r="K5" s="64"/>
    </row>
    <row r="6" spans="1:11" s="35" customFormat="1" x14ac:dyDescent="0.2">
      <c r="C6" s="12" t="s">
        <v>80</v>
      </c>
      <c r="D6" s="57" t="s">
        <v>532</v>
      </c>
      <c r="E6" s="60">
        <v>44319</v>
      </c>
      <c r="F6" s="58">
        <v>250</v>
      </c>
      <c r="G6" s="12" t="s">
        <v>1689</v>
      </c>
      <c r="H6" s="61">
        <f t="shared" si="0"/>
        <v>44319</v>
      </c>
      <c r="K6" s="64"/>
    </row>
    <row r="7" spans="1:11" s="35" customFormat="1" x14ac:dyDescent="0.2">
      <c r="C7" s="12" t="s">
        <v>170</v>
      </c>
      <c r="D7" s="57" t="s">
        <v>863</v>
      </c>
      <c r="E7" s="60">
        <v>44319</v>
      </c>
      <c r="F7" s="58">
        <v>6342.63</v>
      </c>
      <c r="G7" s="12" t="s">
        <v>1676</v>
      </c>
      <c r="H7" s="61">
        <f t="shared" si="0"/>
        <v>44319</v>
      </c>
      <c r="K7" s="64"/>
    </row>
    <row r="8" spans="1:11" s="35" customFormat="1" x14ac:dyDescent="0.2">
      <c r="C8" s="12" t="s">
        <v>199</v>
      </c>
      <c r="D8" s="57" t="s">
        <v>365</v>
      </c>
      <c r="E8" s="60">
        <v>44319</v>
      </c>
      <c r="F8" s="58">
        <f>2093+125+113.49+980</f>
        <v>3311.49</v>
      </c>
      <c r="G8" s="12" t="s">
        <v>1676</v>
      </c>
      <c r="H8" s="61">
        <f t="shared" si="0"/>
        <v>44319</v>
      </c>
      <c r="K8" s="64"/>
    </row>
    <row r="9" spans="1:11" s="35" customFormat="1" x14ac:dyDescent="0.2">
      <c r="C9" s="12" t="s">
        <v>170</v>
      </c>
      <c r="D9" s="57" t="s">
        <v>864</v>
      </c>
      <c r="E9" s="60">
        <v>44319</v>
      </c>
      <c r="F9" s="58">
        <v>437</v>
      </c>
      <c r="G9" s="12" t="s">
        <v>1676</v>
      </c>
      <c r="H9" s="61">
        <f t="shared" si="0"/>
        <v>44319</v>
      </c>
      <c r="K9" s="64"/>
    </row>
    <row r="10" spans="1:11" s="35" customFormat="1" x14ac:dyDescent="0.2">
      <c r="C10" s="12" t="s">
        <v>192</v>
      </c>
      <c r="D10" s="57" t="s">
        <v>838</v>
      </c>
      <c r="E10" s="60">
        <v>44319</v>
      </c>
      <c r="F10" s="58">
        <v>136.08000000000001</v>
      </c>
      <c r="G10" s="12" t="s">
        <v>1689</v>
      </c>
      <c r="H10" s="61">
        <f t="shared" si="0"/>
        <v>44319</v>
      </c>
      <c r="K10" s="64"/>
    </row>
    <row r="11" spans="1:11" s="35" customFormat="1" x14ac:dyDescent="0.2">
      <c r="C11" s="12" t="s">
        <v>88</v>
      </c>
      <c r="D11" s="57" t="s">
        <v>850</v>
      </c>
      <c r="E11" s="60">
        <v>44319</v>
      </c>
      <c r="F11" s="58">
        <v>940</v>
      </c>
      <c r="G11" s="12" t="s">
        <v>1689</v>
      </c>
      <c r="H11" s="61">
        <f t="shared" si="0"/>
        <v>44319</v>
      </c>
      <c r="K11" s="64"/>
    </row>
    <row r="12" spans="1:11" ht="13.5" customHeight="1" x14ac:dyDescent="0.2">
      <c r="C12" s="12" t="s">
        <v>159</v>
      </c>
      <c r="D12" s="57" t="s">
        <v>857</v>
      </c>
      <c r="E12" s="60">
        <v>44319</v>
      </c>
      <c r="F12" s="58">
        <v>535.82000000000005</v>
      </c>
      <c r="G12" s="12" t="s">
        <v>1689</v>
      </c>
      <c r="H12" s="61">
        <f t="shared" si="0"/>
        <v>44319</v>
      </c>
    </row>
    <row r="13" spans="1:11" ht="13.5" customHeight="1" x14ac:dyDescent="0.2">
      <c r="C13" s="12" t="s">
        <v>159</v>
      </c>
      <c r="D13" s="57" t="s">
        <v>857</v>
      </c>
      <c r="E13" s="60">
        <v>44319</v>
      </c>
      <c r="F13" s="58">
        <v>378.31</v>
      </c>
      <c r="G13" s="12" t="s">
        <v>1689</v>
      </c>
      <c r="H13" s="61">
        <f t="shared" si="0"/>
        <v>44319</v>
      </c>
    </row>
    <row r="14" spans="1:11" ht="13.5" customHeight="1" x14ac:dyDescent="0.2">
      <c r="C14" s="12" t="s">
        <v>159</v>
      </c>
      <c r="D14" s="57" t="s">
        <v>857</v>
      </c>
      <c r="E14" s="60">
        <v>44319</v>
      </c>
      <c r="F14" s="58">
        <v>392.12</v>
      </c>
      <c r="G14" s="12" t="s">
        <v>1689</v>
      </c>
      <c r="H14" s="61">
        <f t="shared" si="0"/>
        <v>44319</v>
      </c>
    </row>
    <row r="15" spans="1:11" ht="14.25" customHeight="1" x14ac:dyDescent="0.2">
      <c r="C15" s="12" t="s">
        <v>170</v>
      </c>
      <c r="D15" s="57" t="s">
        <v>862</v>
      </c>
      <c r="E15" s="60">
        <v>44320</v>
      </c>
      <c r="F15" s="58">
        <v>751.08</v>
      </c>
      <c r="G15" s="12" t="s">
        <v>1676</v>
      </c>
      <c r="H15" s="61">
        <f t="shared" si="0"/>
        <v>44320</v>
      </c>
    </row>
    <row r="16" spans="1:11" ht="14.25" customHeight="1" x14ac:dyDescent="0.2">
      <c r="C16" s="12" t="s">
        <v>83</v>
      </c>
      <c r="D16" s="57" t="s">
        <v>858</v>
      </c>
      <c r="E16" s="60">
        <v>44320</v>
      </c>
      <c r="F16" s="58">
        <v>1168.79</v>
      </c>
      <c r="G16" s="12" t="s">
        <v>1689</v>
      </c>
      <c r="H16" s="61">
        <f t="shared" si="0"/>
        <v>44320</v>
      </c>
    </row>
    <row r="17" spans="3:8" ht="14.25" customHeight="1" x14ac:dyDescent="0.2">
      <c r="C17" s="12" t="s">
        <v>83</v>
      </c>
      <c r="D17" s="57" t="s">
        <v>859</v>
      </c>
      <c r="E17" s="60">
        <v>44320</v>
      </c>
      <c r="F17" s="58">
        <v>1117.79</v>
      </c>
      <c r="G17" s="12" t="s">
        <v>1689</v>
      </c>
      <c r="H17" s="61">
        <f t="shared" si="0"/>
        <v>44320</v>
      </c>
    </row>
    <row r="18" spans="3:8" ht="14.25" customHeight="1" x14ac:dyDescent="0.2">
      <c r="C18" s="12" t="s">
        <v>149</v>
      </c>
      <c r="D18" s="57" t="s">
        <v>860</v>
      </c>
      <c r="E18" s="60">
        <v>44320</v>
      </c>
      <c r="F18" s="58">
        <v>330.68</v>
      </c>
      <c r="G18" s="12" t="s">
        <v>1689</v>
      </c>
      <c r="H18" s="61">
        <f t="shared" si="0"/>
        <v>44320</v>
      </c>
    </row>
    <row r="19" spans="3:8" ht="13.5" customHeight="1" x14ac:dyDescent="0.2">
      <c r="C19" s="12" t="s">
        <v>97</v>
      </c>
      <c r="D19" s="57" t="s">
        <v>119</v>
      </c>
      <c r="E19" s="60">
        <v>44320</v>
      </c>
      <c r="F19" s="58">
        <f>2267.32+25.54</f>
        <v>2292.86</v>
      </c>
      <c r="G19" s="12" t="s">
        <v>1689</v>
      </c>
      <c r="H19" s="61">
        <f t="shared" si="0"/>
        <v>44320</v>
      </c>
    </row>
    <row r="20" spans="3:8" ht="13.5" customHeight="1" x14ac:dyDescent="0.2">
      <c r="C20" s="12" t="s">
        <v>80</v>
      </c>
      <c r="D20" s="57" t="s">
        <v>197</v>
      </c>
      <c r="E20" s="60">
        <v>44320</v>
      </c>
      <c r="F20" s="58">
        <v>50</v>
      </c>
      <c r="G20" s="12" t="s">
        <v>1688</v>
      </c>
      <c r="H20" s="61">
        <f t="shared" si="0"/>
        <v>44320</v>
      </c>
    </row>
    <row r="21" spans="3:8" ht="13.5" customHeight="1" x14ac:dyDescent="0.2">
      <c r="C21" s="12" t="s">
        <v>84</v>
      </c>
      <c r="D21" s="57" t="s">
        <v>831</v>
      </c>
      <c r="E21" s="60">
        <v>44320</v>
      </c>
      <c r="F21" s="58">
        <v>613.79999999999995</v>
      </c>
      <c r="G21" s="12" t="s">
        <v>1676</v>
      </c>
      <c r="H21" s="61">
        <f t="shared" si="0"/>
        <v>44320</v>
      </c>
    </row>
    <row r="22" spans="3:8" ht="14.25" customHeight="1" x14ac:dyDescent="0.2">
      <c r="C22" s="12" t="s">
        <v>72</v>
      </c>
      <c r="D22" s="57" t="s">
        <v>791</v>
      </c>
      <c r="E22" s="60">
        <v>44321</v>
      </c>
      <c r="F22" s="58">
        <v>678.5</v>
      </c>
      <c r="G22" s="12" t="s">
        <v>1688</v>
      </c>
      <c r="H22" s="61">
        <f t="shared" si="0"/>
        <v>44321</v>
      </c>
    </row>
    <row r="23" spans="3:8" ht="14.25" customHeight="1" x14ac:dyDescent="0.2">
      <c r="C23" s="12" t="s">
        <v>83</v>
      </c>
      <c r="D23" s="57" t="s">
        <v>516</v>
      </c>
      <c r="E23" s="60">
        <v>44321</v>
      </c>
      <c r="F23" s="58">
        <v>370</v>
      </c>
      <c r="G23" s="12" t="s">
        <v>1689</v>
      </c>
      <c r="H23" s="61">
        <f t="shared" si="0"/>
        <v>44321</v>
      </c>
    </row>
    <row r="24" spans="3:8" ht="14.25" customHeight="1" x14ac:dyDescent="0.2">
      <c r="C24" s="12" t="s">
        <v>80</v>
      </c>
      <c r="D24" s="57" t="s">
        <v>873</v>
      </c>
      <c r="E24" s="60">
        <v>44321</v>
      </c>
      <c r="F24" s="58">
        <v>50</v>
      </c>
      <c r="G24" s="12" t="s">
        <v>1689</v>
      </c>
      <c r="H24" s="61">
        <f t="shared" si="0"/>
        <v>44321</v>
      </c>
    </row>
    <row r="25" spans="3:8" ht="14.25" customHeight="1" x14ac:dyDescent="0.2">
      <c r="C25" s="12" t="s">
        <v>80</v>
      </c>
      <c r="D25" s="57" t="s">
        <v>875</v>
      </c>
      <c r="E25" s="60">
        <v>44321</v>
      </c>
      <c r="F25" s="58">
        <v>50</v>
      </c>
      <c r="G25" s="12" t="s">
        <v>1689</v>
      </c>
      <c r="H25" s="61">
        <f t="shared" si="0"/>
        <v>44321</v>
      </c>
    </row>
    <row r="26" spans="3:8" ht="14.25" customHeight="1" x14ac:dyDescent="0.2">
      <c r="C26" s="12" t="s">
        <v>135</v>
      </c>
      <c r="D26" s="57" t="s">
        <v>872</v>
      </c>
      <c r="E26" s="60">
        <v>44321</v>
      </c>
      <c r="F26" s="58">
        <v>3250</v>
      </c>
      <c r="G26" s="12" t="s">
        <v>1689</v>
      </c>
      <c r="H26" s="61">
        <f t="shared" si="0"/>
        <v>44321</v>
      </c>
    </row>
    <row r="27" spans="3:8" ht="14.25" customHeight="1" x14ac:dyDescent="0.2">
      <c r="C27" s="12" t="s">
        <v>135</v>
      </c>
      <c r="D27" s="57" t="s">
        <v>874</v>
      </c>
      <c r="E27" s="60">
        <v>44321</v>
      </c>
      <c r="F27" s="58">
        <f>2978.25+2978.25</f>
        <v>5956.5</v>
      </c>
      <c r="G27" s="12" t="s">
        <v>1676</v>
      </c>
      <c r="H27" s="61">
        <f t="shared" si="0"/>
        <v>44321</v>
      </c>
    </row>
    <row r="28" spans="3:8" ht="14.25" customHeight="1" x14ac:dyDescent="0.2">
      <c r="C28" s="12" t="s">
        <v>96</v>
      </c>
      <c r="D28" s="57" t="s">
        <v>597</v>
      </c>
      <c r="E28" s="60">
        <v>44321</v>
      </c>
      <c r="F28" s="58">
        <v>1500</v>
      </c>
      <c r="G28" s="12" t="s">
        <v>1689</v>
      </c>
      <c r="H28" s="61">
        <f t="shared" si="0"/>
        <v>44321</v>
      </c>
    </row>
    <row r="29" spans="3:8" ht="14.25" customHeight="1" x14ac:dyDescent="0.2">
      <c r="C29" s="12" t="s">
        <v>96</v>
      </c>
      <c r="D29" s="57" t="s">
        <v>598</v>
      </c>
      <c r="E29" s="60">
        <v>44321</v>
      </c>
      <c r="F29" s="58">
        <v>1500</v>
      </c>
      <c r="G29" s="12" t="s">
        <v>1689</v>
      </c>
      <c r="H29" s="61">
        <f t="shared" si="0"/>
        <v>44321</v>
      </c>
    </row>
    <row r="30" spans="3:8" ht="14.25" customHeight="1" x14ac:dyDescent="0.2">
      <c r="C30" s="12" t="s">
        <v>96</v>
      </c>
      <c r="D30" s="57" t="s">
        <v>599</v>
      </c>
      <c r="E30" s="60">
        <v>44321</v>
      </c>
      <c r="F30" s="58">
        <v>1500</v>
      </c>
      <c r="G30" s="12" t="s">
        <v>1689</v>
      </c>
      <c r="H30" s="61">
        <f t="shared" si="0"/>
        <v>44321</v>
      </c>
    </row>
    <row r="31" spans="3:8" ht="14.25" customHeight="1" x14ac:dyDescent="0.2">
      <c r="C31" s="12" t="s">
        <v>56</v>
      </c>
      <c r="D31" s="57" t="s">
        <v>377</v>
      </c>
      <c r="E31" s="60">
        <v>44321</v>
      </c>
      <c r="F31" s="58">
        <f>1422+1529</f>
        <v>2951</v>
      </c>
      <c r="G31" s="12" t="s">
        <v>1676</v>
      </c>
      <c r="H31" s="61">
        <f t="shared" si="0"/>
        <v>44321</v>
      </c>
    </row>
    <row r="32" spans="3:8" ht="14.25" customHeight="1" x14ac:dyDescent="0.2">
      <c r="C32" s="12" t="s">
        <v>56</v>
      </c>
      <c r="D32" s="57" t="s">
        <v>877</v>
      </c>
      <c r="E32" s="60">
        <v>44321</v>
      </c>
      <c r="F32" s="58">
        <f>8403-1421+1506-1389+613+142+549-117</f>
        <v>8286</v>
      </c>
      <c r="G32" s="12" t="s">
        <v>1689</v>
      </c>
      <c r="H32" s="61">
        <f t="shared" si="0"/>
        <v>44321</v>
      </c>
    </row>
    <row r="33" spans="3:8" ht="14.25" customHeight="1" x14ac:dyDescent="0.2">
      <c r="C33" s="12" t="s">
        <v>56</v>
      </c>
      <c r="D33" s="57" t="s">
        <v>876</v>
      </c>
      <c r="E33" s="60">
        <v>44321</v>
      </c>
      <c r="F33" s="58">
        <f>45107+710+767+606+731-212</f>
        <v>47709</v>
      </c>
      <c r="G33" s="12" t="s">
        <v>1689</v>
      </c>
      <c r="H33" s="61">
        <f t="shared" si="0"/>
        <v>44321</v>
      </c>
    </row>
    <row r="34" spans="3:8" ht="14.25" customHeight="1" x14ac:dyDescent="0.2">
      <c r="C34" s="12" t="s">
        <v>80</v>
      </c>
      <c r="D34" s="57" t="s">
        <v>637</v>
      </c>
      <c r="E34" s="60">
        <v>44321</v>
      </c>
      <c r="F34" s="58">
        <f>100+100</f>
        <v>200</v>
      </c>
      <c r="G34" s="12" t="s">
        <v>1688</v>
      </c>
      <c r="H34" s="61">
        <f t="shared" si="0"/>
        <v>44321</v>
      </c>
    </row>
    <row r="35" spans="3:8" ht="14.25" customHeight="1" x14ac:dyDescent="0.2">
      <c r="C35" s="12" t="s">
        <v>80</v>
      </c>
      <c r="D35" s="57" t="s">
        <v>240</v>
      </c>
      <c r="E35" s="60">
        <v>44322</v>
      </c>
      <c r="F35" s="58">
        <v>100</v>
      </c>
      <c r="G35" s="12" t="s">
        <v>1688</v>
      </c>
      <c r="H35" s="61">
        <f t="shared" si="0"/>
        <v>44322</v>
      </c>
    </row>
    <row r="36" spans="3:8" ht="14.25" customHeight="1" x14ac:dyDescent="0.2">
      <c r="C36" s="12" t="s">
        <v>88</v>
      </c>
      <c r="D36" s="57" t="s">
        <v>204</v>
      </c>
      <c r="E36" s="60">
        <v>44322</v>
      </c>
      <c r="F36" s="58">
        <v>1997</v>
      </c>
      <c r="G36" s="12" t="s">
        <v>1676</v>
      </c>
      <c r="H36" s="61">
        <f t="shared" si="0"/>
        <v>44322</v>
      </c>
    </row>
    <row r="37" spans="3:8" ht="14.25" customHeight="1" x14ac:dyDescent="0.2">
      <c r="C37" s="12" t="s">
        <v>56</v>
      </c>
      <c r="D37" s="57" t="s">
        <v>877</v>
      </c>
      <c r="E37" s="60">
        <v>44322</v>
      </c>
      <c r="F37" s="58">
        <f>10323-1506-627-708-549-613-142-511-605-512-530</f>
        <v>4020</v>
      </c>
      <c r="G37" s="12" t="s">
        <v>1689</v>
      </c>
      <c r="H37" s="61">
        <f t="shared" si="0"/>
        <v>44322</v>
      </c>
    </row>
    <row r="38" spans="3:8" ht="14.25" customHeight="1" x14ac:dyDescent="0.2">
      <c r="C38" s="12" t="s">
        <v>97</v>
      </c>
      <c r="D38" s="57" t="s">
        <v>134</v>
      </c>
      <c r="E38" s="60">
        <v>44322</v>
      </c>
      <c r="F38" s="58">
        <f>2177.12+26.06</f>
        <v>2203.1799999999998</v>
      </c>
      <c r="G38" s="12" t="s">
        <v>1689</v>
      </c>
      <c r="H38" s="61">
        <f t="shared" si="0"/>
        <v>44322</v>
      </c>
    </row>
    <row r="39" spans="3:8" ht="14.25" customHeight="1" x14ac:dyDescent="0.2">
      <c r="C39" s="12" t="s">
        <v>76</v>
      </c>
      <c r="D39" s="57" t="s">
        <v>350</v>
      </c>
      <c r="E39" s="60">
        <v>44322</v>
      </c>
      <c r="F39" s="58">
        <v>1170</v>
      </c>
      <c r="G39" s="12" t="s">
        <v>1689</v>
      </c>
      <c r="H39" s="61">
        <f t="shared" si="0"/>
        <v>44322</v>
      </c>
    </row>
    <row r="40" spans="3:8" ht="14.25" customHeight="1" x14ac:dyDescent="0.2">
      <c r="C40" s="12" t="s">
        <v>135</v>
      </c>
      <c r="D40" s="57" t="s">
        <v>787</v>
      </c>
      <c r="E40" s="60">
        <v>44322</v>
      </c>
      <c r="F40" s="58">
        <v>2500</v>
      </c>
      <c r="G40" s="12" t="s">
        <v>1676</v>
      </c>
      <c r="H40" s="61">
        <f t="shared" si="0"/>
        <v>44322</v>
      </c>
    </row>
    <row r="41" spans="3:8" ht="14.25" customHeight="1" x14ac:dyDescent="0.2">
      <c r="C41" s="12" t="s">
        <v>80</v>
      </c>
      <c r="D41" s="57" t="s">
        <v>236</v>
      </c>
      <c r="E41" s="60">
        <v>44323</v>
      </c>
      <c r="F41" s="58">
        <f>80+50</f>
        <v>130</v>
      </c>
      <c r="G41" s="12" t="s">
        <v>1689</v>
      </c>
      <c r="H41" s="61">
        <f t="shared" si="0"/>
        <v>44323</v>
      </c>
    </row>
    <row r="42" spans="3:8" ht="14.25" customHeight="1" x14ac:dyDescent="0.2">
      <c r="C42" s="12" t="s">
        <v>192</v>
      </c>
      <c r="D42" s="57" t="s">
        <v>899</v>
      </c>
      <c r="E42" s="60">
        <v>44323</v>
      </c>
      <c r="F42" s="58">
        <v>91.23</v>
      </c>
      <c r="G42" s="12" t="s">
        <v>1689</v>
      </c>
      <c r="H42" s="61">
        <f t="shared" si="0"/>
        <v>44323</v>
      </c>
    </row>
    <row r="43" spans="3:8" ht="14.25" customHeight="1" x14ac:dyDescent="0.2">
      <c r="C43" s="12" t="s">
        <v>56</v>
      </c>
      <c r="D43" s="57" t="s">
        <v>891</v>
      </c>
      <c r="E43" s="60">
        <v>44323</v>
      </c>
      <c r="F43" s="58">
        <v>4632</v>
      </c>
      <c r="G43" s="12" t="s">
        <v>1676</v>
      </c>
      <c r="H43" s="61">
        <f t="shared" si="0"/>
        <v>44323</v>
      </c>
    </row>
    <row r="44" spans="3:8" ht="14.25" customHeight="1" x14ac:dyDescent="0.2">
      <c r="C44" s="12" t="s">
        <v>56</v>
      </c>
      <c r="D44" s="57" t="s">
        <v>897</v>
      </c>
      <c r="E44" s="60">
        <v>44323</v>
      </c>
      <c r="F44" s="58">
        <f>13856+678+2763</f>
        <v>17297</v>
      </c>
      <c r="G44" s="12" t="s">
        <v>1689</v>
      </c>
      <c r="H44" s="61">
        <f t="shared" si="0"/>
        <v>44323</v>
      </c>
    </row>
    <row r="45" spans="3:8" ht="14.25" customHeight="1" x14ac:dyDescent="0.2">
      <c r="C45" s="12" t="s">
        <v>216</v>
      </c>
      <c r="D45" s="57" t="s">
        <v>332</v>
      </c>
      <c r="E45" s="60">
        <v>44323</v>
      </c>
      <c r="F45" s="58">
        <v>220</v>
      </c>
      <c r="G45" s="12" t="s">
        <v>1689</v>
      </c>
      <c r="H45" s="61">
        <f t="shared" si="0"/>
        <v>44323</v>
      </c>
    </row>
    <row r="46" spans="3:8" ht="14.25" customHeight="1" x14ac:dyDescent="0.2">
      <c r="C46" s="12" t="s">
        <v>84</v>
      </c>
      <c r="D46" s="57" t="s">
        <v>896</v>
      </c>
      <c r="E46" s="60">
        <v>44324</v>
      </c>
      <c r="F46" s="58">
        <v>2000</v>
      </c>
      <c r="G46" s="12" t="s">
        <v>1676</v>
      </c>
      <c r="H46" s="61">
        <f t="shared" si="0"/>
        <v>44326</v>
      </c>
    </row>
    <row r="47" spans="3:8" ht="14.25" customHeight="1" x14ac:dyDescent="0.2">
      <c r="C47" s="12" t="s">
        <v>170</v>
      </c>
      <c r="D47" s="57" t="s">
        <v>906</v>
      </c>
      <c r="E47" s="60">
        <v>44325</v>
      </c>
      <c r="F47" s="58">
        <v>700</v>
      </c>
      <c r="G47" s="12" t="s">
        <v>1689</v>
      </c>
      <c r="H47" s="61">
        <f t="shared" si="0"/>
        <v>44326</v>
      </c>
    </row>
    <row r="48" spans="3:8" ht="14.25" customHeight="1" x14ac:dyDescent="0.2">
      <c r="C48" s="12" t="s">
        <v>56</v>
      </c>
      <c r="D48" s="57" t="s">
        <v>884</v>
      </c>
      <c r="E48" s="60">
        <v>44326</v>
      </c>
      <c r="F48" s="58">
        <v>390</v>
      </c>
      <c r="G48" s="12" t="s">
        <v>1689</v>
      </c>
      <c r="H48" s="61">
        <f t="shared" si="0"/>
        <v>44326</v>
      </c>
    </row>
    <row r="49" spans="3:8" ht="14.25" customHeight="1" x14ac:dyDescent="0.2">
      <c r="C49" s="12" t="s">
        <v>56</v>
      </c>
      <c r="D49" s="57" t="s">
        <v>1776</v>
      </c>
      <c r="E49" s="60">
        <v>44326</v>
      </c>
      <c r="F49" s="58">
        <v>1421</v>
      </c>
      <c r="G49" s="12" t="s">
        <v>1689</v>
      </c>
      <c r="H49" s="61">
        <f t="shared" si="0"/>
        <v>44326</v>
      </c>
    </row>
    <row r="50" spans="3:8" ht="14.25" customHeight="1" x14ac:dyDescent="0.2">
      <c r="C50" s="12" t="s">
        <v>56</v>
      </c>
      <c r="D50" s="57" t="s">
        <v>881</v>
      </c>
      <c r="E50" s="60">
        <v>44326</v>
      </c>
      <c r="F50" s="58">
        <v>708</v>
      </c>
      <c r="G50" s="12" t="s">
        <v>1689</v>
      </c>
      <c r="H50" s="61">
        <f t="shared" si="0"/>
        <v>44326</v>
      </c>
    </row>
    <row r="51" spans="3:8" ht="14.25" customHeight="1" x14ac:dyDescent="0.2">
      <c r="C51" s="12" t="s">
        <v>192</v>
      </c>
      <c r="D51" s="57" t="s">
        <v>893</v>
      </c>
      <c r="E51" s="60">
        <v>44326</v>
      </c>
      <c r="F51" s="58">
        <v>522.99</v>
      </c>
      <c r="G51" s="12" t="s">
        <v>1689</v>
      </c>
      <c r="H51" s="61">
        <f t="shared" si="0"/>
        <v>44326</v>
      </c>
    </row>
    <row r="52" spans="3:8" ht="14.25" customHeight="1" x14ac:dyDescent="0.2">
      <c r="C52" s="12" t="s">
        <v>56</v>
      </c>
      <c r="D52" s="57" t="s">
        <v>887</v>
      </c>
      <c r="E52" s="60">
        <v>44326</v>
      </c>
      <c r="F52" s="58">
        <v>497</v>
      </c>
      <c r="G52" s="12" t="s">
        <v>1689</v>
      </c>
      <c r="H52" s="61">
        <f t="shared" si="0"/>
        <v>44326</v>
      </c>
    </row>
    <row r="53" spans="3:8" ht="14.25" customHeight="1" x14ac:dyDescent="0.2">
      <c r="C53" s="12" t="s">
        <v>56</v>
      </c>
      <c r="D53" s="57" t="s">
        <v>882</v>
      </c>
      <c r="E53" s="60">
        <v>44326</v>
      </c>
      <c r="F53" s="58">
        <v>627</v>
      </c>
      <c r="G53" s="12" t="s">
        <v>1689</v>
      </c>
      <c r="H53" s="61">
        <f t="shared" si="0"/>
        <v>44326</v>
      </c>
    </row>
    <row r="54" spans="3:8" ht="14.25" customHeight="1" x14ac:dyDescent="0.2">
      <c r="C54" s="12" t="s">
        <v>192</v>
      </c>
      <c r="D54" s="57" t="s">
        <v>898</v>
      </c>
      <c r="E54" s="60">
        <v>44326</v>
      </c>
      <c r="F54" s="58">
        <v>1290.6500000000001</v>
      </c>
      <c r="G54" s="12" t="s">
        <v>1689</v>
      </c>
      <c r="H54" s="61">
        <f t="shared" si="0"/>
        <v>44326</v>
      </c>
    </row>
    <row r="55" spans="3:8" ht="14.25" customHeight="1" x14ac:dyDescent="0.2">
      <c r="C55" s="12" t="s">
        <v>56</v>
      </c>
      <c r="D55" s="57" t="s">
        <v>909</v>
      </c>
      <c r="E55" s="60">
        <v>44326</v>
      </c>
      <c r="F55" s="58">
        <v>4284</v>
      </c>
      <c r="G55" s="12" t="s">
        <v>1689</v>
      </c>
      <c r="H55" s="61">
        <f t="shared" si="0"/>
        <v>44326</v>
      </c>
    </row>
    <row r="56" spans="3:8" ht="14.25" customHeight="1" x14ac:dyDescent="0.2">
      <c r="C56" s="12" t="s">
        <v>56</v>
      </c>
      <c r="D56" s="57" t="s">
        <v>883</v>
      </c>
      <c r="E56" s="60">
        <v>44326</v>
      </c>
      <c r="F56" s="58">
        <f>4172-678</f>
        <v>3494</v>
      </c>
      <c r="G56" s="12" t="s">
        <v>1689</v>
      </c>
      <c r="H56" s="61">
        <f t="shared" si="0"/>
        <v>44326</v>
      </c>
    </row>
    <row r="57" spans="3:8" ht="14.25" customHeight="1" x14ac:dyDescent="0.2">
      <c r="C57" s="12" t="s">
        <v>80</v>
      </c>
      <c r="D57" s="57" t="s">
        <v>1717</v>
      </c>
      <c r="E57" s="60">
        <v>44326</v>
      </c>
      <c r="F57" s="58">
        <v>250</v>
      </c>
      <c r="G57" s="12" t="s">
        <v>1688</v>
      </c>
      <c r="H57" s="61">
        <f t="shared" si="0"/>
        <v>44326</v>
      </c>
    </row>
    <row r="58" spans="3:8" ht="14.25" customHeight="1" x14ac:dyDescent="0.2">
      <c r="C58" s="12" t="s">
        <v>164</v>
      </c>
      <c r="D58" s="57" t="s">
        <v>595</v>
      </c>
      <c r="E58" s="60">
        <v>44326</v>
      </c>
      <c r="F58" s="58">
        <v>70</v>
      </c>
      <c r="G58" s="12" t="s">
        <v>1689</v>
      </c>
      <c r="H58" s="61">
        <f t="shared" si="0"/>
        <v>44326</v>
      </c>
    </row>
    <row r="59" spans="3:8" ht="14.25" customHeight="1" x14ac:dyDescent="0.2">
      <c r="C59" s="12" t="s">
        <v>88</v>
      </c>
      <c r="D59" s="57" t="s">
        <v>829</v>
      </c>
      <c r="E59" s="60">
        <v>44326</v>
      </c>
      <c r="F59" s="58">
        <v>1521.5</v>
      </c>
      <c r="G59" s="12" t="s">
        <v>1689</v>
      </c>
      <c r="H59" s="61">
        <f t="shared" si="0"/>
        <v>44326</v>
      </c>
    </row>
    <row r="60" spans="3:8" ht="14.25" customHeight="1" x14ac:dyDescent="0.2">
      <c r="C60" s="12" t="s">
        <v>88</v>
      </c>
      <c r="D60" s="57" t="s">
        <v>865</v>
      </c>
      <c r="E60" s="60">
        <v>44326</v>
      </c>
      <c r="F60" s="58">
        <v>1050</v>
      </c>
      <c r="G60" s="12" t="s">
        <v>1689</v>
      </c>
      <c r="H60" s="61">
        <f t="shared" si="0"/>
        <v>44326</v>
      </c>
    </row>
    <row r="61" spans="3:8" ht="14.25" customHeight="1" x14ac:dyDescent="0.2">
      <c r="C61" s="12" t="s">
        <v>83</v>
      </c>
      <c r="D61" s="57" t="s">
        <v>905</v>
      </c>
      <c r="E61" s="60">
        <v>44326</v>
      </c>
      <c r="F61" s="58">
        <v>866.6</v>
      </c>
      <c r="G61" s="12" t="s">
        <v>1689</v>
      </c>
      <c r="H61" s="61">
        <f t="shared" si="0"/>
        <v>44326</v>
      </c>
    </row>
    <row r="62" spans="3:8" ht="14.25" customHeight="1" x14ac:dyDescent="0.2">
      <c r="C62" s="12" t="s">
        <v>56</v>
      </c>
      <c r="D62" s="57" t="s">
        <v>910</v>
      </c>
      <c r="E62" s="60">
        <v>44326</v>
      </c>
      <c r="F62" s="58">
        <f>6078+4284+5083+2763-4284-2763</f>
        <v>11161</v>
      </c>
      <c r="G62" s="12" t="s">
        <v>1689</v>
      </c>
      <c r="H62" s="61">
        <f t="shared" si="0"/>
        <v>44326</v>
      </c>
    </row>
    <row r="63" spans="3:8" ht="14.25" customHeight="1" x14ac:dyDescent="0.2">
      <c r="C63" s="12" t="s">
        <v>56</v>
      </c>
      <c r="D63" s="57" t="s">
        <v>911</v>
      </c>
      <c r="E63" s="60">
        <v>44326</v>
      </c>
      <c r="F63" s="58">
        <f>376.58+750.09+623.06</f>
        <v>1749.73</v>
      </c>
      <c r="G63" s="12" t="s">
        <v>1689</v>
      </c>
      <c r="H63" s="61">
        <f t="shared" si="0"/>
        <v>44326</v>
      </c>
    </row>
    <row r="64" spans="3:8" ht="14.25" customHeight="1" x14ac:dyDescent="0.2">
      <c r="C64" s="12" t="s">
        <v>83</v>
      </c>
      <c r="D64" s="57" t="s">
        <v>206</v>
      </c>
      <c r="E64" s="60">
        <v>44326</v>
      </c>
      <c r="F64" s="58">
        <v>2826</v>
      </c>
      <c r="G64" s="12" t="s">
        <v>1689</v>
      </c>
      <c r="H64" s="61">
        <f t="shared" si="0"/>
        <v>44326</v>
      </c>
    </row>
    <row r="65" spans="3:8" ht="14.25" customHeight="1" x14ac:dyDescent="0.2">
      <c r="C65" s="12" t="s">
        <v>96</v>
      </c>
      <c r="D65" s="57" t="s">
        <v>156</v>
      </c>
      <c r="E65" s="60">
        <v>44326</v>
      </c>
      <c r="F65" s="58">
        <v>1350</v>
      </c>
      <c r="G65" s="12" t="s">
        <v>1689</v>
      </c>
      <c r="H65" s="61">
        <f t="shared" si="0"/>
        <v>44326</v>
      </c>
    </row>
    <row r="66" spans="3:8" ht="14.25" customHeight="1" x14ac:dyDescent="0.2">
      <c r="C66" s="12" t="s">
        <v>192</v>
      </c>
      <c r="D66" s="57" t="s">
        <v>895</v>
      </c>
      <c r="E66" s="60">
        <v>44326</v>
      </c>
      <c r="F66" s="58">
        <v>678.44</v>
      </c>
      <c r="G66" s="12" t="s">
        <v>1689</v>
      </c>
      <c r="H66" s="61">
        <f t="shared" ref="H66:H129" si="1">VLOOKUP(E66,$E$2815:$H$2864,4,FALSE)</f>
        <v>44326</v>
      </c>
    </row>
    <row r="67" spans="3:8" ht="14.25" customHeight="1" x14ac:dyDescent="0.2">
      <c r="C67" s="12" t="s">
        <v>192</v>
      </c>
      <c r="D67" s="57" t="s">
        <v>894</v>
      </c>
      <c r="E67" s="60">
        <v>44326</v>
      </c>
      <c r="F67" s="58">
        <v>235.9</v>
      </c>
      <c r="G67" s="12" t="s">
        <v>1689</v>
      </c>
      <c r="H67" s="61">
        <f t="shared" si="1"/>
        <v>44326</v>
      </c>
    </row>
    <row r="68" spans="3:8" ht="14.25" customHeight="1" x14ac:dyDescent="0.2">
      <c r="C68" s="12" t="s">
        <v>56</v>
      </c>
      <c r="D68" s="57" t="s">
        <v>886</v>
      </c>
      <c r="E68" s="60">
        <v>44326</v>
      </c>
      <c r="F68" s="58">
        <v>114</v>
      </c>
      <c r="G68" s="12" t="s">
        <v>1689</v>
      </c>
      <c r="H68" s="61">
        <f t="shared" si="1"/>
        <v>44326</v>
      </c>
    </row>
    <row r="69" spans="3:8" ht="14.25" customHeight="1" x14ac:dyDescent="0.2">
      <c r="C69" s="12" t="s">
        <v>84</v>
      </c>
      <c r="D69" s="57" t="s">
        <v>260</v>
      </c>
      <c r="E69" s="60">
        <v>44327</v>
      </c>
      <c r="F69" s="58">
        <v>186</v>
      </c>
      <c r="G69" s="12" t="s">
        <v>1676</v>
      </c>
      <c r="H69" s="61">
        <f t="shared" si="1"/>
        <v>44327</v>
      </c>
    </row>
    <row r="70" spans="3:8" ht="14.25" customHeight="1" x14ac:dyDescent="0.2">
      <c r="C70" s="12" t="s">
        <v>170</v>
      </c>
      <c r="D70" s="57" t="s">
        <v>914</v>
      </c>
      <c r="E70" s="60">
        <v>44327</v>
      </c>
      <c r="F70" s="58">
        <v>4318</v>
      </c>
      <c r="G70" s="12" t="s">
        <v>1689</v>
      </c>
      <c r="H70" s="61">
        <f t="shared" si="1"/>
        <v>44327</v>
      </c>
    </row>
    <row r="71" spans="3:8" ht="14.25" customHeight="1" x14ac:dyDescent="0.2">
      <c r="C71" s="12" t="s">
        <v>84</v>
      </c>
      <c r="D71" s="57" t="s">
        <v>834</v>
      </c>
      <c r="E71" s="60">
        <v>44327</v>
      </c>
      <c r="F71" s="58">
        <v>1600</v>
      </c>
      <c r="G71" s="12" t="s">
        <v>1689</v>
      </c>
      <c r="H71" s="61">
        <f t="shared" si="1"/>
        <v>44327</v>
      </c>
    </row>
    <row r="72" spans="3:8" ht="14.25" customHeight="1" x14ac:dyDescent="0.2">
      <c r="C72" s="12" t="s">
        <v>76</v>
      </c>
      <c r="D72" s="57" t="s">
        <v>812</v>
      </c>
      <c r="E72" s="60">
        <v>44327</v>
      </c>
      <c r="F72" s="58">
        <v>531</v>
      </c>
      <c r="G72" s="12" t="s">
        <v>1676</v>
      </c>
      <c r="H72" s="61">
        <f t="shared" si="1"/>
        <v>44327</v>
      </c>
    </row>
    <row r="73" spans="3:8" ht="14.25" customHeight="1" x14ac:dyDescent="0.2">
      <c r="C73" s="12" t="s">
        <v>170</v>
      </c>
      <c r="D73" s="57" t="s">
        <v>775</v>
      </c>
      <c r="E73" s="60">
        <v>44327</v>
      </c>
      <c r="F73" s="58">
        <v>1020.1</v>
      </c>
      <c r="G73" s="12" t="s">
        <v>1676</v>
      </c>
      <c r="H73" s="61">
        <f t="shared" si="1"/>
        <v>44327</v>
      </c>
    </row>
    <row r="74" spans="3:8" ht="14.25" customHeight="1" x14ac:dyDescent="0.2">
      <c r="C74" s="12" t="s">
        <v>170</v>
      </c>
      <c r="D74" s="57" t="s">
        <v>908</v>
      </c>
      <c r="E74" s="60">
        <v>44327</v>
      </c>
      <c r="F74" s="58">
        <v>844.6</v>
      </c>
      <c r="G74" s="12" t="s">
        <v>1676</v>
      </c>
      <c r="H74" s="61">
        <f t="shared" si="1"/>
        <v>44327</v>
      </c>
    </row>
    <row r="75" spans="3:8" ht="14.25" customHeight="1" x14ac:dyDescent="0.2">
      <c r="C75" s="12" t="s">
        <v>72</v>
      </c>
      <c r="D75" s="57" t="s">
        <v>1777</v>
      </c>
      <c r="E75" s="60">
        <v>44327</v>
      </c>
      <c r="F75" s="58">
        <v>2000</v>
      </c>
      <c r="G75" s="12" t="s">
        <v>1688</v>
      </c>
      <c r="H75" s="61">
        <f t="shared" si="1"/>
        <v>44327</v>
      </c>
    </row>
    <row r="76" spans="3:8" ht="14.25" customHeight="1" x14ac:dyDescent="0.2">
      <c r="C76" s="12" t="s">
        <v>72</v>
      </c>
      <c r="D76" s="57" t="s">
        <v>1707</v>
      </c>
      <c r="E76" s="60">
        <v>44327</v>
      </c>
      <c r="F76" s="58">
        <v>2500</v>
      </c>
      <c r="G76" s="12" t="s">
        <v>1688</v>
      </c>
      <c r="H76" s="61">
        <f t="shared" si="1"/>
        <v>44327</v>
      </c>
    </row>
    <row r="77" spans="3:8" ht="14.25" customHeight="1" x14ac:dyDescent="0.2">
      <c r="C77" s="12" t="s">
        <v>83</v>
      </c>
      <c r="D77" s="57" t="s">
        <v>837</v>
      </c>
      <c r="E77" s="60">
        <v>44327</v>
      </c>
      <c r="F77" s="58">
        <v>1000</v>
      </c>
      <c r="G77" s="12" t="s">
        <v>1689</v>
      </c>
      <c r="H77" s="61">
        <f t="shared" si="1"/>
        <v>44327</v>
      </c>
    </row>
    <row r="78" spans="3:8" ht="14.25" customHeight="1" x14ac:dyDescent="0.2">
      <c r="C78" s="12" t="s">
        <v>56</v>
      </c>
      <c r="D78" s="57" t="s">
        <v>907</v>
      </c>
      <c r="E78" s="60">
        <v>44327</v>
      </c>
      <c r="F78" s="58">
        <v>2800</v>
      </c>
      <c r="G78" s="12" t="s">
        <v>1689</v>
      </c>
      <c r="H78" s="61">
        <f t="shared" si="1"/>
        <v>44327</v>
      </c>
    </row>
    <row r="79" spans="3:8" ht="14.25" customHeight="1" x14ac:dyDescent="0.2">
      <c r="C79" s="12" t="s">
        <v>135</v>
      </c>
      <c r="D79" s="57" t="s">
        <v>836</v>
      </c>
      <c r="E79" s="60">
        <v>44327</v>
      </c>
      <c r="F79" s="58">
        <v>1075</v>
      </c>
      <c r="G79" s="12" t="s">
        <v>1676</v>
      </c>
      <c r="H79" s="61">
        <f t="shared" si="1"/>
        <v>44327</v>
      </c>
    </row>
    <row r="80" spans="3:8" ht="14.25" customHeight="1" x14ac:dyDescent="0.2">
      <c r="C80" s="12" t="s">
        <v>56</v>
      </c>
      <c r="D80" s="57" t="s">
        <v>901</v>
      </c>
      <c r="E80" s="60">
        <v>44327</v>
      </c>
      <c r="F80" s="58">
        <v>594</v>
      </c>
      <c r="G80" s="12" t="s">
        <v>1689</v>
      </c>
      <c r="H80" s="61">
        <f t="shared" si="1"/>
        <v>44327</v>
      </c>
    </row>
    <row r="81" spans="3:8" ht="14.25" customHeight="1" x14ac:dyDescent="0.2">
      <c r="C81" s="12" t="s">
        <v>76</v>
      </c>
      <c r="D81" s="57" t="s">
        <v>902</v>
      </c>
      <c r="E81" s="60">
        <v>44327</v>
      </c>
      <c r="F81" s="58">
        <f>3812+4000+85</f>
        <v>7897</v>
      </c>
      <c r="G81" s="12" t="s">
        <v>1689</v>
      </c>
      <c r="H81" s="61">
        <f t="shared" si="1"/>
        <v>44327</v>
      </c>
    </row>
    <row r="82" spans="3:8" ht="14.25" customHeight="1" x14ac:dyDescent="0.2">
      <c r="C82" s="12" t="s">
        <v>164</v>
      </c>
      <c r="D82" s="57" t="s">
        <v>835</v>
      </c>
      <c r="E82" s="60">
        <v>44327</v>
      </c>
      <c r="F82" s="58">
        <v>1680</v>
      </c>
      <c r="G82" s="12" t="s">
        <v>1676</v>
      </c>
      <c r="H82" s="61">
        <f t="shared" si="1"/>
        <v>44327</v>
      </c>
    </row>
    <row r="83" spans="3:8" ht="14.25" customHeight="1" x14ac:dyDescent="0.2">
      <c r="C83" s="12" t="s">
        <v>76</v>
      </c>
      <c r="D83" s="57" t="s">
        <v>916</v>
      </c>
      <c r="E83" s="60">
        <v>44327</v>
      </c>
      <c r="F83" s="58">
        <v>1833.6</v>
      </c>
      <c r="G83" s="12" t="s">
        <v>1689</v>
      </c>
      <c r="H83" s="61">
        <f t="shared" si="1"/>
        <v>44327</v>
      </c>
    </row>
    <row r="84" spans="3:8" ht="14.25" customHeight="1" x14ac:dyDescent="0.2">
      <c r="C84" s="12" t="s">
        <v>77</v>
      </c>
      <c r="D84" s="57" t="s">
        <v>913</v>
      </c>
      <c r="E84" s="60">
        <v>44327</v>
      </c>
      <c r="F84" s="58">
        <v>225.94</v>
      </c>
      <c r="G84" s="12" t="s">
        <v>1689</v>
      </c>
      <c r="H84" s="61">
        <f t="shared" si="1"/>
        <v>44327</v>
      </c>
    </row>
    <row r="85" spans="3:8" ht="14.25" customHeight="1" x14ac:dyDescent="0.2">
      <c r="C85" s="12" t="s">
        <v>159</v>
      </c>
      <c r="D85" s="57" t="s">
        <v>214</v>
      </c>
      <c r="E85" s="60">
        <v>44327</v>
      </c>
      <c r="F85" s="58">
        <v>993.84</v>
      </c>
      <c r="G85" s="12" t="s">
        <v>1689</v>
      </c>
      <c r="H85" s="61">
        <f t="shared" si="1"/>
        <v>44327</v>
      </c>
    </row>
    <row r="86" spans="3:8" ht="14.25" customHeight="1" x14ac:dyDescent="0.2">
      <c r="C86" s="12" t="s">
        <v>159</v>
      </c>
      <c r="D86" s="57" t="s">
        <v>521</v>
      </c>
      <c r="E86" s="60">
        <v>44327</v>
      </c>
      <c r="F86" s="58">
        <v>774.68</v>
      </c>
      <c r="G86" s="12" t="s">
        <v>1689</v>
      </c>
      <c r="H86" s="61">
        <f t="shared" si="1"/>
        <v>44327</v>
      </c>
    </row>
    <row r="87" spans="3:8" ht="14.25" customHeight="1" x14ac:dyDescent="0.2">
      <c r="C87" s="12" t="s">
        <v>159</v>
      </c>
      <c r="D87" s="57" t="s">
        <v>214</v>
      </c>
      <c r="E87" s="60">
        <v>44327</v>
      </c>
      <c r="F87" s="58">
        <v>755.56</v>
      </c>
      <c r="G87" s="12" t="s">
        <v>1689</v>
      </c>
      <c r="H87" s="61">
        <f t="shared" si="1"/>
        <v>44327</v>
      </c>
    </row>
    <row r="88" spans="3:8" ht="14.25" customHeight="1" x14ac:dyDescent="0.2">
      <c r="C88" s="12" t="s">
        <v>56</v>
      </c>
      <c r="D88" s="57" t="s">
        <v>888</v>
      </c>
      <c r="E88" s="60">
        <v>44327</v>
      </c>
      <c r="F88" s="58">
        <v>354</v>
      </c>
      <c r="G88" s="12" t="s">
        <v>1689</v>
      </c>
      <c r="H88" s="61">
        <f t="shared" si="1"/>
        <v>44327</v>
      </c>
    </row>
    <row r="89" spans="3:8" ht="14.25" customHeight="1" x14ac:dyDescent="0.2">
      <c r="C89" s="12" t="s">
        <v>187</v>
      </c>
      <c r="D89" s="57" t="s">
        <v>904</v>
      </c>
      <c r="E89" s="60">
        <v>44328</v>
      </c>
      <c r="F89" s="58">
        <v>413.24</v>
      </c>
      <c r="G89" s="12" t="s">
        <v>1689</v>
      </c>
      <c r="H89" s="61">
        <f t="shared" si="1"/>
        <v>44328</v>
      </c>
    </row>
    <row r="90" spans="3:8" ht="14.25" customHeight="1" x14ac:dyDescent="0.2">
      <c r="C90" s="12" t="s">
        <v>192</v>
      </c>
      <c r="D90" s="57" t="s">
        <v>870</v>
      </c>
      <c r="E90" s="60">
        <v>44328</v>
      </c>
      <c r="F90" s="58">
        <v>1025</v>
      </c>
      <c r="G90" s="12" t="s">
        <v>1689</v>
      </c>
      <c r="H90" s="61">
        <f t="shared" si="1"/>
        <v>44328</v>
      </c>
    </row>
    <row r="91" spans="3:8" ht="14.25" customHeight="1" x14ac:dyDescent="0.2">
      <c r="C91" s="12" t="s">
        <v>192</v>
      </c>
      <c r="D91" s="57" t="s">
        <v>1776</v>
      </c>
      <c r="E91" s="60">
        <v>44328</v>
      </c>
      <c r="F91" s="58">
        <v>1295.1500000000001</v>
      </c>
      <c r="G91" s="12" t="s">
        <v>1689</v>
      </c>
      <c r="H91" s="61">
        <f t="shared" si="1"/>
        <v>44328</v>
      </c>
    </row>
    <row r="92" spans="3:8" ht="14.25" customHeight="1" x14ac:dyDescent="0.2">
      <c r="C92" s="12" t="s">
        <v>77</v>
      </c>
      <c r="D92" s="57" t="s">
        <v>758</v>
      </c>
      <c r="E92" s="60">
        <v>44328</v>
      </c>
      <c r="F92" s="58">
        <f>42.92+1394.6+189.33</f>
        <v>1626.85</v>
      </c>
      <c r="G92" s="12" t="s">
        <v>1676</v>
      </c>
      <c r="H92" s="61">
        <f t="shared" si="1"/>
        <v>44328</v>
      </c>
    </row>
    <row r="93" spans="3:8" ht="14.25" customHeight="1" x14ac:dyDescent="0.2">
      <c r="C93" s="12" t="s">
        <v>56</v>
      </c>
      <c r="D93" s="57" t="s">
        <v>923</v>
      </c>
      <c r="E93" s="60">
        <v>44328</v>
      </c>
      <c r="F93" s="58">
        <v>643.58000000000004</v>
      </c>
      <c r="G93" s="12" t="s">
        <v>1689</v>
      </c>
      <c r="H93" s="61">
        <f t="shared" si="1"/>
        <v>44328</v>
      </c>
    </row>
    <row r="94" spans="3:8" ht="14.25" customHeight="1" x14ac:dyDescent="0.2">
      <c r="C94" s="12" t="s">
        <v>72</v>
      </c>
      <c r="D94" s="57" t="s">
        <v>65</v>
      </c>
      <c r="E94" s="60">
        <v>44328</v>
      </c>
      <c r="F94" s="58">
        <v>3000</v>
      </c>
      <c r="G94" s="12" t="s">
        <v>1688</v>
      </c>
      <c r="H94" s="61">
        <f t="shared" si="1"/>
        <v>44328</v>
      </c>
    </row>
    <row r="95" spans="3:8" ht="14.25" customHeight="1" x14ac:dyDescent="0.2">
      <c r="C95" s="12" t="s">
        <v>170</v>
      </c>
      <c r="D95" s="57" t="s">
        <v>918</v>
      </c>
      <c r="E95" s="60">
        <v>44328</v>
      </c>
      <c r="F95" s="58">
        <v>298.64999999999998</v>
      </c>
      <c r="G95" s="12" t="s">
        <v>1676</v>
      </c>
      <c r="H95" s="61">
        <f t="shared" si="1"/>
        <v>44328</v>
      </c>
    </row>
    <row r="96" spans="3:8" ht="14.25" customHeight="1" x14ac:dyDescent="0.2">
      <c r="C96" s="12" t="s">
        <v>732</v>
      </c>
      <c r="D96" s="57" t="s">
        <v>928</v>
      </c>
      <c r="E96" s="60">
        <v>44328</v>
      </c>
      <c r="F96" s="58">
        <v>207.26</v>
      </c>
      <c r="G96" s="12" t="s">
        <v>1676</v>
      </c>
      <c r="H96" s="61">
        <f t="shared" si="1"/>
        <v>44328</v>
      </c>
    </row>
    <row r="97" spans="3:8" ht="14.25" customHeight="1" x14ac:dyDescent="0.2">
      <c r="C97" s="12" t="s">
        <v>117</v>
      </c>
      <c r="D97" s="57" t="s">
        <v>825</v>
      </c>
      <c r="E97" s="60">
        <v>44328</v>
      </c>
      <c r="F97" s="58">
        <v>604.70000000000005</v>
      </c>
      <c r="G97" s="12" t="s">
        <v>1676</v>
      </c>
      <c r="H97" s="61">
        <f t="shared" si="1"/>
        <v>44328</v>
      </c>
    </row>
    <row r="98" spans="3:8" ht="14.25" customHeight="1" x14ac:dyDescent="0.2">
      <c r="C98" s="12" t="s">
        <v>159</v>
      </c>
      <c r="D98" s="57" t="s">
        <v>903</v>
      </c>
      <c r="E98" s="60">
        <v>44328</v>
      </c>
      <c r="F98" s="58">
        <v>328.97</v>
      </c>
      <c r="G98" s="12" t="s">
        <v>1689</v>
      </c>
      <c r="H98" s="61">
        <f t="shared" si="1"/>
        <v>44328</v>
      </c>
    </row>
    <row r="99" spans="3:8" ht="13.5" customHeight="1" x14ac:dyDescent="0.2">
      <c r="C99" s="12" t="s">
        <v>73</v>
      </c>
      <c r="D99" s="57" t="s">
        <v>792</v>
      </c>
      <c r="E99" s="60">
        <v>44328</v>
      </c>
      <c r="F99" s="58">
        <v>88.78</v>
      </c>
      <c r="G99" s="12" t="s">
        <v>1676</v>
      </c>
      <c r="H99" s="61">
        <f t="shared" si="1"/>
        <v>44328</v>
      </c>
    </row>
    <row r="100" spans="3:8" ht="13.5" customHeight="1" x14ac:dyDescent="0.2">
      <c r="C100" s="12" t="s">
        <v>170</v>
      </c>
      <c r="D100" s="57" t="s">
        <v>900</v>
      </c>
      <c r="E100" s="60">
        <v>44328</v>
      </c>
      <c r="F100" s="58">
        <v>90.05</v>
      </c>
      <c r="G100" s="12" t="s">
        <v>1676</v>
      </c>
      <c r="H100" s="61">
        <f t="shared" si="1"/>
        <v>44328</v>
      </c>
    </row>
    <row r="101" spans="3:8" ht="13.5" customHeight="1" x14ac:dyDescent="0.2">
      <c r="C101" s="12" t="s">
        <v>83</v>
      </c>
      <c r="D101" s="57" t="s">
        <v>535</v>
      </c>
      <c r="E101" s="60">
        <v>44328</v>
      </c>
      <c r="F101" s="58">
        <v>456</v>
      </c>
      <c r="G101" s="12" t="s">
        <v>1689</v>
      </c>
      <c r="H101" s="61">
        <f t="shared" si="1"/>
        <v>44328</v>
      </c>
    </row>
    <row r="102" spans="3:8" ht="13.5" customHeight="1" x14ac:dyDescent="0.2">
      <c r="C102" s="12" t="s">
        <v>159</v>
      </c>
      <c r="D102" s="57" t="s">
        <v>508</v>
      </c>
      <c r="E102" s="60">
        <v>44329</v>
      </c>
      <c r="F102" s="58">
        <v>239.55</v>
      </c>
      <c r="G102" s="12" t="s">
        <v>1689</v>
      </c>
      <c r="H102" s="61">
        <f t="shared" si="1"/>
        <v>44329</v>
      </c>
    </row>
    <row r="103" spans="3:8" ht="13.5" customHeight="1" x14ac:dyDescent="0.2">
      <c r="C103" s="12" t="s">
        <v>732</v>
      </c>
      <c r="D103" s="57" t="s">
        <v>925</v>
      </c>
      <c r="E103" s="60">
        <v>44329</v>
      </c>
      <c r="F103" s="58">
        <v>500</v>
      </c>
      <c r="G103" s="12" t="s">
        <v>1676</v>
      </c>
      <c r="H103" s="61">
        <f t="shared" si="1"/>
        <v>44329</v>
      </c>
    </row>
    <row r="104" spans="3:8" ht="13.5" customHeight="1" x14ac:dyDescent="0.2">
      <c r="C104" s="12" t="s">
        <v>159</v>
      </c>
      <c r="D104" s="57" t="s">
        <v>930</v>
      </c>
      <c r="E104" s="60">
        <v>44329</v>
      </c>
      <c r="F104" s="58">
        <v>535.82000000000005</v>
      </c>
      <c r="G104" s="12" t="s">
        <v>1689</v>
      </c>
      <c r="H104" s="61">
        <f t="shared" si="1"/>
        <v>44329</v>
      </c>
    </row>
    <row r="105" spans="3:8" ht="13.5" customHeight="1" x14ac:dyDescent="0.2">
      <c r="C105" s="12" t="s">
        <v>159</v>
      </c>
      <c r="D105" s="57" t="s">
        <v>929</v>
      </c>
      <c r="E105" s="60">
        <v>44329</v>
      </c>
      <c r="F105" s="58">
        <v>305.10000000000002</v>
      </c>
      <c r="G105" s="12" t="s">
        <v>1689</v>
      </c>
      <c r="H105" s="61">
        <f t="shared" si="1"/>
        <v>44329</v>
      </c>
    </row>
    <row r="106" spans="3:8" ht="13.5" customHeight="1" x14ac:dyDescent="0.2">
      <c r="C106" s="12" t="s">
        <v>86</v>
      </c>
      <c r="D106" s="57" t="s">
        <v>747</v>
      </c>
      <c r="E106" s="60">
        <v>44329</v>
      </c>
      <c r="F106" s="58">
        <v>1288.6500000000001</v>
      </c>
      <c r="G106" s="12" t="s">
        <v>68</v>
      </c>
      <c r="H106" s="61">
        <f t="shared" si="1"/>
        <v>44329</v>
      </c>
    </row>
    <row r="107" spans="3:8" ht="13.5" customHeight="1" x14ac:dyDescent="0.2">
      <c r="C107" s="12" t="s">
        <v>164</v>
      </c>
      <c r="D107" s="57" t="s">
        <v>763</v>
      </c>
      <c r="E107" s="60">
        <v>44329</v>
      </c>
      <c r="F107" s="58">
        <v>44</v>
      </c>
      <c r="G107" s="12" t="s">
        <v>1689</v>
      </c>
      <c r="H107" s="61">
        <f t="shared" si="1"/>
        <v>44329</v>
      </c>
    </row>
    <row r="108" spans="3:8" ht="13.5" customHeight="1" x14ac:dyDescent="0.2">
      <c r="C108" s="12" t="s">
        <v>82</v>
      </c>
      <c r="D108" s="12" t="s">
        <v>922</v>
      </c>
      <c r="E108" s="60">
        <v>44329</v>
      </c>
      <c r="F108" s="58">
        <v>1548.65</v>
      </c>
      <c r="G108" s="12" t="s">
        <v>1676</v>
      </c>
      <c r="H108" s="61">
        <f t="shared" si="1"/>
        <v>44329</v>
      </c>
    </row>
    <row r="109" spans="3:8" ht="13.5" customHeight="1" x14ac:dyDescent="0.2">
      <c r="C109" s="12" t="s">
        <v>164</v>
      </c>
      <c r="D109" s="57" t="s">
        <v>1805</v>
      </c>
      <c r="E109" s="60">
        <v>44329</v>
      </c>
      <c r="F109" s="58">
        <v>2640</v>
      </c>
      <c r="G109" s="12" t="s">
        <v>1676</v>
      </c>
      <c r="H109" s="61">
        <f t="shared" si="1"/>
        <v>44329</v>
      </c>
    </row>
    <row r="110" spans="3:8" ht="13.5" customHeight="1" x14ac:dyDescent="0.2">
      <c r="C110" s="12" t="s">
        <v>72</v>
      </c>
      <c r="D110" s="57" t="s">
        <v>802</v>
      </c>
      <c r="E110" s="60">
        <v>44329</v>
      </c>
      <c r="F110" s="58">
        <v>1805.32</v>
      </c>
      <c r="G110" s="12" t="s">
        <v>1688</v>
      </c>
      <c r="H110" s="61">
        <f t="shared" si="1"/>
        <v>44329</v>
      </c>
    </row>
    <row r="111" spans="3:8" ht="13.5" customHeight="1" x14ac:dyDescent="0.2">
      <c r="C111" s="12" t="s">
        <v>163</v>
      </c>
      <c r="D111" s="57" t="s">
        <v>655</v>
      </c>
      <c r="E111" s="60">
        <v>44329</v>
      </c>
      <c r="F111" s="58">
        <v>6421</v>
      </c>
      <c r="G111" s="12" t="s">
        <v>1689</v>
      </c>
      <c r="H111" s="61">
        <f t="shared" si="1"/>
        <v>44329</v>
      </c>
    </row>
    <row r="112" spans="3:8" ht="13.5" customHeight="1" x14ac:dyDescent="0.2">
      <c r="C112" s="12" t="s">
        <v>163</v>
      </c>
      <c r="D112" s="57" t="s">
        <v>868</v>
      </c>
      <c r="E112" s="60">
        <v>44329</v>
      </c>
      <c r="F112" s="58">
        <v>2000</v>
      </c>
      <c r="G112" s="12" t="s">
        <v>1689</v>
      </c>
      <c r="H112" s="61">
        <f t="shared" si="1"/>
        <v>44329</v>
      </c>
    </row>
    <row r="113" spans="3:8" ht="13.5" customHeight="1" x14ac:dyDescent="0.2">
      <c r="C113" s="12" t="s">
        <v>56</v>
      </c>
      <c r="D113" s="57" t="s">
        <v>892</v>
      </c>
      <c r="E113" s="60">
        <v>44329</v>
      </c>
      <c r="F113" s="58">
        <v>212</v>
      </c>
      <c r="G113" s="12" t="s">
        <v>1689</v>
      </c>
      <c r="H113" s="61">
        <f t="shared" si="1"/>
        <v>44329</v>
      </c>
    </row>
    <row r="114" spans="3:8" ht="13.5" customHeight="1" x14ac:dyDescent="0.2">
      <c r="C114" s="12" t="s">
        <v>74</v>
      </c>
      <c r="D114" s="57" t="s">
        <v>590</v>
      </c>
      <c r="E114" s="60">
        <v>44329</v>
      </c>
      <c r="F114" s="58">
        <v>1384.61</v>
      </c>
      <c r="G114" s="12" t="s">
        <v>1676</v>
      </c>
      <c r="H114" s="61">
        <f t="shared" si="1"/>
        <v>44329</v>
      </c>
    </row>
    <row r="115" spans="3:8" ht="13.5" customHeight="1" x14ac:dyDescent="0.2">
      <c r="C115" s="12" t="s">
        <v>732</v>
      </c>
      <c r="D115" s="57" t="s">
        <v>935</v>
      </c>
      <c r="E115" s="60">
        <v>44329</v>
      </c>
      <c r="F115" s="58">
        <v>26</v>
      </c>
      <c r="G115" s="12" t="s">
        <v>1689</v>
      </c>
      <c r="H115" s="61">
        <f t="shared" si="1"/>
        <v>44329</v>
      </c>
    </row>
    <row r="116" spans="3:8" ht="13.5" customHeight="1" x14ac:dyDescent="0.2">
      <c r="C116" s="12" t="s">
        <v>170</v>
      </c>
      <c r="D116" s="57" t="s">
        <v>1697</v>
      </c>
      <c r="E116" s="60">
        <v>44329</v>
      </c>
      <c r="F116" s="58">
        <v>10074.629999999999</v>
      </c>
      <c r="G116" s="12" t="s">
        <v>1689</v>
      </c>
      <c r="H116" s="61">
        <f t="shared" si="1"/>
        <v>44329</v>
      </c>
    </row>
    <row r="117" spans="3:8" ht="13.5" customHeight="1" x14ac:dyDescent="0.2">
      <c r="C117" s="12" t="s">
        <v>732</v>
      </c>
      <c r="D117" s="57" t="s">
        <v>940</v>
      </c>
      <c r="E117" s="60">
        <v>44329</v>
      </c>
      <c r="F117" s="58">
        <v>50</v>
      </c>
      <c r="G117" s="12" t="s">
        <v>1689</v>
      </c>
      <c r="H117" s="61">
        <f t="shared" si="1"/>
        <v>44329</v>
      </c>
    </row>
    <row r="118" spans="3:8" ht="13.5" customHeight="1" x14ac:dyDescent="0.2">
      <c r="C118" s="12" t="s">
        <v>56</v>
      </c>
      <c r="D118" s="57" t="s">
        <v>890</v>
      </c>
      <c r="E118" s="60">
        <v>44329</v>
      </c>
      <c r="F118" s="58">
        <v>354</v>
      </c>
      <c r="G118" s="12" t="s">
        <v>1689</v>
      </c>
      <c r="H118" s="61">
        <f t="shared" si="1"/>
        <v>44329</v>
      </c>
    </row>
    <row r="119" spans="3:8" ht="13.5" customHeight="1" x14ac:dyDescent="0.2">
      <c r="C119" s="12" t="s">
        <v>96</v>
      </c>
      <c r="D119" s="57" t="s">
        <v>493</v>
      </c>
      <c r="E119" s="60">
        <v>44330</v>
      </c>
      <c r="F119" s="58">
        <v>1971.74</v>
      </c>
      <c r="G119" s="12" t="s">
        <v>1689</v>
      </c>
      <c r="H119" s="61">
        <f t="shared" si="1"/>
        <v>44330</v>
      </c>
    </row>
    <row r="120" spans="3:8" ht="13.5" customHeight="1" x14ac:dyDescent="0.2">
      <c r="C120" s="12" t="s">
        <v>72</v>
      </c>
      <c r="D120" s="57" t="s">
        <v>1724</v>
      </c>
      <c r="E120" s="60">
        <v>44330</v>
      </c>
      <c r="F120" s="58">
        <v>1562.19</v>
      </c>
      <c r="G120" s="12" t="s">
        <v>1688</v>
      </c>
      <c r="H120" s="61">
        <f t="shared" si="1"/>
        <v>44330</v>
      </c>
    </row>
    <row r="121" spans="3:8" ht="13.5" customHeight="1" x14ac:dyDescent="0.2">
      <c r="C121" s="12" t="s">
        <v>77</v>
      </c>
      <c r="D121" s="57" t="s">
        <v>797</v>
      </c>
      <c r="E121" s="60">
        <v>44330</v>
      </c>
      <c r="F121" s="58">
        <v>380.52</v>
      </c>
      <c r="G121" s="12" t="s">
        <v>64</v>
      </c>
      <c r="H121" s="61">
        <f t="shared" si="1"/>
        <v>44330</v>
      </c>
    </row>
    <row r="122" spans="3:8" ht="13.5" customHeight="1" x14ac:dyDescent="0.2">
      <c r="C122" s="12" t="s">
        <v>187</v>
      </c>
      <c r="D122" s="57" t="s">
        <v>936</v>
      </c>
      <c r="E122" s="60">
        <v>44330</v>
      </c>
      <c r="F122" s="58">
        <v>122</v>
      </c>
      <c r="G122" s="12" t="s">
        <v>1689</v>
      </c>
      <c r="H122" s="61">
        <f t="shared" si="1"/>
        <v>44330</v>
      </c>
    </row>
    <row r="123" spans="3:8" ht="13.5" customHeight="1" x14ac:dyDescent="0.2">
      <c r="C123" s="12" t="s">
        <v>159</v>
      </c>
      <c r="D123" s="57" t="s">
        <v>214</v>
      </c>
      <c r="E123" s="60">
        <v>44330</v>
      </c>
      <c r="F123" s="58">
        <f>933.6</f>
        <v>933.6</v>
      </c>
      <c r="G123" s="12" t="s">
        <v>1689</v>
      </c>
      <c r="H123" s="61">
        <f t="shared" si="1"/>
        <v>44330</v>
      </c>
    </row>
    <row r="124" spans="3:8" ht="13.5" customHeight="1" x14ac:dyDescent="0.2">
      <c r="C124" s="12" t="s">
        <v>72</v>
      </c>
      <c r="D124" s="57" t="s">
        <v>1778</v>
      </c>
      <c r="E124" s="60">
        <v>44330</v>
      </c>
      <c r="F124" s="58">
        <v>299.25</v>
      </c>
      <c r="G124" s="12" t="s">
        <v>1688</v>
      </c>
      <c r="H124" s="61">
        <f t="shared" si="1"/>
        <v>44330</v>
      </c>
    </row>
    <row r="125" spans="3:8" ht="13.5" customHeight="1" x14ac:dyDescent="0.2">
      <c r="C125" s="12" t="s">
        <v>135</v>
      </c>
      <c r="D125" s="57" t="s">
        <v>168</v>
      </c>
      <c r="E125" s="60">
        <v>44330</v>
      </c>
      <c r="F125" s="58">
        <v>2978.25</v>
      </c>
      <c r="G125" s="12" t="s">
        <v>1676</v>
      </c>
      <c r="H125" s="61">
        <f t="shared" si="1"/>
        <v>44330</v>
      </c>
    </row>
    <row r="126" spans="3:8" ht="13.5" customHeight="1" x14ac:dyDescent="0.2">
      <c r="C126" s="12" t="s">
        <v>149</v>
      </c>
      <c r="D126" s="57" t="s">
        <v>942</v>
      </c>
      <c r="E126" s="60">
        <v>44330</v>
      </c>
      <c r="F126" s="58">
        <v>125</v>
      </c>
      <c r="G126" s="12" t="s">
        <v>1676</v>
      </c>
      <c r="H126" s="61">
        <f t="shared" si="1"/>
        <v>44330</v>
      </c>
    </row>
    <row r="127" spans="3:8" ht="13.5" customHeight="1" x14ac:dyDescent="0.2">
      <c r="C127" s="12" t="s">
        <v>84</v>
      </c>
      <c r="D127" s="57" t="s">
        <v>941</v>
      </c>
      <c r="E127" s="60">
        <v>44330</v>
      </c>
      <c r="F127" s="58">
        <v>166.25</v>
      </c>
      <c r="G127" s="12" t="s">
        <v>1676</v>
      </c>
      <c r="H127" s="61">
        <f t="shared" si="1"/>
        <v>44330</v>
      </c>
    </row>
    <row r="128" spans="3:8" ht="13.5" customHeight="1" x14ac:dyDescent="0.2">
      <c r="C128" s="12" t="s">
        <v>173</v>
      </c>
      <c r="D128" s="57" t="s">
        <v>719</v>
      </c>
      <c r="E128" s="60">
        <v>44330</v>
      </c>
      <c r="F128" s="58">
        <v>675</v>
      </c>
      <c r="G128" s="12" t="s">
        <v>1676</v>
      </c>
      <c r="H128" s="61">
        <f t="shared" si="1"/>
        <v>44330</v>
      </c>
    </row>
    <row r="129" spans="3:8" ht="13.5" customHeight="1" x14ac:dyDescent="0.2">
      <c r="C129" s="12" t="s">
        <v>75</v>
      </c>
      <c r="D129" s="57" t="s">
        <v>785</v>
      </c>
      <c r="E129" s="60">
        <v>44330</v>
      </c>
      <c r="F129" s="58">
        <v>5000</v>
      </c>
      <c r="G129" s="12" t="s">
        <v>1689</v>
      </c>
      <c r="H129" s="61">
        <f t="shared" si="1"/>
        <v>44330</v>
      </c>
    </row>
    <row r="130" spans="3:8" ht="13.5" customHeight="1" x14ac:dyDescent="0.2">
      <c r="C130" s="12" t="s">
        <v>96</v>
      </c>
      <c r="D130" s="57" t="s">
        <v>723</v>
      </c>
      <c r="E130" s="60">
        <v>44330</v>
      </c>
      <c r="F130" s="58">
        <v>1571.61</v>
      </c>
      <c r="G130" s="12" t="s">
        <v>1689</v>
      </c>
      <c r="H130" s="61">
        <f t="shared" ref="H130:H193" si="2">VLOOKUP(E130,$E$2815:$H$2864,4,FALSE)</f>
        <v>44330</v>
      </c>
    </row>
    <row r="131" spans="3:8" ht="13.5" customHeight="1" x14ac:dyDescent="0.2">
      <c r="C131" s="12" t="s">
        <v>192</v>
      </c>
      <c r="D131" s="57" t="s">
        <v>926</v>
      </c>
      <c r="E131" s="60">
        <v>44330</v>
      </c>
      <c r="F131" s="58">
        <f>419.52+19.96</f>
        <v>439.47999999999996</v>
      </c>
      <c r="G131" s="12" t="s">
        <v>1689</v>
      </c>
      <c r="H131" s="61">
        <f t="shared" si="2"/>
        <v>44330</v>
      </c>
    </row>
    <row r="132" spans="3:8" ht="13.5" customHeight="1" x14ac:dyDescent="0.2">
      <c r="C132" s="12" t="s">
        <v>80</v>
      </c>
      <c r="D132" s="57" t="s">
        <v>752</v>
      </c>
      <c r="E132" s="60">
        <v>44330</v>
      </c>
      <c r="F132" s="58">
        <f>201.05+176.82</f>
        <v>377.87</v>
      </c>
      <c r="G132" s="12" t="s">
        <v>1688</v>
      </c>
      <c r="H132" s="61">
        <f t="shared" si="2"/>
        <v>44330</v>
      </c>
    </row>
    <row r="133" spans="3:8" ht="13.5" customHeight="1" x14ac:dyDescent="0.2">
      <c r="C133" s="12" t="s">
        <v>80</v>
      </c>
      <c r="D133" s="57" t="s">
        <v>236</v>
      </c>
      <c r="E133" s="60">
        <v>44330</v>
      </c>
      <c r="F133" s="58">
        <v>150</v>
      </c>
      <c r="G133" s="12" t="s">
        <v>1689</v>
      </c>
      <c r="H133" s="61">
        <f t="shared" si="2"/>
        <v>44330</v>
      </c>
    </row>
    <row r="134" spans="3:8" ht="13.5" customHeight="1" x14ac:dyDescent="0.2">
      <c r="C134" s="12" t="s">
        <v>80</v>
      </c>
      <c r="D134" s="57" t="s">
        <v>1711</v>
      </c>
      <c r="E134" s="60">
        <v>44330</v>
      </c>
      <c r="F134" s="58">
        <v>350</v>
      </c>
      <c r="G134" s="12" t="s">
        <v>1688</v>
      </c>
      <c r="H134" s="61">
        <f t="shared" si="2"/>
        <v>44330</v>
      </c>
    </row>
    <row r="135" spans="3:8" ht="13.5" customHeight="1" x14ac:dyDescent="0.2">
      <c r="C135" s="12" t="s">
        <v>80</v>
      </c>
      <c r="D135" s="57" t="s">
        <v>1779</v>
      </c>
      <c r="E135" s="60">
        <v>44330</v>
      </c>
      <c r="F135" s="58">
        <v>150</v>
      </c>
      <c r="G135" s="12" t="s">
        <v>1689</v>
      </c>
      <c r="H135" s="61">
        <f t="shared" si="2"/>
        <v>44330</v>
      </c>
    </row>
    <row r="136" spans="3:8" ht="13.5" customHeight="1" x14ac:dyDescent="0.2">
      <c r="C136" s="12" t="s">
        <v>924</v>
      </c>
      <c r="D136" s="57" t="s">
        <v>235</v>
      </c>
      <c r="E136" s="60">
        <v>44330</v>
      </c>
      <c r="F136" s="58">
        <v>375.21</v>
      </c>
      <c r="G136" s="12" t="s">
        <v>1689</v>
      </c>
      <c r="H136" s="61">
        <f t="shared" si="2"/>
        <v>44330</v>
      </c>
    </row>
    <row r="137" spans="3:8" ht="13.5" customHeight="1" x14ac:dyDescent="0.2">
      <c r="C137" s="12" t="s">
        <v>76</v>
      </c>
      <c r="D137" s="57" t="s">
        <v>849</v>
      </c>
      <c r="E137" s="60">
        <v>44331</v>
      </c>
      <c r="F137" s="58">
        <v>1860</v>
      </c>
      <c r="G137" s="12" t="s">
        <v>1676</v>
      </c>
      <c r="H137" s="61">
        <f t="shared" si="2"/>
        <v>44333</v>
      </c>
    </row>
    <row r="138" spans="3:8" ht="13.5" customHeight="1" x14ac:dyDescent="0.2">
      <c r="C138" s="12" t="s">
        <v>164</v>
      </c>
      <c r="D138" s="57" t="s">
        <v>595</v>
      </c>
      <c r="E138" s="60">
        <v>44332</v>
      </c>
      <c r="F138" s="58">
        <v>70</v>
      </c>
      <c r="G138" s="12" t="s">
        <v>1689</v>
      </c>
      <c r="H138" s="61">
        <f t="shared" si="2"/>
        <v>44333</v>
      </c>
    </row>
    <row r="139" spans="3:8" ht="13.5" customHeight="1" x14ac:dyDescent="0.2">
      <c r="C139" s="12" t="s">
        <v>187</v>
      </c>
      <c r="D139" s="57" t="s">
        <v>1685</v>
      </c>
      <c r="E139" s="60">
        <v>44333</v>
      </c>
      <c r="F139" s="58">
        <v>217.5</v>
      </c>
      <c r="G139" s="12" t="s">
        <v>1676</v>
      </c>
      <c r="H139" s="61">
        <f t="shared" si="2"/>
        <v>44333</v>
      </c>
    </row>
    <row r="140" spans="3:8" ht="13.5" customHeight="1" x14ac:dyDescent="0.2">
      <c r="C140" s="12" t="s">
        <v>187</v>
      </c>
      <c r="D140" s="57" t="s">
        <v>1698</v>
      </c>
      <c r="E140" s="60">
        <v>44333</v>
      </c>
      <c r="F140" s="58">
        <v>217.5</v>
      </c>
      <c r="G140" s="12" t="s">
        <v>1689</v>
      </c>
      <c r="H140" s="61">
        <f t="shared" si="2"/>
        <v>44333</v>
      </c>
    </row>
    <row r="141" spans="3:8" ht="13.5" customHeight="1" x14ac:dyDescent="0.2">
      <c r="C141" s="12" t="s">
        <v>72</v>
      </c>
      <c r="D141" s="57" t="s">
        <v>1780</v>
      </c>
      <c r="E141" s="60">
        <v>44333</v>
      </c>
      <c r="F141" s="58">
        <v>2500</v>
      </c>
      <c r="G141" s="12" t="s">
        <v>1688</v>
      </c>
      <c r="H141" s="61">
        <f t="shared" si="2"/>
        <v>44333</v>
      </c>
    </row>
    <row r="142" spans="3:8" ht="13.5" customHeight="1" x14ac:dyDescent="0.2">
      <c r="C142" s="12" t="s">
        <v>89</v>
      </c>
      <c r="D142" s="57" t="s">
        <v>90</v>
      </c>
      <c r="E142" s="60">
        <v>44333</v>
      </c>
      <c r="F142" s="58">
        <v>3594.05</v>
      </c>
      <c r="G142" s="12" t="s">
        <v>64</v>
      </c>
      <c r="H142" s="61">
        <f t="shared" si="2"/>
        <v>44333</v>
      </c>
    </row>
    <row r="143" spans="3:8" ht="13.5" customHeight="1" x14ac:dyDescent="0.2">
      <c r="C143" s="12" t="s">
        <v>89</v>
      </c>
      <c r="D143" s="57" t="s">
        <v>878</v>
      </c>
      <c r="E143" s="60">
        <v>44333</v>
      </c>
      <c r="F143" s="58">
        <v>80.25</v>
      </c>
      <c r="G143" s="12" t="s">
        <v>1676</v>
      </c>
      <c r="H143" s="61">
        <f t="shared" si="2"/>
        <v>44333</v>
      </c>
    </row>
    <row r="144" spans="3:8" ht="13.5" customHeight="1" x14ac:dyDescent="0.2">
      <c r="C144" s="12" t="s">
        <v>80</v>
      </c>
      <c r="D144" s="57" t="s">
        <v>532</v>
      </c>
      <c r="E144" s="60">
        <v>44333</v>
      </c>
      <c r="F144" s="58">
        <v>250</v>
      </c>
      <c r="G144" s="12" t="s">
        <v>1689</v>
      </c>
      <c r="H144" s="61">
        <f t="shared" si="2"/>
        <v>44333</v>
      </c>
    </row>
    <row r="145" spans="3:8" ht="13.5" customHeight="1" x14ac:dyDescent="0.2">
      <c r="C145" s="12" t="s">
        <v>170</v>
      </c>
      <c r="D145" s="57" t="s">
        <v>869</v>
      </c>
      <c r="E145" s="60">
        <v>44333</v>
      </c>
      <c r="F145" s="58">
        <v>126</v>
      </c>
      <c r="G145" s="12" t="s">
        <v>1676</v>
      </c>
      <c r="H145" s="61">
        <f t="shared" si="2"/>
        <v>44333</v>
      </c>
    </row>
    <row r="146" spans="3:8" ht="13.5" customHeight="1" x14ac:dyDescent="0.2">
      <c r="C146" s="12" t="s">
        <v>86</v>
      </c>
      <c r="D146" s="57" t="s">
        <v>85</v>
      </c>
      <c r="E146" s="60">
        <v>44333</v>
      </c>
      <c r="F146" s="16">
        <v>84</v>
      </c>
      <c r="G146" s="12" t="s">
        <v>1689</v>
      </c>
      <c r="H146" s="61">
        <f t="shared" si="2"/>
        <v>44333</v>
      </c>
    </row>
    <row r="147" spans="3:8" ht="13.5" customHeight="1" x14ac:dyDescent="0.2">
      <c r="C147" s="12" t="s">
        <v>117</v>
      </c>
      <c r="D147" s="57" t="s">
        <v>442</v>
      </c>
      <c r="E147" s="60">
        <v>44333</v>
      </c>
      <c r="F147" s="58">
        <v>566.66</v>
      </c>
      <c r="G147" s="12" t="s">
        <v>1676</v>
      </c>
      <c r="H147" s="61">
        <f t="shared" si="2"/>
        <v>44333</v>
      </c>
    </row>
    <row r="148" spans="3:8" ht="13.5" customHeight="1" x14ac:dyDescent="0.2">
      <c r="C148" s="12" t="s">
        <v>84</v>
      </c>
      <c r="D148" s="57" t="s">
        <v>938</v>
      </c>
      <c r="E148" s="60">
        <v>44333</v>
      </c>
      <c r="F148" s="58">
        <v>3550</v>
      </c>
      <c r="G148" s="12" t="s">
        <v>1689</v>
      </c>
      <c r="H148" s="61">
        <f t="shared" si="2"/>
        <v>44333</v>
      </c>
    </row>
    <row r="149" spans="3:8" ht="13.5" customHeight="1" x14ac:dyDescent="0.2">
      <c r="C149" s="12" t="s">
        <v>149</v>
      </c>
      <c r="D149" s="57" t="s">
        <v>855</v>
      </c>
      <c r="E149" s="60">
        <v>44333</v>
      </c>
      <c r="F149" s="58">
        <v>300</v>
      </c>
      <c r="G149" s="12" t="s">
        <v>1676</v>
      </c>
      <c r="H149" s="61">
        <f t="shared" si="2"/>
        <v>44333</v>
      </c>
    </row>
    <row r="150" spans="3:8" ht="13.5" customHeight="1" x14ac:dyDescent="0.2">
      <c r="C150" s="12" t="s">
        <v>229</v>
      </c>
      <c r="D150" s="57" t="s">
        <v>847</v>
      </c>
      <c r="E150" s="60">
        <v>44333</v>
      </c>
      <c r="F150" s="58">
        <v>110</v>
      </c>
      <c r="G150" s="12" t="s">
        <v>1676</v>
      </c>
      <c r="H150" s="61">
        <f t="shared" si="2"/>
        <v>44333</v>
      </c>
    </row>
    <row r="151" spans="3:8" ht="13.5" customHeight="1" x14ac:dyDescent="0.2">
      <c r="C151" s="12" t="s">
        <v>170</v>
      </c>
      <c r="D151" s="57" t="s">
        <v>514</v>
      </c>
      <c r="E151" s="60">
        <v>44333</v>
      </c>
      <c r="F151" s="58">
        <v>195</v>
      </c>
      <c r="G151" s="12" t="s">
        <v>1689</v>
      </c>
      <c r="H151" s="61">
        <f t="shared" si="2"/>
        <v>44333</v>
      </c>
    </row>
    <row r="152" spans="3:8" ht="13.5" customHeight="1" x14ac:dyDescent="0.2">
      <c r="C152" s="12" t="s">
        <v>84</v>
      </c>
      <c r="D152" s="57" t="s">
        <v>920</v>
      </c>
      <c r="E152" s="60">
        <v>44333</v>
      </c>
      <c r="F152" s="58">
        <v>2000</v>
      </c>
      <c r="G152" s="12" t="s">
        <v>1676</v>
      </c>
      <c r="H152" s="61">
        <f t="shared" si="2"/>
        <v>44333</v>
      </c>
    </row>
    <row r="153" spans="3:8" ht="13.5" customHeight="1" x14ac:dyDescent="0.2">
      <c r="C153" s="12" t="s">
        <v>56</v>
      </c>
      <c r="D153" s="57" t="s">
        <v>889</v>
      </c>
      <c r="E153" s="60">
        <v>44333</v>
      </c>
      <c r="F153" s="58">
        <v>354</v>
      </c>
      <c r="G153" s="12" t="s">
        <v>1689</v>
      </c>
      <c r="H153" s="61">
        <f t="shared" si="2"/>
        <v>44333</v>
      </c>
    </row>
    <row r="154" spans="3:8" ht="13.5" customHeight="1" x14ac:dyDescent="0.2">
      <c r="C154" s="12" t="s">
        <v>83</v>
      </c>
      <c r="D154" s="57" t="s">
        <v>951</v>
      </c>
      <c r="E154" s="60">
        <v>44334</v>
      </c>
      <c r="F154" s="58">
        <v>600</v>
      </c>
      <c r="G154" s="12" t="s">
        <v>1689</v>
      </c>
      <c r="H154" s="61">
        <f t="shared" si="2"/>
        <v>44334</v>
      </c>
    </row>
    <row r="155" spans="3:8" ht="13.5" customHeight="1" x14ac:dyDescent="0.2">
      <c r="C155" s="12" t="s">
        <v>192</v>
      </c>
      <c r="D155" s="57" t="s">
        <v>954</v>
      </c>
      <c r="E155" s="60">
        <v>44334</v>
      </c>
      <c r="F155" s="58">
        <v>69.900000000000006</v>
      </c>
      <c r="G155" s="12" t="s">
        <v>1689</v>
      </c>
      <c r="H155" s="61">
        <f t="shared" si="2"/>
        <v>44334</v>
      </c>
    </row>
    <row r="156" spans="3:8" ht="13.5" customHeight="1" x14ac:dyDescent="0.2">
      <c r="C156" s="12" t="s">
        <v>56</v>
      </c>
      <c r="D156" s="57" t="s">
        <v>885</v>
      </c>
      <c r="E156" s="60">
        <v>44334</v>
      </c>
      <c r="F156" s="58">
        <v>212</v>
      </c>
      <c r="G156" s="12" t="s">
        <v>1689</v>
      </c>
      <c r="H156" s="61">
        <f t="shared" si="2"/>
        <v>44334</v>
      </c>
    </row>
    <row r="157" spans="3:8" ht="13.5" customHeight="1" x14ac:dyDescent="0.2">
      <c r="C157" s="12" t="s">
        <v>164</v>
      </c>
      <c r="D157" s="57" t="s">
        <v>748</v>
      </c>
      <c r="E157" s="60">
        <v>44334</v>
      </c>
      <c r="F157" s="58">
        <v>1181.25</v>
      </c>
      <c r="G157" s="12" t="s">
        <v>1676</v>
      </c>
      <c r="H157" s="61">
        <f t="shared" si="2"/>
        <v>44334</v>
      </c>
    </row>
    <row r="158" spans="3:8" ht="13.5" customHeight="1" x14ac:dyDescent="0.2">
      <c r="C158" s="12" t="s">
        <v>72</v>
      </c>
      <c r="D158" s="57" t="s">
        <v>927</v>
      </c>
      <c r="E158" s="60">
        <v>44334</v>
      </c>
      <c r="F158" s="58">
        <v>2000</v>
      </c>
      <c r="G158" s="12" t="s">
        <v>1689</v>
      </c>
      <c r="H158" s="61">
        <f t="shared" si="2"/>
        <v>44334</v>
      </c>
    </row>
    <row r="159" spans="3:8" ht="13.5" customHeight="1" x14ac:dyDescent="0.2">
      <c r="C159" s="12" t="s">
        <v>80</v>
      </c>
      <c r="D159" s="57" t="s">
        <v>960</v>
      </c>
      <c r="E159" s="60">
        <v>44335</v>
      </c>
      <c r="F159" s="58">
        <v>60</v>
      </c>
      <c r="G159" s="12" t="s">
        <v>1689</v>
      </c>
      <c r="H159" s="61">
        <f t="shared" si="2"/>
        <v>44335</v>
      </c>
    </row>
    <row r="160" spans="3:8" ht="13.5" customHeight="1" x14ac:dyDescent="0.2">
      <c r="C160" s="12" t="s">
        <v>89</v>
      </c>
      <c r="D160" s="57" t="s">
        <v>961</v>
      </c>
      <c r="E160" s="60">
        <v>44335</v>
      </c>
      <c r="F160" s="58">
        <v>898.49</v>
      </c>
      <c r="G160" s="12" t="s">
        <v>1689</v>
      </c>
      <c r="H160" s="61">
        <f t="shared" si="2"/>
        <v>44335</v>
      </c>
    </row>
    <row r="161" spans="3:8" ht="13.5" customHeight="1" x14ac:dyDescent="0.2">
      <c r="C161" s="12" t="s">
        <v>83</v>
      </c>
      <c r="D161" s="57" t="s">
        <v>207</v>
      </c>
      <c r="E161" s="60">
        <v>44335</v>
      </c>
      <c r="F161" s="58">
        <v>2826</v>
      </c>
      <c r="G161" s="12" t="s">
        <v>1689</v>
      </c>
      <c r="H161" s="61">
        <f t="shared" si="2"/>
        <v>44335</v>
      </c>
    </row>
    <row r="162" spans="3:8" ht="13.5" customHeight="1" x14ac:dyDescent="0.2">
      <c r="C162" s="12" t="s">
        <v>159</v>
      </c>
      <c r="D162" s="57" t="s">
        <v>376</v>
      </c>
      <c r="E162" s="60">
        <v>44335</v>
      </c>
      <c r="F162" s="58">
        <f>439.73+89.61</f>
        <v>529.34</v>
      </c>
      <c r="G162" s="12" t="s">
        <v>1689</v>
      </c>
      <c r="H162" s="61">
        <f t="shared" si="2"/>
        <v>44335</v>
      </c>
    </row>
    <row r="163" spans="3:8" ht="13.5" customHeight="1" x14ac:dyDescent="0.2">
      <c r="C163" s="12" t="s">
        <v>163</v>
      </c>
      <c r="D163" s="57" t="s">
        <v>921</v>
      </c>
      <c r="E163" s="60">
        <v>44336</v>
      </c>
      <c r="F163" s="58">
        <v>4750</v>
      </c>
      <c r="G163" s="12" t="s">
        <v>1689</v>
      </c>
      <c r="H163" s="61">
        <f t="shared" si="2"/>
        <v>44336</v>
      </c>
    </row>
    <row r="164" spans="3:8" ht="13.5" customHeight="1" x14ac:dyDescent="0.2">
      <c r="C164" s="12" t="s">
        <v>72</v>
      </c>
      <c r="D164" s="57" t="s">
        <v>1707</v>
      </c>
      <c r="E164" s="60">
        <v>44336</v>
      </c>
      <c r="F164" s="58">
        <v>300</v>
      </c>
      <c r="G164" s="12" t="s">
        <v>1689</v>
      </c>
      <c r="H164" s="61">
        <f t="shared" si="2"/>
        <v>44336</v>
      </c>
    </row>
    <row r="165" spans="3:8" ht="13.5" customHeight="1" x14ac:dyDescent="0.2">
      <c r="C165" s="12" t="s">
        <v>80</v>
      </c>
      <c r="D165" s="57" t="s">
        <v>236</v>
      </c>
      <c r="E165" s="60">
        <v>44336</v>
      </c>
      <c r="F165" s="58">
        <v>100</v>
      </c>
      <c r="G165" s="12" t="s">
        <v>1689</v>
      </c>
      <c r="H165" s="61">
        <f t="shared" si="2"/>
        <v>44336</v>
      </c>
    </row>
    <row r="166" spans="3:8" ht="13.5" customHeight="1" x14ac:dyDescent="0.2">
      <c r="C166" s="12" t="s">
        <v>924</v>
      </c>
      <c r="D166" s="57" t="s">
        <v>235</v>
      </c>
      <c r="E166" s="60">
        <v>44336</v>
      </c>
      <c r="F166" s="58">
        <v>352.85</v>
      </c>
      <c r="G166" s="12" t="s">
        <v>1689</v>
      </c>
      <c r="H166" s="61">
        <f t="shared" si="2"/>
        <v>44336</v>
      </c>
    </row>
    <row r="167" spans="3:8" ht="13.5" customHeight="1" x14ac:dyDescent="0.2">
      <c r="C167" s="12" t="s">
        <v>74</v>
      </c>
      <c r="D167" s="57" t="s">
        <v>69</v>
      </c>
      <c r="E167" s="60">
        <v>44336</v>
      </c>
      <c r="F167" s="58">
        <v>970.56</v>
      </c>
      <c r="G167" s="12" t="s">
        <v>1676</v>
      </c>
      <c r="H167" s="61">
        <f t="shared" si="2"/>
        <v>44336</v>
      </c>
    </row>
    <row r="168" spans="3:8" ht="13.5" customHeight="1" x14ac:dyDescent="0.2">
      <c r="C168" s="12" t="s">
        <v>74</v>
      </c>
      <c r="D168" s="57" t="s">
        <v>69</v>
      </c>
      <c r="E168" s="60">
        <v>44336</v>
      </c>
      <c r="F168" s="58">
        <v>11149.69</v>
      </c>
      <c r="G168" s="12" t="s">
        <v>1689</v>
      </c>
      <c r="H168" s="61">
        <f t="shared" si="2"/>
        <v>44336</v>
      </c>
    </row>
    <row r="169" spans="3:8" ht="13.5" customHeight="1" x14ac:dyDescent="0.2">
      <c r="C169" s="12" t="s">
        <v>159</v>
      </c>
      <c r="D169" s="57" t="s">
        <v>799</v>
      </c>
      <c r="E169" s="60">
        <v>44336</v>
      </c>
      <c r="F169" s="58">
        <v>85.28</v>
      </c>
      <c r="G169" s="12" t="s">
        <v>1689</v>
      </c>
      <c r="H169" s="61">
        <f t="shared" si="2"/>
        <v>44336</v>
      </c>
    </row>
    <row r="170" spans="3:8" ht="13.5" customHeight="1" x14ac:dyDescent="0.2">
      <c r="C170" s="12" t="s">
        <v>159</v>
      </c>
      <c r="D170" s="57" t="s">
        <v>856</v>
      </c>
      <c r="E170" s="60">
        <v>44336</v>
      </c>
      <c r="F170" s="58">
        <v>288.94</v>
      </c>
      <c r="G170" s="12" t="s">
        <v>1689</v>
      </c>
      <c r="H170" s="61">
        <f t="shared" si="2"/>
        <v>44336</v>
      </c>
    </row>
    <row r="171" spans="3:8" ht="13.5" customHeight="1" x14ac:dyDescent="0.2">
      <c r="C171" s="12" t="s">
        <v>117</v>
      </c>
      <c r="D171" s="57" t="s">
        <v>967</v>
      </c>
      <c r="E171" s="60">
        <v>44336</v>
      </c>
      <c r="F171" s="58">
        <f>730+170</f>
        <v>900</v>
      </c>
      <c r="G171" s="12" t="s">
        <v>1689</v>
      </c>
      <c r="H171" s="61">
        <f t="shared" si="2"/>
        <v>44336</v>
      </c>
    </row>
    <row r="172" spans="3:8" ht="13.5" customHeight="1" x14ac:dyDescent="0.2">
      <c r="C172" s="12" t="s">
        <v>84</v>
      </c>
      <c r="D172" s="57" t="s">
        <v>939</v>
      </c>
      <c r="E172" s="60">
        <v>44336</v>
      </c>
      <c r="F172" s="58">
        <v>760</v>
      </c>
      <c r="G172" s="12" t="s">
        <v>1689</v>
      </c>
      <c r="H172" s="61">
        <f t="shared" si="2"/>
        <v>44336</v>
      </c>
    </row>
    <row r="173" spans="3:8" ht="13.5" customHeight="1" x14ac:dyDescent="0.2">
      <c r="C173" s="12" t="s">
        <v>171</v>
      </c>
      <c r="D173" s="57" t="s">
        <v>966</v>
      </c>
      <c r="E173" s="60">
        <v>44337</v>
      </c>
      <c r="F173" s="58">
        <v>141.97999999999999</v>
      </c>
      <c r="G173" s="12" t="s">
        <v>1676</v>
      </c>
      <c r="H173" s="61">
        <f t="shared" si="2"/>
        <v>44337</v>
      </c>
    </row>
    <row r="174" spans="3:8" ht="13.5" customHeight="1" x14ac:dyDescent="0.2">
      <c r="C174" s="12" t="s">
        <v>164</v>
      </c>
      <c r="D174" s="57" t="s">
        <v>953</v>
      </c>
      <c r="E174" s="60">
        <v>44337</v>
      </c>
      <c r="F174" s="58">
        <v>625</v>
      </c>
      <c r="G174" s="12" t="s">
        <v>1689</v>
      </c>
      <c r="H174" s="61">
        <f t="shared" si="2"/>
        <v>44337</v>
      </c>
    </row>
    <row r="175" spans="3:8" ht="13.5" customHeight="1" x14ac:dyDescent="0.2">
      <c r="C175" s="12" t="s">
        <v>804</v>
      </c>
      <c r="D175" s="57" t="s">
        <v>917</v>
      </c>
      <c r="E175" s="60">
        <v>44337</v>
      </c>
      <c r="F175" s="58">
        <v>180.15</v>
      </c>
      <c r="G175" s="12" t="s">
        <v>1676</v>
      </c>
      <c r="H175" s="61">
        <f t="shared" si="2"/>
        <v>44337</v>
      </c>
    </row>
    <row r="176" spans="3:8" ht="13.5" customHeight="1" x14ac:dyDescent="0.2">
      <c r="C176" s="12" t="s">
        <v>97</v>
      </c>
      <c r="D176" s="57" t="s">
        <v>946</v>
      </c>
      <c r="E176" s="60">
        <v>44337</v>
      </c>
      <c r="F176" s="58">
        <v>4800</v>
      </c>
      <c r="G176" s="12" t="s">
        <v>1676</v>
      </c>
      <c r="H176" s="61">
        <f t="shared" si="2"/>
        <v>44337</v>
      </c>
    </row>
    <row r="177" spans="3:8" ht="13.5" customHeight="1" x14ac:dyDescent="0.2">
      <c r="C177" s="12" t="s">
        <v>84</v>
      </c>
      <c r="D177" s="57" t="s">
        <v>937</v>
      </c>
      <c r="E177" s="60">
        <v>44337</v>
      </c>
      <c r="F177" s="58">
        <f>6654-2000</f>
        <v>4654</v>
      </c>
      <c r="G177" s="12" t="s">
        <v>1689</v>
      </c>
      <c r="H177" s="61">
        <f t="shared" si="2"/>
        <v>44337</v>
      </c>
    </row>
    <row r="178" spans="3:8" ht="13.5" customHeight="1" x14ac:dyDescent="0.2">
      <c r="C178" s="12" t="s">
        <v>159</v>
      </c>
      <c r="D178" s="57" t="s">
        <v>521</v>
      </c>
      <c r="E178" s="60">
        <v>44337</v>
      </c>
      <c r="F178" s="58">
        <v>906.58</v>
      </c>
      <c r="G178" s="12" t="s">
        <v>1689</v>
      </c>
      <c r="H178" s="61">
        <f t="shared" si="2"/>
        <v>44337</v>
      </c>
    </row>
    <row r="179" spans="3:8" ht="13.5" customHeight="1" x14ac:dyDescent="0.2">
      <c r="C179" s="12" t="s">
        <v>187</v>
      </c>
      <c r="D179" s="57" t="s">
        <v>968</v>
      </c>
      <c r="E179" s="60">
        <v>44337</v>
      </c>
      <c r="F179" s="58">
        <v>52</v>
      </c>
      <c r="G179" s="12" t="s">
        <v>1676</v>
      </c>
      <c r="H179" s="61">
        <f t="shared" si="2"/>
        <v>44337</v>
      </c>
    </row>
    <row r="180" spans="3:8" ht="13.5" customHeight="1" x14ac:dyDescent="0.2">
      <c r="C180" s="12" t="s">
        <v>80</v>
      </c>
      <c r="D180" s="57" t="s">
        <v>321</v>
      </c>
      <c r="E180" s="60">
        <v>44337</v>
      </c>
      <c r="F180" s="58">
        <v>120</v>
      </c>
      <c r="G180" s="12" t="s">
        <v>1689</v>
      </c>
      <c r="H180" s="61">
        <f t="shared" si="2"/>
        <v>44337</v>
      </c>
    </row>
    <row r="181" spans="3:8" ht="13.5" customHeight="1" x14ac:dyDescent="0.2">
      <c r="C181" s="12" t="s">
        <v>80</v>
      </c>
      <c r="D181" s="57" t="s">
        <v>240</v>
      </c>
      <c r="E181" s="60">
        <v>44337</v>
      </c>
      <c r="F181" s="58">
        <v>100</v>
      </c>
      <c r="G181" s="12" t="s">
        <v>1689</v>
      </c>
      <c r="H181" s="61">
        <f t="shared" si="2"/>
        <v>44337</v>
      </c>
    </row>
    <row r="182" spans="3:8" ht="13.5" customHeight="1" x14ac:dyDescent="0.2">
      <c r="C182" s="12" t="s">
        <v>72</v>
      </c>
      <c r="D182" s="57" t="s">
        <v>1711</v>
      </c>
      <c r="E182" s="60">
        <v>44337</v>
      </c>
      <c r="F182" s="58">
        <v>1000</v>
      </c>
      <c r="G182" s="12" t="s">
        <v>1688</v>
      </c>
      <c r="H182" s="61">
        <f t="shared" si="2"/>
        <v>44337</v>
      </c>
    </row>
    <row r="183" spans="3:8" ht="13.5" customHeight="1" x14ac:dyDescent="0.2">
      <c r="C183" s="12" t="s">
        <v>72</v>
      </c>
      <c r="D183" s="57" t="s">
        <v>1781</v>
      </c>
      <c r="E183" s="60">
        <v>44337</v>
      </c>
      <c r="F183" s="58">
        <v>1325.74</v>
      </c>
      <c r="G183" s="12" t="s">
        <v>1688</v>
      </c>
      <c r="H183" s="61">
        <f t="shared" si="2"/>
        <v>44337</v>
      </c>
    </row>
    <row r="184" spans="3:8" ht="13.5" customHeight="1" x14ac:dyDescent="0.2">
      <c r="C184" s="12" t="s">
        <v>75</v>
      </c>
      <c r="D184" s="57" t="s">
        <v>1028</v>
      </c>
      <c r="E184" s="60">
        <v>44337</v>
      </c>
      <c r="F184" s="58">
        <v>2500</v>
      </c>
      <c r="G184" s="12" t="s">
        <v>1689</v>
      </c>
      <c r="H184" s="61">
        <f t="shared" si="2"/>
        <v>44337</v>
      </c>
    </row>
    <row r="185" spans="3:8" ht="13.5" customHeight="1" x14ac:dyDescent="0.2">
      <c r="C185" s="12" t="s">
        <v>97</v>
      </c>
      <c r="D185" s="57" t="s">
        <v>248</v>
      </c>
      <c r="E185" s="60">
        <v>44337</v>
      </c>
      <c r="F185" s="58">
        <v>698.35</v>
      </c>
      <c r="G185" s="12" t="s">
        <v>1689</v>
      </c>
      <c r="H185" s="61">
        <f t="shared" si="2"/>
        <v>44337</v>
      </c>
    </row>
    <row r="186" spans="3:8" ht="13.5" customHeight="1" x14ac:dyDescent="0.2">
      <c r="C186" s="12" t="s">
        <v>97</v>
      </c>
      <c r="D186" s="57" t="s">
        <v>249</v>
      </c>
      <c r="E186" s="60">
        <v>44337</v>
      </c>
      <c r="F186" s="58">
        <v>402.25</v>
      </c>
      <c r="G186" s="12" t="s">
        <v>1689</v>
      </c>
      <c r="H186" s="61">
        <f t="shared" si="2"/>
        <v>44337</v>
      </c>
    </row>
    <row r="187" spans="3:8" ht="13.5" customHeight="1" x14ac:dyDescent="0.2">
      <c r="C187" s="12" t="s">
        <v>170</v>
      </c>
      <c r="D187" s="57" t="s">
        <v>975</v>
      </c>
      <c r="E187" s="60">
        <v>44337</v>
      </c>
      <c r="F187" s="58">
        <v>9.9499999999999993</v>
      </c>
      <c r="G187" s="12" t="s">
        <v>1689</v>
      </c>
      <c r="H187" s="61">
        <f t="shared" si="2"/>
        <v>44337</v>
      </c>
    </row>
    <row r="188" spans="3:8" ht="13.5" customHeight="1" x14ac:dyDescent="0.2">
      <c r="C188" s="12" t="s">
        <v>117</v>
      </c>
      <c r="D188" s="57" t="s">
        <v>510</v>
      </c>
      <c r="E188" s="60">
        <v>44337</v>
      </c>
      <c r="F188" s="58">
        <v>553.33000000000004</v>
      </c>
      <c r="G188" s="12" t="s">
        <v>1676</v>
      </c>
      <c r="H188" s="61">
        <f t="shared" si="2"/>
        <v>44337</v>
      </c>
    </row>
    <row r="189" spans="3:8" ht="13.5" customHeight="1" x14ac:dyDescent="0.2">
      <c r="C189" s="12" t="s">
        <v>88</v>
      </c>
      <c r="D189" s="57" t="s">
        <v>616</v>
      </c>
      <c r="E189" s="60">
        <v>44338</v>
      </c>
      <c r="F189" s="58">
        <v>1830</v>
      </c>
      <c r="G189" s="12" t="s">
        <v>1676</v>
      </c>
      <c r="H189" s="61">
        <f t="shared" si="2"/>
        <v>44340</v>
      </c>
    </row>
    <row r="190" spans="3:8" ht="13.5" customHeight="1" x14ac:dyDescent="0.2">
      <c r="C190" s="12" t="s">
        <v>804</v>
      </c>
      <c r="D190" s="57" t="s">
        <v>979</v>
      </c>
      <c r="E190" s="60">
        <v>44339</v>
      </c>
      <c r="F190" s="58">
        <v>27.7</v>
      </c>
      <c r="G190" s="12" t="s">
        <v>1689</v>
      </c>
      <c r="H190" s="61">
        <f t="shared" si="2"/>
        <v>44340</v>
      </c>
    </row>
    <row r="191" spans="3:8" ht="13.5" customHeight="1" x14ac:dyDescent="0.2">
      <c r="C191" s="12" t="s">
        <v>180</v>
      </c>
      <c r="D191" s="57" t="s">
        <v>1686</v>
      </c>
      <c r="E191" s="60">
        <v>44340</v>
      </c>
      <c r="F191" s="58">
        <v>1045</v>
      </c>
      <c r="G191" s="12" t="s">
        <v>181</v>
      </c>
      <c r="H191" s="61">
        <f t="shared" si="2"/>
        <v>44340</v>
      </c>
    </row>
    <row r="192" spans="3:8" ht="13.5" customHeight="1" x14ac:dyDescent="0.2">
      <c r="C192" s="12" t="s">
        <v>96</v>
      </c>
      <c r="D192" s="57" t="s">
        <v>839</v>
      </c>
      <c r="E192" s="60">
        <v>44340</v>
      </c>
      <c r="F192" s="58">
        <v>2000</v>
      </c>
      <c r="G192" s="12" t="s">
        <v>1689</v>
      </c>
      <c r="H192" s="61">
        <f t="shared" si="2"/>
        <v>44340</v>
      </c>
    </row>
    <row r="193" spans="3:8" ht="13.5" customHeight="1" x14ac:dyDescent="0.2">
      <c r="C193" s="12" t="s">
        <v>164</v>
      </c>
      <c r="D193" s="57" t="s">
        <v>595</v>
      </c>
      <c r="E193" s="60">
        <v>44340</v>
      </c>
      <c r="F193" s="58">
        <v>70</v>
      </c>
      <c r="G193" s="12" t="s">
        <v>1689</v>
      </c>
      <c r="H193" s="61">
        <f t="shared" si="2"/>
        <v>44340</v>
      </c>
    </row>
    <row r="194" spans="3:8" ht="13.5" customHeight="1" x14ac:dyDescent="0.2">
      <c r="C194" s="12" t="s">
        <v>82</v>
      </c>
      <c r="D194" s="12" t="s">
        <v>861</v>
      </c>
      <c r="E194" s="60">
        <v>44340</v>
      </c>
      <c r="F194" s="58">
        <v>308.98</v>
      </c>
      <c r="G194" s="12" t="s">
        <v>1676</v>
      </c>
      <c r="H194" s="61">
        <f t="shared" ref="H194:H257" si="3">VLOOKUP(E194,$E$2815:$H$2864,4,FALSE)</f>
        <v>44340</v>
      </c>
    </row>
    <row r="195" spans="3:8" ht="13.5" customHeight="1" x14ac:dyDescent="0.2">
      <c r="C195" s="12" t="s">
        <v>159</v>
      </c>
      <c r="D195" s="57" t="s">
        <v>214</v>
      </c>
      <c r="E195" s="60">
        <v>44340</v>
      </c>
      <c r="F195" s="58">
        <v>475.52</v>
      </c>
      <c r="G195" s="12" t="s">
        <v>1689</v>
      </c>
      <c r="H195" s="61">
        <f t="shared" si="3"/>
        <v>44340</v>
      </c>
    </row>
    <row r="196" spans="3:8" ht="13.5" customHeight="1" x14ac:dyDescent="0.2">
      <c r="C196" s="12" t="s">
        <v>82</v>
      </c>
      <c r="D196" s="57" t="s">
        <v>987</v>
      </c>
      <c r="E196" s="60">
        <v>44340</v>
      </c>
      <c r="F196" s="58">
        <v>50</v>
      </c>
      <c r="G196" s="12" t="s">
        <v>1676</v>
      </c>
      <c r="H196" s="61">
        <f t="shared" si="3"/>
        <v>44340</v>
      </c>
    </row>
    <row r="197" spans="3:8" ht="13.5" customHeight="1" x14ac:dyDescent="0.2">
      <c r="C197" s="12" t="s">
        <v>216</v>
      </c>
      <c r="D197" s="57" t="s">
        <v>502</v>
      </c>
      <c r="E197" s="60">
        <v>44341</v>
      </c>
      <c r="F197" s="58">
        <v>73.13</v>
      </c>
      <c r="G197" s="12" t="s">
        <v>1689</v>
      </c>
      <c r="H197" s="61">
        <f t="shared" si="3"/>
        <v>44341</v>
      </c>
    </row>
    <row r="198" spans="3:8" ht="13.5" customHeight="1" x14ac:dyDescent="0.2">
      <c r="C198" s="12" t="s">
        <v>164</v>
      </c>
      <c r="D198" s="57" t="s">
        <v>763</v>
      </c>
      <c r="E198" s="60">
        <v>44341</v>
      </c>
      <c r="F198" s="58">
        <v>80</v>
      </c>
      <c r="G198" s="12" t="s">
        <v>1676</v>
      </c>
      <c r="H198" s="61">
        <f t="shared" si="3"/>
        <v>44341</v>
      </c>
    </row>
    <row r="199" spans="3:8" ht="13.5" customHeight="1" x14ac:dyDescent="0.2">
      <c r="C199" s="12" t="s">
        <v>56</v>
      </c>
      <c r="D199" s="57" t="s">
        <v>988</v>
      </c>
      <c r="E199" s="60">
        <v>44341</v>
      </c>
      <c r="F199" s="58">
        <v>50</v>
      </c>
      <c r="G199" s="12" t="s">
        <v>1689</v>
      </c>
      <c r="H199" s="61">
        <f t="shared" si="3"/>
        <v>44341</v>
      </c>
    </row>
    <row r="200" spans="3:8" ht="13.5" customHeight="1" x14ac:dyDescent="0.2">
      <c r="C200" s="12" t="s">
        <v>80</v>
      </c>
      <c r="D200" s="57" t="s">
        <v>991</v>
      </c>
      <c r="E200" s="60">
        <v>44341</v>
      </c>
      <c r="F200" s="58">
        <v>50</v>
      </c>
      <c r="G200" s="12" t="s">
        <v>1689</v>
      </c>
      <c r="H200" s="61">
        <f t="shared" si="3"/>
        <v>44341</v>
      </c>
    </row>
    <row r="201" spans="3:8" ht="13.5" customHeight="1" x14ac:dyDescent="0.2">
      <c r="C201" s="12" t="s">
        <v>192</v>
      </c>
      <c r="D201" s="57" t="s">
        <v>959</v>
      </c>
      <c r="E201" s="60">
        <v>44341</v>
      </c>
      <c r="F201" s="58">
        <v>1073.23</v>
      </c>
      <c r="G201" s="12" t="s">
        <v>1689</v>
      </c>
      <c r="H201" s="61">
        <f t="shared" si="3"/>
        <v>44341</v>
      </c>
    </row>
    <row r="202" spans="3:8" ht="13.5" customHeight="1" x14ac:dyDescent="0.2">
      <c r="C202" s="12" t="s">
        <v>83</v>
      </c>
      <c r="D202" s="57" t="s">
        <v>982</v>
      </c>
      <c r="E202" s="60">
        <v>44341</v>
      </c>
      <c r="F202" s="58">
        <f>1250-300</f>
        <v>950</v>
      </c>
      <c r="G202" s="12" t="s">
        <v>1689</v>
      </c>
      <c r="H202" s="61">
        <f t="shared" si="3"/>
        <v>44341</v>
      </c>
    </row>
    <row r="203" spans="3:8" ht="13.5" customHeight="1" x14ac:dyDescent="0.2">
      <c r="C203" s="12" t="s">
        <v>89</v>
      </c>
      <c r="D203" s="57" t="s">
        <v>956</v>
      </c>
      <c r="E203" s="60">
        <v>44341</v>
      </c>
      <c r="F203" s="58">
        <v>3179.08</v>
      </c>
      <c r="G203" s="12" t="s">
        <v>1689</v>
      </c>
      <c r="H203" s="61">
        <f t="shared" si="3"/>
        <v>44341</v>
      </c>
    </row>
    <row r="204" spans="3:8" ht="13.5" customHeight="1" x14ac:dyDescent="0.2">
      <c r="C204" s="12"/>
      <c r="D204" s="57"/>
      <c r="E204" s="60">
        <v>44342</v>
      </c>
      <c r="F204" s="58">
        <v>0</v>
      </c>
      <c r="G204" s="12" t="s">
        <v>1676</v>
      </c>
      <c r="H204" s="61">
        <f t="shared" si="3"/>
        <v>44342</v>
      </c>
    </row>
    <row r="205" spans="3:8" ht="13.5" customHeight="1" x14ac:dyDescent="0.2">
      <c r="C205" s="12" t="s">
        <v>170</v>
      </c>
      <c r="D205" s="57" t="s">
        <v>918</v>
      </c>
      <c r="E205" s="60">
        <v>44343</v>
      </c>
      <c r="F205" s="58">
        <v>52.65</v>
      </c>
      <c r="G205" s="12" t="s">
        <v>1676</v>
      </c>
      <c r="H205" s="61">
        <f t="shared" si="3"/>
        <v>44343</v>
      </c>
    </row>
    <row r="206" spans="3:8" ht="13.5" customHeight="1" x14ac:dyDescent="0.2">
      <c r="C206" s="12" t="s">
        <v>622</v>
      </c>
      <c r="D206" s="57" t="s">
        <v>958</v>
      </c>
      <c r="E206" s="60">
        <v>44343</v>
      </c>
      <c r="F206" s="58">
        <v>3240</v>
      </c>
      <c r="G206" s="12" t="s">
        <v>1689</v>
      </c>
      <c r="H206" s="61">
        <f t="shared" si="3"/>
        <v>44343</v>
      </c>
    </row>
    <row r="207" spans="3:8" ht="13.5" customHeight="1" x14ac:dyDescent="0.2">
      <c r="C207" s="12" t="s">
        <v>56</v>
      </c>
      <c r="D207" s="57" t="s">
        <v>613</v>
      </c>
      <c r="E207" s="60">
        <v>44343</v>
      </c>
      <c r="F207" s="58">
        <v>11134</v>
      </c>
      <c r="G207" s="12" t="s">
        <v>1689</v>
      </c>
      <c r="H207" s="61">
        <f t="shared" si="3"/>
        <v>44343</v>
      </c>
    </row>
    <row r="208" spans="3:8" ht="13.5" customHeight="1" x14ac:dyDescent="0.2">
      <c r="C208" s="12" t="s">
        <v>56</v>
      </c>
      <c r="D208" s="57" t="s">
        <v>329</v>
      </c>
      <c r="E208" s="60">
        <v>44343</v>
      </c>
      <c r="F208" s="58">
        <v>1182</v>
      </c>
      <c r="G208" s="12" t="s">
        <v>1689</v>
      </c>
      <c r="H208" s="61">
        <f t="shared" si="3"/>
        <v>44343</v>
      </c>
    </row>
    <row r="209" spans="3:8" ht="13.5" customHeight="1" x14ac:dyDescent="0.2">
      <c r="C209" s="12" t="s">
        <v>56</v>
      </c>
      <c r="D209" s="57" t="s">
        <v>396</v>
      </c>
      <c r="E209" s="60">
        <v>44343</v>
      </c>
      <c r="F209" s="58">
        <v>3792</v>
      </c>
      <c r="G209" s="12" t="s">
        <v>1689</v>
      </c>
      <c r="H209" s="61">
        <f t="shared" si="3"/>
        <v>44343</v>
      </c>
    </row>
    <row r="210" spans="3:8" ht="13.5" customHeight="1" x14ac:dyDescent="0.2">
      <c r="C210" s="12" t="s">
        <v>72</v>
      </c>
      <c r="D210" s="57" t="s">
        <v>1725</v>
      </c>
      <c r="E210" s="60">
        <v>44343</v>
      </c>
      <c r="F210" s="58">
        <v>2135.06</v>
      </c>
      <c r="G210" s="12" t="s">
        <v>1688</v>
      </c>
      <c r="H210" s="61">
        <f t="shared" si="3"/>
        <v>44343</v>
      </c>
    </row>
    <row r="211" spans="3:8" ht="13.5" customHeight="1" x14ac:dyDescent="0.2">
      <c r="C211" s="12" t="s">
        <v>96</v>
      </c>
      <c r="D211" s="57" t="s">
        <v>125</v>
      </c>
      <c r="E211" s="60">
        <v>44343</v>
      </c>
      <c r="F211" s="58">
        <v>2000</v>
      </c>
      <c r="G211" s="12" t="s">
        <v>1689</v>
      </c>
      <c r="H211" s="61">
        <f t="shared" si="3"/>
        <v>44343</v>
      </c>
    </row>
    <row r="212" spans="3:8" ht="13.5" customHeight="1" x14ac:dyDescent="0.2">
      <c r="C212" s="12" t="s">
        <v>192</v>
      </c>
      <c r="D212" s="57" t="s">
        <v>978</v>
      </c>
      <c r="E212" s="60">
        <v>44343</v>
      </c>
      <c r="F212" s="58">
        <v>850.76</v>
      </c>
      <c r="G212" s="12" t="s">
        <v>1689</v>
      </c>
      <c r="H212" s="61">
        <f t="shared" si="3"/>
        <v>44343</v>
      </c>
    </row>
    <row r="213" spans="3:8" ht="13.5" customHeight="1" x14ac:dyDescent="0.2">
      <c r="C213" s="12" t="s">
        <v>72</v>
      </c>
      <c r="D213" s="57" t="s">
        <v>1782</v>
      </c>
      <c r="E213" s="60">
        <v>44343</v>
      </c>
      <c r="F213" s="58">
        <v>3000</v>
      </c>
      <c r="G213" s="12" t="s">
        <v>1688</v>
      </c>
      <c r="H213" s="61">
        <f t="shared" si="3"/>
        <v>44343</v>
      </c>
    </row>
    <row r="214" spans="3:8" ht="13.5" customHeight="1" x14ac:dyDescent="0.2">
      <c r="C214" s="12" t="s">
        <v>97</v>
      </c>
      <c r="D214" s="57" t="s">
        <v>946</v>
      </c>
      <c r="E214" s="60">
        <v>44343</v>
      </c>
      <c r="F214" s="58">
        <v>4800</v>
      </c>
      <c r="G214" s="12" t="s">
        <v>1676</v>
      </c>
      <c r="H214" s="61">
        <f t="shared" si="3"/>
        <v>44343</v>
      </c>
    </row>
    <row r="215" spans="3:8" ht="13.5" customHeight="1" x14ac:dyDescent="0.2">
      <c r="C215" s="12" t="s">
        <v>74</v>
      </c>
      <c r="D215" s="57" t="s">
        <v>708</v>
      </c>
      <c r="E215" s="60">
        <v>44343</v>
      </c>
      <c r="F215" s="58">
        <v>10491.35</v>
      </c>
      <c r="G215" s="12" t="s">
        <v>1689</v>
      </c>
      <c r="H215" s="61">
        <f t="shared" si="3"/>
        <v>44343</v>
      </c>
    </row>
    <row r="216" spans="3:8" ht="13.5" customHeight="1" x14ac:dyDescent="0.2">
      <c r="C216" s="12" t="s">
        <v>74</v>
      </c>
      <c r="D216" s="57" t="s">
        <v>708</v>
      </c>
      <c r="E216" s="60">
        <v>44343</v>
      </c>
      <c r="F216" s="58">
        <v>1284.82</v>
      </c>
      <c r="G216" s="12" t="s">
        <v>1676</v>
      </c>
      <c r="H216" s="61">
        <f t="shared" si="3"/>
        <v>44343</v>
      </c>
    </row>
    <row r="217" spans="3:8" ht="13.5" customHeight="1" x14ac:dyDescent="0.2">
      <c r="C217" s="12" t="s">
        <v>159</v>
      </c>
      <c r="D217" s="57" t="s">
        <v>508</v>
      </c>
      <c r="E217" s="60">
        <v>44343</v>
      </c>
      <c r="F217" s="58">
        <v>117</v>
      </c>
      <c r="G217" s="12" t="s">
        <v>1689</v>
      </c>
      <c r="H217" s="61">
        <f t="shared" si="3"/>
        <v>44343</v>
      </c>
    </row>
    <row r="218" spans="3:8" ht="12.75" customHeight="1" x14ac:dyDescent="0.2">
      <c r="C218" s="12" t="s">
        <v>159</v>
      </c>
      <c r="D218" s="57" t="s">
        <v>932</v>
      </c>
      <c r="E218" s="60">
        <v>44343</v>
      </c>
      <c r="F218" s="58">
        <v>1125</v>
      </c>
      <c r="G218" s="12" t="s">
        <v>1689</v>
      </c>
      <c r="H218" s="61">
        <f t="shared" si="3"/>
        <v>44343</v>
      </c>
    </row>
    <row r="219" spans="3:8" ht="13.5" customHeight="1" x14ac:dyDescent="0.2">
      <c r="C219" s="12" t="s">
        <v>159</v>
      </c>
      <c r="D219" s="57" t="s">
        <v>931</v>
      </c>
      <c r="E219" s="60">
        <v>44343</v>
      </c>
      <c r="F219" s="58">
        <v>1125</v>
      </c>
      <c r="G219" s="12" t="s">
        <v>1689</v>
      </c>
      <c r="H219" s="61">
        <f t="shared" si="3"/>
        <v>44343</v>
      </c>
    </row>
    <row r="220" spans="3:8" ht="13.5" customHeight="1" x14ac:dyDescent="0.2">
      <c r="C220" s="12" t="s">
        <v>159</v>
      </c>
      <c r="D220" s="57" t="s">
        <v>963</v>
      </c>
      <c r="E220" s="60">
        <v>44343</v>
      </c>
      <c r="F220" s="58">
        <v>900</v>
      </c>
      <c r="G220" s="12" t="s">
        <v>1689</v>
      </c>
      <c r="H220" s="61">
        <f t="shared" si="3"/>
        <v>44343</v>
      </c>
    </row>
    <row r="221" spans="3:8" ht="13.5" customHeight="1" x14ac:dyDescent="0.2">
      <c r="C221" s="12" t="s">
        <v>192</v>
      </c>
      <c r="D221" s="57" t="s">
        <v>981</v>
      </c>
      <c r="E221" s="60">
        <v>44344</v>
      </c>
      <c r="F221" s="58">
        <v>36.79</v>
      </c>
      <c r="G221" s="12" t="s">
        <v>1689</v>
      </c>
      <c r="H221" s="61">
        <f t="shared" si="3"/>
        <v>44344</v>
      </c>
    </row>
    <row r="222" spans="3:8" ht="13.5" customHeight="1" x14ac:dyDescent="0.2">
      <c r="C222" s="12" t="s">
        <v>192</v>
      </c>
      <c r="D222" s="57" t="s">
        <v>994</v>
      </c>
      <c r="E222" s="60">
        <v>44344</v>
      </c>
      <c r="F222" s="58">
        <v>19.43</v>
      </c>
      <c r="G222" s="12" t="s">
        <v>1689</v>
      </c>
      <c r="H222" s="61">
        <f t="shared" si="3"/>
        <v>44344</v>
      </c>
    </row>
    <row r="223" spans="3:8" ht="13.5" customHeight="1" x14ac:dyDescent="0.2">
      <c r="C223" s="12" t="s">
        <v>72</v>
      </c>
      <c r="D223" s="57" t="s">
        <v>65</v>
      </c>
      <c r="E223" s="60">
        <v>44344</v>
      </c>
      <c r="F223" s="58">
        <v>3000</v>
      </c>
      <c r="G223" s="12" t="s">
        <v>1688</v>
      </c>
      <c r="H223" s="61">
        <f t="shared" si="3"/>
        <v>44344</v>
      </c>
    </row>
    <row r="224" spans="3:8" ht="13.5" customHeight="1" x14ac:dyDescent="0.2">
      <c r="C224" s="12" t="s">
        <v>159</v>
      </c>
      <c r="D224" s="57" t="s">
        <v>521</v>
      </c>
      <c r="E224" s="60">
        <v>44344</v>
      </c>
      <c r="F224" s="58">
        <v>1060.28</v>
      </c>
      <c r="G224" s="12" t="s">
        <v>1689</v>
      </c>
      <c r="H224" s="61">
        <f t="shared" si="3"/>
        <v>44344</v>
      </c>
    </row>
    <row r="225" spans="3:8" ht="13.5" customHeight="1" x14ac:dyDescent="0.2">
      <c r="C225" s="12" t="s">
        <v>80</v>
      </c>
      <c r="D225" s="57" t="s">
        <v>989</v>
      </c>
      <c r="E225" s="60">
        <v>44344</v>
      </c>
      <c r="F225" s="58">
        <v>100</v>
      </c>
      <c r="G225" s="12" t="s">
        <v>1688</v>
      </c>
      <c r="H225" s="61">
        <f t="shared" si="3"/>
        <v>44344</v>
      </c>
    </row>
    <row r="226" spans="3:8" ht="13.5" customHeight="1" x14ac:dyDescent="0.2">
      <c r="C226" s="12" t="s">
        <v>80</v>
      </c>
      <c r="D226" s="57" t="s">
        <v>236</v>
      </c>
      <c r="E226" s="60">
        <v>44344</v>
      </c>
      <c r="F226" s="58">
        <v>150</v>
      </c>
      <c r="G226" s="12" t="s">
        <v>1689</v>
      </c>
      <c r="H226" s="61">
        <f t="shared" si="3"/>
        <v>44344</v>
      </c>
    </row>
    <row r="227" spans="3:8" ht="13.5" customHeight="1" x14ac:dyDescent="0.2">
      <c r="C227" s="12" t="s">
        <v>80</v>
      </c>
      <c r="D227" s="57" t="s">
        <v>995</v>
      </c>
      <c r="E227" s="60">
        <v>44344</v>
      </c>
      <c r="F227" s="58">
        <v>100</v>
      </c>
      <c r="G227" s="12" t="s">
        <v>1689</v>
      </c>
      <c r="H227" s="61">
        <f t="shared" si="3"/>
        <v>44344</v>
      </c>
    </row>
    <row r="228" spans="3:8" ht="13.5" customHeight="1" x14ac:dyDescent="0.2">
      <c r="C228" s="12" t="s">
        <v>924</v>
      </c>
      <c r="D228" s="57" t="s">
        <v>235</v>
      </c>
      <c r="E228" s="60">
        <v>44344</v>
      </c>
      <c r="F228" s="58">
        <v>445.8</v>
      </c>
      <c r="G228" s="12" t="s">
        <v>1689</v>
      </c>
      <c r="H228" s="61">
        <f t="shared" si="3"/>
        <v>44344</v>
      </c>
    </row>
    <row r="229" spans="3:8" ht="13.5" customHeight="1" x14ac:dyDescent="0.2">
      <c r="C229" s="12" t="s">
        <v>170</v>
      </c>
      <c r="D229" s="57" t="s">
        <v>514</v>
      </c>
      <c r="E229" s="60">
        <v>44344</v>
      </c>
      <c r="F229" s="58">
        <f>57.75+96.25</f>
        <v>154</v>
      </c>
      <c r="G229" s="12" t="s">
        <v>1689</v>
      </c>
      <c r="H229" s="61">
        <f t="shared" si="3"/>
        <v>44344</v>
      </c>
    </row>
    <row r="230" spans="3:8" ht="13.5" customHeight="1" x14ac:dyDescent="0.2">
      <c r="C230" s="12" t="s">
        <v>72</v>
      </c>
      <c r="D230" s="57" t="s">
        <v>1707</v>
      </c>
      <c r="E230" s="60">
        <v>44344</v>
      </c>
      <c r="F230" s="58">
        <v>300</v>
      </c>
      <c r="G230" s="12" t="s">
        <v>1688</v>
      </c>
      <c r="H230" s="61">
        <f t="shared" si="3"/>
        <v>44344</v>
      </c>
    </row>
    <row r="231" spans="3:8" ht="13.5" customHeight="1" x14ac:dyDescent="0.2">
      <c r="C231" s="12" t="s">
        <v>75</v>
      </c>
      <c r="D231" s="57" t="s">
        <v>105</v>
      </c>
      <c r="E231" s="60">
        <v>44344</v>
      </c>
      <c r="F231" s="58">
        <v>1750</v>
      </c>
      <c r="G231" s="12" t="s">
        <v>1676</v>
      </c>
      <c r="H231" s="61">
        <f t="shared" si="3"/>
        <v>44344</v>
      </c>
    </row>
    <row r="232" spans="3:8" ht="13.5" customHeight="1" x14ac:dyDescent="0.2">
      <c r="C232" s="12" t="s">
        <v>72</v>
      </c>
      <c r="D232" s="57" t="s">
        <v>1726</v>
      </c>
      <c r="E232" s="60">
        <v>44344</v>
      </c>
      <c r="F232" s="58">
        <v>1559.61</v>
      </c>
      <c r="G232" s="12" t="s">
        <v>1688</v>
      </c>
      <c r="H232" s="61">
        <f t="shared" si="3"/>
        <v>44344</v>
      </c>
    </row>
    <row r="233" spans="3:8" ht="13.5" customHeight="1" x14ac:dyDescent="0.2">
      <c r="C233" s="12" t="s">
        <v>164</v>
      </c>
      <c r="D233" s="57" t="s">
        <v>1783</v>
      </c>
      <c r="E233" s="60">
        <v>44344</v>
      </c>
      <c r="F233" s="58">
        <v>670</v>
      </c>
      <c r="G233" s="12" t="s">
        <v>1676</v>
      </c>
      <c r="H233" s="61">
        <f t="shared" si="3"/>
        <v>44344</v>
      </c>
    </row>
    <row r="234" spans="3:8" ht="13.5" customHeight="1" x14ac:dyDescent="0.2">
      <c r="C234" s="12" t="s">
        <v>83</v>
      </c>
      <c r="D234" s="57" t="s">
        <v>367</v>
      </c>
      <c r="E234" s="60">
        <v>44344</v>
      </c>
      <c r="F234" s="58">
        <v>2826</v>
      </c>
      <c r="G234" s="12" t="s">
        <v>1689</v>
      </c>
      <c r="H234" s="61">
        <f t="shared" si="3"/>
        <v>44344</v>
      </c>
    </row>
    <row r="235" spans="3:8" ht="13.5" customHeight="1" x14ac:dyDescent="0.2">
      <c r="C235" s="12" t="s">
        <v>80</v>
      </c>
      <c r="D235" s="57" t="s">
        <v>1751</v>
      </c>
      <c r="E235" s="60">
        <v>44344</v>
      </c>
      <c r="F235" s="58">
        <v>180</v>
      </c>
      <c r="G235" s="12" t="s">
        <v>1688</v>
      </c>
      <c r="H235" s="61">
        <f t="shared" si="3"/>
        <v>44344</v>
      </c>
    </row>
    <row r="236" spans="3:8" ht="13.5" customHeight="1" x14ac:dyDescent="0.2">
      <c r="C236" s="12" t="s">
        <v>56</v>
      </c>
      <c r="D236" s="57" t="s">
        <v>969</v>
      </c>
      <c r="E236" s="60">
        <v>44344</v>
      </c>
      <c r="F236" s="58">
        <v>2400</v>
      </c>
      <c r="G236" s="12" t="s">
        <v>1689</v>
      </c>
      <c r="H236" s="61">
        <f t="shared" si="3"/>
        <v>44344</v>
      </c>
    </row>
    <row r="237" spans="3:8" ht="13.5" customHeight="1" x14ac:dyDescent="0.2">
      <c r="C237" s="12" t="s">
        <v>56</v>
      </c>
      <c r="D237" s="57" t="s">
        <v>970</v>
      </c>
      <c r="E237" s="60">
        <v>44344</v>
      </c>
      <c r="F237" s="58">
        <v>2250</v>
      </c>
      <c r="G237" s="12" t="s">
        <v>1689</v>
      </c>
      <c r="H237" s="61">
        <f t="shared" si="3"/>
        <v>44344</v>
      </c>
    </row>
    <row r="238" spans="3:8" ht="13.5" customHeight="1" x14ac:dyDescent="0.2">
      <c r="C238" s="12" t="s">
        <v>96</v>
      </c>
      <c r="D238" s="57" t="s">
        <v>492</v>
      </c>
      <c r="E238" s="60">
        <v>44344</v>
      </c>
      <c r="F238" s="58">
        <v>2200</v>
      </c>
      <c r="G238" s="12" t="s">
        <v>1689</v>
      </c>
      <c r="H238" s="61">
        <f t="shared" si="3"/>
        <v>44344</v>
      </c>
    </row>
    <row r="239" spans="3:8" ht="13.5" customHeight="1" x14ac:dyDescent="0.2">
      <c r="C239" s="12" t="s">
        <v>135</v>
      </c>
      <c r="D239" s="57" t="s">
        <v>813</v>
      </c>
      <c r="E239" s="60">
        <v>44344</v>
      </c>
      <c r="F239" s="58">
        <v>1126.68</v>
      </c>
      <c r="G239" s="12" t="s">
        <v>1689</v>
      </c>
      <c r="H239" s="61">
        <f t="shared" si="3"/>
        <v>44344</v>
      </c>
    </row>
    <row r="240" spans="3:8" ht="13.5" customHeight="1" x14ac:dyDescent="0.2">
      <c r="C240" s="12" t="s">
        <v>76</v>
      </c>
      <c r="D240" s="57" t="s">
        <v>974</v>
      </c>
      <c r="E240" s="60">
        <v>44344</v>
      </c>
      <c r="F240" s="58">
        <v>1478.02</v>
      </c>
      <c r="G240" s="12" t="s">
        <v>1689</v>
      </c>
      <c r="H240" s="61">
        <f t="shared" si="3"/>
        <v>44344</v>
      </c>
    </row>
    <row r="241" spans="3:11" ht="13.5" customHeight="1" x14ac:dyDescent="0.2">
      <c r="C241" s="12" t="s">
        <v>88</v>
      </c>
      <c r="D241" s="57" t="s">
        <v>472</v>
      </c>
      <c r="E241" s="60">
        <v>44344</v>
      </c>
      <c r="F241" s="58">
        <v>1273</v>
      </c>
      <c r="G241" s="12" t="s">
        <v>1689</v>
      </c>
      <c r="H241" s="61">
        <f t="shared" si="3"/>
        <v>44344</v>
      </c>
    </row>
    <row r="242" spans="3:11" ht="13.5" customHeight="1" x14ac:dyDescent="0.2">
      <c r="C242" s="12" t="s">
        <v>229</v>
      </c>
      <c r="D242" s="57" t="s">
        <v>984</v>
      </c>
      <c r="E242" s="60">
        <v>44344</v>
      </c>
      <c r="F242" s="58">
        <v>110</v>
      </c>
      <c r="G242" s="12" t="s">
        <v>1676</v>
      </c>
      <c r="H242" s="61">
        <f t="shared" si="3"/>
        <v>44344</v>
      </c>
    </row>
    <row r="243" spans="3:11" ht="13.5" customHeight="1" x14ac:dyDescent="0.2">
      <c r="C243" s="12" t="s">
        <v>135</v>
      </c>
      <c r="D243" s="57" t="s">
        <v>770</v>
      </c>
      <c r="E243" s="60">
        <v>44344</v>
      </c>
      <c r="F243" s="58">
        <v>245.52</v>
      </c>
      <c r="G243" s="12" t="s">
        <v>1676</v>
      </c>
      <c r="H243" s="61">
        <f t="shared" si="3"/>
        <v>44344</v>
      </c>
    </row>
    <row r="244" spans="3:11" ht="13.5" customHeight="1" x14ac:dyDescent="0.2">
      <c r="C244" s="12" t="s">
        <v>187</v>
      </c>
      <c r="D244" s="57" t="s">
        <v>205</v>
      </c>
      <c r="E244" s="60">
        <v>44344</v>
      </c>
      <c r="F244" s="58">
        <v>23</v>
      </c>
      <c r="G244" s="12" t="s">
        <v>1689</v>
      </c>
      <c r="H244" s="61">
        <f t="shared" si="3"/>
        <v>44344</v>
      </c>
    </row>
    <row r="245" spans="3:11" ht="13.5" customHeight="1" x14ac:dyDescent="0.2">
      <c r="C245" s="12" t="s">
        <v>72</v>
      </c>
      <c r="D245" s="57" t="s">
        <v>977</v>
      </c>
      <c r="E245" s="60">
        <v>44344</v>
      </c>
      <c r="F245" s="58">
        <v>678.5</v>
      </c>
      <c r="G245" s="12" t="s">
        <v>1688</v>
      </c>
      <c r="H245" s="61">
        <f t="shared" si="3"/>
        <v>44344</v>
      </c>
      <c r="K245"/>
    </row>
    <row r="246" spans="3:11" ht="13.5" customHeight="1" x14ac:dyDescent="0.2">
      <c r="C246" s="12" t="s">
        <v>804</v>
      </c>
      <c r="D246" s="57" t="s">
        <v>976</v>
      </c>
      <c r="E246" s="60">
        <v>44344</v>
      </c>
      <c r="F246" s="58">
        <v>870.24</v>
      </c>
      <c r="G246" s="12" t="s">
        <v>1689</v>
      </c>
      <c r="H246" s="61">
        <f t="shared" si="3"/>
        <v>44344</v>
      </c>
      <c r="K246"/>
    </row>
    <row r="247" spans="3:11" ht="13.5" customHeight="1" x14ac:dyDescent="0.2">
      <c r="C247" s="12" t="s">
        <v>804</v>
      </c>
      <c r="D247" s="57" t="s">
        <v>917</v>
      </c>
      <c r="E247" s="60">
        <v>44344</v>
      </c>
      <c r="F247" s="58">
        <v>346.48</v>
      </c>
      <c r="G247" s="12" t="s">
        <v>1676</v>
      </c>
      <c r="H247" s="61">
        <f t="shared" si="3"/>
        <v>44344</v>
      </c>
      <c r="K247"/>
    </row>
    <row r="248" spans="3:11" ht="13.5" customHeight="1" x14ac:dyDescent="0.2">
      <c r="C248" s="12" t="s">
        <v>170</v>
      </c>
      <c r="D248" s="57" t="s">
        <v>845</v>
      </c>
      <c r="E248" s="60">
        <v>44344</v>
      </c>
      <c r="F248" s="58">
        <v>314.44</v>
      </c>
      <c r="G248" s="12" t="s">
        <v>1676</v>
      </c>
      <c r="H248" s="61">
        <f t="shared" si="3"/>
        <v>44344</v>
      </c>
      <c r="K248"/>
    </row>
    <row r="249" spans="3:11" ht="13.5" customHeight="1" x14ac:dyDescent="0.2">
      <c r="C249" s="12" t="s">
        <v>83</v>
      </c>
      <c r="D249" s="57" t="s">
        <v>962</v>
      </c>
      <c r="E249" s="60">
        <v>44344</v>
      </c>
      <c r="F249" s="58">
        <v>568</v>
      </c>
      <c r="G249" s="12" t="s">
        <v>1689</v>
      </c>
      <c r="H249" s="61">
        <f t="shared" si="3"/>
        <v>44344</v>
      </c>
      <c r="K249"/>
    </row>
    <row r="250" spans="3:11" ht="13.5" customHeight="1" x14ac:dyDescent="0.2">
      <c r="C250" s="12" t="s">
        <v>97</v>
      </c>
      <c r="D250" s="57" t="s">
        <v>947</v>
      </c>
      <c r="E250" s="60">
        <v>44344</v>
      </c>
      <c r="F250" s="58">
        <v>4816.4399999999996</v>
      </c>
      <c r="G250" s="12" t="s">
        <v>1676</v>
      </c>
      <c r="H250" s="61">
        <f t="shared" si="3"/>
        <v>44344</v>
      </c>
      <c r="K250"/>
    </row>
    <row r="251" spans="3:11" ht="13.5" customHeight="1" x14ac:dyDescent="0.2">
      <c r="C251" s="12" t="s">
        <v>96</v>
      </c>
      <c r="D251" s="57" t="s">
        <v>423</v>
      </c>
      <c r="E251" s="60">
        <v>44344</v>
      </c>
      <c r="F251" s="58">
        <v>444.18</v>
      </c>
      <c r="G251" s="12" t="s">
        <v>1676</v>
      </c>
      <c r="H251" s="61">
        <f t="shared" si="3"/>
        <v>44344</v>
      </c>
      <c r="K251"/>
    </row>
    <row r="252" spans="3:11" ht="13.5" customHeight="1" x14ac:dyDescent="0.2">
      <c r="C252" s="12" t="s">
        <v>584</v>
      </c>
      <c r="D252" s="57" t="s">
        <v>820</v>
      </c>
      <c r="E252" s="60">
        <v>44344</v>
      </c>
      <c r="F252" s="58">
        <v>1960.78</v>
      </c>
      <c r="G252" s="12" t="s">
        <v>1689</v>
      </c>
      <c r="H252" s="61">
        <f t="shared" si="3"/>
        <v>44344</v>
      </c>
      <c r="K252"/>
    </row>
    <row r="253" spans="3:11" ht="13.5" customHeight="1" x14ac:dyDescent="0.2">
      <c r="C253" s="12" t="s">
        <v>164</v>
      </c>
      <c r="D253" s="57" t="s">
        <v>957</v>
      </c>
      <c r="E253" s="60">
        <v>44345</v>
      </c>
      <c r="F253" s="58">
        <v>6500.5</v>
      </c>
      <c r="G253" s="12" t="s">
        <v>1689</v>
      </c>
      <c r="H253" s="61">
        <f t="shared" si="3"/>
        <v>44347</v>
      </c>
      <c r="K253"/>
    </row>
    <row r="254" spans="3:11" ht="13.5" customHeight="1" x14ac:dyDescent="0.2">
      <c r="C254" s="12" t="s">
        <v>732</v>
      </c>
      <c r="D254" s="57" t="s">
        <v>919</v>
      </c>
      <c r="E254" s="60">
        <v>44346</v>
      </c>
      <c r="F254" s="58">
        <v>1090</v>
      </c>
      <c r="G254" s="12" t="s">
        <v>1689</v>
      </c>
      <c r="H254" s="61">
        <f t="shared" si="3"/>
        <v>44347</v>
      </c>
      <c r="K254"/>
    </row>
    <row r="255" spans="3:11" ht="13.5" customHeight="1" x14ac:dyDescent="0.2">
      <c r="C255" s="12" t="s">
        <v>86</v>
      </c>
      <c r="D255" s="57" t="s">
        <v>971</v>
      </c>
      <c r="E255" s="60">
        <v>44347</v>
      </c>
      <c r="F255" s="58">
        <v>1283.51</v>
      </c>
      <c r="G255" s="12" t="s">
        <v>68</v>
      </c>
      <c r="H255" s="61">
        <f t="shared" si="3"/>
        <v>44347</v>
      </c>
      <c r="K255"/>
    </row>
    <row r="256" spans="3:11" ht="13.5" customHeight="1" x14ac:dyDescent="0.2">
      <c r="C256" s="12" t="s">
        <v>96</v>
      </c>
      <c r="D256" s="57" t="s">
        <v>541</v>
      </c>
      <c r="E256" s="60">
        <v>44347</v>
      </c>
      <c r="F256" s="58">
        <v>510.96</v>
      </c>
      <c r="G256" s="12" t="s">
        <v>68</v>
      </c>
      <c r="H256" s="61">
        <f t="shared" si="3"/>
        <v>44347</v>
      </c>
      <c r="K256"/>
    </row>
    <row r="257" spans="3:11" ht="13.5" customHeight="1" x14ac:dyDescent="0.2">
      <c r="C257" s="12" t="s">
        <v>97</v>
      </c>
      <c r="D257" s="57" t="s">
        <v>69</v>
      </c>
      <c r="E257" s="60">
        <v>44347</v>
      </c>
      <c r="F257" s="58">
        <v>1267.3499999999999</v>
      </c>
      <c r="G257" s="12" t="s">
        <v>1689</v>
      </c>
      <c r="H257" s="61">
        <f t="shared" si="3"/>
        <v>44347</v>
      </c>
      <c r="K257"/>
    </row>
    <row r="258" spans="3:11" ht="13.5" customHeight="1" x14ac:dyDescent="0.2">
      <c r="C258" s="12" t="s">
        <v>97</v>
      </c>
      <c r="D258" s="57" t="s">
        <v>348</v>
      </c>
      <c r="E258" s="60">
        <v>44347</v>
      </c>
      <c r="F258" s="58">
        <v>525.59</v>
      </c>
      <c r="G258" s="12" t="s">
        <v>1689</v>
      </c>
      <c r="H258" s="61">
        <f t="shared" ref="H258:H269" si="4">VLOOKUP(E258,$E$2815:$H$2864,4,FALSE)</f>
        <v>44347</v>
      </c>
      <c r="K258"/>
    </row>
    <row r="259" spans="3:11" ht="13.5" customHeight="1" x14ac:dyDescent="0.2">
      <c r="C259" s="12" t="s">
        <v>97</v>
      </c>
      <c r="D259" s="57" t="s">
        <v>934</v>
      </c>
      <c r="E259" s="60">
        <v>44347</v>
      </c>
      <c r="F259" s="58">
        <v>614.14</v>
      </c>
      <c r="G259" s="12" t="s">
        <v>1689</v>
      </c>
      <c r="H259" s="61">
        <f t="shared" si="4"/>
        <v>44347</v>
      </c>
      <c r="K259"/>
    </row>
    <row r="260" spans="3:11" ht="13.5" customHeight="1" x14ac:dyDescent="0.2">
      <c r="C260" s="12" t="s">
        <v>97</v>
      </c>
      <c r="D260" s="57" t="s">
        <v>373</v>
      </c>
      <c r="E260" s="60">
        <v>44347</v>
      </c>
      <c r="F260" s="58">
        <v>10441.06</v>
      </c>
      <c r="G260" s="12" t="s">
        <v>1689</v>
      </c>
      <c r="H260" s="61">
        <f t="shared" si="4"/>
        <v>44347</v>
      </c>
    </row>
    <row r="261" spans="3:11" ht="13.5" customHeight="1" x14ac:dyDescent="0.2">
      <c r="C261" s="12" t="s">
        <v>80</v>
      </c>
      <c r="D261" s="57" t="s">
        <v>197</v>
      </c>
      <c r="E261" s="60">
        <v>44347</v>
      </c>
      <c r="F261" s="58">
        <v>70</v>
      </c>
      <c r="G261" s="12" t="s">
        <v>1689</v>
      </c>
      <c r="H261" s="61">
        <f t="shared" si="4"/>
        <v>44347</v>
      </c>
    </row>
    <row r="262" spans="3:11" ht="13.5" customHeight="1" x14ac:dyDescent="0.2">
      <c r="C262" s="12" t="s">
        <v>164</v>
      </c>
      <c r="D262" s="57" t="s">
        <v>997</v>
      </c>
      <c r="E262" s="60">
        <v>44347</v>
      </c>
      <c r="F262" s="58">
        <v>120</v>
      </c>
      <c r="G262" s="12" t="s">
        <v>1689</v>
      </c>
      <c r="H262" s="61">
        <f t="shared" si="4"/>
        <v>44347</v>
      </c>
    </row>
    <row r="263" spans="3:11" ht="13.5" customHeight="1" x14ac:dyDescent="0.2">
      <c r="C263" s="12" t="s">
        <v>170</v>
      </c>
      <c r="D263" s="57" t="s">
        <v>998</v>
      </c>
      <c r="E263" s="60">
        <v>44347</v>
      </c>
      <c r="F263" s="58">
        <v>14.12</v>
      </c>
      <c r="G263" s="12" t="s">
        <v>1689</v>
      </c>
      <c r="H263" s="61">
        <f t="shared" si="4"/>
        <v>44347</v>
      </c>
    </row>
    <row r="264" spans="3:11" ht="13.5" customHeight="1" x14ac:dyDescent="0.2">
      <c r="C264" s="12" t="s">
        <v>192</v>
      </c>
      <c r="D264" s="57" t="s">
        <v>885</v>
      </c>
      <c r="E264" s="60">
        <v>44347</v>
      </c>
      <c r="F264" s="58">
        <v>102.56</v>
      </c>
      <c r="G264" s="12" t="s">
        <v>1689</v>
      </c>
      <c r="H264" s="61">
        <f t="shared" si="4"/>
        <v>44347</v>
      </c>
    </row>
    <row r="265" spans="3:11" ht="13.5" customHeight="1" x14ac:dyDescent="0.2">
      <c r="C265" s="12" t="s">
        <v>192</v>
      </c>
      <c r="D265" s="57" t="s">
        <v>980</v>
      </c>
      <c r="E265" s="60">
        <v>44347</v>
      </c>
      <c r="F265" s="58">
        <v>599.89</v>
      </c>
      <c r="G265" s="12" t="s">
        <v>1689</v>
      </c>
      <c r="H265" s="61">
        <f t="shared" si="4"/>
        <v>44347</v>
      </c>
    </row>
    <row r="266" spans="3:11" ht="13.5" customHeight="1" x14ac:dyDescent="0.2">
      <c r="C266" s="12" t="s">
        <v>192</v>
      </c>
      <c r="D266" s="57" t="s">
        <v>871</v>
      </c>
      <c r="E266" s="60">
        <v>44347</v>
      </c>
      <c r="F266" s="58">
        <v>1025</v>
      </c>
      <c r="G266" s="12" t="s">
        <v>1689</v>
      </c>
      <c r="H266" s="61">
        <f t="shared" si="4"/>
        <v>44347</v>
      </c>
    </row>
    <row r="267" spans="3:11" ht="13.5" customHeight="1" x14ac:dyDescent="0.2">
      <c r="C267" s="12" t="s">
        <v>72</v>
      </c>
      <c r="D267" s="57" t="s">
        <v>1001</v>
      </c>
      <c r="E267" s="60">
        <v>44347</v>
      </c>
      <c r="F267" s="58">
        <v>1822.49</v>
      </c>
      <c r="G267" s="12" t="s">
        <v>1689</v>
      </c>
      <c r="H267" s="61">
        <f t="shared" si="4"/>
        <v>44347</v>
      </c>
    </row>
    <row r="268" spans="3:11" ht="13.5" customHeight="1" x14ac:dyDescent="0.2">
      <c r="C268" s="12" t="s">
        <v>170</v>
      </c>
      <c r="D268" s="57" t="s">
        <v>990</v>
      </c>
      <c r="E268" s="60">
        <v>44347</v>
      </c>
      <c r="F268" s="58">
        <f>3000-1870</f>
        <v>1130</v>
      </c>
      <c r="G268" s="12" t="s">
        <v>1689</v>
      </c>
      <c r="H268" s="61">
        <f t="shared" si="4"/>
        <v>44347</v>
      </c>
    </row>
    <row r="269" spans="3:11" ht="13.5" customHeight="1" x14ac:dyDescent="0.2">
      <c r="C269" s="12" t="s">
        <v>72</v>
      </c>
      <c r="D269" s="57" t="s">
        <v>1752</v>
      </c>
      <c r="E269" s="60">
        <v>44347</v>
      </c>
      <c r="F269" s="58">
        <v>1020.5</v>
      </c>
      <c r="G269" s="12" t="s">
        <v>1688</v>
      </c>
      <c r="H269" s="61">
        <f t="shared" si="4"/>
        <v>44347</v>
      </c>
    </row>
    <row r="270" spans="3:11" ht="13.5" customHeight="1" x14ac:dyDescent="0.2">
      <c r="D270" s="56"/>
      <c r="E270" s="52"/>
      <c r="F270" s="55"/>
      <c r="H270" s="61"/>
    </row>
    <row r="271" spans="3:11" ht="13.5" customHeight="1" x14ac:dyDescent="0.2">
      <c r="D271" s="56"/>
      <c r="E271" s="52"/>
      <c r="F271" s="55"/>
      <c r="H271" s="61"/>
    </row>
    <row r="272" spans="3:11" ht="13.5" customHeight="1" x14ac:dyDescent="0.2">
      <c r="D272" s="56"/>
      <c r="E272" s="50"/>
      <c r="F272" s="55"/>
      <c r="H272" s="61"/>
    </row>
    <row r="273" spans="4:8" ht="13.5" customHeight="1" x14ac:dyDescent="0.2">
      <c r="D273" s="56"/>
      <c r="E273" s="50"/>
      <c r="F273" s="55"/>
      <c r="H273" s="61"/>
    </row>
    <row r="274" spans="4:8" ht="13.5" customHeight="1" x14ac:dyDescent="0.2">
      <c r="D274" s="56"/>
      <c r="E274" s="50"/>
      <c r="F274" s="55"/>
      <c r="H274" s="61"/>
    </row>
    <row r="275" spans="4:8" ht="13.5" customHeight="1" x14ac:dyDescent="0.2">
      <c r="D275" s="56"/>
      <c r="E275" s="50"/>
      <c r="F275" s="55"/>
      <c r="H275" s="61"/>
    </row>
    <row r="276" spans="4:8" ht="13.5" customHeight="1" x14ac:dyDescent="0.2">
      <c r="D276" s="57"/>
      <c r="E276" s="3"/>
      <c r="F276" s="58"/>
      <c r="G276" s="12"/>
      <c r="H276" s="61"/>
    </row>
    <row r="277" spans="4:8" ht="13.5" customHeight="1" x14ac:dyDescent="0.2">
      <c r="D277" s="56"/>
      <c r="E277" s="52"/>
      <c r="F277" s="41"/>
      <c r="H277" s="61"/>
    </row>
    <row r="278" spans="4:8" ht="13.5" customHeight="1" x14ac:dyDescent="0.2">
      <c r="D278" s="57"/>
      <c r="E278" s="60"/>
      <c r="F278" s="58"/>
      <c r="G278" s="12"/>
      <c r="H278" s="61"/>
    </row>
    <row r="279" spans="4:8" ht="13.5" customHeight="1" x14ac:dyDescent="0.2">
      <c r="D279" s="57"/>
      <c r="E279" s="60"/>
      <c r="F279" s="58"/>
      <c r="G279" s="12"/>
      <c r="H279" s="61"/>
    </row>
    <row r="280" spans="4:8" ht="13.5" customHeight="1" x14ac:dyDescent="0.2">
      <c r="D280" s="57"/>
      <c r="E280" s="60"/>
      <c r="F280" s="58"/>
      <c r="G280" s="12"/>
      <c r="H280" s="61"/>
    </row>
    <row r="281" spans="4:8" ht="13.5" customHeight="1" x14ac:dyDescent="0.2">
      <c r="D281" s="57"/>
      <c r="E281" s="60"/>
      <c r="F281" s="58"/>
      <c r="G281" s="12"/>
      <c r="H281" s="61"/>
    </row>
    <row r="282" spans="4:8" ht="13.5" customHeight="1" x14ac:dyDescent="0.2">
      <c r="D282" s="56"/>
      <c r="E282" s="52"/>
      <c r="F282" s="55"/>
      <c r="H282" s="61"/>
    </row>
    <row r="283" spans="4:8" ht="13.5" customHeight="1" x14ac:dyDescent="0.2">
      <c r="D283" s="56"/>
      <c r="E283" s="52"/>
      <c r="F283" s="55"/>
      <c r="H283" s="61"/>
    </row>
    <row r="284" spans="4:8" ht="13.5" customHeight="1" x14ac:dyDescent="0.2">
      <c r="D284" s="56"/>
      <c r="E284" s="52"/>
      <c r="F284" s="55"/>
      <c r="H284" s="61"/>
    </row>
    <row r="285" spans="4:8" ht="13.5" customHeight="1" x14ac:dyDescent="0.2">
      <c r="D285" s="56"/>
      <c r="E285" s="52"/>
      <c r="F285" s="55"/>
      <c r="H285" s="61"/>
    </row>
    <row r="286" spans="4:8" ht="13.5" customHeight="1" x14ac:dyDescent="0.2">
      <c r="D286" s="56"/>
      <c r="E286" s="52"/>
      <c r="F286" s="55"/>
      <c r="H286" s="61"/>
    </row>
    <row r="287" spans="4:8" ht="13.5" customHeight="1" x14ac:dyDescent="0.2">
      <c r="D287" s="56"/>
      <c r="E287" s="52"/>
      <c r="F287" s="55"/>
      <c r="H287" s="61"/>
    </row>
    <row r="288" spans="4:8" ht="13.5" customHeight="1" x14ac:dyDescent="0.2">
      <c r="D288" s="56"/>
      <c r="E288" s="52"/>
      <c r="F288" s="55"/>
      <c r="H288" s="61"/>
    </row>
    <row r="289" spans="4:8" ht="13.5" customHeight="1" x14ac:dyDescent="0.2">
      <c r="D289" s="56"/>
      <c r="E289" s="52"/>
      <c r="F289" s="55"/>
      <c r="H289" s="61"/>
    </row>
    <row r="290" spans="4:8" ht="13.5" customHeight="1" x14ac:dyDescent="0.2">
      <c r="D290" s="56"/>
      <c r="E290" s="52"/>
      <c r="F290" s="55"/>
      <c r="H290" s="61"/>
    </row>
    <row r="291" spans="4:8" ht="13.5" customHeight="1" x14ac:dyDescent="0.2">
      <c r="D291" s="56"/>
      <c r="E291" s="52"/>
      <c r="F291" s="55"/>
      <c r="H291" s="61"/>
    </row>
    <row r="292" spans="4:8" ht="13.5" customHeight="1" x14ac:dyDescent="0.2">
      <c r="D292" s="56"/>
      <c r="E292" s="52"/>
      <c r="F292" s="55"/>
      <c r="H292" s="61"/>
    </row>
    <row r="293" spans="4:8" ht="13.5" customHeight="1" x14ac:dyDescent="0.2">
      <c r="D293" s="56"/>
      <c r="E293" s="52"/>
      <c r="F293" s="55"/>
      <c r="H293" s="61"/>
    </row>
    <row r="294" spans="4:8" ht="13.5" customHeight="1" x14ac:dyDescent="0.2">
      <c r="D294" s="56"/>
      <c r="E294" s="52"/>
      <c r="F294" s="55"/>
      <c r="H294" s="61"/>
    </row>
    <row r="295" spans="4:8" ht="13.5" customHeight="1" x14ac:dyDescent="0.2">
      <c r="D295" s="56"/>
      <c r="E295" s="52"/>
      <c r="F295" s="55"/>
      <c r="H295" s="61"/>
    </row>
    <row r="296" spans="4:8" ht="13.5" customHeight="1" x14ac:dyDescent="0.2">
      <c r="D296" s="56"/>
      <c r="E296" s="52"/>
      <c r="F296" s="55"/>
      <c r="H296" s="61"/>
    </row>
    <row r="297" spans="4:8" ht="13.5" customHeight="1" x14ac:dyDescent="0.2">
      <c r="E297" s="50"/>
      <c r="F297" s="15"/>
      <c r="H297" s="61"/>
    </row>
    <row r="298" spans="4:8" ht="13.5" customHeight="1" x14ac:dyDescent="0.2">
      <c r="E298" s="50"/>
      <c r="F298" s="15"/>
      <c r="H298" s="61"/>
    </row>
    <row r="299" spans="4:8" ht="13.5" customHeight="1" x14ac:dyDescent="0.2">
      <c r="D299" s="56"/>
      <c r="E299" s="52"/>
      <c r="F299" s="55"/>
      <c r="H299" s="61"/>
    </row>
    <row r="300" spans="4:8" ht="13.5" customHeight="1" x14ac:dyDescent="0.2">
      <c r="D300" s="56"/>
      <c r="E300" s="52"/>
      <c r="F300" s="55"/>
      <c r="H300" s="61"/>
    </row>
    <row r="301" spans="4:8" ht="13.5" customHeight="1" x14ac:dyDescent="0.2">
      <c r="D301" s="56"/>
      <c r="E301" s="52"/>
      <c r="F301" s="55"/>
      <c r="H301" s="61"/>
    </row>
    <row r="302" spans="4:8" ht="13.5" customHeight="1" x14ac:dyDescent="0.2">
      <c r="D302" s="56"/>
      <c r="E302" s="50"/>
      <c r="F302" s="55"/>
      <c r="H302" s="61"/>
    </row>
    <row r="303" spans="4:8" ht="13.5" customHeight="1" x14ac:dyDescent="0.2">
      <c r="D303" s="56"/>
      <c r="E303" s="50"/>
      <c r="F303" s="55"/>
      <c r="H303" s="61"/>
    </row>
    <row r="304" spans="4:8" ht="13.5" customHeight="1" x14ac:dyDescent="0.2">
      <c r="D304" s="56"/>
      <c r="E304" s="50"/>
      <c r="F304" s="55"/>
      <c r="H304" s="61"/>
    </row>
    <row r="305" spans="4:13" ht="13.5" customHeight="1" x14ac:dyDescent="0.2">
      <c r="D305" s="56"/>
      <c r="E305" s="50"/>
      <c r="F305" s="55"/>
      <c r="H305" s="61"/>
    </row>
    <row r="306" spans="4:13" ht="13.5" customHeight="1" x14ac:dyDescent="0.2">
      <c r="D306" s="56"/>
      <c r="E306" s="50"/>
      <c r="F306" s="55"/>
      <c r="H306" s="61"/>
    </row>
    <row r="307" spans="4:13" ht="13.5" customHeight="1" x14ac:dyDescent="0.2">
      <c r="E307" s="50"/>
      <c r="F307" s="15"/>
      <c r="H307" s="61"/>
    </row>
    <row r="308" spans="4:13" ht="13.5" customHeight="1" x14ac:dyDescent="0.2">
      <c r="E308" s="50"/>
      <c r="F308" s="15"/>
      <c r="H308" s="61"/>
    </row>
    <row r="309" spans="4:13" ht="13.5" customHeight="1" x14ac:dyDescent="0.2">
      <c r="E309" s="50"/>
      <c r="F309" s="15"/>
      <c r="H309" s="61"/>
    </row>
    <row r="310" spans="4:13" ht="13.5" customHeight="1" x14ac:dyDescent="0.2">
      <c r="D310" s="56"/>
      <c r="E310" s="52"/>
      <c r="F310" s="55"/>
      <c r="H310" s="61"/>
    </row>
    <row r="311" spans="4:13" ht="13.5" customHeight="1" x14ac:dyDescent="0.2">
      <c r="D311" s="57"/>
      <c r="E311" s="3"/>
      <c r="F311" s="58"/>
      <c r="G311" s="12"/>
      <c r="H311" s="61"/>
    </row>
    <row r="312" spans="4:13" ht="13.5" customHeight="1" x14ac:dyDescent="0.2">
      <c r="D312" s="57"/>
      <c r="E312" s="3"/>
      <c r="F312" s="58"/>
      <c r="G312" s="62"/>
      <c r="H312" s="61"/>
    </row>
    <row r="313" spans="4:13" ht="13.5" customHeight="1" x14ac:dyDescent="0.2">
      <c r="D313" s="57"/>
      <c r="E313" s="3"/>
      <c r="F313" s="58"/>
      <c r="G313" s="12"/>
      <c r="H313" s="61"/>
      <c r="K313" s="56"/>
      <c r="L313" s="50"/>
      <c r="M313" s="55"/>
    </row>
    <row r="314" spans="4:13" ht="13.5" customHeight="1" x14ac:dyDescent="0.2">
      <c r="D314" s="57"/>
      <c r="E314" s="3"/>
      <c r="F314" s="58"/>
      <c r="G314" s="12"/>
      <c r="H314" s="61"/>
      <c r="K314" s="56"/>
      <c r="L314" s="52"/>
      <c r="M314" s="55"/>
    </row>
    <row r="315" spans="4:13" ht="13.5" customHeight="1" x14ac:dyDescent="0.2">
      <c r="D315" s="56"/>
      <c r="E315" s="3"/>
      <c r="F315" s="15"/>
      <c r="H315" s="61"/>
      <c r="K315"/>
      <c r="L315" s="52"/>
      <c r="M315" s="55"/>
    </row>
    <row r="316" spans="4:13" ht="13.5" customHeight="1" x14ac:dyDescent="0.2">
      <c r="D316" s="57"/>
      <c r="E316" s="52"/>
      <c r="F316" s="41"/>
      <c r="H316" s="61"/>
    </row>
    <row r="317" spans="4:13" ht="13.5" customHeight="1" x14ac:dyDescent="0.2">
      <c r="E317" s="52"/>
      <c r="F317" s="41"/>
      <c r="H317" s="61"/>
    </row>
    <row r="318" spans="4:13" ht="13.5" customHeight="1" x14ac:dyDescent="0.2">
      <c r="E318" s="52"/>
      <c r="F318" s="41"/>
      <c r="H318" s="61"/>
    </row>
    <row r="319" spans="4:13" ht="13.5" customHeight="1" x14ac:dyDescent="0.2">
      <c r="E319" s="52"/>
      <c r="F319" s="41"/>
      <c r="H319" s="61"/>
    </row>
    <row r="320" spans="4:13" ht="13.5" customHeight="1" x14ac:dyDescent="0.2">
      <c r="E320" s="52"/>
      <c r="F320" s="41"/>
      <c r="H320" s="61"/>
    </row>
    <row r="321" spans="5:8" ht="13.5" customHeight="1" x14ac:dyDescent="0.2">
      <c r="E321" s="52"/>
      <c r="F321" s="41"/>
      <c r="H321" s="61"/>
    </row>
    <row r="322" spans="5:8" ht="13.5" customHeight="1" x14ac:dyDescent="0.2">
      <c r="E322" s="52"/>
      <c r="F322" s="41"/>
      <c r="H322" s="61"/>
    </row>
    <row r="323" spans="5:8" ht="13.5" customHeight="1" x14ac:dyDescent="0.2">
      <c r="E323" s="52"/>
      <c r="F323" s="41"/>
      <c r="H323" s="61"/>
    </row>
    <row r="324" spans="5:8" ht="13.5" customHeight="1" x14ac:dyDescent="0.2">
      <c r="E324" s="52"/>
      <c r="F324" s="41"/>
      <c r="H324" s="61"/>
    </row>
    <row r="325" spans="5:8" ht="13.5" customHeight="1" x14ac:dyDescent="0.2">
      <c r="E325" s="52"/>
      <c r="F325" s="41"/>
      <c r="H325" s="61"/>
    </row>
    <row r="326" spans="5:8" ht="13.5" customHeight="1" x14ac:dyDescent="0.2">
      <c r="E326" s="52"/>
      <c r="F326" s="41"/>
      <c r="H326" s="61"/>
    </row>
    <row r="327" spans="5:8" ht="13.5" customHeight="1" x14ac:dyDescent="0.2">
      <c r="E327" s="52"/>
      <c r="F327" s="41"/>
      <c r="H327" s="61"/>
    </row>
    <row r="328" spans="5:8" ht="13.5" customHeight="1" x14ac:dyDescent="0.2">
      <c r="E328" s="52"/>
      <c r="F328" s="41"/>
      <c r="H328" s="61"/>
    </row>
    <row r="329" spans="5:8" ht="13.5" customHeight="1" x14ac:dyDescent="0.2">
      <c r="E329" s="52"/>
      <c r="F329" s="41"/>
      <c r="H329" s="61"/>
    </row>
    <row r="330" spans="5:8" ht="13.5" customHeight="1" x14ac:dyDescent="0.2">
      <c r="E330" s="52"/>
      <c r="F330" s="41"/>
      <c r="H330" s="61"/>
    </row>
    <row r="331" spans="5:8" ht="13.5" customHeight="1" x14ac:dyDescent="0.2">
      <c r="E331" s="52"/>
      <c r="F331" s="41"/>
      <c r="H331" s="61"/>
    </row>
    <row r="332" spans="5:8" ht="13.5" customHeight="1" x14ac:dyDescent="0.2">
      <c r="E332" s="52"/>
      <c r="F332" s="41"/>
      <c r="H332" s="61"/>
    </row>
    <row r="333" spans="5:8" ht="13.5" customHeight="1" x14ac:dyDescent="0.2">
      <c r="E333" s="52"/>
      <c r="F333" s="41"/>
      <c r="H333" s="61"/>
    </row>
    <row r="334" spans="5:8" ht="13.5" customHeight="1" x14ac:dyDescent="0.2">
      <c r="E334" s="52"/>
      <c r="F334" s="41"/>
      <c r="H334" s="61"/>
    </row>
    <row r="335" spans="5:8" ht="13.5" customHeight="1" x14ac:dyDescent="0.2">
      <c r="E335" s="52"/>
      <c r="F335" s="41"/>
      <c r="H335" s="61"/>
    </row>
    <row r="336" spans="5:8" ht="13.5" customHeight="1" x14ac:dyDescent="0.2">
      <c r="E336" s="52"/>
      <c r="F336" s="41"/>
      <c r="H336" s="61"/>
    </row>
    <row r="337" spans="5:8" ht="13.5" customHeight="1" x14ac:dyDescent="0.2">
      <c r="E337" s="52"/>
      <c r="F337" s="41"/>
      <c r="H337" s="61"/>
    </row>
    <row r="338" spans="5:8" ht="13.5" customHeight="1" x14ac:dyDescent="0.2">
      <c r="E338" s="52"/>
      <c r="F338" s="41"/>
      <c r="H338" s="61"/>
    </row>
    <row r="339" spans="5:8" ht="13.5" customHeight="1" x14ac:dyDescent="0.2">
      <c r="E339" s="52"/>
      <c r="F339" s="41"/>
      <c r="H339" s="61"/>
    </row>
    <row r="340" spans="5:8" ht="13.5" customHeight="1" x14ac:dyDescent="0.2">
      <c r="E340" s="52"/>
      <c r="F340" s="41"/>
      <c r="H340" s="61"/>
    </row>
    <row r="341" spans="5:8" ht="13.5" customHeight="1" x14ac:dyDescent="0.2">
      <c r="E341" s="52"/>
      <c r="F341" s="41"/>
      <c r="H341" s="61"/>
    </row>
    <row r="342" spans="5:8" ht="13.5" customHeight="1" x14ac:dyDescent="0.2">
      <c r="E342" s="52"/>
      <c r="F342" s="41"/>
      <c r="H342" s="61"/>
    </row>
    <row r="343" spans="5:8" ht="13.5" customHeight="1" x14ac:dyDescent="0.2">
      <c r="E343" s="52"/>
      <c r="H343" s="61"/>
    </row>
    <row r="344" spans="5:8" ht="13.5" customHeight="1" x14ac:dyDescent="0.2">
      <c r="E344" s="52"/>
      <c r="H344" s="61"/>
    </row>
    <row r="345" spans="5:8" ht="13.5" customHeight="1" x14ac:dyDescent="0.2">
      <c r="E345" s="52"/>
      <c r="H345" s="61"/>
    </row>
    <row r="346" spans="5:8" ht="13.5" customHeight="1" x14ac:dyDescent="0.2">
      <c r="E346" s="52"/>
      <c r="H346" s="61"/>
    </row>
    <row r="347" spans="5:8" ht="13.5" customHeight="1" x14ac:dyDescent="0.2">
      <c r="E347" s="52"/>
      <c r="H347" s="61"/>
    </row>
    <row r="348" spans="5:8" ht="13.5" customHeight="1" x14ac:dyDescent="0.2">
      <c r="E348" s="52"/>
      <c r="H348" s="61"/>
    </row>
    <row r="349" spans="5:8" ht="13.5" customHeight="1" x14ac:dyDescent="0.2">
      <c r="E349" s="52"/>
      <c r="H349" s="61"/>
    </row>
    <row r="350" spans="5:8" ht="13.5" customHeight="1" x14ac:dyDescent="0.2">
      <c r="E350" s="52"/>
      <c r="H350" s="61"/>
    </row>
    <row r="351" spans="5:8" ht="13.5" customHeight="1" x14ac:dyDescent="0.2">
      <c r="E351" s="52"/>
      <c r="H351" s="61"/>
    </row>
    <row r="352" spans="5:8" ht="13.5" customHeight="1" x14ac:dyDescent="0.2">
      <c r="E352" s="52"/>
      <c r="H352" s="61"/>
    </row>
    <row r="353" spans="5:11" ht="13.5" customHeight="1" x14ac:dyDescent="0.2">
      <c r="E353" s="52"/>
      <c r="H353" s="61"/>
    </row>
    <row r="354" spans="5:11" ht="13.5" customHeight="1" x14ac:dyDescent="0.2">
      <c r="E354" s="52"/>
      <c r="H354" s="61"/>
    </row>
    <row r="355" spans="5:11" ht="13.5" customHeight="1" x14ac:dyDescent="0.2">
      <c r="E355" s="52"/>
      <c r="H355" s="61"/>
    </row>
    <row r="356" spans="5:11" ht="13.5" customHeight="1" x14ac:dyDescent="0.2">
      <c r="E356" s="52"/>
      <c r="H356" s="61"/>
      <c r="K356"/>
    </row>
    <row r="357" spans="5:11" ht="13.5" customHeight="1" x14ac:dyDescent="0.2">
      <c r="E357" s="52"/>
      <c r="H357" s="61"/>
      <c r="K357"/>
    </row>
    <row r="358" spans="5:11" ht="13.5" customHeight="1" x14ac:dyDescent="0.2">
      <c r="E358" s="52"/>
      <c r="H358" s="61"/>
      <c r="K358"/>
    </row>
    <row r="359" spans="5:11" ht="13.5" customHeight="1" x14ac:dyDescent="0.2">
      <c r="E359" s="52"/>
      <c r="H359" s="61"/>
      <c r="K359"/>
    </row>
    <row r="360" spans="5:11" ht="13.5" customHeight="1" x14ac:dyDescent="0.2">
      <c r="E360" s="52"/>
      <c r="H360" s="61"/>
      <c r="K360"/>
    </row>
    <row r="361" spans="5:11" ht="13.5" customHeight="1" x14ac:dyDescent="0.2">
      <c r="E361" s="52"/>
      <c r="H361" s="61"/>
      <c r="K361"/>
    </row>
    <row r="362" spans="5:11" ht="13.5" customHeight="1" x14ac:dyDescent="0.2">
      <c r="E362" s="52"/>
      <c r="H362" s="61"/>
      <c r="K362"/>
    </row>
    <row r="363" spans="5:11" ht="13.5" customHeight="1" x14ac:dyDescent="0.2">
      <c r="E363" s="52"/>
      <c r="H363" s="61"/>
      <c r="K363"/>
    </row>
    <row r="364" spans="5:11" ht="13.5" customHeight="1" x14ac:dyDescent="0.2">
      <c r="E364" s="52"/>
      <c r="H364" s="61"/>
      <c r="K364"/>
    </row>
    <row r="365" spans="5:11" ht="13.5" customHeight="1" x14ac:dyDescent="0.2">
      <c r="E365" s="52"/>
      <c r="H365" s="61"/>
      <c r="K365"/>
    </row>
    <row r="366" spans="5:11" ht="13.5" customHeight="1" x14ac:dyDescent="0.2">
      <c r="E366" s="52"/>
      <c r="H366" s="61"/>
      <c r="K366"/>
    </row>
    <row r="367" spans="5:11" ht="13.5" customHeight="1" x14ac:dyDescent="0.2">
      <c r="E367" s="52"/>
      <c r="H367" s="61"/>
      <c r="K367"/>
    </row>
    <row r="368" spans="5:11" ht="13.5" customHeight="1" x14ac:dyDescent="0.2">
      <c r="E368" s="52"/>
      <c r="H368" s="61"/>
      <c r="K368"/>
    </row>
    <row r="369" spans="5:11" ht="13.5" customHeight="1" x14ac:dyDescent="0.2">
      <c r="E369" s="52"/>
      <c r="H369" s="61"/>
      <c r="K369"/>
    </row>
    <row r="370" spans="5:11" ht="13.5" customHeight="1" x14ac:dyDescent="0.2">
      <c r="E370" s="52"/>
      <c r="H370" s="61"/>
      <c r="K370"/>
    </row>
    <row r="371" spans="5:11" ht="13.5" customHeight="1" x14ac:dyDescent="0.2">
      <c r="E371" s="52"/>
      <c r="H371" s="61"/>
      <c r="K371"/>
    </row>
    <row r="372" spans="5:11" ht="13.5" customHeight="1" x14ac:dyDescent="0.2">
      <c r="E372" s="52"/>
      <c r="H372" s="61"/>
      <c r="K372"/>
    </row>
    <row r="373" spans="5:11" ht="13.5" customHeight="1" x14ac:dyDescent="0.2">
      <c r="E373" s="52"/>
      <c r="H373" s="61"/>
      <c r="K373"/>
    </row>
    <row r="374" spans="5:11" ht="13.5" customHeight="1" x14ac:dyDescent="0.2">
      <c r="E374" s="52"/>
      <c r="H374" s="61"/>
      <c r="K374"/>
    </row>
    <row r="375" spans="5:11" ht="13.5" customHeight="1" x14ac:dyDescent="0.2">
      <c r="E375" s="52"/>
      <c r="H375" s="61"/>
      <c r="K375"/>
    </row>
    <row r="376" spans="5:11" ht="13.5" customHeight="1" x14ac:dyDescent="0.2">
      <c r="E376" s="52"/>
      <c r="H376" s="61"/>
      <c r="K376"/>
    </row>
    <row r="377" spans="5:11" ht="13.5" customHeight="1" x14ac:dyDescent="0.2">
      <c r="E377" s="52"/>
      <c r="H377" s="61"/>
      <c r="K377"/>
    </row>
    <row r="378" spans="5:11" ht="13.5" customHeight="1" x14ac:dyDescent="0.2">
      <c r="E378" s="52"/>
      <c r="H378" s="61"/>
      <c r="K378"/>
    </row>
    <row r="379" spans="5:11" ht="13.5" customHeight="1" x14ac:dyDescent="0.2">
      <c r="E379" s="52"/>
      <c r="H379" s="61"/>
      <c r="K379"/>
    </row>
    <row r="380" spans="5:11" ht="13.5" customHeight="1" x14ac:dyDescent="0.2">
      <c r="E380" s="52"/>
      <c r="H380" s="61"/>
      <c r="K380"/>
    </row>
    <row r="381" spans="5:11" ht="13.5" customHeight="1" x14ac:dyDescent="0.2">
      <c r="E381" s="52"/>
      <c r="H381" s="61"/>
      <c r="K381"/>
    </row>
    <row r="382" spans="5:11" ht="13.5" customHeight="1" x14ac:dyDescent="0.2">
      <c r="E382" s="52"/>
      <c r="H382" s="61"/>
      <c r="K382"/>
    </row>
    <row r="383" spans="5:11" ht="13.5" customHeight="1" x14ac:dyDescent="0.2">
      <c r="E383" s="52"/>
      <c r="H383" s="61"/>
      <c r="K383"/>
    </row>
    <row r="384" spans="5:11" ht="13.5" customHeight="1" x14ac:dyDescent="0.2">
      <c r="E384" s="52"/>
      <c r="H384" s="61"/>
      <c r="K384"/>
    </row>
    <row r="385" spans="5:11" ht="13.5" customHeight="1" x14ac:dyDescent="0.2">
      <c r="E385" s="52"/>
      <c r="H385" s="61"/>
      <c r="K385"/>
    </row>
    <row r="386" spans="5:11" ht="13.5" customHeight="1" x14ac:dyDescent="0.2">
      <c r="E386" s="52"/>
      <c r="H386" s="61"/>
      <c r="K386"/>
    </row>
    <row r="387" spans="5:11" ht="13.5" customHeight="1" x14ac:dyDescent="0.2">
      <c r="E387" s="52"/>
      <c r="H387" s="61"/>
      <c r="K387"/>
    </row>
    <row r="388" spans="5:11" ht="13.5" customHeight="1" x14ac:dyDescent="0.2">
      <c r="E388" s="52"/>
      <c r="H388" s="61"/>
      <c r="K388"/>
    </row>
    <row r="389" spans="5:11" ht="13.5" customHeight="1" x14ac:dyDescent="0.2">
      <c r="E389" s="52"/>
      <c r="H389" s="61"/>
      <c r="K389"/>
    </row>
    <row r="390" spans="5:11" ht="13.5" customHeight="1" x14ac:dyDescent="0.2">
      <c r="E390" s="52"/>
      <c r="H390" s="61"/>
      <c r="K390"/>
    </row>
    <row r="391" spans="5:11" ht="13.5" customHeight="1" x14ac:dyDescent="0.2">
      <c r="E391" s="52"/>
      <c r="H391" s="61"/>
      <c r="K391"/>
    </row>
    <row r="392" spans="5:11" ht="13.5" customHeight="1" x14ac:dyDescent="0.2">
      <c r="E392" s="52"/>
      <c r="H392" s="61"/>
      <c r="K392"/>
    </row>
    <row r="393" spans="5:11" ht="13.5" customHeight="1" x14ac:dyDescent="0.2">
      <c r="E393" s="52"/>
      <c r="H393" s="61"/>
      <c r="K393"/>
    </row>
    <row r="394" spans="5:11" ht="13.5" customHeight="1" x14ac:dyDescent="0.2">
      <c r="E394" s="52"/>
      <c r="H394" s="61"/>
      <c r="K394"/>
    </row>
    <row r="395" spans="5:11" ht="13.5" customHeight="1" x14ac:dyDescent="0.2">
      <c r="E395" s="52"/>
      <c r="H395" s="61"/>
      <c r="K395"/>
    </row>
    <row r="396" spans="5:11" ht="13.5" customHeight="1" x14ac:dyDescent="0.2">
      <c r="E396" s="52"/>
      <c r="H396" s="61"/>
      <c r="K396"/>
    </row>
    <row r="397" spans="5:11" ht="13.5" customHeight="1" x14ac:dyDescent="0.2">
      <c r="E397" s="52"/>
      <c r="H397" s="61"/>
      <c r="K397"/>
    </row>
    <row r="398" spans="5:11" ht="13.5" customHeight="1" x14ac:dyDescent="0.2">
      <c r="E398" s="52"/>
      <c r="H398" s="61"/>
      <c r="K398"/>
    </row>
    <row r="399" spans="5:11" ht="13.5" customHeight="1" x14ac:dyDescent="0.2">
      <c r="E399" s="52"/>
      <c r="H399" s="61"/>
      <c r="K399"/>
    </row>
    <row r="400" spans="5:11" ht="13.5" customHeight="1" x14ac:dyDescent="0.2">
      <c r="E400" s="52"/>
      <c r="H400" s="61"/>
      <c r="K400"/>
    </row>
    <row r="401" spans="5:11" ht="13.5" customHeight="1" x14ac:dyDescent="0.2">
      <c r="E401" s="52"/>
      <c r="H401" s="61"/>
      <c r="K401"/>
    </row>
    <row r="402" spans="5:11" ht="13.5" customHeight="1" x14ac:dyDescent="0.2">
      <c r="E402" s="52"/>
      <c r="H402" s="61"/>
      <c r="K402"/>
    </row>
    <row r="403" spans="5:11" ht="13.5" customHeight="1" x14ac:dyDescent="0.2">
      <c r="E403" s="52"/>
      <c r="H403" s="61"/>
      <c r="K403"/>
    </row>
    <row r="404" spans="5:11" ht="13.5" customHeight="1" x14ac:dyDescent="0.2">
      <c r="E404" s="52"/>
      <c r="H404" s="61"/>
      <c r="K404"/>
    </row>
    <row r="405" spans="5:11" ht="13.5" customHeight="1" x14ac:dyDescent="0.2">
      <c r="E405" s="52"/>
      <c r="H405" s="61"/>
      <c r="K405"/>
    </row>
    <row r="406" spans="5:11" ht="13.5" customHeight="1" x14ac:dyDescent="0.2">
      <c r="E406" s="52"/>
      <c r="H406" s="61"/>
      <c r="K406"/>
    </row>
    <row r="407" spans="5:11" ht="13.5" customHeight="1" x14ac:dyDescent="0.2">
      <c r="E407" s="52"/>
      <c r="H407" s="61"/>
      <c r="K407"/>
    </row>
    <row r="408" spans="5:11" ht="13.5" customHeight="1" x14ac:dyDescent="0.2">
      <c r="E408" s="52"/>
      <c r="H408" s="61"/>
      <c r="K408"/>
    </row>
    <row r="409" spans="5:11" ht="13.5" customHeight="1" x14ac:dyDescent="0.2">
      <c r="E409" s="52"/>
      <c r="H409" s="61"/>
      <c r="K409"/>
    </row>
    <row r="410" spans="5:11" ht="13.5" customHeight="1" x14ac:dyDescent="0.2">
      <c r="E410" s="52"/>
      <c r="H410" s="61"/>
      <c r="K410"/>
    </row>
    <row r="411" spans="5:11" ht="13.5" customHeight="1" x14ac:dyDescent="0.2">
      <c r="E411" s="52"/>
      <c r="H411" s="61"/>
      <c r="K411"/>
    </row>
    <row r="412" spans="5:11" ht="13.5" customHeight="1" x14ac:dyDescent="0.2">
      <c r="E412" s="52"/>
      <c r="H412" s="61"/>
      <c r="K412"/>
    </row>
    <row r="413" spans="5:11" ht="13.5" customHeight="1" x14ac:dyDescent="0.2">
      <c r="E413" s="52"/>
      <c r="H413" s="61"/>
      <c r="K413"/>
    </row>
    <row r="414" spans="5:11" ht="13.5" customHeight="1" x14ac:dyDescent="0.2">
      <c r="E414" s="52"/>
      <c r="H414" s="61"/>
      <c r="K414"/>
    </row>
    <row r="415" spans="5:11" ht="13.5" customHeight="1" x14ac:dyDescent="0.2">
      <c r="E415" s="52"/>
      <c r="H415" s="61"/>
      <c r="K415"/>
    </row>
    <row r="416" spans="5:11" ht="13.5" customHeight="1" x14ac:dyDescent="0.2">
      <c r="E416" s="52"/>
      <c r="H416" s="61"/>
      <c r="K416"/>
    </row>
    <row r="417" spans="5:11" ht="13.5" customHeight="1" x14ac:dyDescent="0.2">
      <c r="E417" s="52"/>
      <c r="H417" s="61"/>
      <c r="K417"/>
    </row>
    <row r="418" spans="5:11" ht="13.5" customHeight="1" x14ac:dyDescent="0.2">
      <c r="E418" s="52"/>
      <c r="H418" s="61"/>
      <c r="K418"/>
    </row>
    <row r="419" spans="5:11" ht="13.5" customHeight="1" x14ac:dyDescent="0.2">
      <c r="E419" s="52"/>
      <c r="H419" s="61"/>
      <c r="K419"/>
    </row>
    <row r="420" spans="5:11" ht="13.5" customHeight="1" x14ac:dyDescent="0.2">
      <c r="E420" s="52"/>
      <c r="H420" s="61"/>
      <c r="K420"/>
    </row>
    <row r="421" spans="5:11" ht="13.5" customHeight="1" x14ac:dyDescent="0.2">
      <c r="E421" s="52"/>
      <c r="H421" s="61"/>
      <c r="K421"/>
    </row>
    <row r="422" spans="5:11" ht="13.5" customHeight="1" x14ac:dyDescent="0.2">
      <c r="E422" s="52"/>
      <c r="H422" s="61"/>
      <c r="K422"/>
    </row>
    <row r="423" spans="5:11" ht="13.5" customHeight="1" x14ac:dyDescent="0.2">
      <c r="E423" s="52"/>
      <c r="H423" s="61"/>
      <c r="K423"/>
    </row>
    <row r="424" spans="5:11" ht="13.5" customHeight="1" x14ac:dyDescent="0.2">
      <c r="E424" s="52"/>
      <c r="H424" s="61"/>
      <c r="K424"/>
    </row>
    <row r="425" spans="5:11" ht="13.5" customHeight="1" x14ac:dyDescent="0.2">
      <c r="E425" s="52"/>
      <c r="H425" s="61"/>
      <c r="K425"/>
    </row>
    <row r="426" spans="5:11" ht="13.5" customHeight="1" x14ac:dyDescent="0.2">
      <c r="E426" s="52"/>
      <c r="H426" s="61"/>
      <c r="K426"/>
    </row>
    <row r="427" spans="5:11" ht="13.5" customHeight="1" x14ac:dyDescent="0.2">
      <c r="E427" s="52"/>
      <c r="H427" s="61"/>
      <c r="K427"/>
    </row>
    <row r="428" spans="5:11" ht="13.5" customHeight="1" x14ac:dyDescent="0.2">
      <c r="E428" s="52"/>
      <c r="H428" s="61"/>
      <c r="K428"/>
    </row>
    <row r="429" spans="5:11" ht="13.5" customHeight="1" x14ac:dyDescent="0.2">
      <c r="E429" s="52"/>
      <c r="H429" s="61"/>
      <c r="K429"/>
    </row>
    <row r="430" spans="5:11" ht="13.5" customHeight="1" x14ac:dyDescent="0.2">
      <c r="E430" s="52"/>
      <c r="H430" s="61"/>
      <c r="K430"/>
    </row>
    <row r="431" spans="5:11" ht="13.5" customHeight="1" x14ac:dyDescent="0.2">
      <c r="E431" s="52"/>
      <c r="H431" s="61"/>
      <c r="K431"/>
    </row>
    <row r="432" spans="5:11" ht="13.5" customHeight="1" x14ac:dyDescent="0.2">
      <c r="E432" s="52"/>
      <c r="H432" s="61"/>
      <c r="K432"/>
    </row>
    <row r="433" spans="5:11" ht="13.5" customHeight="1" x14ac:dyDescent="0.2">
      <c r="E433" s="52"/>
      <c r="H433" s="61"/>
      <c r="K433"/>
    </row>
    <row r="434" spans="5:11" ht="13.5" customHeight="1" x14ac:dyDescent="0.2">
      <c r="E434" s="52"/>
      <c r="H434" s="61"/>
      <c r="K434"/>
    </row>
    <row r="435" spans="5:11" ht="13.5" customHeight="1" x14ac:dyDescent="0.2">
      <c r="E435" s="52"/>
      <c r="H435" s="61"/>
      <c r="K435"/>
    </row>
    <row r="436" spans="5:11" ht="13.5" customHeight="1" x14ac:dyDescent="0.2">
      <c r="E436" s="52"/>
      <c r="H436" s="61"/>
      <c r="K436"/>
    </row>
    <row r="437" spans="5:11" ht="13.5" customHeight="1" x14ac:dyDescent="0.2">
      <c r="E437" s="52"/>
      <c r="H437" s="61"/>
      <c r="K437"/>
    </row>
    <row r="438" spans="5:11" ht="13.5" customHeight="1" x14ac:dyDescent="0.2">
      <c r="E438" s="52"/>
      <c r="H438" s="61"/>
      <c r="K438"/>
    </row>
    <row r="439" spans="5:11" ht="13.5" customHeight="1" x14ac:dyDescent="0.2">
      <c r="E439" s="52"/>
      <c r="H439" s="61"/>
      <c r="K439"/>
    </row>
    <row r="440" spans="5:11" ht="13.5" customHeight="1" x14ac:dyDescent="0.2">
      <c r="E440" s="52"/>
      <c r="H440" s="61"/>
      <c r="K440"/>
    </row>
    <row r="441" spans="5:11" ht="13.5" customHeight="1" x14ac:dyDescent="0.2">
      <c r="E441" s="52"/>
      <c r="H441" s="61"/>
      <c r="K441"/>
    </row>
    <row r="442" spans="5:11" ht="13.5" customHeight="1" x14ac:dyDescent="0.2">
      <c r="E442" s="52"/>
      <c r="H442" s="61"/>
      <c r="K442"/>
    </row>
    <row r="443" spans="5:11" ht="13.5" customHeight="1" x14ac:dyDescent="0.2">
      <c r="E443" s="52"/>
      <c r="H443" s="61"/>
      <c r="K443"/>
    </row>
    <row r="444" spans="5:11" ht="13.5" customHeight="1" x14ac:dyDescent="0.2">
      <c r="E444" s="52"/>
      <c r="H444" s="61"/>
      <c r="K444"/>
    </row>
    <row r="445" spans="5:11" ht="13.5" customHeight="1" x14ac:dyDescent="0.2">
      <c r="E445" s="52"/>
      <c r="H445" s="61"/>
      <c r="K445"/>
    </row>
    <row r="446" spans="5:11" ht="13.5" customHeight="1" x14ac:dyDescent="0.2">
      <c r="E446" s="52"/>
      <c r="H446" s="61"/>
      <c r="K446"/>
    </row>
    <row r="447" spans="5:11" ht="13.5" customHeight="1" x14ac:dyDescent="0.2">
      <c r="E447" s="52"/>
      <c r="H447" s="61"/>
      <c r="K447"/>
    </row>
    <row r="448" spans="5:11" ht="13.5" customHeight="1" x14ac:dyDescent="0.2">
      <c r="E448" s="52"/>
      <c r="H448" s="61"/>
      <c r="K448"/>
    </row>
    <row r="449" spans="5:11" ht="13.5" customHeight="1" x14ac:dyDescent="0.2">
      <c r="E449" s="52"/>
      <c r="H449" s="61"/>
      <c r="K449"/>
    </row>
    <row r="450" spans="5:11" ht="13.5" customHeight="1" x14ac:dyDescent="0.2">
      <c r="E450" s="52"/>
      <c r="H450" s="61"/>
      <c r="K450"/>
    </row>
    <row r="451" spans="5:11" ht="13.5" customHeight="1" x14ac:dyDescent="0.2">
      <c r="E451" s="52"/>
      <c r="H451" s="61"/>
      <c r="K451"/>
    </row>
    <row r="452" spans="5:11" ht="13.5" customHeight="1" x14ac:dyDescent="0.2">
      <c r="E452" s="52"/>
      <c r="H452" s="61"/>
      <c r="K452"/>
    </row>
    <row r="453" spans="5:11" ht="13.5" customHeight="1" x14ac:dyDescent="0.2">
      <c r="E453" s="52"/>
      <c r="H453" s="61"/>
      <c r="K453"/>
    </row>
    <row r="454" spans="5:11" ht="13.5" customHeight="1" x14ac:dyDescent="0.2">
      <c r="E454" s="52"/>
      <c r="H454" s="61"/>
      <c r="K454"/>
    </row>
    <row r="455" spans="5:11" ht="13.5" customHeight="1" x14ac:dyDescent="0.2">
      <c r="E455" s="52"/>
      <c r="H455" s="61"/>
      <c r="K455"/>
    </row>
    <row r="456" spans="5:11" ht="13.5" customHeight="1" x14ac:dyDescent="0.2">
      <c r="E456" s="52"/>
      <c r="H456" s="61"/>
      <c r="K456"/>
    </row>
    <row r="457" spans="5:11" ht="13.5" customHeight="1" x14ac:dyDescent="0.2">
      <c r="E457" s="52"/>
      <c r="H457" s="61"/>
      <c r="K457"/>
    </row>
    <row r="458" spans="5:11" ht="13.5" customHeight="1" x14ac:dyDescent="0.2">
      <c r="E458" s="52"/>
      <c r="H458" s="61"/>
      <c r="K458"/>
    </row>
    <row r="459" spans="5:11" ht="13.5" customHeight="1" x14ac:dyDescent="0.2">
      <c r="E459" s="52"/>
      <c r="H459" s="61"/>
      <c r="K459"/>
    </row>
    <row r="460" spans="5:11" ht="13.5" customHeight="1" x14ac:dyDescent="0.2">
      <c r="E460" s="52"/>
      <c r="H460" s="61"/>
      <c r="K460"/>
    </row>
    <row r="461" spans="5:11" ht="13.5" customHeight="1" x14ac:dyDescent="0.2">
      <c r="E461" s="52"/>
      <c r="H461" s="61"/>
      <c r="K461"/>
    </row>
    <row r="462" spans="5:11" ht="13.5" customHeight="1" x14ac:dyDescent="0.2">
      <c r="E462" s="52"/>
      <c r="H462" s="61"/>
      <c r="K462"/>
    </row>
    <row r="463" spans="5:11" ht="13.5" customHeight="1" x14ac:dyDescent="0.2">
      <c r="E463" s="52"/>
      <c r="H463" s="61"/>
      <c r="K463"/>
    </row>
    <row r="464" spans="5:11" ht="13.5" customHeight="1" x14ac:dyDescent="0.2">
      <c r="E464" s="52"/>
      <c r="H464" s="61"/>
      <c r="K464"/>
    </row>
    <row r="465" spans="5:11" ht="13.5" customHeight="1" x14ac:dyDescent="0.2">
      <c r="E465" s="52"/>
      <c r="H465" s="61"/>
      <c r="K465"/>
    </row>
    <row r="466" spans="5:11" ht="13.5" customHeight="1" x14ac:dyDescent="0.2">
      <c r="E466" s="52"/>
      <c r="H466" s="61"/>
      <c r="K466"/>
    </row>
    <row r="467" spans="5:11" ht="13.5" customHeight="1" x14ac:dyDescent="0.2">
      <c r="E467" s="52"/>
      <c r="H467" s="61"/>
      <c r="K467"/>
    </row>
    <row r="468" spans="5:11" ht="13.5" customHeight="1" x14ac:dyDescent="0.2">
      <c r="E468" s="52"/>
      <c r="H468" s="61"/>
      <c r="K468"/>
    </row>
    <row r="469" spans="5:11" ht="13.5" customHeight="1" x14ac:dyDescent="0.2">
      <c r="E469" s="52"/>
      <c r="H469" s="61"/>
      <c r="K469"/>
    </row>
    <row r="470" spans="5:11" ht="13.5" customHeight="1" x14ac:dyDescent="0.2">
      <c r="E470" s="52"/>
      <c r="H470" s="61"/>
      <c r="K470"/>
    </row>
    <row r="471" spans="5:11" ht="13.5" customHeight="1" x14ac:dyDescent="0.2">
      <c r="E471" s="52"/>
      <c r="H471" s="61"/>
      <c r="K471"/>
    </row>
    <row r="472" spans="5:11" ht="13.5" customHeight="1" x14ac:dyDescent="0.2">
      <c r="E472" s="52"/>
      <c r="H472" s="61"/>
      <c r="K472"/>
    </row>
    <row r="473" spans="5:11" ht="13.5" customHeight="1" x14ac:dyDescent="0.2">
      <c r="E473" s="52"/>
      <c r="H473" s="61"/>
      <c r="K473"/>
    </row>
    <row r="474" spans="5:11" ht="13.5" customHeight="1" x14ac:dyDescent="0.2">
      <c r="E474" s="52"/>
      <c r="H474" s="61"/>
      <c r="K474"/>
    </row>
    <row r="475" spans="5:11" ht="13.5" customHeight="1" x14ac:dyDescent="0.2">
      <c r="E475" s="52"/>
      <c r="H475" s="61"/>
      <c r="K475"/>
    </row>
    <row r="476" spans="5:11" ht="13.5" customHeight="1" x14ac:dyDescent="0.2">
      <c r="E476" s="52"/>
      <c r="H476" s="61"/>
      <c r="K476"/>
    </row>
    <row r="477" spans="5:11" ht="13.5" customHeight="1" x14ac:dyDescent="0.2">
      <c r="E477" s="52"/>
      <c r="H477" s="61"/>
      <c r="K477"/>
    </row>
    <row r="478" spans="5:11" ht="13.5" customHeight="1" x14ac:dyDescent="0.2">
      <c r="E478" s="52"/>
      <c r="H478" s="61"/>
      <c r="K478"/>
    </row>
    <row r="479" spans="5:11" ht="13.5" customHeight="1" x14ac:dyDescent="0.2">
      <c r="E479" s="52"/>
      <c r="H479" s="61"/>
      <c r="K479"/>
    </row>
    <row r="480" spans="5:11" ht="13.5" customHeight="1" x14ac:dyDescent="0.2">
      <c r="E480" s="52"/>
      <c r="H480" s="61"/>
      <c r="K480"/>
    </row>
    <row r="481" spans="5:11" ht="13.5" customHeight="1" x14ac:dyDescent="0.2">
      <c r="E481" s="52"/>
      <c r="H481" s="61"/>
      <c r="K481"/>
    </row>
    <row r="482" spans="5:11" ht="13.5" customHeight="1" x14ac:dyDescent="0.2">
      <c r="E482" s="52"/>
      <c r="H482" s="61"/>
      <c r="K482"/>
    </row>
    <row r="483" spans="5:11" ht="13.5" customHeight="1" x14ac:dyDescent="0.2">
      <c r="E483" s="52"/>
      <c r="H483" s="61"/>
      <c r="K483"/>
    </row>
    <row r="484" spans="5:11" ht="13.5" customHeight="1" x14ac:dyDescent="0.2">
      <c r="E484" s="52"/>
      <c r="H484" s="61"/>
      <c r="K484"/>
    </row>
    <row r="485" spans="5:11" ht="13.5" customHeight="1" x14ac:dyDescent="0.2">
      <c r="E485" s="52"/>
      <c r="H485" s="61"/>
      <c r="K485"/>
    </row>
    <row r="486" spans="5:11" ht="13.5" customHeight="1" x14ac:dyDescent="0.2">
      <c r="E486" s="52"/>
      <c r="H486" s="61"/>
      <c r="K486"/>
    </row>
    <row r="487" spans="5:11" ht="13.5" customHeight="1" x14ac:dyDescent="0.2">
      <c r="E487" s="52"/>
      <c r="H487" s="61"/>
      <c r="K487"/>
    </row>
    <row r="488" spans="5:11" ht="13.5" customHeight="1" x14ac:dyDescent="0.2">
      <c r="E488" s="52"/>
      <c r="H488" s="61"/>
      <c r="K488"/>
    </row>
    <row r="489" spans="5:11" ht="13.5" customHeight="1" x14ac:dyDescent="0.2">
      <c r="E489" s="52"/>
      <c r="H489" s="61"/>
      <c r="K489"/>
    </row>
    <row r="490" spans="5:11" ht="13.5" customHeight="1" x14ac:dyDescent="0.2">
      <c r="E490" s="52"/>
      <c r="H490" s="61"/>
      <c r="K490"/>
    </row>
    <row r="491" spans="5:11" ht="13.5" customHeight="1" x14ac:dyDescent="0.2">
      <c r="E491" s="52"/>
      <c r="H491" s="61"/>
      <c r="K491"/>
    </row>
    <row r="492" spans="5:11" ht="13.5" customHeight="1" x14ac:dyDescent="0.2">
      <c r="E492" s="52"/>
      <c r="H492" s="61"/>
      <c r="K492"/>
    </row>
    <row r="493" spans="5:11" ht="13.5" customHeight="1" x14ac:dyDescent="0.2">
      <c r="E493" s="52"/>
      <c r="H493" s="61"/>
      <c r="K493"/>
    </row>
    <row r="494" spans="5:11" ht="13.5" customHeight="1" x14ac:dyDescent="0.2">
      <c r="E494" s="52"/>
      <c r="H494" s="61"/>
      <c r="K494"/>
    </row>
    <row r="495" spans="5:11" ht="13.5" customHeight="1" x14ac:dyDescent="0.2">
      <c r="E495" s="52"/>
      <c r="H495" s="61"/>
      <c r="K495"/>
    </row>
    <row r="496" spans="5:11" ht="13.5" customHeight="1" x14ac:dyDescent="0.2">
      <c r="E496" s="52"/>
      <c r="H496" s="61"/>
      <c r="K496"/>
    </row>
    <row r="497" spans="5:11" ht="13.5" customHeight="1" x14ac:dyDescent="0.2">
      <c r="E497" s="52"/>
      <c r="H497" s="61"/>
      <c r="K497"/>
    </row>
    <row r="498" spans="5:11" ht="13.5" customHeight="1" x14ac:dyDescent="0.2">
      <c r="E498" s="52"/>
      <c r="H498" s="61"/>
      <c r="K498"/>
    </row>
    <row r="499" spans="5:11" ht="13.5" customHeight="1" x14ac:dyDescent="0.2">
      <c r="E499" s="52"/>
      <c r="H499" s="61"/>
      <c r="K499"/>
    </row>
    <row r="500" spans="5:11" ht="13.5" customHeight="1" x14ac:dyDescent="0.2">
      <c r="E500" s="52"/>
      <c r="H500" s="61"/>
      <c r="K500"/>
    </row>
    <row r="501" spans="5:11" ht="13.5" customHeight="1" x14ac:dyDescent="0.2">
      <c r="E501" s="52"/>
      <c r="H501" s="61"/>
      <c r="K501"/>
    </row>
    <row r="502" spans="5:11" ht="13.5" customHeight="1" x14ac:dyDescent="0.2">
      <c r="E502" s="52"/>
      <c r="H502" s="61"/>
      <c r="K502"/>
    </row>
    <row r="503" spans="5:11" ht="13.5" customHeight="1" x14ac:dyDescent="0.2">
      <c r="E503" s="52"/>
      <c r="H503" s="61"/>
      <c r="K503"/>
    </row>
    <row r="504" spans="5:11" ht="14.25" customHeight="1" x14ac:dyDescent="0.2">
      <c r="E504" s="52"/>
      <c r="H504" s="61"/>
      <c r="K504"/>
    </row>
    <row r="505" spans="5:11" ht="14.25" customHeight="1" x14ac:dyDescent="0.2">
      <c r="E505" s="52"/>
      <c r="H505" s="61"/>
      <c r="K505"/>
    </row>
    <row r="506" spans="5:11" ht="14.25" customHeight="1" x14ac:dyDescent="0.2">
      <c r="E506" s="52"/>
      <c r="H506" s="61"/>
      <c r="K506"/>
    </row>
    <row r="507" spans="5:11" ht="14.25" customHeight="1" x14ac:dyDescent="0.2">
      <c r="E507" s="52"/>
      <c r="H507" s="61"/>
      <c r="K507"/>
    </row>
    <row r="508" spans="5:11" ht="14.25" customHeight="1" x14ac:dyDescent="0.2">
      <c r="E508" s="52"/>
      <c r="H508" s="61"/>
      <c r="K508"/>
    </row>
    <row r="509" spans="5:11" ht="14.25" customHeight="1" x14ac:dyDescent="0.2">
      <c r="E509" s="52"/>
      <c r="H509" s="61"/>
      <c r="K509"/>
    </row>
    <row r="510" spans="5:11" ht="14.25" customHeight="1" x14ac:dyDescent="0.2">
      <c r="E510" s="52"/>
      <c r="H510" s="61"/>
      <c r="K510"/>
    </row>
    <row r="511" spans="5:11" ht="14.25" customHeight="1" x14ac:dyDescent="0.2">
      <c r="E511" s="52"/>
      <c r="H511" s="61"/>
      <c r="K511"/>
    </row>
    <row r="512" spans="5:11" ht="14.25" customHeight="1" x14ac:dyDescent="0.2">
      <c r="E512" s="52"/>
      <c r="H512" s="61"/>
      <c r="K512"/>
    </row>
    <row r="513" spans="5:11" ht="14.25" customHeight="1" x14ac:dyDescent="0.2">
      <c r="E513" s="52"/>
      <c r="H513" s="61"/>
      <c r="K513"/>
    </row>
    <row r="514" spans="5:11" ht="14.25" customHeight="1" x14ac:dyDescent="0.2">
      <c r="E514" s="52"/>
      <c r="H514" s="61"/>
      <c r="K514"/>
    </row>
    <row r="515" spans="5:11" ht="14.25" customHeight="1" x14ac:dyDescent="0.2">
      <c r="E515" s="52"/>
      <c r="H515" s="61"/>
      <c r="K515"/>
    </row>
    <row r="516" spans="5:11" ht="14.25" customHeight="1" x14ac:dyDescent="0.2">
      <c r="E516" s="52"/>
      <c r="H516" s="61"/>
      <c r="K516"/>
    </row>
    <row r="517" spans="5:11" ht="14.25" customHeight="1" x14ac:dyDescent="0.2">
      <c r="E517" s="52"/>
      <c r="H517" s="61"/>
      <c r="K517"/>
    </row>
    <row r="518" spans="5:11" ht="14.25" customHeight="1" x14ac:dyDescent="0.2">
      <c r="E518" s="52"/>
      <c r="H518" s="61"/>
      <c r="K518"/>
    </row>
    <row r="519" spans="5:11" ht="14.25" customHeight="1" x14ac:dyDescent="0.2">
      <c r="E519" s="52"/>
      <c r="H519" s="61"/>
      <c r="K519"/>
    </row>
    <row r="520" spans="5:11" ht="14.25" customHeight="1" x14ac:dyDescent="0.2">
      <c r="E520" s="52"/>
      <c r="H520" s="61"/>
      <c r="K520"/>
    </row>
    <row r="521" spans="5:11" ht="14.25" customHeight="1" x14ac:dyDescent="0.2">
      <c r="E521" s="52"/>
      <c r="H521" s="61"/>
      <c r="K521"/>
    </row>
    <row r="522" spans="5:11" ht="14.25" customHeight="1" x14ac:dyDescent="0.2">
      <c r="E522" s="52"/>
      <c r="H522" s="61"/>
      <c r="K522"/>
    </row>
    <row r="523" spans="5:11" ht="14.25" customHeight="1" x14ac:dyDescent="0.2">
      <c r="E523" s="52"/>
      <c r="H523" s="61"/>
      <c r="K523"/>
    </row>
    <row r="524" spans="5:11" ht="14.25" customHeight="1" x14ac:dyDescent="0.2">
      <c r="E524" s="52"/>
      <c r="H524" s="61"/>
      <c r="K524"/>
    </row>
    <row r="525" spans="5:11" ht="14.25" customHeight="1" x14ac:dyDescent="0.2">
      <c r="E525" s="52"/>
      <c r="H525" s="61"/>
      <c r="K525"/>
    </row>
    <row r="526" spans="5:11" ht="14.25" customHeight="1" x14ac:dyDescent="0.2">
      <c r="E526" s="52"/>
      <c r="H526" s="61"/>
      <c r="K526"/>
    </row>
    <row r="527" spans="5:11" ht="14.25" customHeight="1" x14ac:dyDescent="0.2">
      <c r="E527" s="52"/>
      <c r="H527" s="61"/>
      <c r="K527"/>
    </row>
    <row r="528" spans="5:11" ht="14.25" customHeight="1" x14ac:dyDescent="0.2">
      <c r="E528" s="52"/>
      <c r="H528" s="61"/>
      <c r="K528"/>
    </row>
    <row r="529" spans="5:11" ht="14.25" customHeight="1" x14ac:dyDescent="0.2">
      <c r="E529" s="52"/>
      <c r="H529" s="61"/>
      <c r="K529"/>
    </row>
    <row r="530" spans="5:11" ht="14.25" customHeight="1" x14ac:dyDescent="0.2">
      <c r="E530" s="52"/>
      <c r="H530" s="61"/>
      <c r="K530"/>
    </row>
    <row r="531" spans="5:11" ht="14.25" customHeight="1" x14ac:dyDescent="0.2">
      <c r="E531" s="52"/>
      <c r="H531" s="61"/>
      <c r="K531"/>
    </row>
    <row r="532" spans="5:11" ht="14.25" customHeight="1" x14ac:dyDescent="0.2">
      <c r="E532" s="52"/>
      <c r="H532" s="61"/>
      <c r="K532"/>
    </row>
    <row r="533" spans="5:11" ht="14.25" customHeight="1" x14ac:dyDescent="0.2">
      <c r="E533" s="52"/>
      <c r="H533" s="61"/>
      <c r="K533"/>
    </row>
    <row r="534" spans="5:11" ht="14.25" customHeight="1" x14ac:dyDescent="0.2">
      <c r="E534" s="52"/>
      <c r="H534" s="61"/>
      <c r="K534"/>
    </row>
    <row r="535" spans="5:11" ht="14.25" customHeight="1" x14ac:dyDescent="0.2">
      <c r="E535" s="52"/>
      <c r="H535" s="61"/>
      <c r="K535"/>
    </row>
    <row r="536" spans="5:11" ht="14.25" customHeight="1" x14ac:dyDescent="0.2">
      <c r="E536" s="52"/>
      <c r="H536" s="61"/>
      <c r="K536"/>
    </row>
    <row r="537" spans="5:11" ht="14.25" customHeight="1" x14ac:dyDescent="0.2">
      <c r="E537" s="52"/>
      <c r="H537" s="61"/>
      <c r="K537"/>
    </row>
    <row r="538" spans="5:11" ht="14.25" customHeight="1" x14ac:dyDescent="0.2">
      <c r="E538" s="52"/>
      <c r="H538" s="61"/>
      <c r="K538"/>
    </row>
    <row r="539" spans="5:11" ht="14.25" customHeight="1" x14ac:dyDescent="0.2">
      <c r="E539" s="52"/>
      <c r="H539" s="61"/>
      <c r="K539"/>
    </row>
    <row r="540" spans="5:11" ht="14.25" customHeight="1" x14ac:dyDescent="0.2">
      <c r="E540" s="52"/>
      <c r="H540" s="61"/>
      <c r="K540"/>
    </row>
    <row r="541" spans="5:11" ht="14.25" customHeight="1" x14ac:dyDescent="0.2">
      <c r="E541" s="52"/>
      <c r="H541" s="61"/>
      <c r="K541"/>
    </row>
    <row r="542" spans="5:11" ht="14.25" customHeight="1" x14ac:dyDescent="0.2">
      <c r="E542" s="52"/>
      <c r="H542" s="61"/>
      <c r="K542"/>
    </row>
    <row r="543" spans="5:11" ht="14.25" customHeight="1" x14ac:dyDescent="0.2">
      <c r="E543" s="52"/>
      <c r="H543" s="61"/>
      <c r="K543"/>
    </row>
    <row r="544" spans="5:11" ht="14.25" customHeight="1" x14ac:dyDescent="0.2">
      <c r="E544" s="52"/>
      <c r="H544" s="61"/>
      <c r="K544"/>
    </row>
    <row r="545" spans="5:11" ht="14.25" customHeight="1" x14ac:dyDescent="0.2">
      <c r="E545" s="52"/>
      <c r="H545" s="61"/>
      <c r="K545"/>
    </row>
    <row r="546" spans="5:11" ht="14.25" customHeight="1" x14ac:dyDescent="0.2">
      <c r="E546" s="52"/>
      <c r="H546" s="61"/>
      <c r="K546"/>
    </row>
    <row r="547" spans="5:11" ht="14.25" customHeight="1" x14ac:dyDescent="0.2">
      <c r="E547" s="52"/>
      <c r="H547" s="61"/>
      <c r="K547"/>
    </row>
    <row r="548" spans="5:11" ht="14.25" customHeight="1" x14ac:dyDescent="0.2">
      <c r="E548" s="52"/>
      <c r="H548" s="61"/>
      <c r="K548"/>
    </row>
    <row r="549" spans="5:11" ht="14.25" customHeight="1" x14ac:dyDescent="0.2">
      <c r="E549" s="52"/>
      <c r="H549" s="61"/>
      <c r="K549"/>
    </row>
    <row r="550" spans="5:11" ht="14.25" customHeight="1" x14ac:dyDescent="0.2">
      <c r="E550" s="52"/>
      <c r="H550" s="61"/>
      <c r="K550"/>
    </row>
    <row r="551" spans="5:11" ht="14.25" customHeight="1" x14ac:dyDescent="0.2">
      <c r="E551" s="52"/>
      <c r="H551" s="61"/>
      <c r="K551"/>
    </row>
    <row r="552" spans="5:11" ht="14.25" customHeight="1" x14ac:dyDescent="0.2">
      <c r="E552" s="52"/>
      <c r="H552" s="61"/>
      <c r="K552"/>
    </row>
    <row r="553" spans="5:11" ht="14.25" customHeight="1" x14ac:dyDescent="0.2">
      <c r="E553" s="52"/>
      <c r="H553" s="61"/>
      <c r="K553"/>
    </row>
    <row r="554" spans="5:11" ht="14.25" customHeight="1" x14ac:dyDescent="0.2">
      <c r="E554" s="52"/>
      <c r="H554" s="61"/>
      <c r="K554"/>
    </row>
    <row r="555" spans="5:11" ht="14.25" customHeight="1" x14ac:dyDescent="0.2">
      <c r="E555" s="52"/>
      <c r="H555" s="61"/>
      <c r="K555"/>
    </row>
    <row r="556" spans="5:11" ht="14.25" customHeight="1" x14ac:dyDescent="0.2">
      <c r="E556" s="52"/>
      <c r="H556" s="61"/>
      <c r="K556"/>
    </row>
    <row r="557" spans="5:11" ht="14.25" customHeight="1" x14ac:dyDescent="0.2">
      <c r="E557" s="52"/>
      <c r="H557" s="61"/>
      <c r="K557"/>
    </row>
    <row r="558" spans="5:11" ht="14.25" customHeight="1" x14ac:dyDescent="0.2">
      <c r="E558" s="52"/>
      <c r="H558" s="61"/>
      <c r="K558"/>
    </row>
    <row r="559" spans="5:11" ht="14.25" customHeight="1" x14ac:dyDescent="0.2">
      <c r="E559" s="52"/>
      <c r="H559" s="61"/>
      <c r="K559"/>
    </row>
    <row r="560" spans="5:11" ht="14.25" customHeight="1" x14ac:dyDescent="0.2">
      <c r="E560" s="52"/>
      <c r="H560" s="61"/>
      <c r="K560"/>
    </row>
    <row r="561" spans="5:11" ht="14.25" customHeight="1" x14ac:dyDescent="0.2">
      <c r="E561" s="52"/>
      <c r="H561" s="61"/>
      <c r="K561"/>
    </row>
    <row r="562" spans="5:11" ht="14.25" customHeight="1" x14ac:dyDescent="0.2">
      <c r="E562" s="52"/>
      <c r="H562" s="61"/>
      <c r="K562"/>
    </row>
    <row r="563" spans="5:11" ht="14.25" customHeight="1" x14ac:dyDescent="0.2">
      <c r="E563" s="52"/>
      <c r="H563" s="61"/>
      <c r="K563"/>
    </row>
    <row r="564" spans="5:11" ht="14.25" customHeight="1" x14ac:dyDescent="0.2">
      <c r="E564" s="52"/>
      <c r="H564" s="61"/>
      <c r="K564"/>
    </row>
    <row r="565" spans="5:11" ht="14.25" customHeight="1" x14ac:dyDescent="0.2">
      <c r="E565" s="52"/>
      <c r="H565" s="61"/>
      <c r="K565"/>
    </row>
    <row r="566" spans="5:11" ht="14.25" customHeight="1" x14ac:dyDescent="0.2">
      <c r="E566" s="52"/>
      <c r="H566" s="61"/>
      <c r="K566"/>
    </row>
    <row r="567" spans="5:11" ht="14.25" customHeight="1" x14ac:dyDescent="0.2">
      <c r="E567" s="52"/>
      <c r="H567" s="61"/>
      <c r="K567"/>
    </row>
    <row r="568" spans="5:11" ht="14.25" customHeight="1" x14ac:dyDescent="0.2">
      <c r="E568" s="52"/>
      <c r="H568" s="61"/>
      <c r="K568"/>
    </row>
    <row r="569" spans="5:11" ht="14.25" customHeight="1" x14ac:dyDescent="0.2">
      <c r="E569" s="52"/>
      <c r="H569" s="61"/>
      <c r="K569"/>
    </row>
    <row r="570" spans="5:11" ht="14.25" customHeight="1" x14ac:dyDescent="0.2">
      <c r="E570" s="52"/>
      <c r="H570" s="61"/>
      <c r="K570"/>
    </row>
    <row r="571" spans="5:11" ht="14.25" customHeight="1" x14ac:dyDescent="0.2">
      <c r="E571" s="52"/>
      <c r="H571" s="61"/>
      <c r="K571"/>
    </row>
    <row r="572" spans="5:11" ht="14.25" customHeight="1" x14ac:dyDescent="0.2">
      <c r="E572" s="52"/>
      <c r="H572" s="61"/>
      <c r="K572"/>
    </row>
    <row r="573" spans="5:11" ht="14.25" customHeight="1" x14ac:dyDescent="0.2">
      <c r="E573" s="52"/>
      <c r="H573" s="61"/>
      <c r="K573"/>
    </row>
    <row r="574" spans="5:11" ht="14.25" customHeight="1" x14ac:dyDescent="0.2">
      <c r="E574" s="52"/>
      <c r="H574" s="61"/>
      <c r="K574"/>
    </row>
    <row r="575" spans="5:11" ht="14.25" customHeight="1" x14ac:dyDescent="0.2">
      <c r="E575" s="52"/>
      <c r="H575" s="61"/>
      <c r="K575"/>
    </row>
    <row r="576" spans="5:11" ht="14.25" customHeight="1" x14ac:dyDescent="0.2">
      <c r="E576" s="52"/>
      <c r="H576" s="61"/>
      <c r="K576"/>
    </row>
    <row r="577" spans="5:11" ht="14.25" customHeight="1" x14ac:dyDescent="0.2">
      <c r="E577" s="52"/>
      <c r="H577" s="61"/>
      <c r="K577"/>
    </row>
    <row r="578" spans="5:11" ht="14.25" customHeight="1" x14ac:dyDescent="0.2">
      <c r="E578" s="52"/>
      <c r="H578" s="61"/>
      <c r="K578"/>
    </row>
    <row r="579" spans="5:11" ht="14.25" customHeight="1" x14ac:dyDescent="0.2">
      <c r="E579" s="52"/>
      <c r="H579" s="61"/>
      <c r="K579"/>
    </row>
    <row r="580" spans="5:11" ht="14.25" customHeight="1" x14ac:dyDescent="0.2">
      <c r="E580" s="52"/>
      <c r="H580" s="61"/>
      <c r="K580"/>
    </row>
    <row r="581" spans="5:11" ht="14.25" customHeight="1" x14ac:dyDescent="0.2">
      <c r="E581" s="52"/>
      <c r="H581" s="61"/>
      <c r="K581"/>
    </row>
    <row r="582" spans="5:11" ht="14.25" customHeight="1" x14ac:dyDescent="0.2">
      <c r="E582" s="52"/>
      <c r="H582" s="61"/>
      <c r="K582"/>
    </row>
    <row r="583" spans="5:11" ht="14.25" customHeight="1" x14ac:dyDescent="0.2">
      <c r="E583" s="52"/>
      <c r="H583" s="61"/>
      <c r="K583"/>
    </row>
    <row r="584" spans="5:11" ht="14.25" customHeight="1" x14ac:dyDescent="0.2">
      <c r="E584" s="52"/>
      <c r="H584" s="61"/>
      <c r="K584"/>
    </row>
    <row r="585" spans="5:11" ht="14.25" customHeight="1" x14ac:dyDescent="0.2">
      <c r="E585" s="52"/>
      <c r="H585" s="61"/>
      <c r="K585"/>
    </row>
    <row r="586" spans="5:11" ht="14.25" customHeight="1" x14ac:dyDescent="0.2">
      <c r="E586" s="52"/>
      <c r="H586" s="61"/>
      <c r="K586"/>
    </row>
    <row r="587" spans="5:11" ht="14.25" customHeight="1" x14ac:dyDescent="0.2">
      <c r="E587" s="52"/>
      <c r="H587" s="61"/>
      <c r="K587"/>
    </row>
    <row r="588" spans="5:11" ht="14.25" customHeight="1" x14ac:dyDescent="0.2">
      <c r="E588" s="52"/>
      <c r="H588" s="61"/>
      <c r="K588"/>
    </row>
    <row r="589" spans="5:11" ht="14.25" customHeight="1" x14ac:dyDescent="0.2">
      <c r="E589" s="52"/>
      <c r="H589" s="61"/>
      <c r="K589"/>
    </row>
    <row r="590" spans="5:11" ht="14.25" customHeight="1" x14ac:dyDescent="0.2">
      <c r="E590" s="52"/>
      <c r="H590" s="61"/>
      <c r="K590"/>
    </row>
    <row r="591" spans="5:11" ht="14.25" customHeight="1" x14ac:dyDescent="0.2">
      <c r="E591" s="52"/>
      <c r="H591" s="61"/>
      <c r="K591"/>
    </row>
    <row r="592" spans="5:11" ht="14.25" customHeight="1" x14ac:dyDescent="0.2">
      <c r="E592" s="52"/>
      <c r="H592" s="61"/>
      <c r="K592"/>
    </row>
    <row r="593" spans="5:11" ht="14.25" customHeight="1" x14ac:dyDescent="0.2">
      <c r="E593" s="52"/>
      <c r="H593" s="61"/>
      <c r="K593"/>
    </row>
    <row r="594" spans="5:11" ht="14.25" customHeight="1" x14ac:dyDescent="0.2">
      <c r="E594" s="52"/>
      <c r="H594" s="61"/>
      <c r="K594"/>
    </row>
    <row r="595" spans="5:11" ht="14.25" customHeight="1" x14ac:dyDescent="0.2">
      <c r="E595" s="52"/>
      <c r="H595" s="61"/>
      <c r="K595"/>
    </row>
    <row r="596" spans="5:11" ht="14.25" customHeight="1" x14ac:dyDescent="0.2">
      <c r="E596" s="52"/>
      <c r="H596" s="61"/>
      <c r="K596"/>
    </row>
    <row r="597" spans="5:11" ht="14.25" customHeight="1" x14ac:dyDescent="0.2">
      <c r="E597" s="52"/>
      <c r="H597" s="61"/>
      <c r="K597"/>
    </row>
    <row r="598" spans="5:11" ht="14.25" customHeight="1" x14ac:dyDescent="0.2">
      <c r="E598" s="52"/>
      <c r="H598" s="61"/>
      <c r="K598"/>
    </row>
    <row r="599" spans="5:11" ht="14.25" customHeight="1" x14ac:dyDescent="0.2">
      <c r="E599" s="52"/>
      <c r="H599" s="61"/>
      <c r="K599"/>
    </row>
    <row r="600" spans="5:11" ht="14.25" customHeight="1" x14ac:dyDescent="0.2">
      <c r="E600" s="52"/>
      <c r="H600" s="61"/>
      <c r="K600"/>
    </row>
    <row r="601" spans="5:11" ht="14.25" customHeight="1" x14ac:dyDescent="0.2">
      <c r="E601" s="52"/>
      <c r="H601" s="61"/>
      <c r="K601"/>
    </row>
    <row r="602" spans="5:11" ht="14.25" customHeight="1" x14ac:dyDescent="0.2">
      <c r="E602" s="52"/>
      <c r="H602" s="61"/>
      <c r="K602"/>
    </row>
    <row r="603" spans="5:11" ht="14.25" customHeight="1" x14ac:dyDescent="0.2">
      <c r="E603" s="52"/>
      <c r="H603" s="61"/>
      <c r="K603"/>
    </row>
    <row r="604" spans="5:11" ht="14.25" customHeight="1" x14ac:dyDescent="0.2">
      <c r="E604" s="52"/>
      <c r="H604" s="61"/>
      <c r="K604"/>
    </row>
    <row r="605" spans="5:11" ht="14.25" customHeight="1" x14ac:dyDescent="0.2">
      <c r="E605" s="52"/>
      <c r="H605" s="61"/>
      <c r="K605"/>
    </row>
    <row r="606" spans="5:11" ht="14.25" customHeight="1" x14ac:dyDescent="0.2">
      <c r="E606" s="52"/>
      <c r="H606" s="61"/>
      <c r="K606"/>
    </row>
    <row r="607" spans="5:11" ht="14.25" customHeight="1" x14ac:dyDescent="0.2">
      <c r="E607" s="52"/>
      <c r="H607" s="61"/>
      <c r="K607"/>
    </row>
    <row r="608" spans="5:11" ht="14.25" customHeight="1" x14ac:dyDescent="0.2">
      <c r="E608" s="52"/>
      <c r="H608" s="61"/>
      <c r="K608"/>
    </row>
    <row r="609" spans="5:11" ht="14.25" customHeight="1" x14ac:dyDescent="0.2">
      <c r="E609" s="52"/>
      <c r="H609" s="61"/>
      <c r="K609"/>
    </row>
    <row r="610" spans="5:11" ht="14.25" customHeight="1" x14ac:dyDescent="0.2">
      <c r="E610" s="52"/>
      <c r="H610" s="61"/>
      <c r="K610"/>
    </row>
    <row r="611" spans="5:11" ht="14.25" customHeight="1" x14ac:dyDescent="0.2">
      <c r="E611" s="52"/>
      <c r="H611" s="61"/>
      <c r="K611"/>
    </row>
    <row r="612" spans="5:11" ht="14.25" customHeight="1" x14ac:dyDescent="0.2">
      <c r="E612" s="52"/>
      <c r="H612" s="61"/>
      <c r="K612"/>
    </row>
    <row r="613" spans="5:11" ht="14.25" customHeight="1" x14ac:dyDescent="0.2">
      <c r="E613" s="52"/>
      <c r="H613" s="61"/>
      <c r="K613"/>
    </row>
    <row r="614" spans="5:11" ht="14.25" customHeight="1" x14ac:dyDescent="0.2">
      <c r="E614" s="52"/>
      <c r="H614" s="61"/>
      <c r="K614"/>
    </row>
    <row r="615" spans="5:11" ht="14.25" customHeight="1" x14ac:dyDescent="0.2">
      <c r="E615" s="52"/>
      <c r="H615" s="61"/>
      <c r="K615"/>
    </row>
    <row r="616" spans="5:11" ht="14.25" customHeight="1" x14ac:dyDescent="0.2">
      <c r="E616" s="52"/>
      <c r="H616" s="61"/>
      <c r="K616"/>
    </row>
    <row r="617" spans="5:11" ht="14.25" customHeight="1" x14ac:dyDescent="0.2">
      <c r="E617" s="52"/>
      <c r="H617" s="61"/>
      <c r="K617"/>
    </row>
    <row r="618" spans="5:11" ht="14.25" customHeight="1" x14ac:dyDescent="0.2">
      <c r="E618" s="52"/>
      <c r="H618" s="61"/>
      <c r="K618"/>
    </row>
    <row r="619" spans="5:11" ht="14.25" customHeight="1" x14ac:dyDescent="0.2">
      <c r="E619" s="52"/>
      <c r="H619" s="61"/>
      <c r="K619"/>
    </row>
    <row r="620" spans="5:11" ht="14.25" customHeight="1" x14ac:dyDescent="0.2">
      <c r="E620" s="52"/>
      <c r="H620" s="61"/>
      <c r="K620"/>
    </row>
    <row r="621" spans="5:11" ht="14.25" customHeight="1" x14ac:dyDescent="0.2">
      <c r="E621" s="52"/>
      <c r="H621" s="61"/>
      <c r="K621"/>
    </row>
    <row r="622" spans="5:11" ht="14.25" customHeight="1" x14ac:dyDescent="0.2">
      <c r="E622" s="52"/>
      <c r="H622" s="61"/>
      <c r="K622"/>
    </row>
    <row r="623" spans="5:11" ht="14.25" customHeight="1" x14ac:dyDescent="0.2">
      <c r="E623" s="52"/>
      <c r="H623" s="61"/>
      <c r="K623"/>
    </row>
    <row r="624" spans="5:11" ht="14.25" customHeight="1" x14ac:dyDescent="0.2">
      <c r="E624" s="52"/>
      <c r="H624" s="61"/>
      <c r="K624"/>
    </row>
    <row r="625" spans="5:11" ht="14.25" customHeight="1" x14ac:dyDescent="0.2">
      <c r="E625" s="52"/>
      <c r="H625" s="61"/>
      <c r="K625"/>
    </row>
    <row r="626" spans="5:11" ht="14.25" customHeight="1" x14ac:dyDescent="0.2">
      <c r="E626" s="52"/>
      <c r="H626" s="61"/>
      <c r="K626"/>
    </row>
    <row r="627" spans="5:11" ht="14.25" customHeight="1" x14ac:dyDescent="0.2">
      <c r="E627" s="52"/>
      <c r="H627" s="61"/>
      <c r="K627"/>
    </row>
    <row r="628" spans="5:11" ht="14.25" customHeight="1" x14ac:dyDescent="0.2">
      <c r="E628" s="52"/>
      <c r="H628" s="61"/>
      <c r="K628"/>
    </row>
    <row r="629" spans="5:11" ht="14.25" customHeight="1" x14ac:dyDescent="0.2">
      <c r="E629" s="52"/>
      <c r="H629" s="61"/>
      <c r="K629"/>
    </row>
    <row r="630" spans="5:11" ht="14.25" customHeight="1" x14ac:dyDescent="0.2">
      <c r="E630" s="52"/>
      <c r="H630" s="61"/>
      <c r="K630"/>
    </row>
    <row r="631" spans="5:11" ht="14.25" customHeight="1" x14ac:dyDescent="0.2">
      <c r="E631" s="52"/>
      <c r="H631" s="61"/>
      <c r="K631"/>
    </row>
    <row r="632" spans="5:11" ht="14.25" customHeight="1" x14ac:dyDescent="0.2">
      <c r="E632" s="52"/>
      <c r="H632" s="61"/>
      <c r="K632"/>
    </row>
    <row r="633" spans="5:11" ht="14.25" customHeight="1" x14ac:dyDescent="0.2">
      <c r="E633" s="52"/>
      <c r="H633" s="61"/>
      <c r="K633"/>
    </row>
    <row r="634" spans="5:11" ht="14.25" customHeight="1" x14ac:dyDescent="0.2">
      <c r="E634" s="52"/>
      <c r="H634" s="61"/>
      <c r="K634"/>
    </row>
    <row r="635" spans="5:11" ht="14.25" customHeight="1" x14ac:dyDescent="0.2">
      <c r="E635" s="52"/>
      <c r="H635" s="61"/>
      <c r="K635"/>
    </row>
    <row r="636" spans="5:11" ht="14.25" customHeight="1" x14ac:dyDescent="0.2">
      <c r="E636" s="52"/>
      <c r="F636" s="41"/>
      <c r="H636" s="61"/>
      <c r="K636"/>
    </row>
    <row r="637" spans="5:11" ht="14.25" customHeight="1" x14ac:dyDescent="0.2">
      <c r="E637" s="52"/>
      <c r="F637" s="41"/>
      <c r="H637" s="61"/>
      <c r="K637"/>
    </row>
    <row r="638" spans="5:11" ht="14.25" customHeight="1" x14ac:dyDescent="0.2">
      <c r="E638" s="52"/>
      <c r="F638" s="41"/>
      <c r="H638" s="61"/>
      <c r="K638"/>
    </row>
    <row r="639" spans="5:11" ht="14.25" customHeight="1" x14ac:dyDescent="0.2">
      <c r="E639" s="52"/>
      <c r="F639" s="41"/>
      <c r="H639" s="61"/>
      <c r="K639"/>
    </row>
    <row r="640" spans="5:11" ht="14.25" customHeight="1" x14ac:dyDescent="0.2">
      <c r="E640" s="52"/>
      <c r="F640" s="41"/>
      <c r="H640" s="61"/>
      <c r="K640"/>
    </row>
    <row r="641" spans="5:11" ht="14.25" customHeight="1" x14ac:dyDescent="0.2">
      <c r="E641" s="52"/>
      <c r="F641" s="41"/>
      <c r="H641" s="61"/>
      <c r="K641"/>
    </row>
    <row r="642" spans="5:11" ht="14.25" customHeight="1" x14ac:dyDescent="0.2">
      <c r="E642" s="52"/>
      <c r="F642" s="41"/>
      <c r="H642" s="61"/>
      <c r="K642"/>
    </row>
    <row r="643" spans="5:11" ht="14.25" customHeight="1" x14ac:dyDescent="0.2">
      <c r="E643" s="52"/>
      <c r="F643" s="41"/>
      <c r="H643" s="61"/>
      <c r="K643"/>
    </row>
    <row r="644" spans="5:11" ht="14.25" customHeight="1" x14ac:dyDescent="0.2">
      <c r="E644" s="52"/>
      <c r="F644" s="41"/>
      <c r="H644" s="61"/>
      <c r="K644"/>
    </row>
    <row r="645" spans="5:11" ht="14.25" customHeight="1" x14ac:dyDescent="0.2">
      <c r="E645" s="52"/>
      <c r="F645" s="41"/>
      <c r="H645" s="61"/>
      <c r="K645"/>
    </row>
    <row r="646" spans="5:11" ht="14.25" customHeight="1" x14ac:dyDescent="0.2">
      <c r="E646" s="52"/>
      <c r="F646" s="41"/>
      <c r="H646" s="61"/>
      <c r="K646"/>
    </row>
    <row r="647" spans="5:11" ht="14.25" customHeight="1" x14ac:dyDescent="0.2">
      <c r="E647" s="52"/>
      <c r="F647" s="41"/>
      <c r="H647" s="61"/>
      <c r="K647"/>
    </row>
    <row r="648" spans="5:11" ht="13.5" customHeight="1" x14ac:dyDescent="0.2">
      <c r="E648" s="52"/>
      <c r="F648" s="41"/>
      <c r="H648" s="61"/>
      <c r="K648"/>
    </row>
    <row r="649" spans="5:11" ht="13.5" customHeight="1" x14ac:dyDescent="0.2">
      <c r="E649" s="52"/>
      <c r="F649" s="41"/>
      <c r="H649" s="61"/>
      <c r="K649"/>
    </row>
    <row r="650" spans="5:11" ht="13.5" customHeight="1" x14ac:dyDescent="0.2">
      <c r="E650" s="52"/>
      <c r="F650" s="41"/>
      <c r="H650" s="61"/>
      <c r="K650"/>
    </row>
    <row r="651" spans="5:11" ht="13.5" customHeight="1" x14ac:dyDescent="0.2">
      <c r="E651" s="52"/>
      <c r="F651" s="41"/>
      <c r="H651" s="61"/>
      <c r="K651"/>
    </row>
    <row r="652" spans="5:11" ht="13.5" customHeight="1" x14ac:dyDescent="0.2">
      <c r="E652" s="52"/>
      <c r="F652" s="41"/>
      <c r="H652" s="61"/>
      <c r="K652"/>
    </row>
    <row r="653" spans="5:11" ht="13.5" customHeight="1" x14ac:dyDescent="0.2">
      <c r="E653" s="52"/>
      <c r="F653" s="41"/>
      <c r="H653" s="61"/>
      <c r="K653"/>
    </row>
    <row r="654" spans="5:11" ht="13.5" customHeight="1" x14ac:dyDescent="0.2">
      <c r="E654" s="52"/>
      <c r="F654" s="41"/>
      <c r="H654" s="61"/>
      <c r="K654"/>
    </row>
    <row r="655" spans="5:11" ht="13.5" customHeight="1" x14ac:dyDescent="0.2">
      <c r="E655" s="52"/>
      <c r="F655" s="41"/>
      <c r="H655" s="61"/>
      <c r="K655"/>
    </row>
    <row r="656" spans="5:11" ht="13.5" customHeight="1" x14ac:dyDescent="0.2">
      <c r="E656" s="52"/>
      <c r="F656" s="41"/>
      <c r="H656" s="61"/>
      <c r="K656"/>
    </row>
    <row r="657" spans="5:11" ht="13.5" customHeight="1" x14ac:dyDescent="0.2">
      <c r="E657" s="52"/>
      <c r="F657" s="41"/>
      <c r="H657" s="61"/>
      <c r="K657"/>
    </row>
    <row r="658" spans="5:11" ht="13.5" customHeight="1" x14ac:dyDescent="0.2">
      <c r="E658" s="52"/>
      <c r="F658" s="41"/>
      <c r="H658" s="61"/>
      <c r="K658"/>
    </row>
    <row r="659" spans="5:11" ht="13.5" customHeight="1" x14ac:dyDescent="0.2">
      <c r="E659" s="52"/>
      <c r="F659" s="41"/>
      <c r="H659" s="61"/>
      <c r="K659"/>
    </row>
    <row r="660" spans="5:11" ht="13.5" customHeight="1" x14ac:dyDescent="0.2">
      <c r="E660" s="52"/>
      <c r="F660" s="41"/>
      <c r="H660" s="61"/>
      <c r="K660"/>
    </row>
    <row r="661" spans="5:11" ht="13.5" customHeight="1" x14ac:dyDescent="0.2">
      <c r="E661" s="52"/>
      <c r="F661" s="41"/>
      <c r="H661" s="61"/>
      <c r="K661"/>
    </row>
    <row r="662" spans="5:11" ht="13.5" customHeight="1" x14ac:dyDescent="0.2">
      <c r="E662" s="52"/>
      <c r="F662" s="41"/>
      <c r="H662" s="61"/>
      <c r="K662"/>
    </row>
    <row r="663" spans="5:11" ht="13.5" customHeight="1" x14ac:dyDescent="0.2">
      <c r="E663" s="52"/>
      <c r="F663" s="41"/>
      <c r="H663" s="61"/>
      <c r="K663"/>
    </row>
    <row r="664" spans="5:11" ht="13.5" customHeight="1" x14ac:dyDescent="0.2">
      <c r="E664" s="52"/>
      <c r="F664" s="41"/>
      <c r="H664" s="61"/>
      <c r="K664"/>
    </row>
    <row r="665" spans="5:11" ht="13.5" customHeight="1" x14ac:dyDescent="0.2">
      <c r="E665" s="52"/>
      <c r="F665" s="41"/>
      <c r="H665" s="61"/>
      <c r="K665"/>
    </row>
    <row r="666" spans="5:11" ht="13.5" customHeight="1" x14ac:dyDescent="0.2">
      <c r="E666" s="52"/>
      <c r="F666" s="41"/>
      <c r="H666" s="61"/>
      <c r="K666"/>
    </row>
    <row r="667" spans="5:11" ht="13.5" customHeight="1" x14ac:dyDescent="0.2">
      <c r="E667" s="52"/>
      <c r="F667" s="41"/>
      <c r="H667" s="61"/>
      <c r="K667"/>
    </row>
    <row r="668" spans="5:11" ht="13.5" customHeight="1" x14ac:dyDescent="0.2">
      <c r="E668" s="52"/>
      <c r="F668" s="41"/>
      <c r="H668" s="61"/>
      <c r="K668"/>
    </row>
    <row r="669" spans="5:11" ht="13.5" customHeight="1" x14ac:dyDescent="0.2">
      <c r="E669" s="52"/>
      <c r="F669" s="41"/>
      <c r="H669" s="61"/>
      <c r="K669"/>
    </row>
    <row r="670" spans="5:11" ht="13.5" customHeight="1" x14ac:dyDescent="0.2">
      <c r="E670" s="52"/>
      <c r="F670" s="41"/>
      <c r="H670" s="61"/>
      <c r="K670"/>
    </row>
    <row r="671" spans="5:11" ht="13.5" customHeight="1" x14ac:dyDescent="0.2">
      <c r="E671" s="52"/>
      <c r="F671" s="41"/>
      <c r="H671" s="61"/>
      <c r="K671"/>
    </row>
    <row r="672" spans="5:11" ht="13.5" customHeight="1" x14ac:dyDescent="0.2">
      <c r="E672" s="52"/>
      <c r="H672" s="61"/>
      <c r="K672"/>
    </row>
    <row r="673" spans="5:11" ht="13.5" customHeight="1" x14ac:dyDescent="0.2">
      <c r="E673" s="52"/>
      <c r="H673" s="61"/>
      <c r="K673"/>
    </row>
    <row r="674" spans="5:11" ht="13.5" customHeight="1" x14ac:dyDescent="0.2">
      <c r="E674" s="52"/>
      <c r="H674" s="61"/>
      <c r="K674"/>
    </row>
    <row r="675" spans="5:11" ht="13.5" customHeight="1" x14ac:dyDescent="0.2">
      <c r="E675" s="52"/>
      <c r="H675" s="61"/>
      <c r="K675"/>
    </row>
    <row r="676" spans="5:11" ht="13.5" customHeight="1" x14ac:dyDescent="0.2">
      <c r="E676" s="52"/>
      <c r="H676" s="61"/>
      <c r="K676"/>
    </row>
    <row r="677" spans="5:11" ht="13.5" customHeight="1" x14ac:dyDescent="0.2">
      <c r="E677" s="52"/>
      <c r="H677" s="61"/>
      <c r="K677"/>
    </row>
    <row r="678" spans="5:11" ht="13.5" customHeight="1" x14ac:dyDescent="0.2">
      <c r="E678" s="52"/>
      <c r="H678" s="61"/>
      <c r="K678"/>
    </row>
    <row r="679" spans="5:11" ht="13.5" customHeight="1" x14ac:dyDescent="0.2">
      <c r="E679" s="52"/>
      <c r="H679" s="61"/>
      <c r="K679"/>
    </row>
    <row r="680" spans="5:11" ht="13.5" customHeight="1" x14ac:dyDescent="0.2">
      <c r="E680" s="52"/>
      <c r="H680" s="61"/>
      <c r="K680"/>
    </row>
    <row r="681" spans="5:11" ht="13.5" customHeight="1" x14ac:dyDescent="0.2">
      <c r="E681" s="52"/>
      <c r="H681" s="61"/>
      <c r="K681"/>
    </row>
    <row r="682" spans="5:11" ht="13.5" customHeight="1" x14ac:dyDescent="0.2">
      <c r="E682" s="52"/>
      <c r="H682" s="61"/>
      <c r="K682"/>
    </row>
    <row r="683" spans="5:11" ht="13.5" customHeight="1" x14ac:dyDescent="0.2">
      <c r="E683" s="52"/>
      <c r="H683" s="61"/>
      <c r="K683"/>
    </row>
    <row r="684" spans="5:11" ht="13.5" customHeight="1" x14ac:dyDescent="0.2">
      <c r="E684" s="52"/>
      <c r="H684" s="61"/>
      <c r="K684"/>
    </row>
    <row r="685" spans="5:11" ht="13.5" customHeight="1" x14ac:dyDescent="0.2">
      <c r="E685" s="52"/>
      <c r="H685" s="61"/>
      <c r="K685"/>
    </row>
    <row r="686" spans="5:11" ht="13.5" customHeight="1" x14ac:dyDescent="0.2">
      <c r="E686" s="52"/>
      <c r="H686" s="61"/>
      <c r="K686"/>
    </row>
    <row r="687" spans="5:11" ht="13.5" customHeight="1" x14ac:dyDescent="0.2">
      <c r="E687" s="52"/>
      <c r="H687" s="61"/>
      <c r="K687"/>
    </row>
    <row r="688" spans="5:11" ht="13.5" customHeight="1" x14ac:dyDescent="0.2">
      <c r="E688" s="52"/>
      <c r="H688" s="61"/>
      <c r="K688"/>
    </row>
    <row r="689" spans="5:11" ht="13.5" customHeight="1" x14ac:dyDescent="0.2">
      <c r="E689" s="52"/>
      <c r="H689" s="61"/>
      <c r="K689"/>
    </row>
    <row r="690" spans="5:11" ht="13.5" customHeight="1" x14ac:dyDescent="0.2">
      <c r="E690" s="52"/>
      <c r="H690" s="61"/>
      <c r="K690"/>
    </row>
    <row r="691" spans="5:11" ht="13.5" customHeight="1" x14ac:dyDescent="0.2">
      <c r="E691" s="52"/>
      <c r="H691" s="61"/>
      <c r="K691"/>
    </row>
    <row r="692" spans="5:11" ht="13.5" customHeight="1" x14ac:dyDescent="0.2">
      <c r="E692" s="52"/>
      <c r="H692" s="61"/>
      <c r="K692"/>
    </row>
    <row r="693" spans="5:11" ht="13.5" customHeight="1" x14ac:dyDescent="0.2">
      <c r="E693" s="52"/>
      <c r="H693" s="61"/>
      <c r="K693"/>
    </row>
    <row r="694" spans="5:11" ht="13.5" customHeight="1" x14ac:dyDescent="0.2">
      <c r="E694" s="52"/>
      <c r="H694" s="61"/>
      <c r="K694"/>
    </row>
    <row r="695" spans="5:11" ht="13.5" customHeight="1" x14ac:dyDescent="0.2">
      <c r="E695" s="52"/>
      <c r="H695" s="61"/>
      <c r="K695"/>
    </row>
    <row r="696" spans="5:11" ht="13.5" customHeight="1" x14ac:dyDescent="0.2">
      <c r="E696" s="52"/>
      <c r="H696" s="61"/>
      <c r="K696"/>
    </row>
    <row r="697" spans="5:11" ht="13.5" customHeight="1" x14ac:dyDescent="0.2">
      <c r="E697" s="52"/>
      <c r="H697" s="61"/>
      <c r="K697"/>
    </row>
    <row r="698" spans="5:11" ht="13.5" customHeight="1" x14ac:dyDescent="0.2">
      <c r="E698" s="52"/>
      <c r="H698" s="61"/>
      <c r="K698"/>
    </row>
    <row r="699" spans="5:11" ht="13.5" customHeight="1" x14ac:dyDescent="0.2">
      <c r="E699" s="52"/>
      <c r="H699" s="61"/>
      <c r="K699"/>
    </row>
    <row r="700" spans="5:11" ht="13.5" customHeight="1" x14ac:dyDescent="0.2">
      <c r="E700" s="52"/>
      <c r="H700" s="61"/>
      <c r="K700"/>
    </row>
    <row r="701" spans="5:11" ht="13.5" customHeight="1" x14ac:dyDescent="0.2">
      <c r="E701" s="52"/>
      <c r="H701" s="61"/>
      <c r="K701"/>
    </row>
    <row r="702" spans="5:11" ht="13.5" customHeight="1" x14ac:dyDescent="0.2">
      <c r="E702" s="52"/>
      <c r="H702" s="61"/>
      <c r="K702"/>
    </row>
    <row r="703" spans="5:11" ht="13.5" customHeight="1" x14ac:dyDescent="0.2">
      <c r="E703" s="52"/>
      <c r="H703" s="61"/>
      <c r="K703"/>
    </row>
    <row r="704" spans="5:11" ht="13.5" customHeight="1" x14ac:dyDescent="0.2">
      <c r="E704" s="52"/>
      <c r="H704" s="61"/>
      <c r="K704"/>
    </row>
    <row r="705" spans="5:11" ht="13.5" customHeight="1" x14ac:dyDescent="0.2">
      <c r="E705" s="52"/>
      <c r="H705" s="61"/>
      <c r="K705"/>
    </row>
    <row r="706" spans="5:11" ht="13.5" customHeight="1" x14ac:dyDescent="0.2">
      <c r="E706" s="52"/>
      <c r="H706" s="61"/>
      <c r="K706"/>
    </row>
    <row r="707" spans="5:11" ht="13.5" customHeight="1" x14ac:dyDescent="0.2">
      <c r="E707" s="52"/>
      <c r="H707" s="61"/>
      <c r="K707"/>
    </row>
    <row r="708" spans="5:11" ht="13.5" customHeight="1" x14ac:dyDescent="0.2">
      <c r="E708" s="52"/>
      <c r="H708" s="61"/>
      <c r="K708"/>
    </row>
    <row r="709" spans="5:11" ht="13.5" customHeight="1" x14ac:dyDescent="0.2">
      <c r="E709" s="52"/>
      <c r="H709" s="61"/>
      <c r="K709"/>
    </row>
    <row r="710" spans="5:11" ht="13.5" customHeight="1" x14ac:dyDescent="0.2">
      <c r="E710" s="52"/>
      <c r="H710" s="61"/>
      <c r="K710"/>
    </row>
    <row r="711" spans="5:11" ht="13.5" customHeight="1" x14ac:dyDescent="0.2">
      <c r="E711" s="52"/>
      <c r="H711" s="61"/>
      <c r="K711"/>
    </row>
    <row r="712" spans="5:11" ht="13.5" customHeight="1" x14ac:dyDescent="0.2">
      <c r="E712" s="52"/>
      <c r="H712" s="61"/>
      <c r="K712"/>
    </row>
    <row r="713" spans="5:11" ht="13.5" customHeight="1" x14ac:dyDescent="0.2">
      <c r="E713" s="52"/>
      <c r="H713" s="61"/>
      <c r="K713"/>
    </row>
    <row r="714" spans="5:11" ht="13.5" customHeight="1" x14ac:dyDescent="0.2">
      <c r="E714" s="52"/>
      <c r="H714" s="61"/>
      <c r="K714"/>
    </row>
    <row r="715" spans="5:11" ht="13.5" customHeight="1" x14ac:dyDescent="0.2">
      <c r="E715" s="52"/>
      <c r="H715" s="61"/>
      <c r="K715"/>
    </row>
    <row r="716" spans="5:11" ht="13.5" customHeight="1" x14ac:dyDescent="0.2">
      <c r="E716" s="52"/>
      <c r="H716" s="61"/>
      <c r="K716"/>
    </row>
    <row r="717" spans="5:11" ht="13.5" customHeight="1" x14ac:dyDescent="0.2">
      <c r="E717" s="52"/>
      <c r="H717" s="61"/>
      <c r="K717"/>
    </row>
    <row r="718" spans="5:11" ht="13.5" customHeight="1" x14ac:dyDescent="0.2">
      <c r="E718" s="52"/>
      <c r="H718" s="61"/>
      <c r="K718"/>
    </row>
    <row r="719" spans="5:11" ht="13.5" customHeight="1" x14ac:dyDescent="0.2">
      <c r="E719" s="52"/>
      <c r="H719" s="61"/>
      <c r="K719"/>
    </row>
    <row r="720" spans="5:11" ht="13.5" customHeight="1" x14ac:dyDescent="0.2">
      <c r="E720" s="52"/>
      <c r="H720" s="61"/>
      <c r="K720"/>
    </row>
    <row r="721" spans="5:11" ht="13.5" customHeight="1" x14ac:dyDescent="0.2">
      <c r="E721" s="52"/>
      <c r="H721" s="61"/>
      <c r="K721"/>
    </row>
    <row r="722" spans="5:11" ht="13.5" customHeight="1" x14ac:dyDescent="0.2">
      <c r="E722" s="52"/>
      <c r="H722" s="61"/>
      <c r="K722"/>
    </row>
    <row r="723" spans="5:11" ht="13.5" customHeight="1" x14ac:dyDescent="0.2">
      <c r="E723" s="52"/>
      <c r="H723" s="61"/>
      <c r="K723"/>
    </row>
    <row r="724" spans="5:11" ht="13.5" customHeight="1" x14ac:dyDescent="0.2">
      <c r="E724" s="52"/>
      <c r="H724" s="61"/>
      <c r="K724"/>
    </row>
    <row r="725" spans="5:11" ht="13.5" customHeight="1" x14ac:dyDescent="0.2">
      <c r="E725" s="52"/>
      <c r="H725" s="61"/>
      <c r="K725"/>
    </row>
    <row r="726" spans="5:11" ht="13.5" customHeight="1" x14ac:dyDescent="0.2">
      <c r="E726" s="52"/>
      <c r="H726" s="61"/>
      <c r="K726"/>
    </row>
    <row r="727" spans="5:11" ht="13.5" customHeight="1" x14ac:dyDescent="0.2">
      <c r="E727" s="52"/>
      <c r="H727" s="61"/>
      <c r="K727"/>
    </row>
    <row r="728" spans="5:11" ht="13.5" customHeight="1" x14ac:dyDescent="0.2">
      <c r="E728" s="52"/>
      <c r="H728" s="61"/>
      <c r="K728"/>
    </row>
    <row r="729" spans="5:11" ht="13.5" customHeight="1" x14ac:dyDescent="0.2">
      <c r="E729" s="52"/>
      <c r="H729" s="61"/>
      <c r="K729"/>
    </row>
    <row r="730" spans="5:11" ht="13.5" customHeight="1" x14ac:dyDescent="0.2">
      <c r="E730" s="52"/>
      <c r="H730" s="61"/>
      <c r="K730"/>
    </row>
    <row r="731" spans="5:11" ht="13.5" customHeight="1" x14ac:dyDescent="0.2">
      <c r="E731" s="52"/>
      <c r="H731" s="61"/>
      <c r="K731"/>
    </row>
    <row r="732" spans="5:11" ht="13.5" customHeight="1" x14ac:dyDescent="0.2">
      <c r="E732" s="52"/>
      <c r="H732" s="61"/>
      <c r="K732"/>
    </row>
    <row r="733" spans="5:11" ht="13.5" customHeight="1" x14ac:dyDescent="0.2">
      <c r="E733" s="52"/>
      <c r="H733" s="61"/>
      <c r="K733"/>
    </row>
    <row r="734" spans="5:11" ht="13.5" customHeight="1" x14ac:dyDescent="0.2">
      <c r="E734" s="52"/>
      <c r="H734" s="61"/>
      <c r="K734"/>
    </row>
    <row r="735" spans="5:11" ht="13.5" customHeight="1" x14ac:dyDescent="0.2">
      <c r="E735" s="52"/>
      <c r="H735" s="61"/>
      <c r="K735"/>
    </row>
    <row r="736" spans="5:11" ht="13.5" customHeight="1" x14ac:dyDescent="0.2">
      <c r="E736" s="52"/>
      <c r="H736" s="61"/>
      <c r="K736"/>
    </row>
    <row r="737" spans="5:11" ht="13.5" customHeight="1" x14ac:dyDescent="0.2">
      <c r="E737" s="52"/>
      <c r="H737" s="61"/>
      <c r="K737"/>
    </row>
    <row r="738" spans="5:11" ht="13.5" customHeight="1" x14ac:dyDescent="0.2">
      <c r="E738" s="52"/>
      <c r="H738" s="61"/>
      <c r="K738"/>
    </row>
    <row r="739" spans="5:11" ht="13.5" customHeight="1" x14ac:dyDescent="0.2">
      <c r="E739" s="52"/>
      <c r="H739" s="61"/>
      <c r="K739"/>
    </row>
    <row r="740" spans="5:11" ht="13.5" customHeight="1" x14ac:dyDescent="0.2">
      <c r="E740" s="52"/>
      <c r="H740" s="61"/>
      <c r="K740"/>
    </row>
    <row r="741" spans="5:11" ht="13.5" customHeight="1" x14ac:dyDescent="0.2">
      <c r="E741" s="52"/>
      <c r="H741" s="61"/>
      <c r="K741"/>
    </row>
    <row r="742" spans="5:11" ht="13.5" customHeight="1" x14ac:dyDescent="0.2">
      <c r="E742" s="52"/>
      <c r="H742" s="61"/>
      <c r="K742"/>
    </row>
    <row r="743" spans="5:11" ht="13.5" customHeight="1" x14ac:dyDescent="0.2">
      <c r="E743" s="52"/>
      <c r="H743" s="61"/>
      <c r="K743"/>
    </row>
    <row r="744" spans="5:11" ht="13.5" customHeight="1" x14ac:dyDescent="0.2">
      <c r="E744" s="52"/>
      <c r="H744" s="61"/>
      <c r="K744"/>
    </row>
    <row r="745" spans="5:11" ht="13.5" customHeight="1" x14ac:dyDescent="0.2">
      <c r="E745" s="52"/>
      <c r="H745" s="61"/>
      <c r="K745"/>
    </row>
    <row r="746" spans="5:11" ht="13.5" customHeight="1" x14ac:dyDescent="0.2">
      <c r="E746" s="52"/>
      <c r="H746" s="61"/>
      <c r="K746"/>
    </row>
    <row r="747" spans="5:11" ht="13.5" customHeight="1" x14ac:dyDescent="0.2">
      <c r="E747" s="52"/>
      <c r="H747" s="61"/>
      <c r="K747"/>
    </row>
    <row r="748" spans="5:11" ht="13.5" customHeight="1" x14ac:dyDescent="0.2">
      <c r="E748" s="52"/>
      <c r="H748" s="61"/>
      <c r="K748"/>
    </row>
    <row r="749" spans="5:11" ht="13.5" customHeight="1" x14ac:dyDescent="0.2">
      <c r="E749" s="52"/>
      <c r="H749" s="61"/>
      <c r="K749"/>
    </row>
    <row r="750" spans="5:11" ht="13.5" customHeight="1" x14ac:dyDescent="0.2">
      <c r="E750" s="52"/>
      <c r="H750" s="61"/>
      <c r="K750"/>
    </row>
    <row r="751" spans="5:11" ht="13.5" customHeight="1" x14ac:dyDescent="0.2">
      <c r="E751" s="52"/>
      <c r="H751" s="61"/>
      <c r="K751"/>
    </row>
    <row r="752" spans="5:11" ht="13.5" customHeight="1" x14ac:dyDescent="0.2">
      <c r="E752" s="52"/>
      <c r="H752" s="61"/>
      <c r="K752"/>
    </row>
    <row r="753" spans="5:11" ht="13.5" customHeight="1" x14ac:dyDescent="0.2">
      <c r="E753" s="52"/>
      <c r="H753" s="61"/>
      <c r="K753"/>
    </row>
    <row r="754" spans="5:11" ht="13.5" customHeight="1" x14ac:dyDescent="0.2">
      <c r="E754" s="52"/>
      <c r="H754" s="61"/>
      <c r="K754"/>
    </row>
    <row r="755" spans="5:11" ht="13.5" customHeight="1" x14ac:dyDescent="0.2">
      <c r="E755" s="52"/>
      <c r="H755" s="61"/>
      <c r="K755"/>
    </row>
    <row r="756" spans="5:11" ht="13.5" customHeight="1" x14ac:dyDescent="0.2">
      <c r="E756" s="52"/>
      <c r="H756" s="61"/>
      <c r="K756"/>
    </row>
    <row r="757" spans="5:11" ht="13.5" customHeight="1" x14ac:dyDescent="0.2">
      <c r="E757" s="52"/>
      <c r="H757" s="61"/>
      <c r="K757"/>
    </row>
    <row r="758" spans="5:11" ht="13.5" customHeight="1" x14ac:dyDescent="0.2">
      <c r="E758" s="52"/>
      <c r="H758" s="61"/>
      <c r="K758"/>
    </row>
    <row r="759" spans="5:11" ht="13.5" customHeight="1" x14ac:dyDescent="0.2">
      <c r="E759" s="52"/>
      <c r="H759" s="61"/>
      <c r="K759"/>
    </row>
    <row r="760" spans="5:11" ht="13.5" customHeight="1" x14ac:dyDescent="0.2">
      <c r="E760" s="52"/>
      <c r="H760" s="61"/>
      <c r="K760"/>
    </row>
    <row r="761" spans="5:11" ht="13.5" customHeight="1" x14ac:dyDescent="0.2">
      <c r="E761" s="52"/>
      <c r="H761" s="61"/>
      <c r="K761"/>
    </row>
    <row r="762" spans="5:11" ht="13.5" customHeight="1" x14ac:dyDescent="0.2">
      <c r="E762" s="52"/>
      <c r="H762" s="61"/>
      <c r="K762"/>
    </row>
    <row r="763" spans="5:11" ht="13.5" customHeight="1" x14ac:dyDescent="0.2">
      <c r="E763" s="52"/>
      <c r="H763" s="61"/>
      <c r="K763"/>
    </row>
    <row r="764" spans="5:11" ht="13.5" customHeight="1" x14ac:dyDescent="0.2">
      <c r="E764" s="52"/>
      <c r="H764" s="61"/>
      <c r="K764"/>
    </row>
    <row r="765" spans="5:11" ht="13.5" customHeight="1" x14ac:dyDescent="0.2">
      <c r="E765" s="52"/>
      <c r="H765" s="61"/>
      <c r="K765"/>
    </row>
    <row r="766" spans="5:11" ht="13.5" customHeight="1" x14ac:dyDescent="0.2">
      <c r="E766" s="52"/>
      <c r="H766" s="61"/>
      <c r="K766"/>
    </row>
    <row r="767" spans="5:11" ht="13.5" customHeight="1" x14ac:dyDescent="0.2">
      <c r="E767" s="52"/>
      <c r="H767" s="61"/>
      <c r="K767"/>
    </row>
    <row r="768" spans="5:11" ht="13.5" customHeight="1" x14ac:dyDescent="0.2">
      <c r="E768" s="52"/>
      <c r="H768" s="61"/>
      <c r="K768"/>
    </row>
    <row r="769" spans="5:11" ht="13.5" customHeight="1" x14ac:dyDescent="0.2">
      <c r="E769" s="52"/>
      <c r="H769" s="61"/>
      <c r="K769"/>
    </row>
    <row r="770" spans="5:11" ht="13.5" customHeight="1" x14ac:dyDescent="0.2">
      <c r="E770" s="52"/>
      <c r="H770" s="61"/>
      <c r="K770"/>
    </row>
    <row r="771" spans="5:11" ht="13.5" customHeight="1" x14ac:dyDescent="0.2">
      <c r="E771" s="52"/>
      <c r="H771" s="61"/>
      <c r="K771"/>
    </row>
    <row r="772" spans="5:11" ht="13.5" customHeight="1" x14ac:dyDescent="0.2">
      <c r="E772" s="52"/>
      <c r="H772" s="61"/>
      <c r="K772"/>
    </row>
    <row r="773" spans="5:11" ht="13.5" customHeight="1" x14ac:dyDescent="0.2">
      <c r="E773" s="52"/>
      <c r="H773" s="61"/>
      <c r="K773"/>
    </row>
    <row r="774" spans="5:11" ht="13.5" customHeight="1" x14ac:dyDescent="0.2">
      <c r="E774" s="52"/>
      <c r="H774" s="61"/>
      <c r="K774"/>
    </row>
    <row r="775" spans="5:11" ht="13.5" customHeight="1" x14ac:dyDescent="0.2">
      <c r="E775" s="52"/>
      <c r="H775" s="61"/>
      <c r="K775"/>
    </row>
    <row r="776" spans="5:11" ht="13.5" customHeight="1" x14ac:dyDescent="0.2">
      <c r="E776" s="52"/>
      <c r="H776" s="61"/>
      <c r="K776"/>
    </row>
    <row r="777" spans="5:11" ht="13.5" customHeight="1" x14ac:dyDescent="0.2">
      <c r="E777" s="52"/>
      <c r="H777" s="61"/>
      <c r="K777"/>
    </row>
    <row r="778" spans="5:11" ht="13.5" customHeight="1" x14ac:dyDescent="0.2">
      <c r="E778" s="52"/>
      <c r="H778" s="61"/>
      <c r="K778"/>
    </row>
    <row r="779" spans="5:11" ht="13.5" customHeight="1" x14ac:dyDescent="0.2">
      <c r="E779" s="52"/>
      <c r="H779" s="61"/>
      <c r="K779"/>
    </row>
    <row r="780" spans="5:11" ht="13.5" customHeight="1" x14ac:dyDescent="0.2">
      <c r="E780" s="52"/>
      <c r="H780" s="61"/>
      <c r="K780"/>
    </row>
    <row r="781" spans="5:11" ht="13.5" customHeight="1" x14ac:dyDescent="0.2">
      <c r="E781" s="52"/>
      <c r="H781" s="61"/>
      <c r="K781"/>
    </row>
    <row r="782" spans="5:11" ht="13.5" customHeight="1" x14ac:dyDescent="0.2">
      <c r="E782" s="52"/>
      <c r="H782" s="61"/>
      <c r="K782"/>
    </row>
    <row r="783" spans="5:11" ht="13.5" customHeight="1" x14ac:dyDescent="0.2">
      <c r="E783" s="52"/>
      <c r="H783" s="61"/>
      <c r="K783"/>
    </row>
    <row r="784" spans="5:11" ht="13.5" customHeight="1" x14ac:dyDescent="0.2">
      <c r="E784" s="52"/>
      <c r="H784" s="61"/>
      <c r="K784"/>
    </row>
    <row r="785" spans="5:11" ht="13.5" customHeight="1" x14ac:dyDescent="0.2">
      <c r="E785" s="52"/>
      <c r="H785" s="61"/>
      <c r="K785"/>
    </row>
    <row r="786" spans="5:11" ht="13.5" customHeight="1" x14ac:dyDescent="0.2">
      <c r="E786" s="52"/>
      <c r="H786" s="61"/>
      <c r="K786"/>
    </row>
    <row r="787" spans="5:11" ht="13.5" customHeight="1" x14ac:dyDescent="0.2">
      <c r="E787" s="52"/>
      <c r="H787" s="61"/>
      <c r="K787"/>
    </row>
    <row r="788" spans="5:11" ht="13.5" customHeight="1" x14ac:dyDescent="0.2">
      <c r="E788" s="52"/>
      <c r="H788" s="61"/>
      <c r="K788"/>
    </row>
    <row r="789" spans="5:11" ht="13.5" customHeight="1" x14ac:dyDescent="0.2">
      <c r="E789" s="52"/>
      <c r="H789" s="61"/>
      <c r="K789"/>
    </row>
    <row r="790" spans="5:11" ht="13.5" customHeight="1" x14ac:dyDescent="0.2">
      <c r="E790" s="52"/>
      <c r="H790" s="61"/>
      <c r="K790"/>
    </row>
    <row r="791" spans="5:11" ht="13.5" customHeight="1" x14ac:dyDescent="0.2">
      <c r="E791" s="52"/>
      <c r="H791" s="61"/>
      <c r="K791"/>
    </row>
    <row r="792" spans="5:11" ht="13.5" customHeight="1" x14ac:dyDescent="0.2">
      <c r="E792" s="52"/>
      <c r="H792" s="61"/>
      <c r="K792"/>
    </row>
    <row r="793" spans="5:11" ht="13.5" customHeight="1" x14ac:dyDescent="0.2">
      <c r="E793" s="52"/>
      <c r="H793" s="61"/>
      <c r="K793"/>
    </row>
    <row r="794" spans="5:11" ht="13.5" customHeight="1" x14ac:dyDescent="0.2">
      <c r="E794" s="52"/>
      <c r="H794" s="61"/>
      <c r="K794"/>
    </row>
    <row r="795" spans="5:11" ht="13.5" customHeight="1" x14ac:dyDescent="0.2">
      <c r="E795" s="52"/>
      <c r="H795" s="61"/>
      <c r="K795"/>
    </row>
    <row r="796" spans="5:11" ht="13.5" customHeight="1" x14ac:dyDescent="0.2">
      <c r="E796" s="52"/>
      <c r="H796" s="61"/>
      <c r="K796"/>
    </row>
    <row r="797" spans="5:11" ht="13.5" customHeight="1" x14ac:dyDescent="0.2">
      <c r="E797" s="52"/>
      <c r="H797" s="61"/>
      <c r="K797"/>
    </row>
    <row r="798" spans="5:11" ht="13.5" customHeight="1" x14ac:dyDescent="0.2">
      <c r="E798" s="52"/>
      <c r="H798" s="61"/>
      <c r="K798"/>
    </row>
    <row r="799" spans="5:11" ht="13.5" customHeight="1" x14ac:dyDescent="0.2">
      <c r="E799" s="52"/>
      <c r="H799" s="61"/>
      <c r="K799"/>
    </row>
    <row r="800" spans="5:11" ht="13.5" customHeight="1" x14ac:dyDescent="0.2">
      <c r="E800" s="52"/>
      <c r="H800" s="61"/>
      <c r="K800"/>
    </row>
    <row r="801" spans="5:11" ht="13.5" customHeight="1" x14ac:dyDescent="0.2">
      <c r="E801" s="52"/>
      <c r="H801" s="61"/>
      <c r="K801"/>
    </row>
    <row r="802" spans="5:11" ht="13.5" customHeight="1" x14ac:dyDescent="0.2">
      <c r="E802" s="52"/>
      <c r="H802" s="61"/>
      <c r="K802"/>
    </row>
    <row r="803" spans="5:11" ht="13.5" customHeight="1" x14ac:dyDescent="0.2">
      <c r="E803" s="52"/>
      <c r="H803" s="61"/>
      <c r="K803"/>
    </row>
    <row r="804" spans="5:11" ht="13.5" customHeight="1" x14ac:dyDescent="0.2">
      <c r="E804" s="52"/>
      <c r="H804" s="61"/>
      <c r="K804"/>
    </row>
    <row r="805" spans="5:11" ht="13.5" customHeight="1" x14ac:dyDescent="0.2">
      <c r="E805" s="52"/>
      <c r="H805" s="61"/>
      <c r="K805"/>
    </row>
    <row r="806" spans="5:11" ht="13.5" customHeight="1" x14ac:dyDescent="0.2">
      <c r="E806" s="52"/>
      <c r="H806" s="61"/>
      <c r="K806"/>
    </row>
    <row r="807" spans="5:11" ht="13.5" customHeight="1" x14ac:dyDescent="0.2">
      <c r="E807" s="52"/>
      <c r="H807" s="61"/>
      <c r="K807"/>
    </row>
    <row r="808" spans="5:11" ht="13.5" customHeight="1" x14ac:dyDescent="0.2">
      <c r="E808" s="52"/>
      <c r="H808" s="61"/>
      <c r="K808"/>
    </row>
    <row r="809" spans="5:11" ht="13.5" customHeight="1" x14ac:dyDescent="0.2">
      <c r="E809" s="52"/>
      <c r="H809" s="61"/>
      <c r="K809"/>
    </row>
    <row r="810" spans="5:11" ht="13.5" customHeight="1" x14ac:dyDescent="0.2">
      <c r="E810" s="52"/>
      <c r="H810" s="61"/>
      <c r="K810"/>
    </row>
    <row r="811" spans="5:11" ht="13.5" customHeight="1" x14ac:dyDescent="0.2">
      <c r="E811" s="52"/>
      <c r="H811" s="61"/>
      <c r="K811"/>
    </row>
    <row r="812" spans="5:11" ht="13.5" customHeight="1" x14ac:dyDescent="0.2">
      <c r="E812" s="52"/>
      <c r="H812" s="61"/>
      <c r="K812"/>
    </row>
    <row r="813" spans="5:11" ht="13.5" customHeight="1" x14ac:dyDescent="0.2">
      <c r="E813" s="52"/>
      <c r="H813" s="61"/>
      <c r="K813"/>
    </row>
    <row r="814" spans="5:11" ht="13.5" customHeight="1" x14ac:dyDescent="0.2">
      <c r="E814" s="52"/>
      <c r="H814" s="61"/>
      <c r="K814"/>
    </row>
    <row r="815" spans="5:11" ht="13.5" customHeight="1" x14ac:dyDescent="0.2">
      <c r="E815" s="52"/>
      <c r="H815" s="61"/>
      <c r="K815"/>
    </row>
    <row r="816" spans="5:11" ht="13.5" customHeight="1" x14ac:dyDescent="0.2">
      <c r="E816" s="52"/>
      <c r="H816" s="61"/>
      <c r="K816"/>
    </row>
    <row r="817" spans="5:11" ht="13.5" customHeight="1" x14ac:dyDescent="0.2">
      <c r="E817" s="52"/>
      <c r="H817" s="61"/>
      <c r="K817"/>
    </row>
    <row r="818" spans="5:11" ht="13.5" customHeight="1" x14ac:dyDescent="0.2">
      <c r="E818" s="52"/>
      <c r="H818" s="61"/>
      <c r="K818"/>
    </row>
    <row r="819" spans="5:11" ht="13.5" customHeight="1" x14ac:dyDescent="0.2">
      <c r="E819" s="52"/>
      <c r="H819" s="61"/>
      <c r="K819"/>
    </row>
    <row r="820" spans="5:11" ht="13.5" customHeight="1" x14ac:dyDescent="0.2">
      <c r="E820" s="52"/>
      <c r="H820" s="61"/>
      <c r="K820"/>
    </row>
    <row r="821" spans="5:11" ht="13.5" customHeight="1" x14ac:dyDescent="0.2">
      <c r="E821" s="52"/>
      <c r="H821" s="61"/>
      <c r="K821"/>
    </row>
    <row r="822" spans="5:11" ht="13.5" customHeight="1" x14ac:dyDescent="0.2">
      <c r="E822" s="52"/>
      <c r="H822" s="61"/>
      <c r="K822"/>
    </row>
    <row r="823" spans="5:11" ht="13.5" customHeight="1" x14ac:dyDescent="0.2">
      <c r="E823" s="52"/>
      <c r="H823" s="61"/>
      <c r="K823"/>
    </row>
    <row r="824" spans="5:11" ht="13.5" customHeight="1" x14ac:dyDescent="0.2">
      <c r="E824" s="52"/>
      <c r="H824" s="61"/>
      <c r="K824"/>
    </row>
    <row r="825" spans="5:11" ht="13.5" customHeight="1" x14ac:dyDescent="0.2">
      <c r="E825" s="52"/>
      <c r="H825" s="61"/>
      <c r="K825"/>
    </row>
    <row r="826" spans="5:11" ht="13.5" customHeight="1" x14ac:dyDescent="0.2">
      <c r="E826" s="52"/>
      <c r="H826" s="61"/>
      <c r="K826"/>
    </row>
    <row r="827" spans="5:11" ht="13.5" customHeight="1" x14ac:dyDescent="0.2">
      <c r="E827" s="52"/>
      <c r="H827" s="61"/>
      <c r="K827"/>
    </row>
    <row r="828" spans="5:11" ht="13.5" customHeight="1" x14ac:dyDescent="0.2">
      <c r="E828" s="52"/>
      <c r="H828" s="61"/>
      <c r="K828"/>
    </row>
    <row r="829" spans="5:11" ht="13.5" customHeight="1" x14ac:dyDescent="0.2">
      <c r="E829" s="52"/>
      <c r="H829" s="61"/>
      <c r="K829"/>
    </row>
    <row r="830" spans="5:11" ht="13.5" customHeight="1" x14ac:dyDescent="0.2">
      <c r="E830" s="52"/>
      <c r="H830" s="61"/>
      <c r="K830"/>
    </row>
    <row r="831" spans="5:11" ht="13.5" customHeight="1" x14ac:dyDescent="0.2">
      <c r="E831" s="52"/>
      <c r="H831" s="61"/>
      <c r="K831"/>
    </row>
    <row r="832" spans="5:11" ht="13.5" customHeight="1" x14ac:dyDescent="0.2">
      <c r="E832" s="52"/>
      <c r="H832" s="61"/>
      <c r="K832"/>
    </row>
    <row r="833" spans="5:11" ht="13.5" customHeight="1" x14ac:dyDescent="0.2">
      <c r="E833" s="52"/>
      <c r="H833" s="61"/>
      <c r="K833"/>
    </row>
    <row r="834" spans="5:11" ht="13.5" customHeight="1" x14ac:dyDescent="0.2">
      <c r="E834" s="52"/>
      <c r="H834" s="61"/>
      <c r="K834"/>
    </row>
    <row r="835" spans="5:11" ht="13.5" customHeight="1" x14ac:dyDescent="0.2">
      <c r="E835" s="52"/>
      <c r="H835" s="61"/>
      <c r="K835"/>
    </row>
    <row r="836" spans="5:11" ht="13.5" customHeight="1" x14ac:dyDescent="0.2">
      <c r="E836" s="52"/>
      <c r="H836" s="61"/>
      <c r="K836"/>
    </row>
    <row r="837" spans="5:11" ht="13.5" customHeight="1" x14ac:dyDescent="0.2">
      <c r="E837" s="52"/>
      <c r="H837" s="61"/>
      <c r="K837"/>
    </row>
    <row r="838" spans="5:11" ht="13.5" customHeight="1" x14ac:dyDescent="0.2">
      <c r="E838" s="52"/>
      <c r="H838" s="61"/>
      <c r="K838"/>
    </row>
    <row r="839" spans="5:11" ht="13.5" customHeight="1" x14ac:dyDescent="0.2">
      <c r="E839" s="52"/>
      <c r="H839" s="61"/>
      <c r="K839"/>
    </row>
    <row r="840" spans="5:11" ht="13.5" customHeight="1" x14ac:dyDescent="0.2">
      <c r="E840" s="52"/>
      <c r="H840" s="61"/>
      <c r="K840"/>
    </row>
    <row r="841" spans="5:11" ht="13.5" customHeight="1" x14ac:dyDescent="0.2">
      <c r="E841" s="52"/>
      <c r="H841" s="61"/>
      <c r="K841"/>
    </row>
    <row r="842" spans="5:11" ht="13.5" customHeight="1" x14ac:dyDescent="0.2">
      <c r="E842" s="52"/>
      <c r="H842" s="61"/>
      <c r="K842"/>
    </row>
    <row r="843" spans="5:11" ht="13.5" customHeight="1" x14ac:dyDescent="0.2">
      <c r="E843" s="52"/>
      <c r="H843" s="61"/>
      <c r="K843"/>
    </row>
    <row r="844" spans="5:11" ht="13.5" customHeight="1" x14ac:dyDescent="0.2">
      <c r="E844" s="52"/>
      <c r="H844" s="61"/>
      <c r="K844"/>
    </row>
    <row r="845" spans="5:11" ht="13.5" customHeight="1" x14ac:dyDescent="0.2">
      <c r="E845" s="52"/>
      <c r="H845" s="61"/>
      <c r="K845"/>
    </row>
    <row r="846" spans="5:11" ht="13.5" customHeight="1" x14ac:dyDescent="0.2">
      <c r="E846" s="52"/>
      <c r="H846" s="61"/>
      <c r="K846"/>
    </row>
    <row r="847" spans="5:11" ht="13.5" customHeight="1" x14ac:dyDescent="0.2">
      <c r="E847" s="52"/>
      <c r="H847" s="61"/>
      <c r="K847"/>
    </row>
    <row r="848" spans="5:11" ht="13.5" customHeight="1" x14ac:dyDescent="0.2">
      <c r="E848" s="52"/>
      <c r="H848" s="61"/>
      <c r="K848"/>
    </row>
    <row r="849" spans="5:11" ht="13.5" customHeight="1" x14ac:dyDescent="0.2">
      <c r="E849" s="52"/>
      <c r="H849" s="61"/>
      <c r="K849"/>
    </row>
    <row r="850" spans="5:11" ht="13.5" customHeight="1" x14ac:dyDescent="0.2">
      <c r="E850" s="52"/>
      <c r="H850" s="61"/>
      <c r="K850"/>
    </row>
    <row r="851" spans="5:11" ht="13.5" customHeight="1" x14ac:dyDescent="0.2">
      <c r="E851" s="52"/>
      <c r="H851" s="61"/>
      <c r="K851"/>
    </row>
    <row r="852" spans="5:11" ht="13.5" customHeight="1" x14ac:dyDescent="0.2">
      <c r="E852" s="52"/>
      <c r="H852" s="61"/>
      <c r="K852"/>
    </row>
    <row r="853" spans="5:11" ht="13.5" customHeight="1" x14ac:dyDescent="0.2">
      <c r="E853" s="52"/>
      <c r="H853" s="61"/>
      <c r="K853"/>
    </row>
    <row r="854" spans="5:11" ht="13.5" customHeight="1" x14ac:dyDescent="0.2">
      <c r="E854" s="52"/>
      <c r="H854" s="61"/>
      <c r="K854"/>
    </row>
    <row r="855" spans="5:11" ht="13.5" customHeight="1" x14ac:dyDescent="0.2">
      <c r="E855" s="52"/>
      <c r="H855" s="61"/>
      <c r="K855"/>
    </row>
    <row r="856" spans="5:11" ht="13.5" customHeight="1" x14ac:dyDescent="0.2">
      <c r="E856" s="52"/>
      <c r="H856" s="61"/>
      <c r="K856"/>
    </row>
    <row r="857" spans="5:11" ht="13.5" customHeight="1" x14ac:dyDescent="0.2">
      <c r="E857" s="52"/>
      <c r="H857" s="61"/>
      <c r="K857"/>
    </row>
    <row r="858" spans="5:11" ht="13.5" customHeight="1" x14ac:dyDescent="0.2">
      <c r="E858" s="52"/>
      <c r="H858" s="61"/>
      <c r="K858"/>
    </row>
    <row r="859" spans="5:11" ht="13.5" customHeight="1" x14ac:dyDescent="0.2">
      <c r="E859" s="52"/>
      <c r="H859" s="61"/>
      <c r="K859"/>
    </row>
    <row r="860" spans="5:11" ht="13.5" customHeight="1" x14ac:dyDescent="0.2">
      <c r="E860" s="52"/>
      <c r="H860" s="61"/>
      <c r="K860"/>
    </row>
    <row r="861" spans="5:11" ht="13.5" customHeight="1" x14ac:dyDescent="0.2">
      <c r="E861" s="52"/>
      <c r="H861" s="61"/>
      <c r="K861"/>
    </row>
    <row r="862" spans="5:11" ht="13.5" customHeight="1" x14ac:dyDescent="0.2">
      <c r="E862" s="52"/>
      <c r="H862" s="61"/>
      <c r="K862"/>
    </row>
    <row r="863" spans="5:11" ht="13.5" customHeight="1" x14ac:dyDescent="0.2">
      <c r="E863" s="52"/>
      <c r="H863" s="61"/>
      <c r="K863"/>
    </row>
    <row r="864" spans="5:11" ht="13.5" customHeight="1" x14ac:dyDescent="0.2">
      <c r="E864" s="52"/>
      <c r="H864" s="61"/>
      <c r="K864"/>
    </row>
    <row r="865" spans="5:11" ht="13.5" customHeight="1" x14ac:dyDescent="0.2">
      <c r="E865" s="52"/>
      <c r="H865" s="61"/>
      <c r="K865"/>
    </row>
    <row r="866" spans="5:11" ht="13.5" customHeight="1" x14ac:dyDescent="0.2">
      <c r="E866" s="52"/>
      <c r="H866" s="61"/>
      <c r="K866"/>
    </row>
    <row r="867" spans="5:11" ht="13.5" customHeight="1" x14ac:dyDescent="0.2">
      <c r="E867" s="52"/>
      <c r="H867" s="61"/>
      <c r="K867"/>
    </row>
    <row r="868" spans="5:11" ht="13.5" customHeight="1" x14ac:dyDescent="0.2">
      <c r="E868" s="52"/>
      <c r="H868" s="61"/>
      <c r="K868"/>
    </row>
    <row r="869" spans="5:11" ht="13.5" customHeight="1" x14ac:dyDescent="0.2">
      <c r="E869" s="52"/>
      <c r="H869" s="61"/>
      <c r="K869"/>
    </row>
    <row r="870" spans="5:11" ht="13.5" customHeight="1" x14ac:dyDescent="0.2">
      <c r="E870" s="52"/>
      <c r="H870" s="61"/>
      <c r="K870"/>
    </row>
    <row r="871" spans="5:11" ht="13.5" customHeight="1" x14ac:dyDescent="0.2">
      <c r="E871" s="52"/>
      <c r="H871" s="61"/>
      <c r="K871"/>
    </row>
    <row r="872" spans="5:11" ht="13.5" customHeight="1" x14ac:dyDescent="0.2">
      <c r="E872" s="52"/>
      <c r="H872" s="61"/>
      <c r="K872"/>
    </row>
    <row r="873" spans="5:11" ht="13.5" customHeight="1" x14ac:dyDescent="0.2">
      <c r="E873" s="52"/>
      <c r="H873" s="61"/>
      <c r="K873"/>
    </row>
    <row r="874" spans="5:11" ht="13.5" customHeight="1" x14ac:dyDescent="0.2">
      <c r="E874" s="52"/>
      <c r="H874" s="61"/>
      <c r="K874"/>
    </row>
    <row r="875" spans="5:11" ht="13.5" customHeight="1" x14ac:dyDescent="0.2">
      <c r="E875" s="52"/>
      <c r="H875" s="61"/>
      <c r="K875"/>
    </row>
    <row r="876" spans="5:11" ht="13.5" customHeight="1" x14ac:dyDescent="0.2">
      <c r="E876" s="52"/>
      <c r="H876" s="61"/>
      <c r="K876"/>
    </row>
    <row r="877" spans="5:11" ht="13.5" customHeight="1" x14ac:dyDescent="0.2">
      <c r="E877" s="52"/>
      <c r="H877" s="61"/>
      <c r="K877"/>
    </row>
    <row r="878" spans="5:11" ht="13.5" customHeight="1" x14ac:dyDescent="0.2">
      <c r="E878" s="52"/>
      <c r="H878" s="61"/>
      <c r="K878"/>
    </row>
    <row r="879" spans="5:11" ht="13.5" customHeight="1" x14ac:dyDescent="0.2">
      <c r="E879" s="52"/>
      <c r="H879" s="61"/>
      <c r="K879"/>
    </row>
    <row r="880" spans="5:11" ht="13.5" customHeight="1" x14ac:dyDescent="0.2">
      <c r="E880" s="52"/>
      <c r="H880" s="61"/>
      <c r="K880"/>
    </row>
    <row r="881" spans="5:11" ht="13.5" customHeight="1" x14ac:dyDescent="0.2">
      <c r="E881" s="52"/>
      <c r="H881" s="61"/>
      <c r="K881"/>
    </row>
    <row r="882" spans="5:11" ht="13.5" customHeight="1" x14ac:dyDescent="0.2">
      <c r="E882" s="52"/>
      <c r="H882" s="61"/>
      <c r="K882"/>
    </row>
    <row r="883" spans="5:11" ht="13.5" customHeight="1" x14ac:dyDescent="0.2">
      <c r="E883" s="52"/>
      <c r="H883" s="61"/>
      <c r="K883"/>
    </row>
    <row r="884" spans="5:11" ht="13.5" customHeight="1" x14ac:dyDescent="0.2">
      <c r="E884" s="52"/>
      <c r="H884" s="61"/>
      <c r="K884"/>
    </row>
    <row r="885" spans="5:11" ht="13.5" customHeight="1" x14ac:dyDescent="0.2">
      <c r="E885" s="52"/>
      <c r="H885" s="61"/>
      <c r="K885"/>
    </row>
    <row r="886" spans="5:11" ht="13.5" customHeight="1" x14ac:dyDescent="0.2">
      <c r="E886" s="52"/>
      <c r="H886" s="61"/>
      <c r="K886"/>
    </row>
    <row r="887" spans="5:11" ht="13.5" customHeight="1" x14ac:dyDescent="0.2">
      <c r="E887" s="52"/>
      <c r="H887" s="61"/>
      <c r="K887"/>
    </row>
    <row r="888" spans="5:11" ht="13.5" customHeight="1" x14ac:dyDescent="0.2">
      <c r="E888" s="52"/>
      <c r="H888" s="61"/>
      <c r="K888"/>
    </row>
    <row r="889" spans="5:11" ht="13.5" customHeight="1" x14ac:dyDescent="0.2">
      <c r="E889" s="52"/>
      <c r="H889" s="61"/>
      <c r="K889"/>
    </row>
    <row r="890" spans="5:11" ht="13.5" customHeight="1" x14ac:dyDescent="0.2">
      <c r="E890" s="52"/>
      <c r="H890" s="61"/>
      <c r="K890"/>
    </row>
    <row r="891" spans="5:11" ht="13.5" customHeight="1" x14ac:dyDescent="0.2">
      <c r="E891" s="52"/>
      <c r="H891" s="61"/>
      <c r="K891"/>
    </row>
    <row r="892" spans="5:11" ht="13.5" customHeight="1" x14ac:dyDescent="0.2">
      <c r="E892" s="52"/>
      <c r="H892" s="61"/>
      <c r="K892"/>
    </row>
    <row r="893" spans="5:11" ht="13.5" customHeight="1" x14ac:dyDescent="0.2">
      <c r="E893" s="52"/>
      <c r="H893" s="61"/>
      <c r="K893"/>
    </row>
    <row r="894" spans="5:11" ht="13.5" customHeight="1" x14ac:dyDescent="0.2">
      <c r="E894" s="52"/>
      <c r="H894" s="61"/>
      <c r="K894"/>
    </row>
    <row r="895" spans="5:11" ht="13.5" customHeight="1" x14ac:dyDescent="0.2">
      <c r="E895" s="52"/>
      <c r="H895" s="61"/>
      <c r="K895"/>
    </row>
    <row r="896" spans="5:11" ht="13.5" customHeight="1" x14ac:dyDescent="0.2">
      <c r="E896" s="52"/>
      <c r="H896" s="61"/>
      <c r="K896"/>
    </row>
    <row r="897" spans="5:11" ht="13.5" customHeight="1" x14ac:dyDescent="0.2">
      <c r="E897" s="52"/>
      <c r="H897" s="61"/>
      <c r="K897"/>
    </row>
    <row r="898" spans="5:11" ht="13.5" customHeight="1" x14ac:dyDescent="0.2">
      <c r="E898" s="52"/>
      <c r="H898" s="61"/>
      <c r="K898"/>
    </row>
    <row r="899" spans="5:11" ht="13.5" customHeight="1" x14ac:dyDescent="0.2">
      <c r="E899" s="52"/>
      <c r="H899" s="61"/>
      <c r="K899"/>
    </row>
    <row r="900" spans="5:11" ht="13.5" customHeight="1" x14ac:dyDescent="0.2">
      <c r="E900" s="52"/>
      <c r="H900" s="61"/>
      <c r="K900"/>
    </row>
    <row r="901" spans="5:11" ht="13.5" customHeight="1" x14ac:dyDescent="0.2">
      <c r="E901" s="52"/>
      <c r="H901" s="61"/>
      <c r="K901"/>
    </row>
    <row r="902" spans="5:11" ht="13.5" customHeight="1" x14ac:dyDescent="0.2">
      <c r="E902" s="52"/>
      <c r="H902" s="61"/>
      <c r="K902"/>
    </row>
    <row r="903" spans="5:11" ht="13.5" customHeight="1" x14ac:dyDescent="0.2">
      <c r="E903" s="52"/>
      <c r="H903" s="61"/>
      <c r="K903"/>
    </row>
    <row r="904" spans="5:11" ht="13.5" customHeight="1" x14ac:dyDescent="0.2">
      <c r="E904" s="52"/>
      <c r="H904" s="61"/>
      <c r="K904"/>
    </row>
    <row r="905" spans="5:11" ht="13.5" customHeight="1" x14ac:dyDescent="0.2">
      <c r="E905" s="52"/>
      <c r="H905" s="61"/>
      <c r="K905"/>
    </row>
    <row r="906" spans="5:11" ht="13.5" customHeight="1" x14ac:dyDescent="0.2">
      <c r="E906" s="52"/>
      <c r="H906" s="61"/>
      <c r="K906"/>
    </row>
    <row r="907" spans="5:11" ht="13.5" customHeight="1" x14ac:dyDescent="0.2">
      <c r="E907" s="52"/>
      <c r="H907" s="61"/>
      <c r="K907"/>
    </row>
    <row r="908" spans="5:11" ht="13.5" customHeight="1" x14ac:dyDescent="0.2">
      <c r="E908" s="52"/>
      <c r="H908" s="61"/>
      <c r="K908"/>
    </row>
    <row r="909" spans="5:11" ht="13.5" customHeight="1" x14ac:dyDescent="0.2">
      <c r="E909" s="52"/>
      <c r="H909" s="61"/>
      <c r="K909"/>
    </row>
    <row r="910" spans="5:11" ht="13.5" customHeight="1" x14ac:dyDescent="0.2">
      <c r="E910" s="52"/>
      <c r="H910" s="61"/>
      <c r="K910"/>
    </row>
    <row r="911" spans="5:11" ht="13.5" customHeight="1" x14ac:dyDescent="0.2">
      <c r="E911" s="52"/>
      <c r="H911" s="61"/>
      <c r="K911"/>
    </row>
    <row r="912" spans="5:11" ht="13.5" customHeight="1" x14ac:dyDescent="0.2">
      <c r="E912" s="52"/>
      <c r="H912" s="61"/>
      <c r="K912"/>
    </row>
    <row r="913" spans="5:11" ht="13.5" customHeight="1" x14ac:dyDescent="0.2">
      <c r="E913" s="52"/>
      <c r="H913" s="61"/>
      <c r="K913"/>
    </row>
    <row r="914" spans="5:11" ht="13.5" customHeight="1" x14ac:dyDescent="0.2">
      <c r="E914" s="52"/>
      <c r="H914" s="61"/>
      <c r="K914"/>
    </row>
    <row r="915" spans="5:11" ht="13.5" customHeight="1" x14ac:dyDescent="0.2">
      <c r="E915" s="52"/>
      <c r="H915" s="61"/>
      <c r="K915"/>
    </row>
    <row r="916" spans="5:11" ht="13.5" customHeight="1" x14ac:dyDescent="0.2">
      <c r="E916" s="52"/>
      <c r="H916" s="61"/>
      <c r="K916"/>
    </row>
    <row r="917" spans="5:11" ht="13.5" customHeight="1" x14ac:dyDescent="0.2">
      <c r="E917" s="52"/>
      <c r="H917" s="61"/>
      <c r="K917"/>
    </row>
    <row r="918" spans="5:11" ht="13.5" customHeight="1" x14ac:dyDescent="0.2">
      <c r="E918" s="52"/>
      <c r="H918" s="61"/>
      <c r="K918"/>
    </row>
    <row r="919" spans="5:11" ht="13.5" customHeight="1" x14ac:dyDescent="0.2">
      <c r="E919" s="52"/>
      <c r="H919" s="61"/>
      <c r="K919"/>
    </row>
    <row r="920" spans="5:11" ht="13.5" customHeight="1" x14ac:dyDescent="0.2">
      <c r="E920" s="52"/>
      <c r="H920" s="61"/>
      <c r="K920"/>
    </row>
    <row r="921" spans="5:11" ht="13.5" customHeight="1" x14ac:dyDescent="0.2">
      <c r="E921" s="52"/>
      <c r="H921" s="61"/>
      <c r="K921"/>
    </row>
    <row r="922" spans="5:11" ht="13.5" customHeight="1" x14ac:dyDescent="0.2">
      <c r="E922" s="52"/>
      <c r="H922" s="61"/>
      <c r="K922"/>
    </row>
    <row r="923" spans="5:11" ht="13.5" customHeight="1" x14ac:dyDescent="0.2">
      <c r="E923" s="52"/>
      <c r="H923" s="61"/>
      <c r="K923"/>
    </row>
    <row r="924" spans="5:11" ht="13.5" customHeight="1" x14ac:dyDescent="0.2">
      <c r="E924" s="52"/>
      <c r="H924" s="61"/>
      <c r="K924"/>
    </row>
    <row r="925" spans="5:11" ht="13.5" customHeight="1" x14ac:dyDescent="0.2">
      <c r="E925" s="52"/>
      <c r="H925" s="61"/>
      <c r="K925"/>
    </row>
    <row r="926" spans="5:11" ht="13.5" customHeight="1" x14ac:dyDescent="0.2">
      <c r="E926" s="52"/>
      <c r="H926" s="61"/>
      <c r="K926"/>
    </row>
    <row r="927" spans="5:11" ht="13.5" customHeight="1" x14ac:dyDescent="0.2">
      <c r="E927" s="52"/>
      <c r="H927" s="61"/>
      <c r="K927"/>
    </row>
    <row r="928" spans="5:11" ht="13.5" customHeight="1" x14ac:dyDescent="0.2">
      <c r="E928" s="52"/>
      <c r="H928" s="61"/>
      <c r="K928"/>
    </row>
    <row r="929" spans="5:11" ht="13.5" customHeight="1" x14ac:dyDescent="0.2">
      <c r="E929" s="52"/>
      <c r="H929" s="61"/>
      <c r="K929"/>
    </row>
    <row r="930" spans="5:11" ht="13.5" customHeight="1" x14ac:dyDescent="0.2">
      <c r="E930" s="52"/>
      <c r="H930" s="61"/>
      <c r="K930"/>
    </row>
    <row r="931" spans="5:11" ht="13.5" customHeight="1" x14ac:dyDescent="0.2">
      <c r="E931" s="52"/>
      <c r="H931" s="61"/>
      <c r="K931"/>
    </row>
    <row r="932" spans="5:11" ht="13.5" customHeight="1" x14ac:dyDescent="0.2">
      <c r="E932" s="52"/>
      <c r="H932" s="61"/>
    </row>
    <row r="933" spans="5:11" ht="13.5" customHeight="1" x14ac:dyDescent="0.2">
      <c r="E933" s="52"/>
      <c r="H933" s="61"/>
    </row>
    <row r="934" spans="5:11" ht="13.5" customHeight="1" x14ac:dyDescent="0.2">
      <c r="E934" s="52"/>
      <c r="H934" s="61"/>
    </row>
    <row r="935" spans="5:11" ht="13.5" customHeight="1" x14ac:dyDescent="0.2">
      <c r="E935" s="52"/>
      <c r="H935" s="61"/>
    </row>
    <row r="936" spans="5:11" ht="13.5" customHeight="1" x14ac:dyDescent="0.2">
      <c r="E936" s="52"/>
      <c r="H936" s="61"/>
    </row>
    <row r="937" spans="5:11" ht="13.5" customHeight="1" x14ac:dyDescent="0.2">
      <c r="E937" s="52"/>
      <c r="H937" s="61"/>
      <c r="K937"/>
    </row>
    <row r="938" spans="5:11" ht="13.5" customHeight="1" x14ac:dyDescent="0.2">
      <c r="E938" s="52"/>
      <c r="H938" s="61"/>
      <c r="K938"/>
    </row>
    <row r="939" spans="5:11" ht="13.5" customHeight="1" x14ac:dyDescent="0.2">
      <c r="E939" s="52"/>
      <c r="H939" s="61"/>
      <c r="K939"/>
    </row>
    <row r="940" spans="5:11" ht="13.5" customHeight="1" x14ac:dyDescent="0.2">
      <c r="E940" s="52"/>
      <c r="H940" s="61"/>
      <c r="K940"/>
    </row>
    <row r="941" spans="5:11" ht="13.5" customHeight="1" x14ac:dyDescent="0.2">
      <c r="E941" s="52"/>
      <c r="H941" s="61"/>
      <c r="K941"/>
    </row>
    <row r="942" spans="5:11" ht="13.5" customHeight="1" x14ac:dyDescent="0.2">
      <c r="E942" s="52"/>
      <c r="H942" s="61"/>
      <c r="K942"/>
    </row>
    <row r="943" spans="5:11" ht="13.5" customHeight="1" x14ac:dyDescent="0.2">
      <c r="E943" s="52"/>
      <c r="H943" s="61"/>
      <c r="K943"/>
    </row>
    <row r="944" spans="5:11" ht="13.5" customHeight="1" x14ac:dyDescent="0.2">
      <c r="E944" s="52"/>
      <c r="H944" s="61"/>
      <c r="K944"/>
    </row>
    <row r="945" spans="5:11" ht="13.5" customHeight="1" x14ac:dyDescent="0.2">
      <c r="E945" s="52"/>
      <c r="H945" s="61"/>
      <c r="K945"/>
    </row>
    <row r="946" spans="5:11" ht="13.5" customHeight="1" x14ac:dyDescent="0.2">
      <c r="E946" s="52"/>
      <c r="H946" s="61"/>
      <c r="K946"/>
    </row>
    <row r="947" spans="5:11" ht="13.5" customHeight="1" x14ac:dyDescent="0.2">
      <c r="E947" s="52"/>
      <c r="H947" s="61"/>
      <c r="K947"/>
    </row>
    <row r="948" spans="5:11" ht="13.5" customHeight="1" x14ac:dyDescent="0.2">
      <c r="E948" s="52"/>
      <c r="H948" s="61"/>
      <c r="K948"/>
    </row>
    <row r="949" spans="5:11" ht="13.5" customHeight="1" x14ac:dyDescent="0.2">
      <c r="E949" s="52"/>
      <c r="H949" s="61"/>
      <c r="K949"/>
    </row>
    <row r="950" spans="5:11" ht="13.5" customHeight="1" x14ac:dyDescent="0.2">
      <c r="E950" s="52"/>
      <c r="H950" s="61"/>
      <c r="K950"/>
    </row>
    <row r="951" spans="5:11" ht="13.5" customHeight="1" x14ac:dyDescent="0.2">
      <c r="E951" s="52"/>
      <c r="H951" s="61"/>
      <c r="K951"/>
    </row>
    <row r="952" spans="5:11" ht="13.5" customHeight="1" x14ac:dyDescent="0.2">
      <c r="E952" s="52"/>
      <c r="H952" s="61"/>
      <c r="K952"/>
    </row>
    <row r="953" spans="5:11" ht="13.5" customHeight="1" x14ac:dyDescent="0.2">
      <c r="E953" s="52"/>
      <c r="H953" s="61"/>
      <c r="K953"/>
    </row>
    <row r="954" spans="5:11" ht="13.5" customHeight="1" x14ac:dyDescent="0.2">
      <c r="E954" s="50"/>
      <c r="H954" s="61"/>
      <c r="K954"/>
    </row>
    <row r="955" spans="5:11" ht="13.5" customHeight="1" x14ac:dyDescent="0.2">
      <c r="E955" s="50"/>
      <c r="H955" s="61"/>
      <c r="K955"/>
    </row>
    <row r="956" spans="5:11" ht="13.5" customHeight="1" x14ac:dyDescent="0.2">
      <c r="E956" s="50"/>
      <c r="H956" s="61"/>
      <c r="K956"/>
    </row>
    <row r="957" spans="5:11" ht="13.5" customHeight="1" x14ac:dyDescent="0.2">
      <c r="E957" s="50"/>
      <c r="H957" s="61"/>
      <c r="K957"/>
    </row>
    <row r="958" spans="5:11" ht="13.5" customHeight="1" x14ac:dyDescent="0.2">
      <c r="E958" s="50"/>
      <c r="H958" s="61"/>
      <c r="K958"/>
    </row>
    <row r="959" spans="5:11" ht="13.5" customHeight="1" x14ac:dyDescent="0.2">
      <c r="E959" s="50"/>
      <c r="H959" s="61"/>
      <c r="K959"/>
    </row>
    <row r="960" spans="5:11" ht="13.5" customHeight="1" x14ac:dyDescent="0.2">
      <c r="E960" s="50"/>
      <c r="H960" s="61"/>
      <c r="K960"/>
    </row>
    <row r="961" spans="5:11" ht="13.5" customHeight="1" x14ac:dyDescent="0.2">
      <c r="E961" s="50"/>
      <c r="H961" s="61"/>
      <c r="K961"/>
    </row>
    <row r="962" spans="5:11" ht="13.5" customHeight="1" x14ac:dyDescent="0.2">
      <c r="E962" s="50"/>
      <c r="H962" s="61"/>
      <c r="K962"/>
    </row>
    <row r="963" spans="5:11" ht="13.5" customHeight="1" x14ac:dyDescent="0.2">
      <c r="E963" s="50"/>
      <c r="H963" s="61"/>
      <c r="K963"/>
    </row>
    <row r="964" spans="5:11" ht="13.5" customHeight="1" x14ac:dyDescent="0.2">
      <c r="E964" s="50"/>
      <c r="H964" s="61"/>
      <c r="K964"/>
    </row>
    <row r="965" spans="5:11" ht="13.5" customHeight="1" x14ac:dyDescent="0.2">
      <c r="E965" s="50"/>
      <c r="H965" s="61"/>
      <c r="K965"/>
    </row>
    <row r="966" spans="5:11" ht="13.5" customHeight="1" x14ac:dyDescent="0.2">
      <c r="E966" s="50"/>
      <c r="H966" s="61"/>
      <c r="K966"/>
    </row>
    <row r="967" spans="5:11" ht="13.5" customHeight="1" x14ac:dyDescent="0.2">
      <c r="E967" s="50"/>
      <c r="H967" s="61"/>
      <c r="K967"/>
    </row>
    <row r="968" spans="5:11" ht="13.5" customHeight="1" x14ac:dyDescent="0.2">
      <c r="E968" s="50"/>
      <c r="H968" s="61"/>
      <c r="K968"/>
    </row>
    <row r="969" spans="5:11" ht="13.5" customHeight="1" x14ac:dyDescent="0.2">
      <c r="E969" s="50"/>
      <c r="H969" s="61"/>
      <c r="K969"/>
    </row>
    <row r="970" spans="5:11" ht="13.5" customHeight="1" x14ac:dyDescent="0.2">
      <c r="E970" s="50"/>
      <c r="H970" s="61"/>
      <c r="K970"/>
    </row>
    <row r="971" spans="5:11" ht="13.5" customHeight="1" x14ac:dyDescent="0.2">
      <c r="E971" s="50"/>
      <c r="H971" s="61"/>
      <c r="K971"/>
    </row>
    <row r="972" spans="5:11" ht="13.5" customHeight="1" x14ac:dyDescent="0.2">
      <c r="E972" s="50"/>
      <c r="H972" s="61"/>
      <c r="K972"/>
    </row>
    <row r="973" spans="5:11" ht="13.5" customHeight="1" x14ac:dyDescent="0.2">
      <c r="E973" s="50"/>
      <c r="H973" s="61"/>
      <c r="K973"/>
    </row>
    <row r="974" spans="5:11" ht="13.5" customHeight="1" x14ac:dyDescent="0.2">
      <c r="E974" s="50"/>
      <c r="H974" s="61"/>
      <c r="K974"/>
    </row>
    <row r="975" spans="5:11" ht="13.5" customHeight="1" x14ac:dyDescent="0.2">
      <c r="E975" s="50"/>
      <c r="H975" s="61"/>
      <c r="K975"/>
    </row>
    <row r="976" spans="5:11" ht="13.5" customHeight="1" x14ac:dyDescent="0.2">
      <c r="E976" s="50"/>
      <c r="H976" s="61"/>
      <c r="K976"/>
    </row>
    <row r="977" spans="5:11" ht="13.5" customHeight="1" x14ac:dyDescent="0.2">
      <c r="E977" s="50"/>
      <c r="H977" s="61"/>
      <c r="K977"/>
    </row>
    <row r="978" spans="5:11" ht="13.5" customHeight="1" x14ac:dyDescent="0.2">
      <c r="E978" s="50"/>
      <c r="H978" s="61"/>
      <c r="K978"/>
    </row>
    <row r="979" spans="5:11" ht="13.5" customHeight="1" x14ac:dyDescent="0.2">
      <c r="E979" s="50"/>
      <c r="H979" s="61"/>
      <c r="K979"/>
    </row>
    <row r="980" spans="5:11" ht="13.5" customHeight="1" x14ac:dyDescent="0.2">
      <c r="E980" s="50"/>
      <c r="H980" s="61"/>
      <c r="K980"/>
    </row>
    <row r="981" spans="5:11" ht="13.5" customHeight="1" x14ac:dyDescent="0.2">
      <c r="E981" s="50"/>
      <c r="H981" s="61"/>
      <c r="K981"/>
    </row>
    <row r="982" spans="5:11" ht="13.5" customHeight="1" x14ac:dyDescent="0.2">
      <c r="E982" s="50"/>
      <c r="H982" s="61"/>
      <c r="K982"/>
    </row>
    <row r="983" spans="5:11" ht="13.5" customHeight="1" x14ac:dyDescent="0.2">
      <c r="E983" s="50"/>
      <c r="H983" s="61"/>
      <c r="K983"/>
    </row>
    <row r="984" spans="5:11" ht="13.5" customHeight="1" x14ac:dyDescent="0.2">
      <c r="E984" s="50"/>
      <c r="H984" s="61"/>
      <c r="K984"/>
    </row>
    <row r="985" spans="5:11" ht="13.5" customHeight="1" x14ac:dyDescent="0.2">
      <c r="E985" s="50"/>
      <c r="H985" s="61"/>
      <c r="K985"/>
    </row>
    <row r="986" spans="5:11" ht="13.5" customHeight="1" x14ac:dyDescent="0.2">
      <c r="E986" s="50"/>
      <c r="H986" s="61"/>
      <c r="K986"/>
    </row>
    <row r="987" spans="5:11" ht="13.5" customHeight="1" x14ac:dyDescent="0.2">
      <c r="E987" s="50"/>
      <c r="H987" s="61"/>
      <c r="K987"/>
    </row>
    <row r="988" spans="5:11" ht="13.5" customHeight="1" x14ac:dyDescent="0.2">
      <c r="E988" s="50"/>
      <c r="H988" s="61"/>
      <c r="K988"/>
    </row>
    <row r="989" spans="5:11" ht="13.5" customHeight="1" x14ac:dyDescent="0.2">
      <c r="E989" s="50"/>
      <c r="H989" s="61"/>
      <c r="K989"/>
    </row>
    <row r="990" spans="5:11" ht="13.5" customHeight="1" x14ac:dyDescent="0.2">
      <c r="E990" s="50"/>
      <c r="H990" s="61"/>
      <c r="K990"/>
    </row>
    <row r="991" spans="5:11" ht="13.5" customHeight="1" x14ac:dyDescent="0.2">
      <c r="E991" s="50"/>
      <c r="H991" s="61"/>
      <c r="K991"/>
    </row>
    <row r="992" spans="5:11" ht="13.5" customHeight="1" x14ac:dyDescent="0.2">
      <c r="E992" s="50"/>
      <c r="H992" s="61"/>
      <c r="K992"/>
    </row>
    <row r="993" spans="5:11" ht="13.5" customHeight="1" x14ac:dyDescent="0.2">
      <c r="E993" s="50"/>
      <c r="H993" s="61"/>
      <c r="K993"/>
    </row>
    <row r="994" spans="5:11" ht="13.5" customHeight="1" x14ac:dyDescent="0.2">
      <c r="E994" s="50"/>
      <c r="H994" s="61"/>
      <c r="K994"/>
    </row>
    <row r="995" spans="5:11" ht="13.5" customHeight="1" x14ac:dyDescent="0.2">
      <c r="E995" s="50"/>
      <c r="H995" s="61"/>
      <c r="K995"/>
    </row>
    <row r="996" spans="5:11" ht="13.5" customHeight="1" x14ac:dyDescent="0.2">
      <c r="E996" s="50"/>
      <c r="H996" s="61"/>
      <c r="K996"/>
    </row>
    <row r="997" spans="5:11" ht="13.5" customHeight="1" x14ac:dyDescent="0.2">
      <c r="E997" s="50"/>
      <c r="H997" s="61"/>
      <c r="K997"/>
    </row>
    <row r="998" spans="5:11" ht="13.5" customHeight="1" x14ac:dyDescent="0.2">
      <c r="E998" s="50"/>
      <c r="H998" s="61"/>
      <c r="K998"/>
    </row>
    <row r="999" spans="5:11" ht="13.5" customHeight="1" x14ac:dyDescent="0.2">
      <c r="E999" s="50"/>
      <c r="H999" s="61"/>
      <c r="K999"/>
    </row>
    <row r="1000" spans="5:11" ht="13.5" customHeight="1" x14ac:dyDescent="0.2">
      <c r="E1000" s="50"/>
      <c r="H1000" s="61"/>
      <c r="K1000"/>
    </row>
    <row r="1001" spans="5:11" ht="13.5" customHeight="1" x14ac:dyDescent="0.2">
      <c r="E1001" s="50"/>
      <c r="H1001" s="61"/>
      <c r="K1001"/>
    </row>
    <row r="1002" spans="5:11" ht="13.5" customHeight="1" x14ac:dyDescent="0.2">
      <c r="E1002" s="50"/>
      <c r="H1002" s="61"/>
      <c r="K1002"/>
    </row>
    <row r="1003" spans="5:11" ht="13.5" customHeight="1" x14ac:dyDescent="0.2">
      <c r="E1003" s="50"/>
      <c r="H1003" s="61"/>
      <c r="K1003"/>
    </row>
    <row r="1004" spans="5:11" ht="13.5" customHeight="1" x14ac:dyDescent="0.2">
      <c r="E1004" s="50"/>
      <c r="H1004" s="61"/>
      <c r="K1004"/>
    </row>
    <row r="1005" spans="5:11" ht="13.5" customHeight="1" x14ac:dyDescent="0.2">
      <c r="E1005" s="50"/>
      <c r="H1005" s="61"/>
      <c r="K1005"/>
    </row>
    <row r="1006" spans="5:11" ht="13.5" customHeight="1" x14ac:dyDescent="0.2">
      <c r="E1006" s="50"/>
      <c r="H1006" s="61"/>
      <c r="K1006"/>
    </row>
    <row r="1007" spans="5:11" ht="13.5" customHeight="1" x14ac:dyDescent="0.2">
      <c r="E1007" s="50"/>
      <c r="H1007" s="61"/>
      <c r="K1007"/>
    </row>
    <row r="1008" spans="5:11" ht="13.5" customHeight="1" x14ac:dyDescent="0.2">
      <c r="E1008" s="50"/>
      <c r="H1008" s="12"/>
      <c r="K1008"/>
    </row>
    <row r="1009" spans="5:11" ht="13.5" customHeight="1" x14ac:dyDescent="0.2">
      <c r="E1009" s="50"/>
      <c r="H1009" s="12"/>
      <c r="K1009"/>
    </row>
    <row r="1010" spans="5:11" ht="13.5" customHeight="1" x14ac:dyDescent="0.2">
      <c r="E1010" s="50"/>
      <c r="H1010" s="12"/>
      <c r="K1010"/>
    </row>
    <row r="1011" spans="5:11" ht="13.5" customHeight="1" x14ac:dyDescent="0.2">
      <c r="E1011" s="50"/>
      <c r="H1011" s="12"/>
      <c r="K1011"/>
    </row>
    <row r="1012" spans="5:11" ht="13.5" customHeight="1" x14ac:dyDescent="0.2">
      <c r="E1012" s="50"/>
      <c r="H1012" s="12"/>
      <c r="K1012"/>
    </row>
    <row r="1013" spans="5:11" ht="13.5" customHeight="1" x14ac:dyDescent="0.2">
      <c r="E1013" s="50"/>
      <c r="H1013" s="12"/>
      <c r="K1013"/>
    </row>
    <row r="1014" spans="5:11" ht="13.5" customHeight="1" x14ac:dyDescent="0.2">
      <c r="E1014" s="50"/>
      <c r="H1014" s="12"/>
      <c r="K1014"/>
    </row>
    <row r="1015" spans="5:11" ht="13.5" customHeight="1" x14ac:dyDescent="0.2">
      <c r="E1015" s="50"/>
      <c r="H1015" s="12"/>
      <c r="K1015"/>
    </row>
    <row r="1016" spans="5:11" ht="13.5" customHeight="1" x14ac:dyDescent="0.2">
      <c r="E1016" s="50"/>
      <c r="H1016" s="12"/>
      <c r="K1016"/>
    </row>
    <row r="1017" spans="5:11" ht="13.5" customHeight="1" x14ac:dyDescent="0.2">
      <c r="E1017" s="50"/>
      <c r="H1017" s="12"/>
      <c r="K1017"/>
    </row>
    <row r="1018" spans="5:11" ht="13.5" customHeight="1" x14ac:dyDescent="0.2">
      <c r="E1018" s="50"/>
      <c r="H1018" s="12"/>
      <c r="K1018"/>
    </row>
    <row r="1019" spans="5:11" ht="13.5" customHeight="1" x14ac:dyDescent="0.2">
      <c r="E1019" s="50"/>
      <c r="H1019" s="12"/>
      <c r="K1019"/>
    </row>
    <row r="1020" spans="5:11" ht="13.5" customHeight="1" x14ac:dyDescent="0.2">
      <c r="E1020" s="50"/>
      <c r="H1020" s="12"/>
      <c r="K1020"/>
    </row>
    <row r="1021" spans="5:11" ht="13.5" customHeight="1" x14ac:dyDescent="0.2">
      <c r="E1021" s="50"/>
      <c r="H1021" s="12"/>
      <c r="K1021"/>
    </row>
    <row r="1022" spans="5:11" ht="13.5" customHeight="1" x14ac:dyDescent="0.2">
      <c r="E1022" s="50"/>
      <c r="H1022" s="12"/>
      <c r="K1022"/>
    </row>
    <row r="1023" spans="5:11" ht="13.5" customHeight="1" x14ac:dyDescent="0.2">
      <c r="E1023" s="50"/>
      <c r="H1023" s="12"/>
      <c r="K1023"/>
    </row>
    <row r="1024" spans="5:11" ht="13.5" customHeight="1" x14ac:dyDescent="0.2">
      <c r="E1024" s="50"/>
      <c r="H1024" s="12"/>
      <c r="K1024"/>
    </row>
    <row r="1025" spans="5:11" ht="13.5" customHeight="1" x14ac:dyDescent="0.2">
      <c r="E1025" s="50"/>
      <c r="H1025" s="12"/>
      <c r="K1025"/>
    </row>
    <row r="1026" spans="5:11" ht="13.5" customHeight="1" x14ac:dyDescent="0.2">
      <c r="E1026" s="50"/>
      <c r="H1026" s="12"/>
      <c r="K1026"/>
    </row>
    <row r="1027" spans="5:11" ht="13.5" customHeight="1" x14ac:dyDescent="0.2">
      <c r="E1027" s="50"/>
      <c r="H1027" s="12"/>
      <c r="K1027"/>
    </row>
    <row r="1028" spans="5:11" ht="13.5" customHeight="1" x14ac:dyDescent="0.2">
      <c r="E1028" s="50"/>
      <c r="H1028" s="12"/>
      <c r="K1028"/>
    </row>
    <row r="1029" spans="5:11" ht="13.5" customHeight="1" x14ac:dyDescent="0.2">
      <c r="E1029" s="50"/>
      <c r="H1029" s="12"/>
      <c r="K1029"/>
    </row>
    <row r="1030" spans="5:11" ht="13.5" customHeight="1" x14ac:dyDescent="0.2">
      <c r="E1030" s="50"/>
      <c r="H1030" s="12"/>
      <c r="K1030"/>
    </row>
    <row r="1031" spans="5:11" ht="13.5" customHeight="1" x14ac:dyDescent="0.2">
      <c r="E1031" s="50"/>
      <c r="H1031" s="12"/>
      <c r="K1031"/>
    </row>
    <row r="1032" spans="5:11" ht="13.5" customHeight="1" x14ac:dyDescent="0.2">
      <c r="E1032" s="50"/>
      <c r="H1032" s="12"/>
      <c r="K1032"/>
    </row>
    <row r="1033" spans="5:11" ht="13.5" customHeight="1" x14ac:dyDescent="0.2">
      <c r="E1033" s="50"/>
      <c r="H1033" s="12"/>
      <c r="K1033"/>
    </row>
    <row r="1034" spans="5:11" ht="13.5" customHeight="1" x14ac:dyDescent="0.2">
      <c r="E1034" s="50"/>
      <c r="H1034" s="12"/>
      <c r="K1034"/>
    </row>
    <row r="1035" spans="5:11" ht="13.5" customHeight="1" x14ac:dyDescent="0.2">
      <c r="E1035" s="50"/>
      <c r="H1035" s="12"/>
      <c r="K1035"/>
    </row>
    <row r="1036" spans="5:11" ht="13.5" customHeight="1" x14ac:dyDescent="0.2">
      <c r="E1036" s="50"/>
      <c r="H1036" s="12"/>
      <c r="K1036"/>
    </row>
    <row r="1037" spans="5:11" ht="13.5" customHeight="1" x14ac:dyDescent="0.2">
      <c r="E1037" s="50"/>
      <c r="H1037" s="12"/>
      <c r="K1037"/>
    </row>
    <row r="1038" spans="5:11" ht="13.5" customHeight="1" x14ac:dyDescent="0.2">
      <c r="E1038" s="50"/>
      <c r="H1038" s="12"/>
      <c r="K1038"/>
    </row>
    <row r="1039" spans="5:11" ht="13.5" customHeight="1" x14ac:dyDescent="0.2">
      <c r="E1039" s="50"/>
      <c r="H1039" s="12"/>
      <c r="K1039"/>
    </row>
    <row r="1040" spans="5:11" ht="13.5" customHeight="1" x14ac:dyDescent="0.2">
      <c r="E1040" s="50"/>
      <c r="H1040" s="12"/>
      <c r="K1040"/>
    </row>
    <row r="1041" spans="5:11" ht="13.5" customHeight="1" x14ac:dyDescent="0.2">
      <c r="E1041" s="50"/>
      <c r="H1041" s="12"/>
      <c r="K1041"/>
    </row>
    <row r="1042" spans="5:11" ht="13.5" customHeight="1" x14ac:dyDescent="0.2">
      <c r="E1042" s="50"/>
      <c r="H1042" s="12"/>
      <c r="K1042"/>
    </row>
    <row r="1043" spans="5:11" ht="13.5" customHeight="1" x14ac:dyDescent="0.2">
      <c r="E1043" s="50"/>
      <c r="H1043" s="12"/>
      <c r="K1043"/>
    </row>
    <row r="1044" spans="5:11" ht="13.5" customHeight="1" x14ac:dyDescent="0.2">
      <c r="E1044" s="50"/>
      <c r="H1044" s="12"/>
      <c r="K1044"/>
    </row>
    <row r="1045" spans="5:11" ht="13.5" customHeight="1" x14ac:dyDescent="0.2">
      <c r="E1045" s="50"/>
      <c r="H1045" s="12"/>
      <c r="K1045"/>
    </row>
    <row r="1046" spans="5:11" ht="13.5" customHeight="1" x14ac:dyDescent="0.2">
      <c r="E1046" s="50"/>
      <c r="H1046" s="12"/>
      <c r="K1046"/>
    </row>
    <row r="1047" spans="5:11" ht="13.5" customHeight="1" x14ac:dyDescent="0.2">
      <c r="E1047" s="50"/>
      <c r="H1047" s="12"/>
      <c r="K1047"/>
    </row>
    <row r="1048" spans="5:11" ht="13.5" customHeight="1" x14ac:dyDescent="0.2">
      <c r="E1048" s="50"/>
      <c r="H1048" s="12"/>
      <c r="K1048"/>
    </row>
    <row r="1049" spans="5:11" ht="13.5" customHeight="1" x14ac:dyDescent="0.2">
      <c r="E1049" s="50"/>
      <c r="H1049" s="12"/>
      <c r="K1049"/>
    </row>
    <row r="1050" spans="5:11" ht="13.5" customHeight="1" x14ac:dyDescent="0.2">
      <c r="E1050" s="50"/>
      <c r="H1050" s="12"/>
      <c r="K1050"/>
    </row>
    <row r="1051" spans="5:11" ht="13.5" customHeight="1" x14ac:dyDescent="0.2">
      <c r="E1051" s="50"/>
      <c r="H1051" s="12"/>
      <c r="K1051"/>
    </row>
    <row r="1052" spans="5:11" ht="13.5" customHeight="1" x14ac:dyDescent="0.2">
      <c r="E1052" s="50"/>
      <c r="H1052" s="12"/>
      <c r="K1052"/>
    </row>
    <row r="1053" spans="5:11" ht="13.5" customHeight="1" x14ac:dyDescent="0.2">
      <c r="E1053" s="50"/>
      <c r="H1053" s="12"/>
      <c r="K1053"/>
    </row>
    <row r="1054" spans="5:11" ht="13.5" customHeight="1" x14ac:dyDescent="0.2">
      <c r="E1054" s="50"/>
      <c r="H1054" s="12"/>
      <c r="K1054"/>
    </row>
    <row r="1055" spans="5:11" ht="13.5" customHeight="1" x14ac:dyDescent="0.2">
      <c r="E1055" s="50"/>
      <c r="H1055" s="12"/>
      <c r="K1055"/>
    </row>
    <row r="1056" spans="5:11" ht="13.5" customHeight="1" x14ac:dyDescent="0.2">
      <c r="E1056" s="50"/>
      <c r="H1056" s="12"/>
      <c r="K1056"/>
    </row>
    <row r="1057" spans="5:11" ht="13.5" customHeight="1" x14ac:dyDescent="0.2">
      <c r="E1057" s="50"/>
      <c r="H1057" s="12"/>
      <c r="K1057"/>
    </row>
    <row r="1058" spans="5:11" ht="13.5" customHeight="1" x14ac:dyDescent="0.2">
      <c r="E1058" s="50"/>
      <c r="H1058" s="12"/>
      <c r="K1058"/>
    </row>
    <row r="1059" spans="5:11" ht="13.5" customHeight="1" x14ac:dyDescent="0.2">
      <c r="E1059" s="50"/>
      <c r="H1059" s="12"/>
      <c r="K1059"/>
    </row>
    <row r="1060" spans="5:11" ht="13.5" customHeight="1" x14ac:dyDescent="0.2">
      <c r="E1060" s="50"/>
      <c r="H1060" s="12"/>
      <c r="K1060"/>
    </row>
    <row r="1061" spans="5:11" ht="13.5" customHeight="1" x14ac:dyDescent="0.2">
      <c r="E1061" s="50"/>
      <c r="H1061" s="12"/>
      <c r="K1061"/>
    </row>
    <row r="1062" spans="5:11" ht="13.5" customHeight="1" x14ac:dyDescent="0.2">
      <c r="E1062" s="50"/>
      <c r="H1062" s="12"/>
      <c r="K1062"/>
    </row>
    <row r="1063" spans="5:11" ht="13.5" customHeight="1" x14ac:dyDescent="0.2">
      <c r="E1063" s="50"/>
      <c r="H1063" s="12"/>
      <c r="K1063"/>
    </row>
    <row r="1064" spans="5:11" ht="13.5" customHeight="1" x14ac:dyDescent="0.2">
      <c r="E1064" s="50"/>
      <c r="H1064" s="12"/>
      <c r="K1064"/>
    </row>
    <row r="1065" spans="5:11" ht="13.5" customHeight="1" x14ac:dyDescent="0.2">
      <c r="E1065" s="50"/>
      <c r="H1065" s="12"/>
      <c r="K1065"/>
    </row>
    <row r="1066" spans="5:11" ht="13.5" customHeight="1" x14ac:dyDescent="0.2">
      <c r="E1066" s="50"/>
      <c r="H1066" s="12"/>
      <c r="K1066"/>
    </row>
    <row r="1067" spans="5:11" ht="13.5" customHeight="1" x14ac:dyDescent="0.2">
      <c r="E1067" s="50"/>
      <c r="H1067" s="12"/>
      <c r="K1067"/>
    </row>
    <row r="1068" spans="5:11" ht="13.5" customHeight="1" x14ac:dyDescent="0.2">
      <c r="E1068" s="50"/>
      <c r="H1068" s="12"/>
      <c r="K1068"/>
    </row>
    <row r="1069" spans="5:11" ht="13.5" customHeight="1" x14ac:dyDescent="0.2">
      <c r="E1069" s="50"/>
      <c r="H1069" s="12"/>
      <c r="K1069"/>
    </row>
    <row r="1070" spans="5:11" ht="13.5" customHeight="1" x14ac:dyDescent="0.2">
      <c r="E1070" s="50"/>
      <c r="H1070" s="12"/>
      <c r="K1070"/>
    </row>
    <row r="1071" spans="5:11" ht="13.5" customHeight="1" x14ac:dyDescent="0.2">
      <c r="E1071" s="50"/>
      <c r="H1071" s="12"/>
      <c r="K1071"/>
    </row>
    <row r="1072" spans="5:11" ht="13.5" customHeight="1" x14ac:dyDescent="0.2">
      <c r="E1072" s="50"/>
      <c r="H1072" s="12"/>
      <c r="K1072"/>
    </row>
    <row r="1073" spans="5:11" ht="13.5" customHeight="1" x14ac:dyDescent="0.2">
      <c r="E1073" s="50"/>
      <c r="H1073" s="12"/>
      <c r="K1073"/>
    </row>
    <row r="1074" spans="5:11" ht="13.5" customHeight="1" x14ac:dyDescent="0.2">
      <c r="E1074" s="50"/>
      <c r="H1074" s="12"/>
      <c r="K1074"/>
    </row>
    <row r="1075" spans="5:11" ht="13.5" customHeight="1" x14ac:dyDescent="0.2">
      <c r="E1075" s="50"/>
      <c r="H1075" s="12"/>
      <c r="K1075"/>
    </row>
    <row r="1076" spans="5:11" ht="13.5" customHeight="1" x14ac:dyDescent="0.2">
      <c r="E1076" s="50"/>
      <c r="H1076" s="12"/>
      <c r="K1076"/>
    </row>
    <row r="1077" spans="5:11" ht="13.5" customHeight="1" x14ac:dyDescent="0.2">
      <c r="E1077" s="50"/>
      <c r="H1077" s="12"/>
      <c r="K1077"/>
    </row>
    <row r="1078" spans="5:11" ht="13.5" customHeight="1" x14ac:dyDescent="0.2">
      <c r="E1078" s="50"/>
      <c r="H1078" s="12"/>
      <c r="K1078"/>
    </row>
    <row r="1079" spans="5:11" ht="13.5" customHeight="1" x14ac:dyDescent="0.2">
      <c r="E1079" s="50"/>
      <c r="H1079" s="12"/>
      <c r="K1079"/>
    </row>
    <row r="1080" spans="5:11" ht="13.5" customHeight="1" x14ac:dyDescent="0.2">
      <c r="E1080" s="50"/>
      <c r="H1080" s="12"/>
      <c r="K1080"/>
    </row>
    <row r="1081" spans="5:11" ht="13.5" customHeight="1" x14ac:dyDescent="0.2">
      <c r="E1081" s="50"/>
      <c r="H1081" s="12"/>
      <c r="K1081"/>
    </row>
    <row r="1082" spans="5:11" ht="13.5" customHeight="1" x14ac:dyDescent="0.2">
      <c r="E1082" s="50"/>
      <c r="H1082" s="12"/>
      <c r="K1082"/>
    </row>
    <row r="1083" spans="5:11" ht="13.5" customHeight="1" x14ac:dyDescent="0.2">
      <c r="E1083" s="50"/>
      <c r="H1083" s="12"/>
      <c r="K1083"/>
    </row>
    <row r="1084" spans="5:11" ht="13.5" customHeight="1" x14ac:dyDescent="0.2">
      <c r="E1084" s="50"/>
      <c r="H1084" s="12"/>
      <c r="K1084"/>
    </row>
    <row r="1085" spans="5:11" ht="13.5" customHeight="1" x14ac:dyDescent="0.2">
      <c r="E1085" s="50"/>
      <c r="H1085" s="12"/>
      <c r="K1085"/>
    </row>
    <row r="1086" spans="5:11" ht="13.5" customHeight="1" x14ac:dyDescent="0.2">
      <c r="E1086" s="50"/>
      <c r="H1086" s="12"/>
      <c r="K1086"/>
    </row>
    <row r="1087" spans="5:11" ht="13.5" customHeight="1" x14ac:dyDescent="0.2">
      <c r="E1087" s="50"/>
      <c r="H1087" s="12"/>
      <c r="K1087"/>
    </row>
    <row r="1088" spans="5:11" ht="13.5" customHeight="1" x14ac:dyDescent="0.2">
      <c r="E1088" s="50"/>
      <c r="H1088" s="12"/>
      <c r="K1088"/>
    </row>
    <row r="1089" spans="5:11" ht="13.5" customHeight="1" x14ac:dyDescent="0.2">
      <c r="E1089" s="50"/>
      <c r="H1089" s="12"/>
      <c r="K1089"/>
    </row>
    <row r="1090" spans="5:11" ht="13.5" customHeight="1" x14ac:dyDescent="0.2">
      <c r="E1090" s="50"/>
      <c r="H1090" s="12"/>
      <c r="K1090"/>
    </row>
    <row r="1091" spans="5:11" ht="13.5" customHeight="1" x14ac:dyDescent="0.2">
      <c r="E1091" s="50"/>
      <c r="H1091" s="12"/>
      <c r="K1091"/>
    </row>
    <row r="1092" spans="5:11" ht="13.5" customHeight="1" x14ac:dyDescent="0.2">
      <c r="E1092" s="50"/>
      <c r="H1092" s="12"/>
      <c r="K1092"/>
    </row>
    <row r="1093" spans="5:11" ht="13.5" customHeight="1" x14ac:dyDescent="0.2">
      <c r="E1093" s="50"/>
      <c r="H1093" s="12"/>
      <c r="K1093"/>
    </row>
    <row r="1094" spans="5:11" ht="13.5" customHeight="1" x14ac:dyDescent="0.2">
      <c r="E1094" s="50"/>
      <c r="H1094" s="12"/>
      <c r="K1094"/>
    </row>
    <row r="1095" spans="5:11" ht="13.5" customHeight="1" x14ac:dyDescent="0.2">
      <c r="E1095" s="50"/>
      <c r="H1095" s="12"/>
      <c r="K1095"/>
    </row>
    <row r="1096" spans="5:11" ht="13.5" customHeight="1" x14ac:dyDescent="0.2">
      <c r="E1096" s="50"/>
      <c r="H1096" s="12"/>
      <c r="K1096"/>
    </row>
    <row r="1097" spans="5:11" ht="13.5" customHeight="1" x14ac:dyDescent="0.2">
      <c r="E1097" s="50"/>
      <c r="H1097" s="12"/>
      <c r="K1097"/>
    </row>
    <row r="1098" spans="5:11" ht="13.5" customHeight="1" x14ac:dyDescent="0.2">
      <c r="E1098" s="50"/>
      <c r="H1098" s="12"/>
      <c r="K1098"/>
    </row>
    <row r="1099" spans="5:11" ht="13.5" customHeight="1" x14ac:dyDescent="0.2">
      <c r="E1099" s="50"/>
      <c r="H1099" s="12"/>
      <c r="K1099"/>
    </row>
    <row r="1100" spans="5:11" ht="13.5" customHeight="1" x14ac:dyDescent="0.2">
      <c r="E1100" s="50"/>
      <c r="H1100" s="12"/>
      <c r="K1100"/>
    </row>
    <row r="1101" spans="5:11" ht="13.5" customHeight="1" x14ac:dyDescent="0.2">
      <c r="E1101" s="50"/>
      <c r="H1101" s="12"/>
      <c r="K1101"/>
    </row>
    <row r="1102" spans="5:11" ht="13.5" customHeight="1" x14ac:dyDescent="0.2">
      <c r="E1102" s="50"/>
      <c r="H1102" s="12"/>
      <c r="K1102"/>
    </row>
    <row r="1103" spans="5:11" ht="13.5" customHeight="1" x14ac:dyDescent="0.2">
      <c r="E1103" s="50"/>
      <c r="H1103" s="12"/>
      <c r="K1103"/>
    </row>
    <row r="1104" spans="5:11" ht="13.5" customHeight="1" x14ac:dyDescent="0.2">
      <c r="E1104" s="50"/>
      <c r="H1104" s="12"/>
      <c r="K1104"/>
    </row>
    <row r="1105" spans="5:11" ht="13.5" customHeight="1" x14ac:dyDescent="0.2">
      <c r="E1105" s="50"/>
      <c r="H1105" s="12"/>
      <c r="K1105"/>
    </row>
    <row r="1106" spans="5:11" ht="13.5" customHeight="1" x14ac:dyDescent="0.2">
      <c r="E1106" s="50"/>
      <c r="H1106" s="12"/>
      <c r="K1106"/>
    </row>
    <row r="1107" spans="5:11" ht="13.5" customHeight="1" x14ac:dyDescent="0.2">
      <c r="E1107" s="50"/>
      <c r="H1107" s="12"/>
      <c r="K1107"/>
    </row>
    <row r="1108" spans="5:11" ht="13.5" customHeight="1" x14ac:dyDescent="0.2">
      <c r="E1108" s="50"/>
      <c r="H1108" s="12"/>
      <c r="K1108"/>
    </row>
    <row r="1109" spans="5:11" ht="14.25" customHeight="1" x14ac:dyDescent="0.2">
      <c r="E1109" s="50"/>
      <c r="H1109" s="12"/>
      <c r="K1109"/>
    </row>
    <row r="1110" spans="5:11" ht="13.5" customHeight="1" x14ac:dyDescent="0.2">
      <c r="E1110" s="50"/>
      <c r="H1110" s="12"/>
      <c r="K1110"/>
    </row>
    <row r="1111" spans="5:11" ht="13.5" customHeight="1" x14ac:dyDescent="0.2">
      <c r="E1111" s="50"/>
      <c r="H1111" s="12"/>
      <c r="K1111"/>
    </row>
    <row r="1112" spans="5:11" ht="13.5" customHeight="1" x14ac:dyDescent="0.2">
      <c r="E1112" s="50"/>
      <c r="H1112" s="12"/>
      <c r="K1112"/>
    </row>
    <row r="1113" spans="5:11" ht="13.5" customHeight="1" x14ac:dyDescent="0.2">
      <c r="E1113" s="50"/>
      <c r="H1113" s="12"/>
      <c r="K1113"/>
    </row>
    <row r="1114" spans="5:11" ht="13.5" customHeight="1" x14ac:dyDescent="0.2">
      <c r="E1114" s="50"/>
      <c r="H1114" s="12"/>
      <c r="K1114"/>
    </row>
    <row r="1115" spans="5:11" ht="13.5" customHeight="1" x14ac:dyDescent="0.2">
      <c r="E1115" s="50"/>
      <c r="H1115" s="12"/>
      <c r="K1115"/>
    </row>
    <row r="1116" spans="5:11" ht="13.5" customHeight="1" x14ac:dyDescent="0.2">
      <c r="E1116" s="50"/>
      <c r="H1116" s="12"/>
      <c r="K1116"/>
    </row>
    <row r="1117" spans="5:11" ht="13.5" customHeight="1" x14ac:dyDescent="0.2">
      <c r="E1117" s="50"/>
      <c r="H1117" s="12"/>
      <c r="K1117"/>
    </row>
    <row r="1118" spans="5:11" ht="13.5" customHeight="1" x14ac:dyDescent="0.2">
      <c r="E1118" s="50"/>
      <c r="H1118" s="12"/>
      <c r="K1118"/>
    </row>
    <row r="1119" spans="5:11" ht="13.5" customHeight="1" x14ac:dyDescent="0.2">
      <c r="E1119" s="50"/>
      <c r="H1119" s="12"/>
      <c r="K1119"/>
    </row>
    <row r="1120" spans="5:11" ht="13.5" customHeight="1" x14ac:dyDescent="0.2">
      <c r="E1120" s="50"/>
      <c r="H1120" s="12"/>
      <c r="K1120"/>
    </row>
    <row r="1121" spans="5:11" ht="13.5" customHeight="1" x14ac:dyDescent="0.2">
      <c r="E1121" s="50"/>
      <c r="H1121" s="12"/>
      <c r="K1121"/>
    </row>
    <row r="1122" spans="5:11" ht="13.5" customHeight="1" x14ac:dyDescent="0.2">
      <c r="E1122" s="50"/>
      <c r="H1122" s="12"/>
      <c r="K1122"/>
    </row>
    <row r="1123" spans="5:11" ht="13.5" customHeight="1" x14ac:dyDescent="0.2">
      <c r="E1123" s="50"/>
      <c r="H1123" s="12"/>
      <c r="K1123"/>
    </row>
    <row r="1124" spans="5:11" ht="13.5" customHeight="1" x14ac:dyDescent="0.2">
      <c r="E1124" s="50"/>
      <c r="H1124" s="12"/>
      <c r="K1124"/>
    </row>
    <row r="1125" spans="5:11" ht="13.5" customHeight="1" x14ac:dyDescent="0.2">
      <c r="E1125" s="50"/>
      <c r="H1125" s="12"/>
      <c r="K1125"/>
    </row>
    <row r="1126" spans="5:11" ht="13.5" customHeight="1" x14ac:dyDescent="0.2">
      <c r="E1126" s="50"/>
      <c r="H1126" s="12"/>
      <c r="K1126"/>
    </row>
    <row r="1127" spans="5:11" ht="13.5" customHeight="1" x14ac:dyDescent="0.2">
      <c r="E1127" s="50"/>
      <c r="H1127" s="12"/>
      <c r="K1127"/>
    </row>
    <row r="1128" spans="5:11" ht="13.5" customHeight="1" x14ac:dyDescent="0.2">
      <c r="E1128" s="50"/>
      <c r="H1128" s="12"/>
      <c r="K1128"/>
    </row>
    <row r="1129" spans="5:11" ht="13.5" customHeight="1" x14ac:dyDescent="0.2">
      <c r="E1129" s="50"/>
      <c r="H1129" s="12"/>
      <c r="K1129"/>
    </row>
    <row r="1130" spans="5:11" ht="13.5" customHeight="1" x14ac:dyDescent="0.2">
      <c r="E1130" s="50"/>
      <c r="H1130" s="12"/>
      <c r="K1130"/>
    </row>
    <row r="1131" spans="5:11" ht="13.5" customHeight="1" x14ac:dyDescent="0.2">
      <c r="E1131" s="50"/>
      <c r="H1131" s="12"/>
      <c r="K1131"/>
    </row>
    <row r="1132" spans="5:11" ht="13.5" customHeight="1" x14ac:dyDescent="0.2">
      <c r="E1132" s="50"/>
      <c r="H1132" s="12"/>
      <c r="K1132"/>
    </row>
    <row r="1133" spans="5:11" ht="13.5" customHeight="1" x14ac:dyDescent="0.2">
      <c r="E1133" s="50"/>
      <c r="H1133" s="12"/>
      <c r="K1133"/>
    </row>
    <row r="1134" spans="5:11" ht="13.5" customHeight="1" x14ac:dyDescent="0.2">
      <c r="E1134" s="50"/>
      <c r="H1134" s="12"/>
      <c r="K1134"/>
    </row>
    <row r="1135" spans="5:11" ht="13.5" customHeight="1" x14ac:dyDescent="0.2">
      <c r="E1135" s="50"/>
      <c r="H1135" s="12"/>
      <c r="K1135"/>
    </row>
    <row r="1136" spans="5:11" ht="13.5" customHeight="1" x14ac:dyDescent="0.2">
      <c r="E1136" s="50"/>
      <c r="H1136" s="12"/>
      <c r="K1136"/>
    </row>
    <row r="1137" spans="5:11" ht="13.5" customHeight="1" x14ac:dyDescent="0.2">
      <c r="E1137" s="50"/>
      <c r="H1137" s="12"/>
      <c r="K1137"/>
    </row>
    <row r="1138" spans="5:11" ht="13.5" customHeight="1" x14ac:dyDescent="0.2">
      <c r="E1138" s="50"/>
      <c r="H1138" s="12"/>
      <c r="K1138"/>
    </row>
    <row r="1139" spans="5:11" ht="13.5" customHeight="1" x14ac:dyDescent="0.2">
      <c r="E1139" s="50"/>
      <c r="H1139" s="12"/>
      <c r="K1139"/>
    </row>
    <row r="1140" spans="5:11" ht="13.5" customHeight="1" x14ac:dyDescent="0.2">
      <c r="E1140" s="50"/>
      <c r="H1140" s="12"/>
      <c r="K1140"/>
    </row>
    <row r="1141" spans="5:11" ht="13.5" customHeight="1" x14ac:dyDescent="0.2">
      <c r="E1141" s="50"/>
      <c r="H1141" s="12"/>
      <c r="K1141"/>
    </row>
    <row r="1142" spans="5:11" ht="13.5" customHeight="1" x14ac:dyDescent="0.2">
      <c r="E1142" s="50"/>
      <c r="H1142" s="12"/>
      <c r="K1142"/>
    </row>
    <row r="1143" spans="5:11" ht="13.5" customHeight="1" x14ac:dyDescent="0.2">
      <c r="E1143" s="50"/>
      <c r="H1143" s="12"/>
      <c r="K1143"/>
    </row>
    <row r="1144" spans="5:11" ht="13.5" customHeight="1" x14ac:dyDescent="0.2">
      <c r="E1144" s="50"/>
      <c r="H1144" s="12"/>
      <c r="K1144"/>
    </row>
    <row r="1145" spans="5:11" ht="13.5" customHeight="1" x14ac:dyDescent="0.2">
      <c r="E1145" s="50"/>
      <c r="H1145" s="12"/>
      <c r="K1145"/>
    </row>
    <row r="1146" spans="5:11" ht="13.5" customHeight="1" x14ac:dyDescent="0.2">
      <c r="E1146" s="50"/>
      <c r="H1146" s="12"/>
      <c r="K1146"/>
    </row>
    <row r="1147" spans="5:11" ht="13.5" customHeight="1" x14ac:dyDescent="0.2">
      <c r="E1147" s="50"/>
      <c r="H1147" s="12"/>
      <c r="K1147"/>
    </row>
    <row r="1148" spans="5:11" ht="13.5" customHeight="1" x14ac:dyDescent="0.2">
      <c r="E1148" s="50"/>
      <c r="H1148" s="12"/>
      <c r="K1148"/>
    </row>
    <row r="1149" spans="5:11" ht="13.5" customHeight="1" x14ac:dyDescent="0.2">
      <c r="E1149" s="50"/>
      <c r="H1149" s="12"/>
      <c r="K1149"/>
    </row>
    <row r="1150" spans="5:11" ht="13.5" customHeight="1" x14ac:dyDescent="0.2">
      <c r="E1150" s="50"/>
      <c r="H1150" s="12"/>
      <c r="K1150"/>
    </row>
    <row r="1151" spans="5:11" ht="13.5" customHeight="1" x14ac:dyDescent="0.2">
      <c r="E1151" s="50"/>
      <c r="H1151" s="12"/>
      <c r="K1151"/>
    </row>
    <row r="1152" spans="5:11" ht="13.5" customHeight="1" x14ac:dyDescent="0.2">
      <c r="E1152" s="50"/>
      <c r="H1152" s="12"/>
      <c r="K1152"/>
    </row>
    <row r="1153" spans="5:11" ht="13.5" customHeight="1" x14ac:dyDescent="0.2">
      <c r="E1153" s="50"/>
      <c r="H1153" s="12"/>
      <c r="K1153"/>
    </row>
    <row r="1154" spans="5:11" ht="13.5" customHeight="1" x14ac:dyDescent="0.2">
      <c r="E1154" s="50"/>
      <c r="H1154" s="12"/>
      <c r="K1154"/>
    </row>
    <row r="1155" spans="5:11" ht="13.5" customHeight="1" x14ac:dyDescent="0.2">
      <c r="E1155" s="50"/>
      <c r="H1155" s="12"/>
      <c r="K1155"/>
    </row>
    <row r="1156" spans="5:11" ht="13.5" customHeight="1" x14ac:dyDescent="0.2">
      <c r="E1156" s="50"/>
      <c r="H1156" s="12"/>
      <c r="K1156"/>
    </row>
    <row r="1157" spans="5:11" ht="13.5" customHeight="1" x14ac:dyDescent="0.2">
      <c r="E1157" s="50"/>
      <c r="H1157" s="12"/>
      <c r="K1157"/>
    </row>
    <row r="1158" spans="5:11" ht="13.5" customHeight="1" x14ac:dyDescent="0.2">
      <c r="E1158" s="50"/>
      <c r="H1158" s="12"/>
      <c r="K1158"/>
    </row>
    <row r="1159" spans="5:11" ht="13.5" customHeight="1" x14ac:dyDescent="0.2">
      <c r="E1159" s="50"/>
      <c r="H1159" s="12"/>
      <c r="K1159"/>
    </row>
    <row r="1160" spans="5:11" ht="13.5" customHeight="1" x14ac:dyDescent="0.2">
      <c r="E1160" s="50"/>
      <c r="H1160" s="12"/>
      <c r="K1160"/>
    </row>
    <row r="1161" spans="5:11" ht="13.5" customHeight="1" x14ac:dyDescent="0.2">
      <c r="E1161" s="50"/>
      <c r="H1161" s="12"/>
      <c r="K1161"/>
    </row>
    <row r="1162" spans="5:11" ht="13.5" customHeight="1" x14ac:dyDescent="0.2">
      <c r="E1162" s="50"/>
      <c r="H1162" s="12"/>
      <c r="K1162"/>
    </row>
    <row r="1163" spans="5:11" ht="13.5" customHeight="1" x14ac:dyDescent="0.2">
      <c r="E1163" s="50"/>
      <c r="H1163" s="12"/>
      <c r="K1163"/>
    </row>
    <row r="1164" spans="5:11" ht="13.5" customHeight="1" x14ac:dyDescent="0.2">
      <c r="E1164" s="50"/>
      <c r="H1164" s="12"/>
      <c r="K1164"/>
    </row>
    <row r="1165" spans="5:11" ht="13.5" customHeight="1" x14ac:dyDescent="0.2">
      <c r="E1165" s="50"/>
      <c r="H1165" s="12"/>
      <c r="K1165"/>
    </row>
    <row r="1166" spans="5:11" ht="13.5" customHeight="1" x14ac:dyDescent="0.2">
      <c r="E1166" s="50"/>
      <c r="H1166" s="12"/>
      <c r="K1166"/>
    </row>
    <row r="1167" spans="5:11" ht="13.5" customHeight="1" x14ac:dyDescent="0.2">
      <c r="E1167" s="50"/>
      <c r="H1167" s="12"/>
      <c r="K1167"/>
    </row>
    <row r="1168" spans="5:11" ht="13.5" customHeight="1" x14ac:dyDescent="0.2">
      <c r="E1168" s="50"/>
      <c r="H1168" s="12"/>
      <c r="K1168"/>
    </row>
    <row r="1169" spans="5:11" ht="13.5" customHeight="1" x14ac:dyDescent="0.2">
      <c r="E1169" s="50"/>
      <c r="H1169" s="12"/>
      <c r="K1169"/>
    </row>
    <row r="1170" spans="5:11" ht="13.5" customHeight="1" x14ac:dyDescent="0.2">
      <c r="E1170" s="50"/>
      <c r="H1170" s="12"/>
      <c r="K1170"/>
    </row>
    <row r="1171" spans="5:11" ht="13.5" customHeight="1" x14ac:dyDescent="0.2">
      <c r="E1171" s="50"/>
      <c r="H1171" s="12"/>
      <c r="K1171"/>
    </row>
    <row r="1172" spans="5:11" ht="13.5" customHeight="1" x14ac:dyDescent="0.2">
      <c r="E1172" s="50"/>
      <c r="H1172" s="12"/>
      <c r="K1172"/>
    </row>
    <row r="1173" spans="5:11" ht="13.5" customHeight="1" x14ac:dyDescent="0.2">
      <c r="E1173" s="50"/>
      <c r="H1173" s="12"/>
      <c r="K1173"/>
    </row>
    <row r="1174" spans="5:11" ht="13.5" customHeight="1" x14ac:dyDescent="0.2">
      <c r="E1174" s="50"/>
      <c r="H1174" s="12"/>
      <c r="K1174"/>
    </row>
    <row r="1175" spans="5:11" ht="13.5" customHeight="1" x14ac:dyDescent="0.2">
      <c r="E1175" s="50"/>
      <c r="H1175" s="12"/>
      <c r="K1175"/>
    </row>
    <row r="1176" spans="5:11" ht="13.5" customHeight="1" x14ac:dyDescent="0.2">
      <c r="E1176" s="50"/>
      <c r="H1176" s="12"/>
      <c r="K1176"/>
    </row>
    <row r="1177" spans="5:11" ht="13.5" customHeight="1" x14ac:dyDescent="0.2">
      <c r="E1177" s="50"/>
      <c r="H1177" s="12"/>
      <c r="K1177"/>
    </row>
    <row r="1178" spans="5:11" ht="13.5" customHeight="1" x14ac:dyDescent="0.2">
      <c r="E1178" s="50"/>
      <c r="H1178" s="12"/>
      <c r="K1178"/>
    </row>
    <row r="1179" spans="5:11" ht="12.75" customHeight="1" x14ac:dyDescent="0.2">
      <c r="E1179" s="50"/>
      <c r="H1179" s="12"/>
      <c r="K1179"/>
    </row>
    <row r="1180" spans="5:11" ht="12.75" customHeight="1" x14ac:dyDescent="0.2">
      <c r="E1180" s="50"/>
      <c r="H1180" s="12"/>
      <c r="K1180"/>
    </row>
    <row r="1181" spans="5:11" ht="12.75" customHeight="1" x14ac:dyDescent="0.2">
      <c r="E1181" s="50"/>
      <c r="H1181" s="12"/>
      <c r="K1181"/>
    </row>
    <row r="1182" spans="5:11" ht="12.75" customHeight="1" x14ac:dyDescent="0.2">
      <c r="E1182" s="50"/>
      <c r="H1182" s="12"/>
      <c r="K1182"/>
    </row>
    <row r="1183" spans="5:11" ht="12.75" customHeight="1" x14ac:dyDescent="0.2">
      <c r="E1183" s="50"/>
      <c r="H1183" s="12"/>
      <c r="K1183"/>
    </row>
    <row r="1184" spans="5:11" ht="12.75" customHeight="1" x14ac:dyDescent="0.2">
      <c r="E1184" s="50"/>
      <c r="H1184" s="12"/>
      <c r="K1184"/>
    </row>
    <row r="1185" spans="5:11" ht="12.75" customHeight="1" x14ac:dyDescent="0.2">
      <c r="E1185" s="50"/>
      <c r="H1185" s="12"/>
      <c r="K1185"/>
    </row>
    <row r="1186" spans="5:11" ht="12.75" customHeight="1" x14ac:dyDescent="0.2">
      <c r="E1186" s="50"/>
      <c r="H1186" s="12"/>
      <c r="K1186"/>
    </row>
    <row r="1187" spans="5:11" ht="12.75" customHeight="1" x14ac:dyDescent="0.2">
      <c r="E1187" s="50"/>
      <c r="H1187" s="12"/>
      <c r="K1187"/>
    </row>
    <row r="1188" spans="5:11" ht="12.75" customHeight="1" x14ac:dyDescent="0.2">
      <c r="E1188" s="50"/>
      <c r="H1188" s="12"/>
      <c r="K1188"/>
    </row>
    <row r="1189" spans="5:11" ht="12.75" customHeight="1" x14ac:dyDescent="0.2">
      <c r="E1189" s="50"/>
      <c r="H1189" s="12"/>
      <c r="K1189"/>
    </row>
    <row r="1190" spans="5:11" ht="12.75" customHeight="1" x14ac:dyDescent="0.2">
      <c r="E1190" s="50"/>
      <c r="H1190" s="12"/>
      <c r="K1190"/>
    </row>
    <row r="1191" spans="5:11" ht="12.75" customHeight="1" x14ac:dyDescent="0.2">
      <c r="E1191" s="50"/>
      <c r="H1191" s="12"/>
      <c r="K1191"/>
    </row>
    <row r="1192" spans="5:11" ht="12.75" customHeight="1" x14ac:dyDescent="0.2">
      <c r="E1192" s="50"/>
      <c r="H1192" s="12"/>
      <c r="K1192"/>
    </row>
    <row r="1193" spans="5:11" ht="12.75" customHeight="1" x14ac:dyDescent="0.2">
      <c r="E1193" s="50"/>
      <c r="H1193" s="12"/>
      <c r="K1193"/>
    </row>
    <row r="1194" spans="5:11" ht="12.75" customHeight="1" x14ac:dyDescent="0.2">
      <c r="E1194" s="50"/>
      <c r="H1194" s="12"/>
      <c r="K1194"/>
    </row>
    <row r="1195" spans="5:11" ht="12.75" customHeight="1" x14ac:dyDescent="0.2">
      <c r="E1195" s="50"/>
      <c r="H1195" s="12"/>
      <c r="K1195"/>
    </row>
    <row r="1196" spans="5:11" ht="12.75" customHeight="1" x14ac:dyDescent="0.2">
      <c r="E1196" s="50"/>
      <c r="H1196" s="12"/>
      <c r="K1196"/>
    </row>
    <row r="1197" spans="5:11" ht="12.75" customHeight="1" x14ac:dyDescent="0.2">
      <c r="E1197" s="50"/>
      <c r="H1197" s="12"/>
      <c r="K1197"/>
    </row>
    <row r="1198" spans="5:11" ht="12.75" customHeight="1" x14ac:dyDescent="0.2">
      <c r="E1198" s="50"/>
      <c r="H1198" s="12"/>
      <c r="K1198"/>
    </row>
    <row r="1199" spans="5:11" ht="12.75" customHeight="1" x14ac:dyDescent="0.2">
      <c r="E1199" s="50"/>
      <c r="H1199" s="12"/>
      <c r="K1199"/>
    </row>
    <row r="1200" spans="5:11" ht="12.75" customHeight="1" x14ac:dyDescent="0.2">
      <c r="E1200" s="50"/>
      <c r="H1200" s="12"/>
      <c r="K1200"/>
    </row>
    <row r="1201" spans="5:11" ht="12.75" customHeight="1" x14ac:dyDescent="0.2">
      <c r="E1201" s="50"/>
      <c r="H1201" s="12"/>
      <c r="K1201"/>
    </row>
    <row r="1202" spans="5:11" ht="12.75" customHeight="1" x14ac:dyDescent="0.2">
      <c r="E1202" s="50"/>
      <c r="H1202" s="12"/>
      <c r="K1202"/>
    </row>
    <row r="1203" spans="5:11" ht="12.75" customHeight="1" x14ac:dyDescent="0.2">
      <c r="E1203" s="50"/>
      <c r="H1203" s="12"/>
      <c r="K1203"/>
    </row>
    <row r="1204" spans="5:11" ht="12.75" customHeight="1" x14ac:dyDescent="0.2">
      <c r="E1204" s="50"/>
      <c r="H1204" s="12"/>
      <c r="K1204"/>
    </row>
    <row r="1205" spans="5:11" ht="12.75" customHeight="1" x14ac:dyDescent="0.2">
      <c r="E1205" s="50"/>
      <c r="H1205" s="12"/>
      <c r="K1205"/>
    </row>
    <row r="1206" spans="5:11" ht="12.75" customHeight="1" x14ac:dyDescent="0.2">
      <c r="E1206" s="50"/>
      <c r="H1206" s="12"/>
      <c r="K1206"/>
    </row>
    <row r="1207" spans="5:11" ht="12.75" customHeight="1" x14ac:dyDescent="0.2">
      <c r="E1207" s="50"/>
      <c r="H1207" s="12"/>
      <c r="K1207"/>
    </row>
    <row r="1208" spans="5:11" ht="12.75" customHeight="1" x14ac:dyDescent="0.2">
      <c r="E1208" s="50"/>
      <c r="H1208" s="12"/>
      <c r="K1208"/>
    </row>
    <row r="1209" spans="5:11" ht="12.75" customHeight="1" x14ac:dyDescent="0.2">
      <c r="E1209" s="50"/>
      <c r="H1209" s="12"/>
      <c r="K1209"/>
    </row>
    <row r="1210" spans="5:11" ht="12.75" customHeight="1" x14ac:dyDescent="0.2">
      <c r="E1210" s="50"/>
      <c r="H1210" s="12"/>
      <c r="K1210"/>
    </row>
    <row r="1211" spans="5:11" ht="12.75" customHeight="1" x14ac:dyDescent="0.2">
      <c r="E1211" s="50"/>
      <c r="H1211" s="12"/>
      <c r="K1211"/>
    </row>
    <row r="1212" spans="5:11" ht="12.75" customHeight="1" x14ac:dyDescent="0.2">
      <c r="E1212" s="50"/>
      <c r="H1212" s="12"/>
      <c r="K1212"/>
    </row>
    <row r="1213" spans="5:11" ht="12.75" customHeight="1" x14ac:dyDescent="0.2">
      <c r="E1213" s="50"/>
      <c r="H1213" s="12"/>
      <c r="K1213"/>
    </row>
    <row r="1214" spans="5:11" ht="12.75" customHeight="1" x14ac:dyDescent="0.2">
      <c r="E1214" s="50"/>
      <c r="H1214" s="12"/>
      <c r="K1214"/>
    </row>
    <row r="1215" spans="5:11" ht="12.75" customHeight="1" x14ac:dyDescent="0.2">
      <c r="E1215" s="50"/>
      <c r="H1215" s="12"/>
      <c r="K1215"/>
    </row>
    <row r="1216" spans="5:11" ht="12.75" customHeight="1" x14ac:dyDescent="0.2">
      <c r="E1216" s="50"/>
      <c r="H1216" s="12"/>
      <c r="K1216"/>
    </row>
    <row r="1217" spans="5:11" ht="12.75" customHeight="1" x14ac:dyDescent="0.2">
      <c r="E1217" s="50"/>
      <c r="H1217" s="12"/>
      <c r="K1217"/>
    </row>
    <row r="1218" spans="5:11" ht="12.75" customHeight="1" x14ac:dyDescent="0.2">
      <c r="E1218" s="50"/>
      <c r="H1218" s="12"/>
      <c r="K1218"/>
    </row>
    <row r="1219" spans="5:11" ht="12.75" customHeight="1" x14ac:dyDescent="0.2">
      <c r="E1219" s="50"/>
      <c r="H1219" s="12"/>
      <c r="K1219"/>
    </row>
    <row r="1220" spans="5:11" ht="12.75" customHeight="1" x14ac:dyDescent="0.2">
      <c r="E1220" s="50"/>
      <c r="H1220" s="12"/>
      <c r="K1220"/>
    </row>
    <row r="1221" spans="5:11" ht="12.75" customHeight="1" x14ac:dyDescent="0.2">
      <c r="E1221" s="50"/>
      <c r="H1221" s="12"/>
      <c r="K1221"/>
    </row>
    <row r="1222" spans="5:11" ht="12.75" customHeight="1" x14ac:dyDescent="0.2">
      <c r="E1222" s="50"/>
      <c r="H1222" s="12"/>
      <c r="K1222"/>
    </row>
    <row r="1223" spans="5:11" ht="12.75" customHeight="1" x14ac:dyDescent="0.2">
      <c r="E1223" s="50"/>
      <c r="H1223" s="12"/>
      <c r="K1223"/>
    </row>
    <row r="1224" spans="5:11" ht="12.75" customHeight="1" x14ac:dyDescent="0.2">
      <c r="E1224" s="50"/>
      <c r="H1224" s="12"/>
      <c r="K1224"/>
    </row>
    <row r="1225" spans="5:11" ht="12.75" customHeight="1" x14ac:dyDescent="0.2">
      <c r="E1225" s="50"/>
      <c r="H1225" s="12"/>
      <c r="K1225"/>
    </row>
    <row r="1226" spans="5:11" ht="12.75" customHeight="1" x14ac:dyDescent="0.2">
      <c r="E1226" s="50"/>
      <c r="H1226" s="12"/>
      <c r="K1226"/>
    </row>
    <row r="1227" spans="5:11" ht="12.75" customHeight="1" x14ac:dyDescent="0.2">
      <c r="E1227" s="50"/>
      <c r="H1227" s="12"/>
      <c r="K1227"/>
    </row>
    <row r="1228" spans="5:11" ht="12.75" customHeight="1" x14ac:dyDescent="0.2">
      <c r="E1228" s="50"/>
      <c r="H1228" s="12"/>
      <c r="K1228"/>
    </row>
    <row r="1229" spans="5:11" ht="12.75" customHeight="1" x14ac:dyDescent="0.2">
      <c r="E1229" s="50"/>
      <c r="H1229" s="12"/>
      <c r="K1229"/>
    </row>
    <row r="1230" spans="5:11" ht="12.75" customHeight="1" x14ac:dyDescent="0.2">
      <c r="E1230" s="50"/>
      <c r="H1230" s="12"/>
      <c r="K1230"/>
    </row>
    <row r="1231" spans="5:11" ht="12.75" customHeight="1" x14ac:dyDescent="0.2">
      <c r="E1231" s="50"/>
      <c r="H1231" s="12"/>
      <c r="K1231"/>
    </row>
    <row r="1232" spans="5:11" ht="12.75" customHeight="1" x14ac:dyDescent="0.2">
      <c r="E1232" s="50"/>
      <c r="H1232" s="12"/>
      <c r="K1232"/>
    </row>
    <row r="1233" spans="5:11" ht="12.75" customHeight="1" x14ac:dyDescent="0.2">
      <c r="E1233" s="50"/>
      <c r="H1233" s="12"/>
      <c r="K1233"/>
    </row>
    <row r="1234" spans="5:11" ht="12.75" customHeight="1" x14ac:dyDescent="0.2">
      <c r="E1234" s="50"/>
      <c r="H1234" s="12"/>
      <c r="K1234"/>
    </row>
    <row r="1235" spans="5:11" ht="12.75" customHeight="1" x14ac:dyDescent="0.2">
      <c r="E1235" s="50"/>
      <c r="H1235" s="12"/>
      <c r="K1235"/>
    </row>
    <row r="1236" spans="5:11" ht="12.75" customHeight="1" x14ac:dyDescent="0.2">
      <c r="E1236" s="50"/>
      <c r="H1236" s="12"/>
      <c r="K1236"/>
    </row>
    <row r="1237" spans="5:11" ht="12.75" customHeight="1" x14ac:dyDescent="0.2">
      <c r="E1237" s="50"/>
      <c r="H1237" s="12"/>
      <c r="K1237"/>
    </row>
    <row r="1238" spans="5:11" ht="12.75" customHeight="1" x14ac:dyDescent="0.2">
      <c r="E1238" s="50"/>
      <c r="H1238" s="12"/>
      <c r="K1238"/>
    </row>
    <row r="1239" spans="5:11" ht="12.75" customHeight="1" x14ac:dyDescent="0.2">
      <c r="E1239" s="50"/>
      <c r="H1239" s="12"/>
      <c r="K1239"/>
    </row>
    <row r="1240" spans="5:11" ht="12.75" customHeight="1" x14ac:dyDescent="0.2">
      <c r="E1240" s="50"/>
      <c r="H1240" s="12"/>
      <c r="K1240"/>
    </row>
    <row r="1241" spans="5:11" ht="12.75" customHeight="1" x14ac:dyDescent="0.2">
      <c r="E1241" s="50"/>
      <c r="H1241" s="12"/>
      <c r="K1241"/>
    </row>
    <row r="1242" spans="5:11" ht="12.75" customHeight="1" x14ac:dyDescent="0.2">
      <c r="E1242" s="50"/>
      <c r="H1242" s="12"/>
      <c r="K1242"/>
    </row>
    <row r="1243" spans="5:11" ht="12.75" customHeight="1" x14ac:dyDescent="0.2">
      <c r="E1243" s="50"/>
      <c r="H1243" s="12"/>
      <c r="K1243"/>
    </row>
    <row r="1244" spans="5:11" ht="12.75" customHeight="1" x14ac:dyDescent="0.2">
      <c r="E1244" s="50"/>
      <c r="H1244" s="12"/>
      <c r="K1244"/>
    </row>
    <row r="1245" spans="5:11" ht="12.75" customHeight="1" x14ac:dyDescent="0.2">
      <c r="E1245" s="50"/>
      <c r="H1245" s="12"/>
      <c r="K1245"/>
    </row>
    <row r="1246" spans="5:11" ht="12.75" customHeight="1" x14ac:dyDescent="0.2">
      <c r="E1246" s="50"/>
      <c r="H1246" s="12"/>
      <c r="K1246"/>
    </row>
    <row r="1247" spans="5:11" ht="12.75" customHeight="1" x14ac:dyDescent="0.2">
      <c r="E1247" s="50"/>
      <c r="H1247" s="12"/>
      <c r="K1247"/>
    </row>
    <row r="1248" spans="5:11" ht="12.75" customHeight="1" x14ac:dyDescent="0.2">
      <c r="E1248" s="50"/>
      <c r="H1248" s="12"/>
      <c r="K1248"/>
    </row>
    <row r="1249" spans="5:11" ht="12.75" customHeight="1" x14ac:dyDescent="0.2">
      <c r="E1249" s="50"/>
      <c r="H1249" s="12"/>
      <c r="K1249"/>
    </row>
    <row r="1250" spans="5:11" ht="12.75" customHeight="1" x14ac:dyDescent="0.2">
      <c r="E1250" s="50"/>
      <c r="H1250" s="12"/>
      <c r="K1250"/>
    </row>
    <row r="1251" spans="5:11" ht="12.75" customHeight="1" x14ac:dyDescent="0.2">
      <c r="E1251" s="50"/>
      <c r="H1251" s="12"/>
      <c r="K1251"/>
    </row>
    <row r="1252" spans="5:11" ht="12.75" customHeight="1" x14ac:dyDescent="0.2">
      <c r="E1252" s="50"/>
      <c r="H1252" s="12"/>
      <c r="K1252"/>
    </row>
    <row r="1253" spans="5:11" ht="12.75" customHeight="1" x14ac:dyDescent="0.2">
      <c r="E1253" s="50"/>
      <c r="H1253" s="12"/>
      <c r="K1253"/>
    </row>
    <row r="1254" spans="5:11" ht="12.75" customHeight="1" x14ac:dyDescent="0.2">
      <c r="E1254" s="50"/>
      <c r="H1254" s="12"/>
      <c r="K1254"/>
    </row>
    <row r="1255" spans="5:11" ht="12.75" customHeight="1" x14ac:dyDescent="0.2">
      <c r="E1255" s="50"/>
      <c r="H1255" s="12"/>
      <c r="K1255"/>
    </row>
    <row r="1256" spans="5:11" ht="12.75" customHeight="1" x14ac:dyDescent="0.2">
      <c r="E1256" s="50"/>
      <c r="H1256" s="12"/>
      <c r="K1256"/>
    </row>
    <row r="1257" spans="5:11" ht="12.75" customHeight="1" x14ac:dyDescent="0.2">
      <c r="E1257" s="50"/>
      <c r="H1257" s="12"/>
      <c r="K1257"/>
    </row>
    <row r="1258" spans="5:11" ht="12.75" customHeight="1" x14ac:dyDescent="0.2">
      <c r="E1258" s="50"/>
      <c r="H1258" s="12"/>
      <c r="K1258"/>
    </row>
    <row r="1259" spans="5:11" ht="12.75" customHeight="1" x14ac:dyDescent="0.2">
      <c r="E1259" s="50"/>
      <c r="H1259" s="12"/>
      <c r="K1259"/>
    </row>
    <row r="1260" spans="5:11" ht="12.75" customHeight="1" x14ac:dyDescent="0.2">
      <c r="E1260" s="50"/>
      <c r="H1260" s="12"/>
      <c r="K1260"/>
    </row>
    <row r="1261" spans="5:11" ht="12.75" customHeight="1" x14ac:dyDescent="0.2">
      <c r="E1261" s="50"/>
      <c r="H1261" s="12"/>
      <c r="K1261"/>
    </row>
    <row r="1262" spans="5:11" ht="12.75" customHeight="1" x14ac:dyDescent="0.2">
      <c r="E1262" s="50"/>
      <c r="H1262" s="12"/>
      <c r="K1262"/>
    </row>
    <row r="1263" spans="5:11" ht="12.75" customHeight="1" x14ac:dyDescent="0.2">
      <c r="E1263" s="50"/>
      <c r="H1263" s="12"/>
      <c r="K1263"/>
    </row>
    <row r="1264" spans="5:11" ht="12.75" customHeight="1" x14ac:dyDescent="0.2">
      <c r="E1264" s="50"/>
      <c r="H1264" s="12"/>
      <c r="K1264"/>
    </row>
    <row r="1265" spans="5:11" ht="12.75" customHeight="1" x14ac:dyDescent="0.2">
      <c r="E1265" s="50"/>
      <c r="H1265" s="12"/>
      <c r="K1265"/>
    </row>
    <row r="1266" spans="5:11" ht="12.75" customHeight="1" x14ac:dyDescent="0.2">
      <c r="E1266" s="50"/>
      <c r="H1266" s="12"/>
      <c r="K1266"/>
    </row>
    <row r="1267" spans="5:11" ht="12.75" customHeight="1" x14ac:dyDescent="0.2">
      <c r="E1267" s="50"/>
      <c r="H1267" s="12"/>
      <c r="K1267"/>
    </row>
    <row r="1268" spans="5:11" ht="12.75" customHeight="1" x14ac:dyDescent="0.2">
      <c r="E1268" s="50"/>
      <c r="H1268" s="12"/>
      <c r="K1268"/>
    </row>
    <row r="1269" spans="5:11" ht="12.75" customHeight="1" x14ac:dyDescent="0.2">
      <c r="E1269" s="50"/>
      <c r="H1269" s="12"/>
      <c r="K1269"/>
    </row>
    <row r="1270" spans="5:11" ht="12.75" customHeight="1" x14ac:dyDescent="0.2">
      <c r="E1270" s="50"/>
      <c r="H1270" s="12"/>
      <c r="K1270"/>
    </row>
    <row r="1271" spans="5:11" ht="12.75" customHeight="1" x14ac:dyDescent="0.2">
      <c r="E1271" s="50"/>
      <c r="H1271" s="12"/>
      <c r="K1271"/>
    </row>
    <row r="1272" spans="5:11" ht="12.75" customHeight="1" x14ac:dyDescent="0.2">
      <c r="E1272" s="50"/>
      <c r="H1272" s="12"/>
      <c r="K1272"/>
    </row>
    <row r="1273" spans="5:11" ht="12.75" customHeight="1" x14ac:dyDescent="0.2">
      <c r="E1273" s="50"/>
      <c r="H1273" s="12"/>
      <c r="K1273"/>
    </row>
    <row r="1274" spans="5:11" ht="12.75" customHeight="1" x14ac:dyDescent="0.2">
      <c r="E1274" s="50"/>
      <c r="H1274" s="12"/>
      <c r="K1274"/>
    </row>
    <row r="1275" spans="5:11" ht="12.75" customHeight="1" x14ac:dyDescent="0.2">
      <c r="E1275" s="50"/>
      <c r="H1275" s="12"/>
      <c r="K1275"/>
    </row>
    <row r="1276" spans="5:11" ht="12.75" customHeight="1" x14ac:dyDescent="0.2">
      <c r="E1276" s="50"/>
      <c r="H1276" s="12"/>
      <c r="K1276"/>
    </row>
    <row r="1277" spans="5:11" ht="12.75" customHeight="1" x14ac:dyDescent="0.2">
      <c r="E1277" s="50"/>
      <c r="H1277" s="12"/>
      <c r="K1277"/>
    </row>
    <row r="1278" spans="5:11" ht="12.75" customHeight="1" x14ac:dyDescent="0.2">
      <c r="E1278" s="50"/>
      <c r="H1278" s="12"/>
      <c r="K1278"/>
    </row>
    <row r="1279" spans="5:11" ht="12.75" customHeight="1" x14ac:dyDescent="0.2">
      <c r="E1279" s="50"/>
      <c r="H1279" s="12"/>
      <c r="K1279"/>
    </row>
    <row r="1280" spans="5:11" ht="12.75" customHeight="1" x14ac:dyDescent="0.2">
      <c r="E1280" s="50"/>
      <c r="H1280" s="12"/>
      <c r="K1280"/>
    </row>
    <row r="1281" spans="5:11" ht="12.75" customHeight="1" x14ac:dyDescent="0.2">
      <c r="E1281" s="50"/>
      <c r="H1281" s="12"/>
      <c r="K1281"/>
    </row>
    <row r="1282" spans="5:11" ht="12.75" customHeight="1" x14ac:dyDescent="0.2">
      <c r="E1282" s="50"/>
      <c r="H1282" s="12"/>
      <c r="K1282"/>
    </row>
    <row r="1283" spans="5:11" ht="12.75" customHeight="1" x14ac:dyDescent="0.2">
      <c r="E1283" s="50"/>
      <c r="H1283" s="12"/>
      <c r="K1283"/>
    </row>
    <row r="1284" spans="5:11" ht="12.75" customHeight="1" x14ac:dyDescent="0.2">
      <c r="E1284" s="50"/>
      <c r="H1284" s="12"/>
      <c r="K1284"/>
    </row>
    <row r="1285" spans="5:11" ht="12.75" customHeight="1" x14ac:dyDescent="0.2">
      <c r="E1285" s="50"/>
      <c r="H1285" s="12"/>
      <c r="K1285"/>
    </row>
    <row r="1286" spans="5:11" ht="12.75" customHeight="1" x14ac:dyDescent="0.2">
      <c r="E1286" s="50"/>
      <c r="H1286" s="12"/>
      <c r="K1286"/>
    </row>
    <row r="1287" spans="5:11" ht="12.75" customHeight="1" x14ac:dyDescent="0.2">
      <c r="E1287" s="50"/>
      <c r="H1287" s="12"/>
      <c r="K1287"/>
    </row>
    <row r="1288" spans="5:11" ht="12.75" customHeight="1" x14ac:dyDescent="0.2">
      <c r="E1288" s="50"/>
      <c r="H1288" s="12"/>
      <c r="K1288"/>
    </row>
    <row r="1289" spans="5:11" ht="12.75" customHeight="1" x14ac:dyDescent="0.2">
      <c r="E1289" s="50"/>
      <c r="H1289" s="12"/>
      <c r="K1289"/>
    </row>
    <row r="1290" spans="5:11" ht="12.75" customHeight="1" x14ac:dyDescent="0.2">
      <c r="E1290" s="50"/>
      <c r="H1290" s="12"/>
      <c r="K1290"/>
    </row>
    <row r="1291" spans="5:11" ht="12.75" customHeight="1" x14ac:dyDescent="0.2">
      <c r="E1291" s="50"/>
      <c r="H1291" s="12"/>
      <c r="K1291"/>
    </row>
    <row r="1292" spans="5:11" ht="12.75" customHeight="1" x14ac:dyDescent="0.2">
      <c r="E1292" s="50"/>
      <c r="H1292" s="12"/>
      <c r="K1292"/>
    </row>
    <row r="1293" spans="5:11" ht="12.75" customHeight="1" x14ac:dyDescent="0.2">
      <c r="E1293" s="50"/>
      <c r="H1293" s="12"/>
      <c r="K1293"/>
    </row>
    <row r="1294" spans="5:11" ht="12.75" customHeight="1" x14ac:dyDescent="0.2">
      <c r="E1294" s="50"/>
      <c r="H1294" s="12"/>
      <c r="K1294"/>
    </row>
    <row r="1295" spans="5:11" ht="12.75" customHeight="1" x14ac:dyDescent="0.2">
      <c r="E1295" s="50"/>
      <c r="H1295" s="12"/>
      <c r="K1295"/>
    </row>
    <row r="1296" spans="5:11" ht="12.75" customHeight="1" x14ac:dyDescent="0.2">
      <c r="E1296" s="50"/>
      <c r="H1296" s="12"/>
      <c r="K1296"/>
    </row>
    <row r="1297" spans="5:11" ht="12.75" customHeight="1" x14ac:dyDescent="0.2">
      <c r="E1297" s="50"/>
      <c r="H1297" s="12"/>
      <c r="K1297"/>
    </row>
    <row r="1298" spans="5:11" ht="12.75" customHeight="1" x14ac:dyDescent="0.2">
      <c r="E1298" s="50"/>
      <c r="H1298" s="12"/>
      <c r="K1298"/>
    </row>
    <row r="1299" spans="5:11" ht="12.75" customHeight="1" x14ac:dyDescent="0.2">
      <c r="E1299" s="50"/>
      <c r="H1299" s="12"/>
      <c r="K1299"/>
    </row>
    <row r="1300" spans="5:11" ht="12.75" customHeight="1" x14ac:dyDescent="0.2">
      <c r="E1300" s="50"/>
      <c r="H1300" s="12"/>
      <c r="K1300"/>
    </row>
    <row r="1301" spans="5:11" ht="12.75" customHeight="1" x14ac:dyDescent="0.2">
      <c r="E1301" s="50"/>
      <c r="H1301" s="12"/>
      <c r="K1301"/>
    </row>
    <row r="1302" spans="5:11" ht="12.75" customHeight="1" x14ac:dyDescent="0.2">
      <c r="E1302" s="50"/>
      <c r="H1302" s="12"/>
      <c r="K1302"/>
    </row>
    <row r="1303" spans="5:11" ht="12.75" customHeight="1" x14ac:dyDescent="0.2">
      <c r="E1303" s="50"/>
      <c r="H1303" s="12"/>
      <c r="K1303"/>
    </row>
    <row r="1304" spans="5:11" ht="12.75" customHeight="1" x14ac:dyDescent="0.2">
      <c r="E1304" s="50"/>
      <c r="H1304" s="12"/>
      <c r="K1304"/>
    </row>
    <row r="1305" spans="5:11" ht="12.75" customHeight="1" x14ac:dyDescent="0.2">
      <c r="E1305" s="50"/>
      <c r="H1305" s="12"/>
      <c r="K1305"/>
    </row>
    <row r="1306" spans="5:11" ht="12.75" customHeight="1" x14ac:dyDescent="0.2">
      <c r="E1306" s="50"/>
      <c r="H1306" s="12"/>
      <c r="K1306"/>
    </row>
    <row r="1307" spans="5:11" ht="12.75" customHeight="1" x14ac:dyDescent="0.2">
      <c r="E1307" s="50"/>
      <c r="H1307" s="12"/>
      <c r="K1307"/>
    </row>
    <row r="1308" spans="5:11" ht="12.75" customHeight="1" x14ac:dyDescent="0.2">
      <c r="E1308" s="50"/>
      <c r="H1308" s="12"/>
      <c r="K1308"/>
    </row>
    <row r="1309" spans="5:11" ht="12.75" customHeight="1" x14ac:dyDescent="0.2">
      <c r="E1309" s="50"/>
      <c r="H1309" s="12"/>
      <c r="K1309"/>
    </row>
    <row r="1310" spans="5:11" ht="12.75" customHeight="1" x14ac:dyDescent="0.2">
      <c r="E1310" s="50"/>
      <c r="H1310" s="12"/>
      <c r="K1310"/>
    </row>
    <row r="1311" spans="5:11" ht="12.75" customHeight="1" x14ac:dyDescent="0.2">
      <c r="E1311" s="50"/>
      <c r="H1311" s="12"/>
      <c r="K1311"/>
    </row>
    <row r="1312" spans="5:11" ht="12.75" customHeight="1" x14ac:dyDescent="0.2">
      <c r="E1312" s="50"/>
      <c r="H1312" s="12"/>
      <c r="K1312"/>
    </row>
    <row r="1313" spans="5:11" ht="12.75" customHeight="1" x14ac:dyDescent="0.2">
      <c r="E1313" s="50"/>
      <c r="H1313" s="12"/>
      <c r="K1313"/>
    </row>
    <row r="1314" spans="5:11" ht="12.75" customHeight="1" x14ac:dyDescent="0.2">
      <c r="E1314" s="50"/>
      <c r="H1314" s="12"/>
      <c r="K1314"/>
    </row>
    <row r="1315" spans="5:11" ht="12.75" customHeight="1" x14ac:dyDescent="0.2">
      <c r="E1315" s="50"/>
      <c r="H1315" s="12"/>
      <c r="K1315"/>
    </row>
    <row r="1316" spans="5:11" ht="12.75" customHeight="1" x14ac:dyDescent="0.2">
      <c r="E1316" s="50"/>
      <c r="H1316" s="12"/>
      <c r="K1316"/>
    </row>
    <row r="1317" spans="5:11" ht="12.75" customHeight="1" x14ac:dyDescent="0.2">
      <c r="E1317" s="50"/>
      <c r="H1317" s="12"/>
      <c r="K1317"/>
    </row>
    <row r="1318" spans="5:11" ht="12.75" customHeight="1" x14ac:dyDescent="0.2">
      <c r="E1318" s="50"/>
      <c r="H1318" s="12"/>
      <c r="K1318"/>
    </row>
    <row r="1319" spans="5:11" ht="12.75" customHeight="1" x14ac:dyDescent="0.2">
      <c r="E1319" s="50"/>
      <c r="H1319" s="12"/>
      <c r="K1319"/>
    </row>
    <row r="1320" spans="5:11" ht="12.75" customHeight="1" x14ac:dyDescent="0.2">
      <c r="E1320" s="50"/>
      <c r="H1320" s="12"/>
      <c r="K1320"/>
    </row>
    <row r="1321" spans="5:11" ht="12.75" customHeight="1" x14ac:dyDescent="0.2">
      <c r="E1321" s="50"/>
      <c r="H1321" s="12"/>
      <c r="K1321"/>
    </row>
    <row r="1322" spans="5:11" ht="12.75" customHeight="1" x14ac:dyDescent="0.2">
      <c r="E1322" s="50"/>
      <c r="H1322" s="12"/>
      <c r="K1322"/>
    </row>
    <row r="1323" spans="5:11" ht="12.75" customHeight="1" x14ac:dyDescent="0.2">
      <c r="E1323" s="50"/>
      <c r="H1323" s="12"/>
      <c r="K1323"/>
    </row>
    <row r="1324" spans="5:11" ht="12.75" customHeight="1" x14ac:dyDescent="0.2">
      <c r="E1324" s="50"/>
      <c r="H1324" s="12"/>
      <c r="K1324"/>
    </row>
    <row r="1325" spans="5:11" ht="12.75" customHeight="1" x14ac:dyDescent="0.2">
      <c r="E1325" s="50"/>
      <c r="H1325" s="12"/>
      <c r="K1325"/>
    </row>
    <row r="1326" spans="5:11" ht="12.75" customHeight="1" x14ac:dyDescent="0.2">
      <c r="E1326" s="50"/>
      <c r="H1326" s="12"/>
      <c r="K1326"/>
    </row>
    <row r="1327" spans="5:11" ht="12.75" customHeight="1" x14ac:dyDescent="0.2">
      <c r="E1327" s="50"/>
      <c r="H1327" s="12"/>
      <c r="K1327"/>
    </row>
    <row r="1328" spans="5:11" ht="12.75" customHeight="1" x14ac:dyDescent="0.2">
      <c r="E1328" s="50"/>
      <c r="H1328" s="12"/>
      <c r="K1328"/>
    </row>
    <row r="1329" spans="5:11" ht="12.75" customHeight="1" x14ac:dyDescent="0.2">
      <c r="E1329" s="50"/>
      <c r="H1329" s="12"/>
      <c r="K1329"/>
    </row>
    <row r="1330" spans="5:11" ht="12.75" customHeight="1" x14ac:dyDescent="0.2">
      <c r="E1330" s="50"/>
      <c r="H1330" s="12"/>
      <c r="K1330"/>
    </row>
    <row r="1331" spans="5:11" ht="12.75" customHeight="1" x14ac:dyDescent="0.2">
      <c r="E1331" s="50"/>
      <c r="H1331" s="12"/>
      <c r="K1331"/>
    </row>
    <row r="1332" spans="5:11" ht="12.75" customHeight="1" x14ac:dyDescent="0.2">
      <c r="E1332" s="50"/>
      <c r="H1332" s="12"/>
      <c r="K1332"/>
    </row>
    <row r="1333" spans="5:11" ht="12.75" customHeight="1" x14ac:dyDescent="0.2">
      <c r="E1333" s="50"/>
      <c r="H1333" s="12"/>
      <c r="K1333"/>
    </row>
    <row r="1334" spans="5:11" ht="12.75" customHeight="1" x14ac:dyDescent="0.2">
      <c r="E1334" s="50"/>
      <c r="H1334" s="12"/>
      <c r="K1334"/>
    </row>
    <row r="1335" spans="5:11" ht="12.75" customHeight="1" x14ac:dyDescent="0.2">
      <c r="E1335" s="50"/>
      <c r="H1335" s="12"/>
      <c r="K1335"/>
    </row>
    <row r="1336" spans="5:11" ht="12.75" customHeight="1" x14ac:dyDescent="0.2">
      <c r="E1336" s="50"/>
      <c r="H1336" s="12"/>
      <c r="K1336"/>
    </row>
    <row r="1337" spans="5:11" ht="12.75" customHeight="1" x14ac:dyDescent="0.2">
      <c r="E1337" s="50"/>
      <c r="H1337" s="12"/>
      <c r="K1337"/>
    </row>
    <row r="1338" spans="5:11" ht="12.75" customHeight="1" x14ac:dyDescent="0.2">
      <c r="E1338" s="50"/>
      <c r="H1338" s="12"/>
      <c r="K1338"/>
    </row>
    <row r="1339" spans="5:11" ht="12.75" customHeight="1" x14ac:dyDescent="0.2">
      <c r="E1339" s="50"/>
      <c r="H1339" s="12"/>
      <c r="K1339"/>
    </row>
    <row r="1340" spans="5:11" ht="12.75" customHeight="1" x14ac:dyDescent="0.2">
      <c r="E1340" s="50"/>
      <c r="H1340" s="12"/>
      <c r="K1340"/>
    </row>
    <row r="1341" spans="5:11" ht="12.75" customHeight="1" x14ac:dyDescent="0.2">
      <c r="E1341" s="50"/>
      <c r="H1341" s="12"/>
      <c r="K1341"/>
    </row>
    <row r="1342" spans="5:11" ht="12.75" customHeight="1" x14ac:dyDescent="0.2">
      <c r="E1342" s="50"/>
      <c r="H1342" s="12"/>
      <c r="K1342"/>
    </row>
    <row r="1343" spans="5:11" ht="12.75" customHeight="1" x14ac:dyDescent="0.2">
      <c r="E1343" s="50"/>
      <c r="H1343" s="12"/>
      <c r="K1343"/>
    </row>
    <row r="1344" spans="5:11" ht="12.75" customHeight="1" x14ac:dyDescent="0.2">
      <c r="E1344" s="50"/>
      <c r="H1344" s="12"/>
      <c r="K1344"/>
    </row>
    <row r="1345" spans="5:11" ht="12.75" customHeight="1" x14ac:dyDescent="0.2">
      <c r="E1345" s="50"/>
      <c r="H1345" s="12"/>
      <c r="K1345"/>
    </row>
    <row r="1346" spans="5:11" ht="12.75" customHeight="1" x14ac:dyDescent="0.2">
      <c r="E1346" s="50"/>
      <c r="H1346" s="12"/>
      <c r="K1346"/>
    </row>
    <row r="1347" spans="5:11" ht="12.75" customHeight="1" x14ac:dyDescent="0.2">
      <c r="E1347" s="50"/>
      <c r="H1347" s="12"/>
      <c r="K1347"/>
    </row>
    <row r="1348" spans="5:11" ht="12.75" customHeight="1" x14ac:dyDescent="0.2">
      <c r="E1348" s="50"/>
      <c r="H1348" s="12"/>
      <c r="K1348"/>
    </row>
    <row r="1349" spans="5:11" ht="12.75" customHeight="1" x14ac:dyDescent="0.2">
      <c r="E1349" s="50"/>
      <c r="H1349" s="12"/>
      <c r="K1349"/>
    </row>
    <row r="1350" spans="5:11" ht="12.75" customHeight="1" x14ac:dyDescent="0.2">
      <c r="E1350" s="50"/>
      <c r="H1350" s="12"/>
      <c r="K1350"/>
    </row>
    <row r="1351" spans="5:11" ht="12.75" customHeight="1" x14ac:dyDescent="0.2">
      <c r="E1351" s="50"/>
      <c r="H1351" s="12"/>
      <c r="K1351"/>
    </row>
    <row r="1352" spans="5:11" ht="12.75" customHeight="1" x14ac:dyDescent="0.2">
      <c r="E1352" s="50"/>
      <c r="H1352" s="12"/>
      <c r="K1352"/>
    </row>
    <row r="1353" spans="5:11" ht="12.75" customHeight="1" x14ac:dyDescent="0.2">
      <c r="E1353" s="50"/>
      <c r="H1353" s="12"/>
      <c r="K1353"/>
    </row>
    <row r="1354" spans="5:11" ht="12.75" customHeight="1" x14ac:dyDescent="0.2">
      <c r="E1354" s="50"/>
      <c r="H1354" s="12"/>
      <c r="K1354"/>
    </row>
    <row r="1355" spans="5:11" ht="12.75" customHeight="1" x14ac:dyDescent="0.2">
      <c r="E1355" s="50"/>
      <c r="H1355" s="12"/>
      <c r="K1355"/>
    </row>
    <row r="1356" spans="5:11" ht="12.75" customHeight="1" x14ac:dyDescent="0.2">
      <c r="E1356" s="50"/>
      <c r="H1356" s="12"/>
      <c r="K1356"/>
    </row>
    <row r="1357" spans="5:11" ht="12.75" customHeight="1" x14ac:dyDescent="0.2">
      <c r="E1357" s="50"/>
      <c r="H1357" s="12"/>
      <c r="K1357"/>
    </row>
    <row r="1358" spans="5:11" ht="12.75" customHeight="1" x14ac:dyDescent="0.2">
      <c r="E1358" s="50"/>
      <c r="H1358" s="12"/>
      <c r="K1358"/>
    </row>
    <row r="1359" spans="5:11" ht="12.75" customHeight="1" x14ac:dyDescent="0.2">
      <c r="E1359" s="50"/>
      <c r="H1359" s="12"/>
      <c r="K1359"/>
    </row>
    <row r="1360" spans="5:11" ht="12.75" customHeight="1" x14ac:dyDescent="0.2">
      <c r="E1360" s="50"/>
      <c r="H1360" s="12"/>
      <c r="K1360"/>
    </row>
    <row r="1361" spans="5:11" ht="12.75" customHeight="1" x14ac:dyDescent="0.2">
      <c r="E1361" s="50"/>
      <c r="H1361" s="12"/>
      <c r="K1361"/>
    </row>
    <row r="1362" spans="5:11" ht="12.75" customHeight="1" x14ac:dyDescent="0.2">
      <c r="E1362" s="50"/>
      <c r="H1362" s="12"/>
      <c r="K1362"/>
    </row>
    <row r="1363" spans="5:11" ht="12.75" customHeight="1" x14ac:dyDescent="0.2">
      <c r="E1363" s="50"/>
      <c r="H1363" s="12"/>
      <c r="K1363"/>
    </row>
    <row r="1364" spans="5:11" ht="12.75" customHeight="1" x14ac:dyDescent="0.2">
      <c r="E1364" s="50"/>
      <c r="H1364" s="12"/>
      <c r="K1364"/>
    </row>
    <row r="1365" spans="5:11" ht="12.75" customHeight="1" x14ac:dyDescent="0.2">
      <c r="E1365" s="50"/>
      <c r="H1365" s="12"/>
      <c r="K1365"/>
    </row>
    <row r="1366" spans="5:11" ht="12.75" customHeight="1" x14ac:dyDescent="0.2">
      <c r="E1366" s="50"/>
      <c r="H1366" s="12"/>
      <c r="K1366"/>
    </row>
    <row r="1367" spans="5:11" ht="12.75" customHeight="1" x14ac:dyDescent="0.2">
      <c r="E1367" s="50"/>
      <c r="H1367" s="12"/>
      <c r="K1367"/>
    </row>
    <row r="1368" spans="5:11" ht="12.75" customHeight="1" x14ac:dyDescent="0.2">
      <c r="E1368" s="50"/>
      <c r="H1368" s="12"/>
      <c r="K1368"/>
    </row>
    <row r="1369" spans="5:11" ht="12.75" customHeight="1" x14ac:dyDescent="0.2">
      <c r="E1369" s="50"/>
      <c r="H1369" s="12"/>
      <c r="K1369"/>
    </row>
    <row r="1370" spans="5:11" ht="12.75" customHeight="1" x14ac:dyDescent="0.2">
      <c r="E1370" s="50"/>
      <c r="H1370" s="12"/>
      <c r="K1370"/>
    </row>
    <row r="1371" spans="5:11" ht="12.75" customHeight="1" x14ac:dyDescent="0.2">
      <c r="E1371" s="50"/>
      <c r="H1371" s="12"/>
      <c r="K1371"/>
    </row>
    <row r="1372" spans="5:11" ht="12.75" customHeight="1" x14ac:dyDescent="0.2">
      <c r="E1372" s="50"/>
      <c r="H1372" s="12"/>
      <c r="K1372"/>
    </row>
    <row r="1373" spans="5:11" ht="12.75" customHeight="1" x14ac:dyDescent="0.2">
      <c r="E1373" s="50"/>
      <c r="H1373" s="12"/>
      <c r="K1373"/>
    </row>
    <row r="1374" spans="5:11" ht="12.75" customHeight="1" x14ac:dyDescent="0.2">
      <c r="E1374" s="50"/>
      <c r="H1374" s="12"/>
      <c r="K1374"/>
    </row>
    <row r="1375" spans="5:11" ht="12.75" customHeight="1" x14ac:dyDescent="0.2">
      <c r="E1375" s="50"/>
      <c r="H1375" s="12"/>
      <c r="K1375"/>
    </row>
    <row r="1376" spans="5:11" ht="12.75" customHeight="1" x14ac:dyDescent="0.2">
      <c r="E1376" s="50"/>
      <c r="H1376" s="12"/>
      <c r="K1376"/>
    </row>
    <row r="1377" spans="5:11" ht="12.75" customHeight="1" x14ac:dyDescent="0.2">
      <c r="E1377" s="50"/>
      <c r="H1377" s="12"/>
      <c r="K1377"/>
    </row>
    <row r="1378" spans="5:11" ht="12.75" customHeight="1" x14ac:dyDescent="0.2">
      <c r="E1378" s="50"/>
      <c r="H1378" s="12"/>
      <c r="K1378"/>
    </row>
    <row r="1379" spans="5:11" ht="12.75" customHeight="1" x14ac:dyDescent="0.2">
      <c r="E1379" s="50"/>
      <c r="H1379" s="12"/>
      <c r="K1379"/>
    </row>
    <row r="1380" spans="5:11" ht="12.75" customHeight="1" x14ac:dyDescent="0.2">
      <c r="E1380" s="50"/>
      <c r="H1380" s="12"/>
      <c r="K1380"/>
    </row>
    <row r="1381" spans="5:11" ht="12.75" customHeight="1" x14ac:dyDescent="0.2">
      <c r="E1381" s="50"/>
      <c r="H1381" s="12"/>
      <c r="K1381"/>
    </row>
    <row r="1382" spans="5:11" ht="12.75" customHeight="1" x14ac:dyDescent="0.2">
      <c r="E1382" s="50"/>
      <c r="H1382" s="12"/>
      <c r="K1382"/>
    </row>
    <row r="1383" spans="5:11" ht="12.75" customHeight="1" x14ac:dyDescent="0.2">
      <c r="E1383" s="50"/>
      <c r="H1383" s="12"/>
      <c r="K1383"/>
    </row>
    <row r="1384" spans="5:11" ht="12.75" customHeight="1" x14ac:dyDescent="0.2">
      <c r="E1384" s="50"/>
      <c r="H1384" s="12"/>
      <c r="K1384"/>
    </row>
    <row r="1385" spans="5:11" ht="12.75" customHeight="1" x14ac:dyDescent="0.2">
      <c r="E1385" s="50"/>
      <c r="H1385" s="12"/>
      <c r="K1385"/>
    </row>
    <row r="1386" spans="5:11" ht="12.75" customHeight="1" x14ac:dyDescent="0.2">
      <c r="E1386" s="50"/>
      <c r="H1386" s="12"/>
      <c r="K1386"/>
    </row>
    <row r="1387" spans="5:11" ht="12.75" customHeight="1" x14ac:dyDescent="0.2">
      <c r="E1387" s="50"/>
      <c r="H1387" s="12"/>
      <c r="K1387"/>
    </row>
    <row r="1388" spans="5:11" ht="12.75" customHeight="1" x14ac:dyDescent="0.2">
      <c r="E1388" s="50"/>
      <c r="H1388" s="12"/>
      <c r="K1388"/>
    </row>
    <row r="1389" spans="5:11" ht="12.75" customHeight="1" x14ac:dyDescent="0.2">
      <c r="E1389" s="50"/>
      <c r="H1389" s="12"/>
      <c r="K1389"/>
    </row>
    <row r="1390" spans="5:11" ht="12.75" customHeight="1" x14ac:dyDescent="0.2">
      <c r="E1390" s="50"/>
      <c r="H1390" s="12"/>
      <c r="K1390"/>
    </row>
    <row r="1391" spans="5:11" ht="12.75" customHeight="1" x14ac:dyDescent="0.2">
      <c r="E1391" s="50"/>
      <c r="H1391" s="12"/>
      <c r="K1391"/>
    </row>
    <row r="1392" spans="5:11" ht="12.75" customHeight="1" x14ac:dyDescent="0.2">
      <c r="E1392" s="50"/>
      <c r="H1392" s="12"/>
      <c r="K1392"/>
    </row>
    <row r="1393" spans="5:11" ht="12.75" customHeight="1" x14ac:dyDescent="0.2">
      <c r="E1393" s="50"/>
      <c r="H1393" s="12"/>
      <c r="K1393"/>
    </row>
    <row r="1394" spans="5:11" ht="12.75" customHeight="1" x14ac:dyDescent="0.2">
      <c r="E1394" s="50"/>
      <c r="H1394" s="12"/>
      <c r="K1394"/>
    </row>
    <row r="1395" spans="5:11" ht="12.75" customHeight="1" x14ac:dyDescent="0.2">
      <c r="E1395" s="50"/>
      <c r="H1395" s="12"/>
      <c r="K1395"/>
    </row>
    <row r="1396" spans="5:11" ht="12.75" customHeight="1" x14ac:dyDescent="0.2">
      <c r="E1396" s="50"/>
      <c r="H1396" s="12"/>
      <c r="K1396"/>
    </row>
    <row r="1397" spans="5:11" ht="12.75" customHeight="1" x14ac:dyDescent="0.2">
      <c r="E1397" s="50"/>
      <c r="H1397" s="12"/>
      <c r="K1397"/>
    </row>
    <row r="1398" spans="5:11" ht="12.75" customHeight="1" x14ac:dyDescent="0.2">
      <c r="E1398" s="50"/>
      <c r="H1398" s="12"/>
      <c r="K1398"/>
    </row>
    <row r="1399" spans="5:11" ht="12.75" customHeight="1" x14ac:dyDescent="0.2">
      <c r="E1399" s="50"/>
      <c r="H1399" s="12"/>
      <c r="K1399"/>
    </row>
    <row r="1400" spans="5:11" ht="12.75" customHeight="1" x14ac:dyDescent="0.2">
      <c r="E1400" s="50"/>
      <c r="H1400" s="12"/>
      <c r="K1400"/>
    </row>
    <row r="1401" spans="5:11" ht="12.75" customHeight="1" x14ac:dyDescent="0.2">
      <c r="E1401" s="50"/>
      <c r="H1401" s="12"/>
      <c r="K1401"/>
    </row>
    <row r="1402" spans="5:11" ht="12.75" customHeight="1" x14ac:dyDescent="0.2">
      <c r="E1402" s="50"/>
      <c r="H1402" s="12"/>
      <c r="K1402"/>
    </row>
    <row r="1403" spans="5:11" ht="12.75" customHeight="1" x14ac:dyDescent="0.2">
      <c r="E1403" s="50"/>
      <c r="H1403" s="12"/>
      <c r="K1403"/>
    </row>
    <row r="1404" spans="5:11" ht="12.75" customHeight="1" x14ac:dyDescent="0.2">
      <c r="E1404" s="50"/>
      <c r="H1404" s="12"/>
      <c r="K1404"/>
    </row>
    <row r="1405" spans="5:11" ht="12.75" customHeight="1" x14ac:dyDescent="0.2">
      <c r="E1405" s="50"/>
      <c r="H1405" s="12"/>
      <c r="K1405"/>
    </row>
    <row r="1406" spans="5:11" ht="12.75" customHeight="1" x14ac:dyDescent="0.2">
      <c r="E1406" s="50"/>
      <c r="H1406" s="12"/>
      <c r="K1406"/>
    </row>
    <row r="1407" spans="5:11" ht="12.75" customHeight="1" x14ac:dyDescent="0.2">
      <c r="E1407" s="50"/>
      <c r="H1407" s="12"/>
      <c r="K1407"/>
    </row>
    <row r="1408" spans="5:11" ht="12.75" customHeight="1" x14ac:dyDescent="0.2">
      <c r="E1408" s="50"/>
      <c r="H1408" s="12"/>
      <c r="K1408"/>
    </row>
    <row r="1409" spans="5:11" ht="12.75" customHeight="1" x14ac:dyDescent="0.2">
      <c r="E1409" s="50"/>
      <c r="H1409" s="12"/>
      <c r="K1409"/>
    </row>
    <row r="1410" spans="5:11" ht="12.75" customHeight="1" x14ac:dyDescent="0.2">
      <c r="E1410" s="50"/>
      <c r="H1410" s="12"/>
      <c r="K1410"/>
    </row>
    <row r="1411" spans="5:11" ht="12.75" customHeight="1" x14ac:dyDescent="0.2">
      <c r="E1411" s="50"/>
      <c r="H1411" s="12"/>
      <c r="K1411"/>
    </row>
    <row r="1412" spans="5:11" ht="12.75" customHeight="1" x14ac:dyDescent="0.2">
      <c r="E1412" s="50"/>
      <c r="H1412" s="12"/>
      <c r="K1412"/>
    </row>
    <row r="1413" spans="5:11" ht="12.75" customHeight="1" x14ac:dyDescent="0.2">
      <c r="E1413" s="50"/>
      <c r="H1413" s="12"/>
      <c r="K1413"/>
    </row>
    <row r="1414" spans="5:11" ht="12.75" customHeight="1" x14ac:dyDescent="0.2">
      <c r="E1414" s="50"/>
      <c r="H1414" s="12"/>
      <c r="K1414"/>
    </row>
    <row r="1415" spans="5:11" ht="12.75" customHeight="1" x14ac:dyDescent="0.2">
      <c r="E1415" s="50"/>
      <c r="H1415" s="12"/>
      <c r="K1415"/>
    </row>
    <row r="1416" spans="5:11" ht="12.75" customHeight="1" x14ac:dyDescent="0.2">
      <c r="E1416" s="50"/>
      <c r="H1416" s="12"/>
      <c r="K1416"/>
    </row>
    <row r="1417" spans="5:11" ht="12.75" customHeight="1" x14ac:dyDescent="0.2">
      <c r="E1417" s="50"/>
      <c r="H1417" s="12"/>
      <c r="K1417"/>
    </row>
    <row r="1418" spans="5:11" ht="12.75" customHeight="1" x14ac:dyDescent="0.2">
      <c r="E1418" s="50"/>
      <c r="H1418" s="12"/>
      <c r="K1418"/>
    </row>
    <row r="1419" spans="5:11" ht="12.75" customHeight="1" x14ac:dyDescent="0.2">
      <c r="E1419" s="50"/>
      <c r="H1419" s="12"/>
      <c r="K1419"/>
    </row>
    <row r="1420" spans="5:11" ht="12.75" customHeight="1" x14ac:dyDescent="0.2">
      <c r="E1420" s="50"/>
      <c r="H1420" s="12"/>
      <c r="K1420"/>
    </row>
    <row r="1421" spans="5:11" ht="12.75" customHeight="1" x14ac:dyDescent="0.2">
      <c r="E1421" s="50"/>
      <c r="H1421" s="12"/>
      <c r="K1421"/>
    </row>
    <row r="1422" spans="5:11" ht="12.75" customHeight="1" x14ac:dyDescent="0.2">
      <c r="E1422" s="50"/>
      <c r="H1422" s="12"/>
      <c r="K1422"/>
    </row>
    <row r="1423" spans="5:11" ht="12.75" customHeight="1" x14ac:dyDescent="0.2">
      <c r="E1423" s="50"/>
      <c r="H1423" s="12"/>
      <c r="K1423"/>
    </row>
    <row r="1424" spans="5:11" ht="12.75" customHeight="1" x14ac:dyDescent="0.2">
      <c r="E1424" s="50"/>
      <c r="H1424" s="12"/>
      <c r="K1424"/>
    </row>
    <row r="1425" spans="5:11" ht="12.75" customHeight="1" x14ac:dyDescent="0.2">
      <c r="E1425" s="50"/>
      <c r="H1425" s="12"/>
      <c r="K1425"/>
    </row>
    <row r="1426" spans="5:11" ht="12.75" customHeight="1" x14ac:dyDescent="0.2">
      <c r="E1426" s="50"/>
      <c r="H1426" s="12"/>
      <c r="K1426"/>
    </row>
    <row r="1427" spans="5:11" ht="12.75" customHeight="1" x14ac:dyDescent="0.2">
      <c r="E1427" s="50"/>
      <c r="H1427" s="12"/>
      <c r="K1427"/>
    </row>
    <row r="1428" spans="5:11" ht="12.75" customHeight="1" x14ac:dyDescent="0.2">
      <c r="E1428" s="50"/>
      <c r="H1428" s="12"/>
      <c r="K1428"/>
    </row>
    <row r="1429" spans="5:11" ht="12.75" customHeight="1" x14ac:dyDescent="0.2">
      <c r="E1429" s="50"/>
      <c r="H1429" s="12"/>
      <c r="K1429"/>
    </row>
    <row r="1430" spans="5:11" ht="12.75" customHeight="1" x14ac:dyDescent="0.2">
      <c r="E1430" s="50"/>
      <c r="H1430" s="12"/>
      <c r="K1430"/>
    </row>
    <row r="1431" spans="5:11" ht="12.75" customHeight="1" x14ac:dyDescent="0.2">
      <c r="E1431" s="50"/>
      <c r="H1431" s="12"/>
      <c r="K1431"/>
    </row>
    <row r="1432" spans="5:11" ht="12.75" customHeight="1" x14ac:dyDescent="0.2">
      <c r="E1432" s="50"/>
      <c r="H1432" s="12"/>
      <c r="K1432"/>
    </row>
    <row r="1433" spans="5:11" ht="12.75" customHeight="1" x14ac:dyDescent="0.2">
      <c r="E1433" s="50"/>
      <c r="H1433" s="12"/>
      <c r="K1433"/>
    </row>
    <row r="1434" spans="5:11" ht="12.75" customHeight="1" x14ac:dyDescent="0.2">
      <c r="E1434" s="50"/>
      <c r="H1434" s="12"/>
      <c r="K1434"/>
    </row>
    <row r="1435" spans="5:11" ht="12.75" customHeight="1" x14ac:dyDescent="0.2">
      <c r="E1435" s="50"/>
      <c r="H1435" s="12"/>
      <c r="K1435"/>
    </row>
    <row r="1436" spans="5:11" ht="12.75" customHeight="1" x14ac:dyDescent="0.2">
      <c r="E1436" s="50"/>
      <c r="H1436" s="12"/>
      <c r="K1436"/>
    </row>
    <row r="1437" spans="5:11" ht="12.75" customHeight="1" x14ac:dyDescent="0.2">
      <c r="E1437" s="50"/>
      <c r="H1437" s="12"/>
      <c r="K1437"/>
    </row>
    <row r="1438" spans="5:11" ht="12.75" customHeight="1" x14ac:dyDescent="0.2">
      <c r="E1438" s="50"/>
      <c r="H1438" s="12"/>
      <c r="K1438"/>
    </row>
    <row r="1439" spans="5:11" ht="12.75" customHeight="1" x14ac:dyDescent="0.2">
      <c r="E1439" s="50"/>
      <c r="H1439" s="12"/>
      <c r="K1439"/>
    </row>
    <row r="1440" spans="5:11" ht="12.75" customHeight="1" x14ac:dyDescent="0.2">
      <c r="E1440" s="50"/>
      <c r="H1440" s="12"/>
      <c r="K1440"/>
    </row>
    <row r="1441" spans="5:11" ht="12.75" customHeight="1" x14ac:dyDescent="0.2">
      <c r="E1441" s="50"/>
      <c r="H1441" s="12"/>
      <c r="K1441"/>
    </row>
    <row r="1442" spans="5:11" ht="12.75" customHeight="1" x14ac:dyDescent="0.2">
      <c r="E1442" s="50"/>
      <c r="H1442" s="12"/>
      <c r="K1442"/>
    </row>
    <row r="1443" spans="5:11" ht="12.75" customHeight="1" x14ac:dyDescent="0.2">
      <c r="E1443" s="50"/>
      <c r="H1443" s="12"/>
      <c r="K1443"/>
    </row>
    <row r="1444" spans="5:11" ht="12.75" customHeight="1" x14ac:dyDescent="0.2">
      <c r="E1444" s="50"/>
      <c r="H1444" s="12"/>
      <c r="K1444"/>
    </row>
    <row r="1445" spans="5:11" ht="12.75" customHeight="1" x14ac:dyDescent="0.2">
      <c r="E1445" s="50"/>
      <c r="H1445" s="12"/>
      <c r="K1445"/>
    </row>
    <row r="1446" spans="5:11" ht="12.75" customHeight="1" x14ac:dyDescent="0.2">
      <c r="E1446" s="50"/>
      <c r="H1446" s="12"/>
      <c r="K1446"/>
    </row>
    <row r="1447" spans="5:11" ht="12.75" customHeight="1" x14ac:dyDescent="0.2">
      <c r="E1447" s="50"/>
      <c r="H1447" s="12"/>
      <c r="K1447"/>
    </row>
    <row r="1448" spans="5:11" ht="12.75" customHeight="1" x14ac:dyDescent="0.2">
      <c r="E1448" s="50"/>
      <c r="H1448" s="12"/>
      <c r="K1448"/>
    </row>
    <row r="1449" spans="5:11" ht="12.75" customHeight="1" x14ac:dyDescent="0.2">
      <c r="E1449" s="50"/>
      <c r="H1449" s="12"/>
      <c r="K1449"/>
    </row>
    <row r="1450" spans="5:11" ht="12.75" customHeight="1" x14ac:dyDescent="0.2">
      <c r="E1450" s="50"/>
      <c r="H1450" s="12"/>
      <c r="K1450"/>
    </row>
    <row r="1451" spans="5:11" ht="12.75" customHeight="1" x14ac:dyDescent="0.2">
      <c r="E1451" s="50"/>
      <c r="H1451" s="12"/>
      <c r="K1451"/>
    </row>
    <row r="1452" spans="5:11" ht="12.75" customHeight="1" x14ac:dyDescent="0.2">
      <c r="E1452" s="50"/>
      <c r="H1452" s="12"/>
      <c r="K1452"/>
    </row>
    <row r="1453" spans="5:11" ht="12.75" customHeight="1" x14ac:dyDescent="0.2">
      <c r="E1453" s="50"/>
      <c r="H1453" s="12"/>
      <c r="K1453"/>
    </row>
    <row r="1454" spans="5:11" ht="12.75" customHeight="1" x14ac:dyDescent="0.2">
      <c r="E1454" s="50"/>
      <c r="H1454" s="12"/>
      <c r="K1454"/>
    </row>
    <row r="1455" spans="5:11" ht="14.25" customHeight="1" x14ac:dyDescent="0.2">
      <c r="E1455" s="50"/>
      <c r="H1455" s="12"/>
      <c r="K1455"/>
    </row>
    <row r="1456" spans="5:11" ht="13.5" customHeight="1" x14ac:dyDescent="0.2">
      <c r="E1456" s="50"/>
      <c r="H1456" s="12"/>
      <c r="K1456"/>
    </row>
    <row r="1457" spans="5:11" ht="13.5" customHeight="1" x14ac:dyDescent="0.2">
      <c r="E1457" s="50"/>
      <c r="H1457" s="12"/>
      <c r="K1457"/>
    </row>
    <row r="1458" spans="5:11" ht="13.5" customHeight="1" x14ac:dyDescent="0.2">
      <c r="E1458" s="50"/>
      <c r="H1458" s="12"/>
      <c r="K1458"/>
    </row>
    <row r="1459" spans="5:11" ht="13.5" customHeight="1" x14ac:dyDescent="0.2">
      <c r="E1459" s="50"/>
      <c r="H1459" s="12"/>
      <c r="K1459"/>
    </row>
    <row r="1460" spans="5:11" ht="13.5" customHeight="1" x14ac:dyDescent="0.2">
      <c r="E1460" s="50"/>
      <c r="H1460" s="12"/>
      <c r="K1460"/>
    </row>
    <row r="1461" spans="5:11" ht="13.5" customHeight="1" x14ac:dyDescent="0.2">
      <c r="E1461" s="50"/>
      <c r="H1461" s="12"/>
      <c r="K1461"/>
    </row>
    <row r="1462" spans="5:11" ht="13.5" customHeight="1" x14ac:dyDescent="0.2">
      <c r="E1462" s="50"/>
      <c r="H1462" s="12"/>
      <c r="K1462"/>
    </row>
    <row r="1463" spans="5:11" ht="13.5" customHeight="1" x14ac:dyDescent="0.2">
      <c r="E1463" s="50"/>
      <c r="H1463" s="12"/>
      <c r="K1463"/>
    </row>
    <row r="1464" spans="5:11" ht="13.5" customHeight="1" x14ac:dyDescent="0.2">
      <c r="E1464" s="50"/>
      <c r="H1464" s="12"/>
      <c r="K1464"/>
    </row>
    <row r="1465" spans="5:11" ht="13.5" customHeight="1" x14ac:dyDescent="0.2">
      <c r="E1465" s="50"/>
      <c r="H1465" s="12"/>
      <c r="K1465"/>
    </row>
    <row r="1466" spans="5:11" ht="13.5" customHeight="1" x14ac:dyDescent="0.2">
      <c r="E1466" s="50"/>
      <c r="H1466" s="12"/>
      <c r="K1466"/>
    </row>
    <row r="1467" spans="5:11" ht="13.5" customHeight="1" x14ac:dyDescent="0.2">
      <c r="E1467" s="50"/>
      <c r="H1467" s="12"/>
      <c r="K1467"/>
    </row>
    <row r="1468" spans="5:11" ht="13.5" customHeight="1" x14ac:dyDescent="0.2">
      <c r="E1468" s="50"/>
      <c r="H1468" s="12"/>
      <c r="K1468"/>
    </row>
    <row r="1469" spans="5:11" ht="13.5" customHeight="1" x14ac:dyDescent="0.2">
      <c r="E1469" s="50"/>
      <c r="H1469" s="12"/>
      <c r="K1469"/>
    </row>
    <row r="1470" spans="5:11" ht="13.5" customHeight="1" x14ac:dyDescent="0.2">
      <c r="E1470" s="50"/>
      <c r="H1470" s="12"/>
      <c r="K1470"/>
    </row>
    <row r="1471" spans="5:11" ht="13.5" customHeight="1" x14ac:dyDescent="0.2">
      <c r="E1471" s="50"/>
      <c r="H1471" s="12"/>
      <c r="K1471"/>
    </row>
    <row r="1472" spans="5:11" ht="13.5" customHeight="1" x14ac:dyDescent="0.2">
      <c r="E1472" s="50"/>
      <c r="H1472" s="12"/>
      <c r="K1472"/>
    </row>
    <row r="1473" spans="5:11" ht="13.5" customHeight="1" x14ac:dyDescent="0.2">
      <c r="E1473" s="50"/>
      <c r="H1473" s="12"/>
      <c r="K1473"/>
    </row>
    <row r="1474" spans="5:11" ht="13.5" customHeight="1" x14ac:dyDescent="0.2">
      <c r="E1474" s="50"/>
      <c r="H1474" s="12"/>
      <c r="K1474"/>
    </row>
    <row r="1475" spans="5:11" ht="13.5" customHeight="1" x14ac:dyDescent="0.2">
      <c r="E1475" s="50"/>
      <c r="H1475" s="12"/>
      <c r="K1475"/>
    </row>
    <row r="1476" spans="5:11" ht="13.5" customHeight="1" x14ac:dyDescent="0.2">
      <c r="E1476" s="50"/>
      <c r="H1476" s="12"/>
      <c r="K1476"/>
    </row>
    <row r="1477" spans="5:11" ht="13.5" customHeight="1" x14ac:dyDescent="0.2">
      <c r="E1477" s="50"/>
      <c r="H1477" s="12"/>
      <c r="K1477"/>
    </row>
    <row r="1478" spans="5:11" ht="13.5" customHeight="1" x14ac:dyDescent="0.2">
      <c r="E1478" s="50"/>
      <c r="H1478" s="12"/>
      <c r="K1478"/>
    </row>
    <row r="1479" spans="5:11" ht="13.5" customHeight="1" x14ac:dyDescent="0.2">
      <c r="E1479" s="50"/>
      <c r="H1479" s="12"/>
      <c r="K1479"/>
    </row>
    <row r="1480" spans="5:11" ht="13.5" customHeight="1" x14ac:dyDescent="0.2">
      <c r="E1480" s="50"/>
      <c r="H1480" s="12"/>
      <c r="K1480"/>
    </row>
    <row r="1481" spans="5:11" ht="13.5" customHeight="1" x14ac:dyDescent="0.2">
      <c r="E1481" s="50"/>
      <c r="H1481" s="12"/>
      <c r="K1481"/>
    </row>
    <row r="1482" spans="5:11" ht="13.5" customHeight="1" x14ac:dyDescent="0.2">
      <c r="E1482" s="50"/>
      <c r="H1482" s="12"/>
      <c r="K1482"/>
    </row>
    <row r="1483" spans="5:11" ht="13.5" customHeight="1" x14ac:dyDescent="0.2">
      <c r="E1483" s="50"/>
      <c r="H1483" s="12"/>
      <c r="K1483"/>
    </row>
    <row r="1484" spans="5:11" ht="13.5" customHeight="1" x14ac:dyDescent="0.2">
      <c r="E1484" s="50"/>
      <c r="H1484" s="12"/>
      <c r="K1484"/>
    </row>
    <row r="1485" spans="5:11" ht="13.5" customHeight="1" x14ac:dyDescent="0.2">
      <c r="E1485" s="50"/>
      <c r="H1485" s="12"/>
      <c r="K1485"/>
    </row>
    <row r="1486" spans="5:11" ht="13.5" customHeight="1" x14ac:dyDescent="0.2">
      <c r="E1486" s="50"/>
      <c r="H1486" s="12"/>
      <c r="K1486"/>
    </row>
    <row r="1487" spans="5:11" ht="13.5" customHeight="1" x14ac:dyDescent="0.2">
      <c r="E1487" s="50"/>
      <c r="H1487" s="12"/>
      <c r="K1487"/>
    </row>
    <row r="1488" spans="5:11" ht="13.5" customHeight="1" x14ac:dyDescent="0.2">
      <c r="E1488" s="50"/>
      <c r="H1488" s="12"/>
      <c r="K1488"/>
    </row>
    <row r="1489" spans="5:11" ht="13.5" customHeight="1" x14ac:dyDescent="0.2">
      <c r="E1489" s="50"/>
      <c r="H1489" s="12"/>
      <c r="K1489"/>
    </row>
    <row r="1490" spans="5:11" ht="13.5" customHeight="1" x14ac:dyDescent="0.2">
      <c r="E1490" s="50"/>
      <c r="H1490" s="12"/>
      <c r="K1490"/>
    </row>
    <row r="1491" spans="5:11" ht="13.5" customHeight="1" x14ac:dyDescent="0.2">
      <c r="E1491" s="50"/>
      <c r="H1491" s="12"/>
      <c r="K1491"/>
    </row>
    <row r="1492" spans="5:11" ht="13.5" customHeight="1" x14ac:dyDescent="0.2">
      <c r="E1492" s="50"/>
      <c r="H1492" s="12"/>
      <c r="K1492"/>
    </row>
    <row r="1493" spans="5:11" ht="13.5" customHeight="1" x14ac:dyDescent="0.2">
      <c r="E1493" s="50"/>
      <c r="H1493" s="12"/>
      <c r="K1493"/>
    </row>
    <row r="1494" spans="5:11" ht="13.5" customHeight="1" x14ac:dyDescent="0.2">
      <c r="E1494" s="50"/>
      <c r="H1494" s="12"/>
      <c r="K1494"/>
    </row>
    <row r="1495" spans="5:11" ht="13.5" customHeight="1" x14ac:dyDescent="0.2">
      <c r="E1495" s="50"/>
      <c r="H1495" s="12"/>
      <c r="K1495"/>
    </row>
    <row r="1496" spans="5:11" ht="13.5" customHeight="1" x14ac:dyDescent="0.2">
      <c r="E1496" s="50"/>
      <c r="H1496" s="12"/>
      <c r="K1496"/>
    </row>
    <row r="1497" spans="5:11" ht="13.5" customHeight="1" x14ac:dyDescent="0.2">
      <c r="E1497" s="50"/>
      <c r="H1497" s="12"/>
      <c r="K1497"/>
    </row>
    <row r="1498" spans="5:11" ht="13.5" customHeight="1" x14ac:dyDescent="0.2">
      <c r="E1498" s="50"/>
      <c r="H1498" s="12"/>
      <c r="K1498"/>
    </row>
    <row r="1499" spans="5:11" ht="13.5" customHeight="1" x14ac:dyDescent="0.2">
      <c r="E1499" s="50"/>
      <c r="H1499" s="12"/>
      <c r="K1499"/>
    </row>
    <row r="1500" spans="5:11" ht="13.5" customHeight="1" x14ac:dyDescent="0.2">
      <c r="E1500" s="50"/>
      <c r="H1500" s="12"/>
      <c r="K1500"/>
    </row>
    <row r="1501" spans="5:11" ht="13.5" customHeight="1" x14ac:dyDescent="0.2">
      <c r="E1501" s="50"/>
      <c r="H1501" s="12"/>
      <c r="K1501"/>
    </row>
    <row r="1502" spans="5:11" ht="13.5" customHeight="1" x14ac:dyDescent="0.2">
      <c r="E1502" s="50"/>
      <c r="H1502" s="12"/>
      <c r="K1502"/>
    </row>
    <row r="1503" spans="5:11" ht="13.5" customHeight="1" x14ac:dyDescent="0.2">
      <c r="E1503" s="50"/>
      <c r="H1503" s="12"/>
      <c r="K1503"/>
    </row>
    <row r="1504" spans="5:11" ht="13.5" customHeight="1" x14ac:dyDescent="0.2">
      <c r="E1504" s="50"/>
      <c r="H1504" s="12"/>
      <c r="K1504"/>
    </row>
    <row r="1505" spans="5:11" ht="13.5" customHeight="1" x14ac:dyDescent="0.2">
      <c r="E1505" s="50"/>
      <c r="H1505" s="12"/>
      <c r="K1505"/>
    </row>
    <row r="1506" spans="5:11" ht="13.5" customHeight="1" x14ac:dyDescent="0.2">
      <c r="E1506" s="50"/>
      <c r="H1506" s="12"/>
      <c r="K1506"/>
    </row>
    <row r="1507" spans="5:11" ht="13.5" customHeight="1" x14ac:dyDescent="0.2">
      <c r="E1507" s="50"/>
      <c r="H1507" s="12"/>
      <c r="K1507"/>
    </row>
    <row r="1508" spans="5:11" ht="13.5" customHeight="1" x14ac:dyDescent="0.2">
      <c r="E1508" s="50"/>
      <c r="H1508" s="12"/>
      <c r="K1508"/>
    </row>
    <row r="1509" spans="5:11" ht="13.5" customHeight="1" x14ac:dyDescent="0.2">
      <c r="E1509" s="50"/>
      <c r="H1509" s="12"/>
      <c r="K1509"/>
    </row>
    <row r="1510" spans="5:11" ht="13.5" customHeight="1" x14ac:dyDescent="0.2">
      <c r="E1510" s="50"/>
      <c r="H1510" s="12"/>
      <c r="K1510"/>
    </row>
    <row r="1511" spans="5:11" ht="13.5" customHeight="1" x14ac:dyDescent="0.2">
      <c r="E1511" s="50"/>
      <c r="H1511" s="12"/>
      <c r="K1511"/>
    </row>
    <row r="1512" spans="5:11" ht="13.5" customHeight="1" x14ac:dyDescent="0.2">
      <c r="E1512" s="50"/>
      <c r="H1512" s="12"/>
      <c r="K1512"/>
    </row>
    <row r="1513" spans="5:11" x14ac:dyDescent="0.2">
      <c r="E1513" s="50"/>
      <c r="H1513" s="12"/>
      <c r="K1513"/>
    </row>
    <row r="1514" spans="5:11" x14ac:dyDescent="0.2">
      <c r="E1514" s="50"/>
      <c r="H1514" s="12"/>
      <c r="K1514"/>
    </row>
    <row r="1515" spans="5:11" x14ac:dyDescent="0.2">
      <c r="E1515" s="50"/>
      <c r="H1515" s="12"/>
      <c r="K1515"/>
    </row>
    <row r="1516" spans="5:11" x14ac:dyDescent="0.2">
      <c r="E1516" s="50"/>
      <c r="H1516" s="12"/>
      <c r="K1516"/>
    </row>
    <row r="1517" spans="5:11" x14ac:dyDescent="0.2">
      <c r="E1517" s="50"/>
      <c r="H1517" s="12"/>
      <c r="K1517"/>
    </row>
    <row r="1518" spans="5:11" x14ac:dyDescent="0.2">
      <c r="E1518" s="50"/>
      <c r="H1518" s="12"/>
      <c r="K1518"/>
    </row>
    <row r="1519" spans="5:11" x14ac:dyDescent="0.2">
      <c r="E1519" s="50"/>
      <c r="H1519" s="12"/>
      <c r="K1519"/>
    </row>
    <row r="1520" spans="5:11" x14ac:dyDescent="0.2">
      <c r="E1520" s="50"/>
      <c r="H1520" s="12"/>
      <c r="K1520"/>
    </row>
    <row r="1521" spans="5:11" x14ac:dyDescent="0.2">
      <c r="E1521" s="50"/>
      <c r="H1521" s="12"/>
      <c r="K1521"/>
    </row>
    <row r="1522" spans="5:11" x14ac:dyDescent="0.2">
      <c r="E1522" s="50"/>
      <c r="H1522" s="12"/>
      <c r="K1522"/>
    </row>
    <row r="1523" spans="5:11" x14ac:dyDescent="0.2">
      <c r="E1523" s="50"/>
      <c r="H1523" s="12"/>
      <c r="K1523"/>
    </row>
    <row r="1524" spans="5:11" x14ac:dyDescent="0.2">
      <c r="E1524" s="50"/>
      <c r="H1524" s="12"/>
      <c r="K1524"/>
    </row>
    <row r="1525" spans="5:11" x14ac:dyDescent="0.2">
      <c r="E1525" s="50"/>
      <c r="H1525" s="12"/>
      <c r="K1525"/>
    </row>
    <row r="1526" spans="5:11" x14ac:dyDescent="0.2">
      <c r="E1526" s="50"/>
      <c r="H1526" s="12"/>
      <c r="K1526"/>
    </row>
    <row r="1527" spans="5:11" x14ac:dyDescent="0.2">
      <c r="E1527" s="50"/>
      <c r="H1527" s="12"/>
      <c r="K1527"/>
    </row>
    <row r="1528" spans="5:11" x14ac:dyDescent="0.2">
      <c r="E1528" s="50"/>
      <c r="H1528" s="12"/>
      <c r="K1528"/>
    </row>
    <row r="1529" spans="5:11" x14ac:dyDescent="0.2">
      <c r="E1529" s="50"/>
      <c r="H1529" s="12"/>
      <c r="K1529"/>
    </row>
    <row r="1530" spans="5:11" x14ac:dyDescent="0.2">
      <c r="E1530" s="50"/>
      <c r="H1530" s="12"/>
      <c r="K1530"/>
    </row>
    <row r="1531" spans="5:11" x14ac:dyDescent="0.2">
      <c r="E1531" s="50"/>
      <c r="H1531" s="12"/>
      <c r="K1531"/>
    </row>
    <row r="1532" spans="5:11" x14ac:dyDescent="0.2">
      <c r="E1532" s="50"/>
      <c r="H1532" s="12"/>
      <c r="K1532"/>
    </row>
    <row r="1533" spans="5:11" x14ac:dyDescent="0.2">
      <c r="E1533" s="50"/>
      <c r="H1533" s="12"/>
      <c r="K1533"/>
    </row>
    <row r="1534" spans="5:11" x14ac:dyDescent="0.2">
      <c r="E1534" s="50"/>
      <c r="H1534" s="12"/>
      <c r="K1534"/>
    </row>
    <row r="1535" spans="5:11" x14ac:dyDescent="0.2">
      <c r="E1535" s="50"/>
      <c r="H1535" s="12"/>
      <c r="K1535"/>
    </row>
    <row r="1536" spans="5:11" x14ac:dyDescent="0.2">
      <c r="E1536" s="50"/>
      <c r="H1536" s="12"/>
      <c r="K1536"/>
    </row>
    <row r="1537" spans="5:11" x14ac:dyDescent="0.2">
      <c r="E1537" s="50"/>
      <c r="H1537" s="12"/>
      <c r="K1537"/>
    </row>
    <row r="1538" spans="5:11" x14ac:dyDescent="0.2">
      <c r="E1538" s="50"/>
      <c r="H1538" s="12"/>
      <c r="K1538"/>
    </row>
    <row r="1539" spans="5:11" x14ac:dyDescent="0.2">
      <c r="E1539" s="50"/>
      <c r="H1539" s="12"/>
      <c r="K1539"/>
    </row>
    <row r="1540" spans="5:11" x14ac:dyDescent="0.2">
      <c r="E1540" s="50"/>
      <c r="H1540" s="12"/>
      <c r="K1540"/>
    </row>
    <row r="1541" spans="5:11" x14ac:dyDescent="0.2">
      <c r="E1541" s="50"/>
      <c r="H1541" s="12"/>
      <c r="K1541"/>
    </row>
    <row r="1542" spans="5:11" x14ac:dyDescent="0.2">
      <c r="E1542" s="50"/>
      <c r="H1542" s="12"/>
      <c r="K1542"/>
    </row>
    <row r="1543" spans="5:11" x14ac:dyDescent="0.2">
      <c r="E1543" s="50"/>
      <c r="H1543" s="12"/>
      <c r="K1543"/>
    </row>
    <row r="1544" spans="5:11" x14ac:dyDescent="0.2">
      <c r="E1544" s="50"/>
      <c r="H1544" s="12"/>
      <c r="K1544"/>
    </row>
    <row r="1545" spans="5:11" x14ac:dyDescent="0.2">
      <c r="E1545" s="50"/>
      <c r="H1545" s="12"/>
      <c r="K1545"/>
    </row>
    <row r="1546" spans="5:11" x14ac:dyDescent="0.2">
      <c r="E1546" s="50"/>
      <c r="H1546" s="12"/>
      <c r="K1546"/>
    </row>
    <row r="1547" spans="5:11" x14ac:dyDescent="0.2">
      <c r="E1547" s="50"/>
      <c r="H1547" s="12"/>
      <c r="K1547"/>
    </row>
    <row r="1548" spans="5:11" x14ac:dyDescent="0.2">
      <c r="E1548" s="50"/>
      <c r="H1548" s="12"/>
      <c r="K1548"/>
    </row>
    <row r="1549" spans="5:11" x14ac:dyDescent="0.2">
      <c r="E1549" s="50"/>
      <c r="H1549" s="12"/>
      <c r="K1549"/>
    </row>
    <row r="1550" spans="5:11" x14ac:dyDescent="0.2">
      <c r="E1550" s="50"/>
      <c r="H1550" s="12"/>
      <c r="K1550"/>
    </row>
    <row r="1551" spans="5:11" x14ac:dyDescent="0.2">
      <c r="E1551" s="50"/>
      <c r="H1551" s="12"/>
      <c r="K1551"/>
    </row>
    <row r="1552" spans="5:11" x14ac:dyDescent="0.2">
      <c r="E1552" s="50"/>
      <c r="H1552" s="12"/>
      <c r="K1552"/>
    </row>
    <row r="1553" spans="5:11" x14ac:dyDescent="0.2">
      <c r="E1553" s="50"/>
      <c r="H1553" s="12"/>
      <c r="K1553"/>
    </row>
    <row r="1554" spans="5:11" x14ac:dyDescent="0.2">
      <c r="E1554" s="50"/>
      <c r="H1554" s="12"/>
      <c r="K1554"/>
    </row>
    <row r="1555" spans="5:11" x14ac:dyDescent="0.2">
      <c r="E1555" s="50"/>
      <c r="H1555" s="12"/>
      <c r="K1555"/>
    </row>
    <row r="1556" spans="5:11" x14ac:dyDescent="0.2">
      <c r="E1556" s="50"/>
      <c r="H1556" s="12"/>
      <c r="K1556"/>
    </row>
    <row r="1557" spans="5:11" x14ac:dyDescent="0.2">
      <c r="E1557" s="50"/>
      <c r="H1557" s="12"/>
      <c r="K1557"/>
    </row>
    <row r="1558" spans="5:11" x14ac:dyDescent="0.2">
      <c r="E1558" s="50"/>
      <c r="H1558" s="12"/>
      <c r="K1558"/>
    </row>
    <row r="1559" spans="5:11" x14ac:dyDescent="0.2">
      <c r="E1559" s="50"/>
      <c r="H1559" s="12"/>
      <c r="K1559"/>
    </row>
    <row r="1560" spans="5:11" x14ac:dyDescent="0.2">
      <c r="E1560" s="50"/>
      <c r="H1560" s="12"/>
      <c r="K1560"/>
    </row>
    <row r="1561" spans="5:11" x14ac:dyDescent="0.2">
      <c r="E1561" s="50"/>
      <c r="H1561" s="12"/>
      <c r="K1561"/>
    </row>
    <row r="1562" spans="5:11" x14ac:dyDescent="0.2">
      <c r="E1562" s="50"/>
      <c r="H1562" s="12"/>
      <c r="K1562"/>
    </row>
    <row r="1563" spans="5:11" x14ac:dyDescent="0.2">
      <c r="E1563" s="50"/>
      <c r="H1563" s="12"/>
      <c r="K1563"/>
    </row>
    <row r="1564" spans="5:11" x14ac:dyDescent="0.2">
      <c r="E1564" s="50"/>
      <c r="H1564" s="12"/>
      <c r="K1564"/>
    </row>
    <row r="1565" spans="5:11" x14ac:dyDescent="0.2">
      <c r="E1565" s="50"/>
      <c r="H1565" s="12"/>
      <c r="K1565"/>
    </row>
    <row r="1566" spans="5:11" x14ac:dyDescent="0.2">
      <c r="E1566" s="50"/>
      <c r="H1566" s="12"/>
      <c r="K1566"/>
    </row>
    <row r="1567" spans="5:11" x14ac:dyDescent="0.2">
      <c r="E1567" s="50"/>
      <c r="H1567" s="12"/>
      <c r="K1567"/>
    </row>
    <row r="1568" spans="5:11" x14ac:dyDescent="0.2">
      <c r="E1568" s="50"/>
      <c r="H1568" s="12"/>
      <c r="K1568"/>
    </row>
    <row r="1569" spans="5:11" x14ac:dyDescent="0.2">
      <c r="E1569" s="50"/>
      <c r="H1569" s="12"/>
      <c r="K1569"/>
    </row>
    <row r="1570" spans="5:11" x14ac:dyDescent="0.2">
      <c r="E1570" s="50"/>
      <c r="H1570" s="12"/>
      <c r="K1570"/>
    </row>
    <row r="1571" spans="5:11" x14ac:dyDescent="0.2">
      <c r="E1571" s="50"/>
      <c r="H1571" s="12"/>
      <c r="K1571"/>
    </row>
    <row r="1572" spans="5:11" x14ac:dyDescent="0.2">
      <c r="E1572" s="50"/>
      <c r="H1572" s="12"/>
      <c r="K1572"/>
    </row>
    <row r="1573" spans="5:11" x14ac:dyDescent="0.2">
      <c r="E1573" s="50"/>
      <c r="H1573" s="12"/>
      <c r="K1573"/>
    </row>
    <row r="1574" spans="5:11" x14ac:dyDescent="0.2">
      <c r="E1574" s="50"/>
      <c r="H1574" s="12"/>
      <c r="K1574"/>
    </row>
    <row r="1575" spans="5:11" x14ac:dyDescent="0.2">
      <c r="E1575" s="50"/>
      <c r="H1575" s="12"/>
      <c r="K1575"/>
    </row>
    <row r="1576" spans="5:11" x14ac:dyDescent="0.2">
      <c r="E1576" s="50"/>
      <c r="H1576" s="12"/>
      <c r="K1576"/>
    </row>
    <row r="1577" spans="5:11" x14ac:dyDescent="0.2">
      <c r="E1577" s="50"/>
      <c r="H1577" s="12"/>
      <c r="K1577"/>
    </row>
    <row r="1578" spans="5:11" x14ac:dyDescent="0.2">
      <c r="E1578" s="50"/>
      <c r="H1578" s="12"/>
      <c r="K1578"/>
    </row>
    <row r="1579" spans="5:11" x14ac:dyDescent="0.2">
      <c r="E1579" s="50"/>
      <c r="H1579" s="12"/>
      <c r="K1579"/>
    </row>
    <row r="1580" spans="5:11" x14ac:dyDescent="0.2">
      <c r="E1580" s="50"/>
      <c r="H1580" s="12"/>
      <c r="K1580"/>
    </row>
    <row r="1581" spans="5:11" x14ac:dyDescent="0.2">
      <c r="E1581" s="50"/>
      <c r="H1581" s="12"/>
      <c r="K1581"/>
    </row>
    <row r="1582" spans="5:11" x14ac:dyDescent="0.2">
      <c r="E1582" s="50"/>
      <c r="H1582" s="12"/>
      <c r="K1582"/>
    </row>
    <row r="1583" spans="5:11" x14ac:dyDescent="0.2">
      <c r="E1583" s="50"/>
      <c r="H1583" s="12"/>
      <c r="K1583"/>
    </row>
    <row r="1584" spans="5:11" x14ac:dyDescent="0.2">
      <c r="E1584" s="50"/>
      <c r="H1584" s="12"/>
      <c r="K1584"/>
    </row>
    <row r="1585" spans="5:11" x14ac:dyDescent="0.2">
      <c r="E1585" s="50"/>
      <c r="H1585" s="12"/>
      <c r="K1585"/>
    </row>
    <row r="1586" spans="5:11" x14ac:dyDescent="0.2">
      <c r="E1586" s="50"/>
      <c r="H1586" s="12"/>
      <c r="K1586"/>
    </row>
    <row r="1587" spans="5:11" x14ac:dyDescent="0.2">
      <c r="E1587" s="50"/>
      <c r="H1587" s="12"/>
      <c r="K1587"/>
    </row>
    <row r="1588" spans="5:11" x14ac:dyDescent="0.2">
      <c r="E1588" s="50"/>
      <c r="H1588" s="12"/>
      <c r="K1588"/>
    </row>
    <row r="1589" spans="5:11" x14ac:dyDescent="0.2">
      <c r="E1589" s="50"/>
      <c r="H1589" s="12"/>
      <c r="K1589"/>
    </row>
    <row r="1590" spans="5:11" x14ac:dyDescent="0.2">
      <c r="E1590" s="50"/>
      <c r="H1590" s="12"/>
      <c r="K1590"/>
    </row>
    <row r="1591" spans="5:11" x14ac:dyDescent="0.2">
      <c r="E1591" s="50"/>
      <c r="H1591" s="12"/>
      <c r="K1591"/>
    </row>
    <row r="1592" spans="5:11" x14ac:dyDescent="0.2">
      <c r="E1592" s="50"/>
      <c r="H1592" s="12"/>
      <c r="K1592"/>
    </row>
    <row r="1593" spans="5:11" x14ac:dyDescent="0.2">
      <c r="E1593" s="50"/>
      <c r="H1593" s="12"/>
      <c r="K1593"/>
    </row>
    <row r="1594" spans="5:11" x14ac:dyDescent="0.2">
      <c r="E1594" s="50"/>
      <c r="H1594" s="12"/>
      <c r="K1594"/>
    </row>
    <row r="1595" spans="5:11" x14ac:dyDescent="0.2">
      <c r="E1595" s="50"/>
      <c r="H1595" s="12"/>
      <c r="K1595"/>
    </row>
    <row r="1596" spans="5:11" x14ac:dyDescent="0.2">
      <c r="E1596" s="50"/>
      <c r="H1596" s="12"/>
      <c r="K1596"/>
    </row>
    <row r="1597" spans="5:11" x14ac:dyDescent="0.2">
      <c r="E1597" s="50"/>
      <c r="H1597" s="12"/>
      <c r="K1597"/>
    </row>
    <row r="1598" spans="5:11" x14ac:dyDescent="0.2">
      <c r="E1598" s="50"/>
      <c r="H1598" s="12"/>
      <c r="K1598"/>
    </row>
    <row r="1599" spans="5:11" x14ac:dyDescent="0.2">
      <c r="E1599" s="50"/>
      <c r="H1599" s="12"/>
      <c r="K1599"/>
    </row>
    <row r="1600" spans="5:11" x14ac:dyDescent="0.2">
      <c r="E1600" s="50"/>
      <c r="H1600" s="12"/>
      <c r="K1600"/>
    </row>
    <row r="1601" spans="5:11" x14ac:dyDescent="0.2">
      <c r="E1601" s="50"/>
      <c r="H1601" s="12"/>
      <c r="K1601"/>
    </row>
    <row r="1602" spans="5:11" x14ac:dyDescent="0.2">
      <c r="E1602" s="50"/>
      <c r="H1602" s="12"/>
      <c r="K1602"/>
    </row>
    <row r="1603" spans="5:11" x14ac:dyDescent="0.2">
      <c r="E1603" s="50"/>
      <c r="H1603" s="12"/>
      <c r="K1603"/>
    </row>
    <row r="1604" spans="5:11" x14ac:dyDescent="0.2">
      <c r="E1604" s="50"/>
      <c r="H1604" s="12"/>
      <c r="K1604"/>
    </row>
    <row r="1605" spans="5:11" x14ac:dyDescent="0.2">
      <c r="E1605" s="50"/>
      <c r="H1605" s="12"/>
      <c r="K1605"/>
    </row>
    <row r="1606" spans="5:11" x14ac:dyDescent="0.2">
      <c r="E1606" s="50"/>
      <c r="H1606" s="12"/>
      <c r="K1606"/>
    </row>
    <row r="1607" spans="5:11" x14ac:dyDescent="0.2">
      <c r="E1607" s="50"/>
      <c r="H1607" s="12"/>
      <c r="K1607"/>
    </row>
    <row r="1608" spans="5:11" x14ac:dyDescent="0.2">
      <c r="E1608" s="50"/>
      <c r="H1608" s="12"/>
      <c r="K1608"/>
    </row>
    <row r="1609" spans="5:11" x14ac:dyDescent="0.2">
      <c r="E1609" s="50"/>
      <c r="H1609" s="12"/>
      <c r="K1609"/>
    </row>
    <row r="1610" spans="5:11" x14ac:dyDescent="0.2">
      <c r="E1610" s="50"/>
      <c r="H1610" s="12"/>
      <c r="K1610"/>
    </row>
    <row r="1611" spans="5:11" x14ac:dyDescent="0.2">
      <c r="E1611" s="50"/>
      <c r="H1611" s="12"/>
      <c r="K1611"/>
    </row>
    <row r="1612" spans="5:11" x14ac:dyDescent="0.2">
      <c r="E1612" s="50"/>
      <c r="H1612" s="12"/>
      <c r="K1612"/>
    </row>
    <row r="1613" spans="5:11" x14ac:dyDescent="0.2">
      <c r="E1613" s="50"/>
      <c r="H1613" s="12"/>
      <c r="K1613"/>
    </row>
    <row r="1614" spans="5:11" x14ac:dyDescent="0.2">
      <c r="E1614" s="50"/>
      <c r="H1614" s="12"/>
      <c r="K1614"/>
    </row>
    <row r="1615" spans="5:11" x14ac:dyDescent="0.2">
      <c r="E1615" s="50"/>
      <c r="H1615" s="12"/>
      <c r="K1615"/>
    </row>
    <row r="1616" spans="5:11" x14ac:dyDescent="0.2">
      <c r="E1616" s="50"/>
      <c r="H1616" s="12"/>
      <c r="K1616"/>
    </row>
    <row r="1617" spans="5:11" x14ac:dyDescent="0.2">
      <c r="E1617" s="50"/>
      <c r="H1617" s="12"/>
      <c r="K1617"/>
    </row>
    <row r="1618" spans="5:11" x14ac:dyDescent="0.2">
      <c r="E1618" s="50"/>
      <c r="H1618" s="12"/>
      <c r="K1618"/>
    </row>
    <row r="1619" spans="5:11" x14ac:dyDescent="0.2">
      <c r="E1619" s="50"/>
      <c r="H1619" s="12"/>
      <c r="K1619"/>
    </row>
    <row r="1620" spans="5:11" x14ac:dyDescent="0.2">
      <c r="E1620" s="50"/>
      <c r="H1620" s="12"/>
      <c r="K1620"/>
    </row>
    <row r="1621" spans="5:11" x14ac:dyDescent="0.2">
      <c r="E1621" s="50"/>
      <c r="H1621" s="12"/>
      <c r="K1621"/>
    </row>
    <row r="1622" spans="5:11" x14ac:dyDescent="0.2">
      <c r="E1622" s="50"/>
      <c r="H1622" s="12"/>
      <c r="K1622"/>
    </row>
    <row r="1623" spans="5:11" x14ac:dyDescent="0.2">
      <c r="E1623" s="50"/>
      <c r="H1623" s="12"/>
      <c r="K1623"/>
    </row>
    <row r="1624" spans="5:11" x14ac:dyDescent="0.2">
      <c r="E1624" s="50"/>
      <c r="H1624" s="12"/>
      <c r="K1624"/>
    </row>
    <row r="1625" spans="5:11" x14ac:dyDescent="0.2">
      <c r="E1625" s="50"/>
      <c r="H1625" s="12"/>
      <c r="K1625"/>
    </row>
    <row r="1626" spans="5:11" x14ac:dyDescent="0.2">
      <c r="E1626" s="50"/>
      <c r="H1626" s="12"/>
      <c r="K1626"/>
    </row>
    <row r="1627" spans="5:11" x14ac:dyDescent="0.2">
      <c r="E1627" s="50"/>
      <c r="H1627" s="12"/>
      <c r="K1627"/>
    </row>
    <row r="1628" spans="5:11" x14ac:dyDescent="0.2">
      <c r="E1628" s="50"/>
      <c r="H1628" s="12"/>
      <c r="K1628"/>
    </row>
    <row r="1629" spans="5:11" x14ac:dyDescent="0.2">
      <c r="E1629" s="50"/>
      <c r="H1629" s="12"/>
      <c r="K1629"/>
    </row>
    <row r="1630" spans="5:11" x14ac:dyDescent="0.2">
      <c r="E1630" s="50"/>
      <c r="H1630" s="12"/>
      <c r="K1630"/>
    </row>
    <row r="1631" spans="5:11" x14ac:dyDescent="0.2">
      <c r="E1631" s="50"/>
      <c r="H1631" s="12"/>
      <c r="K1631"/>
    </row>
    <row r="1632" spans="5:11" x14ac:dyDescent="0.2">
      <c r="E1632" s="50"/>
      <c r="H1632" s="12"/>
      <c r="K1632"/>
    </row>
    <row r="1633" spans="5:11" x14ac:dyDescent="0.2">
      <c r="E1633" s="50"/>
      <c r="H1633" s="12"/>
      <c r="K1633"/>
    </row>
    <row r="1634" spans="5:11" x14ac:dyDescent="0.2">
      <c r="E1634" s="50"/>
      <c r="H1634" s="12"/>
      <c r="K1634"/>
    </row>
    <row r="1635" spans="5:11" x14ac:dyDescent="0.2">
      <c r="E1635" s="50"/>
      <c r="H1635" s="12"/>
      <c r="K1635"/>
    </row>
    <row r="1636" spans="5:11" x14ac:dyDescent="0.2">
      <c r="E1636" s="50"/>
      <c r="H1636" s="12"/>
      <c r="K1636"/>
    </row>
    <row r="1637" spans="5:11" x14ac:dyDescent="0.2">
      <c r="E1637" s="50"/>
      <c r="H1637" s="12"/>
      <c r="K1637"/>
    </row>
    <row r="1638" spans="5:11" x14ac:dyDescent="0.2">
      <c r="E1638" s="50"/>
      <c r="H1638" s="12"/>
      <c r="K1638"/>
    </row>
    <row r="1639" spans="5:11" x14ac:dyDescent="0.2">
      <c r="E1639" s="50"/>
      <c r="H1639" s="12"/>
      <c r="K1639"/>
    </row>
    <row r="1640" spans="5:11" x14ac:dyDescent="0.2">
      <c r="E1640" s="50"/>
      <c r="H1640" s="12"/>
      <c r="K1640"/>
    </row>
    <row r="1641" spans="5:11" x14ac:dyDescent="0.2">
      <c r="E1641" s="50"/>
      <c r="H1641" s="12"/>
      <c r="K1641"/>
    </row>
    <row r="1642" spans="5:11" x14ac:dyDescent="0.2">
      <c r="E1642" s="50"/>
      <c r="H1642" s="12"/>
      <c r="K1642"/>
    </row>
    <row r="1643" spans="5:11" x14ac:dyDescent="0.2">
      <c r="E1643" s="50"/>
      <c r="H1643" s="12"/>
      <c r="K1643"/>
    </row>
    <row r="1644" spans="5:11" x14ac:dyDescent="0.2">
      <c r="E1644" s="50"/>
      <c r="H1644" s="12"/>
      <c r="K1644"/>
    </row>
    <row r="1645" spans="5:11" x14ac:dyDescent="0.2">
      <c r="E1645" s="50"/>
      <c r="H1645" s="12"/>
      <c r="K1645"/>
    </row>
    <row r="1646" spans="5:11" x14ac:dyDescent="0.2">
      <c r="E1646" s="50"/>
      <c r="H1646" s="12"/>
      <c r="K1646"/>
    </row>
    <row r="1647" spans="5:11" x14ac:dyDescent="0.2">
      <c r="E1647" s="50"/>
      <c r="H1647" s="12"/>
      <c r="K1647"/>
    </row>
    <row r="1648" spans="5:11" x14ac:dyDescent="0.2">
      <c r="E1648" s="50"/>
      <c r="H1648" s="12"/>
      <c r="K1648"/>
    </row>
    <row r="1649" spans="5:11" x14ac:dyDescent="0.2">
      <c r="E1649" s="50"/>
      <c r="H1649" s="12"/>
      <c r="K1649"/>
    </row>
    <row r="1650" spans="5:11" x14ac:dyDescent="0.2">
      <c r="E1650" s="50"/>
      <c r="H1650" s="12"/>
      <c r="K1650"/>
    </row>
    <row r="1651" spans="5:11" x14ac:dyDescent="0.2">
      <c r="E1651" s="50"/>
      <c r="H1651" s="12"/>
      <c r="K1651"/>
    </row>
    <row r="1652" spans="5:11" x14ac:dyDescent="0.2">
      <c r="E1652" s="50"/>
      <c r="H1652" s="12"/>
      <c r="K1652"/>
    </row>
    <row r="1653" spans="5:11" x14ac:dyDescent="0.2">
      <c r="E1653" s="50"/>
      <c r="H1653" s="12"/>
      <c r="K1653"/>
    </row>
    <row r="1654" spans="5:11" x14ac:dyDescent="0.2">
      <c r="E1654" s="50"/>
      <c r="H1654" s="12"/>
      <c r="K1654"/>
    </row>
    <row r="1655" spans="5:11" x14ac:dyDescent="0.2">
      <c r="E1655" s="50"/>
      <c r="H1655" s="12"/>
      <c r="K1655"/>
    </row>
    <row r="1656" spans="5:11" x14ac:dyDescent="0.2">
      <c r="E1656" s="50"/>
      <c r="H1656" s="12"/>
      <c r="K1656"/>
    </row>
    <row r="1657" spans="5:11" x14ac:dyDescent="0.2">
      <c r="E1657" s="50"/>
      <c r="H1657" s="12"/>
      <c r="K1657"/>
    </row>
    <row r="1658" spans="5:11" x14ac:dyDescent="0.2">
      <c r="E1658" s="50"/>
      <c r="H1658" s="12"/>
      <c r="K1658"/>
    </row>
    <row r="1659" spans="5:11" x14ac:dyDescent="0.2">
      <c r="E1659" s="50"/>
      <c r="H1659" s="12"/>
      <c r="K1659"/>
    </row>
    <row r="1660" spans="5:11" x14ac:dyDescent="0.2">
      <c r="E1660" s="50"/>
      <c r="H1660" s="12"/>
      <c r="K1660"/>
    </row>
    <row r="1661" spans="5:11" x14ac:dyDescent="0.2">
      <c r="E1661" s="50"/>
      <c r="H1661" s="12"/>
      <c r="K1661"/>
    </row>
    <row r="1662" spans="5:11" x14ac:dyDescent="0.2">
      <c r="E1662" s="50"/>
      <c r="H1662" s="12"/>
      <c r="K1662"/>
    </row>
    <row r="1663" spans="5:11" x14ac:dyDescent="0.2">
      <c r="E1663" s="50"/>
      <c r="H1663" s="12"/>
      <c r="K1663"/>
    </row>
    <row r="1664" spans="5:11" x14ac:dyDescent="0.2">
      <c r="E1664" s="50"/>
      <c r="H1664" s="12"/>
      <c r="K1664"/>
    </row>
    <row r="1665" spans="5:11" x14ac:dyDescent="0.2">
      <c r="E1665" s="50"/>
      <c r="H1665" s="12"/>
      <c r="K1665"/>
    </row>
    <row r="1666" spans="5:11" x14ac:dyDescent="0.2">
      <c r="E1666" s="50"/>
      <c r="H1666" s="12"/>
      <c r="K1666"/>
    </row>
    <row r="1667" spans="5:11" x14ac:dyDescent="0.2">
      <c r="E1667" s="50"/>
      <c r="H1667" s="12"/>
      <c r="K1667"/>
    </row>
    <row r="1668" spans="5:11" x14ac:dyDescent="0.2">
      <c r="E1668" s="50"/>
      <c r="H1668" s="12"/>
      <c r="K1668"/>
    </row>
    <row r="1669" spans="5:11" x14ac:dyDescent="0.2">
      <c r="E1669" s="50"/>
      <c r="H1669" s="12"/>
      <c r="K1669"/>
    </row>
    <row r="1670" spans="5:11" x14ac:dyDescent="0.2">
      <c r="E1670" s="50"/>
      <c r="H1670" s="12"/>
      <c r="K1670"/>
    </row>
    <row r="1671" spans="5:11" x14ac:dyDescent="0.2">
      <c r="E1671" s="50"/>
      <c r="H1671" s="12"/>
      <c r="K1671"/>
    </row>
    <row r="1672" spans="5:11" x14ac:dyDescent="0.2">
      <c r="E1672" s="50"/>
      <c r="H1672" s="12"/>
      <c r="K1672"/>
    </row>
    <row r="1673" spans="5:11" x14ac:dyDescent="0.2">
      <c r="E1673" s="50"/>
      <c r="H1673" s="12"/>
      <c r="K1673"/>
    </row>
    <row r="1674" spans="5:11" x14ac:dyDescent="0.2">
      <c r="E1674" s="50"/>
      <c r="H1674" s="12"/>
      <c r="K1674"/>
    </row>
    <row r="1675" spans="5:11" x14ac:dyDescent="0.2">
      <c r="E1675" s="50"/>
      <c r="H1675" s="12"/>
      <c r="K1675"/>
    </row>
    <row r="1676" spans="5:11" x14ac:dyDescent="0.2">
      <c r="E1676" s="50"/>
      <c r="H1676" s="12"/>
      <c r="K1676"/>
    </row>
    <row r="1677" spans="5:11" x14ac:dyDescent="0.2">
      <c r="E1677" s="50"/>
      <c r="H1677" s="12"/>
      <c r="K1677"/>
    </row>
    <row r="1678" spans="5:11" x14ac:dyDescent="0.2">
      <c r="E1678" s="50"/>
      <c r="H1678" s="12"/>
      <c r="K1678"/>
    </row>
    <row r="1679" spans="5:11" x14ac:dyDescent="0.2">
      <c r="E1679" s="50"/>
      <c r="H1679" s="12"/>
      <c r="K1679"/>
    </row>
    <row r="1680" spans="5:11" x14ac:dyDescent="0.2">
      <c r="E1680" s="50"/>
      <c r="H1680" s="12"/>
      <c r="K1680"/>
    </row>
    <row r="1681" spans="5:11" x14ac:dyDescent="0.2">
      <c r="E1681" s="50"/>
      <c r="H1681" s="12"/>
      <c r="K1681"/>
    </row>
    <row r="1682" spans="5:11" x14ac:dyDescent="0.2">
      <c r="E1682" s="50"/>
      <c r="H1682" s="12"/>
      <c r="K1682"/>
    </row>
    <row r="1683" spans="5:11" x14ac:dyDescent="0.2">
      <c r="E1683" s="50"/>
      <c r="H1683" s="12"/>
      <c r="K1683"/>
    </row>
    <row r="1684" spans="5:11" x14ac:dyDescent="0.2">
      <c r="E1684" s="50"/>
      <c r="H1684" s="12"/>
      <c r="K1684"/>
    </row>
    <row r="1685" spans="5:11" x14ac:dyDescent="0.2">
      <c r="E1685" s="50"/>
      <c r="H1685" s="12"/>
      <c r="K1685"/>
    </row>
    <row r="1686" spans="5:11" x14ac:dyDescent="0.2">
      <c r="E1686" s="50"/>
      <c r="H1686" s="12"/>
      <c r="K1686"/>
    </row>
    <row r="1687" spans="5:11" x14ac:dyDescent="0.2">
      <c r="E1687" s="50"/>
      <c r="H1687" s="12"/>
      <c r="K1687"/>
    </row>
    <row r="1688" spans="5:11" x14ac:dyDescent="0.2">
      <c r="E1688" s="50"/>
      <c r="H1688" s="12"/>
      <c r="K1688"/>
    </row>
    <row r="1689" spans="5:11" x14ac:dyDescent="0.2">
      <c r="E1689" s="50"/>
      <c r="H1689" s="12"/>
      <c r="K1689"/>
    </row>
    <row r="1690" spans="5:11" x14ac:dyDescent="0.2">
      <c r="E1690" s="50"/>
      <c r="H1690" s="12"/>
      <c r="K1690"/>
    </row>
    <row r="1691" spans="5:11" x14ac:dyDescent="0.2">
      <c r="E1691" s="50"/>
      <c r="H1691" s="12"/>
      <c r="K1691"/>
    </row>
    <row r="1692" spans="5:11" x14ac:dyDescent="0.2">
      <c r="E1692" s="50"/>
      <c r="H1692" s="12"/>
      <c r="K1692"/>
    </row>
    <row r="1693" spans="5:11" x14ac:dyDescent="0.2">
      <c r="E1693" s="50"/>
      <c r="H1693" s="12"/>
      <c r="K1693"/>
    </row>
    <row r="1694" spans="5:11" x14ac:dyDescent="0.2">
      <c r="E1694" s="50"/>
      <c r="H1694" s="12"/>
      <c r="K1694"/>
    </row>
    <row r="1695" spans="5:11" x14ac:dyDescent="0.2">
      <c r="E1695" s="50"/>
      <c r="H1695" s="12"/>
      <c r="K1695"/>
    </row>
    <row r="1696" spans="5:11" x14ac:dyDescent="0.2">
      <c r="E1696" s="50"/>
      <c r="H1696" s="12"/>
      <c r="K1696"/>
    </row>
    <row r="1697" spans="5:11" x14ac:dyDescent="0.2">
      <c r="E1697" s="50"/>
      <c r="H1697" s="12"/>
      <c r="K1697"/>
    </row>
    <row r="1698" spans="5:11" x14ac:dyDescent="0.2">
      <c r="E1698" s="50"/>
      <c r="H1698" s="12"/>
      <c r="K1698"/>
    </row>
    <row r="1699" spans="5:11" x14ac:dyDescent="0.2">
      <c r="E1699" s="50"/>
      <c r="H1699" s="12"/>
      <c r="K1699"/>
    </row>
    <row r="1700" spans="5:11" x14ac:dyDescent="0.2">
      <c r="E1700" s="50"/>
      <c r="H1700" s="12"/>
      <c r="K1700"/>
    </row>
    <row r="1701" spans="5:11" x14ac:dyDescent="0.2">
      <c r="E1701" s="50"/>
      <c r="H1701" s="12"/>
      <c r="K1701"/>
    </row>
    <row r="1702" spans="5:11" x14ac:dyDescent="0.2">
      <c r="E1702" s="50"/>
      <c r="H1702" s="12"/>
      <c r="K1702"/>
    </row>
    <row r="1703" spans="5:11" x14ac:dyDescent="0.2">
      <c r="E1703" s="50"/>
      <c r="H1703" s="12"/>
      <c r="K1703"/>
    </row>
    <row r="1704" spans="5:11" x14ac:dyDescent="0.2">
      <c r="E1704" s="50"/>
      <c r="H1704" s="12"/>
      <c r="K1704"/>
    </row>
    <row r="1705" spans="5:11" x14ac:dyDescent="0.2">
      <c r="E1705" s="50"/>
      <c r="H1705" s="12"/>
      <c r="K1705"/>
    </row>
    <row r="1706" spans="5:11" x14ac:dyDescent="0.2">
      <c r="E1706" s="50"/>
      <c r="H1706" s="12"/>
      <c r="K1706"/>
    </row>
    <row r="1707" spans="5:11" x14ac:dyDescent="0.2">
      <c r="E1707" s="50"/>
      <c r="H1707" s="12"/>
      <c r="K1707"/>
    </row>
    <row r="1708" spans="5:11" x14ac:dyDescent="0.2">
      <c r="E1708" s="50"/>
      <c r="H1708" s="12"/>
      <c r="K1708"/>
    </row>
    <row r="1709" spans="5:11" x14ac:dyDescent="0.2">
      <c r="E1709" s="50"/>
      <c r="H1709" s="12"/>
      <c r="K1709"/>
    </row>
    <row r="1710" spans="5:11" x14ac:dyDescent="0.2">
      <c r="E1710" s="50"/>
      <c r="H1710" s="12"/>
      <c r="K1710"/>
    </row>
    <row r="1711" spans="5:11" x14ac:dyDescent="0.2">
      <c r="E1711" s="50"/>
      <c r="H1711" s="12"/>
      <c r="K1711"/>
    </row>
    <row r="1712" spans="5:11" x14ac:dyDescent="0.2">
      <c r="E1712" s="50"/>
      <c r="H1712" s="12"/>
      <c r="K1712"/>
    </row>
    <row r="1713" spans="5:11" x14ac:dyDescent="0.2">
      <c r="E1713" s="50"/>
      <c r="H1713" s="12"/>
      <c r="K1713"/>
    </row>
    <row r="1714" spans="5:11" x14ac:dyDescent="0.2">
      <c r="E1714" s="50"/>
      <c r="H1714" s="12"/>
      <c r="K1714"/>
    </row>
    <row r="1715" spans="5:11" x14ac:dyDescent="0.2">
      <c r="E1715" s="50"/>
      <c r="H1715" s="12"/>
      <c r="K1715"/>
    </row>
    <row r="1716" spans="5:11" x14ac:dyDescent="0.2">
      <c r="E1716" s="50"/>
      <c r="H1716" s="12"/>
      <c r="K1716"/>
    </row>
    <row r="1717" spans="5:11" x14ac:dyDescent="0.2">
      <c r="E1717" s="50"/>
      <c r="H1717" s="12"/>
      <c r="K1717"/>
    </row>
    <row r="1718" spans="5:11" x14ac:dyDescent="0.2">
      <c r="E1718" s="50"/>
      <c r="H1718" s="12"/>
      <c r="K1718"/>
    </row>
    <row r="1719" spans="5:11" x14ac:dyDescent="0.2">
      <c r="E1719" s="50"/>
      <c r="H1719" s="12"/>
      <c r="K1719"/>
    </row>
    <row r="1720" spans="5:11" x14ac:dyDescent="0.2">
      <c r="E1720" s="50"/>
      <c r="H1720" s="12"/>
      <c r="K1720"/>
    </row>
    <row r="1721" spans="5:11" x14ac:dyDescent="0.2">
      <c r="E1721" s="50"/>
      <c r="H1721" s="12"/>
      <c r="K1721"/>
    </row>
    <row r="1722" spans="5:11" x14ac:dyDescent="0.2">
      <c r="E1722" s="50"/>
      <c r="H1722" s="12"/>
      <c r="K1722"/>
    </row>
    <row r="1723" spans="5:11" x14ac:dyDescent="0.2">
      <c r="E1723" s="50"/>
      <c r="H1723" s="12"/>
      <c r="K1723"/>
    </row>
    <row r="1724" spans="5:11" x14ac:dyDescent="0.2">
      <c r="E1724" s="50"/>
      <c r="H1724" s="12"/>
      <c r="K1724"/>
    </row>
    <row r="1725" spans="5:11" x14ac:dyDescent="0.2">
      <c r="E1725" s="50"/>
      <c r="H1725" s="12"/>
      <c r="K1725"/>
    </row>
    <row r="1726" spans="5:11" x14ac:dyDescent="0.2">
      <c r="E1726" s="50"/>
      <c r="H1726" s="12"/>
      <c r="K1726"/>
    </row>
    <row r="1727" spans="5:11" x14ac:dyDescent="0.2">
      <c r="E1727" s="50"/>
      <c r="H1727" s="12"/>
      <c r="K1727"/>
    </row>
    <row r="1728" spans="5:11" x14ac:dyDescent="0.2">
      <c r="E1728" s="50"/>
      <c r="H1728" s="12"/>
      <c r="K1728"/>
    </row>
    <row r="1729" spans="5:11" x14ac:dyDescent="0.2">
      <c r="E1729" s="50"/>
      <c r="H1729" s="12"/>
      <c r="K1729"/>
    </row>
    <row r="1730" spans="5:11" x14ac:dyDescent="0.2">
      <c r="E1730" s="50"/>
      <c r="H1730" s="12"/>
      <c r="K1730"/>
    </row>
    <row r="1731" spans="5:11" x14ac:dyDescent="0.2">
      <c r="E1731" s="50"/>
      <c r="H1731" s="12"/>
      <c r="K1731"/>
    </row>
    <row r="1732" spans="5:11" x14ac:dyDescent="0.2">
      <c r="E1732" s="50"/>
      <c r="H1732" s="12"/>
      <c r="K1732"/>
    </row>
    <row r="1733" spans="5:11" x14ac:dyDescent="0.2">
      <c r="E1733" s="50"/>
      <c r="H1733" s="12"/>
      <c r="K1733"/>
    </row>
    <row r="1734" spans="5:11" x14ac:dyDescent="0.2">
      <c r="E1734" s="50"/>
      <c r="H1734" s="12"/>
      <c r="K1734"/>
    </row>
    <row r="1735" spans="5:11" x14ac:dyDescent="0.2">
      <c r="E1735" s="50"/>
      <c r="H1735" s="12"/>
      <c r="K1735"/>
    </row>
    <row r="1736" spans="5:11" x14ac:dyDescent="0.2">
      <c r="E1736" s="50"/>
      <c r="H1736" s="12"/>
      <c r="K1736"/>
    </row>
    <row r="1737" spans="5:11" x14ac:dyDescent="0.2">
      <c r="E1737" s="50"/>
      <c r="H1737" s="12"/>
      <c r="K1737"/>
    </row>
    <row r="1738" spans="5:11" x14ac:dyDescent="0.2">
      <c r="E1738" s="50"/>
      <c r="H1738" s="12"/>
      <c r="K1738"/>
    </row>
    <row r="1739" spans="5:11" x14ac:dyDescent="0.2">
      <c r="E1739" s="50"/>
      <c r="H1739" s="12"/>
      <c r="K1739"/>
    </row>
    <row r="1740" spans="5:11" x14ac:dyDescent="0.2">
      <c r="E1740" s="50"/>
      <c r="H1740" s="12"/>
      <c r="K1740"/>
    </row>
    <row r="1741" spans="5:11" x14ac:dyDescent="0.2">
      <c r="E1741" s="50"/>
      <c r="H1741" s="12"/>
      <c r="K1741"/>
    </row>
    <row r="1742" spans="5:11" x14ac:dyDescent="0.2">
      <c r="E1742" s="50"/>
      <c r="H1742" s="12"/>
      <c r="K1742"/>
    </row>
    <row r="1743" spans="5:11" x14ac:dyDescent="0.2">
      <c r="E1743" s="50"/>
      <c r="H1743" s="12"/>
      <c r="K1743"/>
    </row>
    <row r="1744" spans="5:11" x14ac:dyDescent="0.2">
      <c r="E1744" s="50"/>
      <c r="H1744" s="12"/>
      <c r="K1744"/>
    </row>
    <row r="1745" spans="5:11" x14ac:dyDescent="0.2">
      <c r="E1745" s="50"/>
      <c r="H1745" s="12"/>
      <c r="K1745"/>
    </row>
    <row r="1746" spans="5:11" x14ac:dyDescent="0.2">
      <c r="E1746" s="50"/>
      <c r="H1746" s="12"/>
      <c r="K1746"/>
    </row>
    <row r="1747" spans="5:11" x14ac:dyDescent="0.2">
      <c r="E1747" s="50"/>
      <c r="H1747" s="12"/>
      <c r="K1747"/>
    </row>
    <row r="1748" spans="5:11" x14ac:dyDescent="0.2">
      <c r="E1748" s="50"/>
      <c r="H1748" s="12"/>
      <c r="K1748"/>
    </row>
    <row r="1749" spans="5:11" x14ac:dyDescent="0.2">
      <c r="E1749" s="50"/>
      <c r="H1749" s="12"/>
      <c r="K1749"/>
    </row>
    <row r="1750" spans="5:11" x14ac:dyDescent="0.2">
      <c r="E1750" s="50"/>
      <c r="H1750" s="12"/>
      <c r="K1750"/>
    </row>
    <row r="1751" spans="5:11" x14ac:dyDescent="0.2">
      <c r="E1751" s="50"/>
      <c r="H1751" s="12"/>
      <c r="K1751"/>
    </row>
    <row r="1752" spans="5:11" x14ac:dyDescent="0.2">
      <c r="E1752" s="50"/>
      <c r="H1752" s="12"/>
      <c r="K1752"/>
    </row>
    <row r="1753" spans="5:11" x14ac:dyDescent="0.2">
      <c r="E1753" s="50"/>
      <c r="H1753" s="12"/>
      <c r="K1753"/>
    </row>
    <row r="1754" spans="5:11" x14ac:dyDescent="0.2">
      <c r="E1754" s="50"/>
      <c r="H1754" s="12"/>
      <c r="K1754"/>
    </row>
    <row r="1755" spans="5:11" x14ac:dyDescent="0.2">
      <c r="E1755" s="50"/>
      <c r="H1755" s="12"/>
      <c r="K1755"/>
    </row>
    <row r="1756" spans="5:11" x14ac:dyDescent="0.2">
      <c r="E1756" s="50"/>
      <c r="H1756" s="12"/>
      <c r="K1756"/>
    </row>
    <row r="1757" spans="5:11" x14ac:dyDescent="0.2">
      <c r="E1757" s="50"/>
      <c r="H1757" s="12"/>
      <c r="K1757"/>
    </row>
    <row r="1758" spans="5:11" x14ac:dyDescent="0.2">
      <c r="E1758" s="50"/>
      <c r="H1758" s="12"/>
      <c r="K1758"/>
    </row>
    <row r="1759" spans="5:11" x14ac:dyDescent="0.2">
      <c r="E1759" s="50"/>
      <c r="H1759" s="12"/>
      <c r="K1759"/>
    </row>
    <row r="1760" spans="5:11" x14ac:dyDescent="0.2">
      <c r="E1760" s="50"/>
      <c r="H1760" s="12"/>
      <c r="K1760"/>
    </row>
    <row r="1761" spans="5:11" x14ac:dyDescent="0.2">
      <c r="E1761" s="50"/>
      <c r="H1761" s="12"/>
      <c r="K1761"/>
    </row>
    <row r="1762" spans="5:11" x14ac:dyDescent="0.2">
      <c r="E1762" s="50"/>
      <c r="H1762" s="12"/>
      <c r="K1762"/>
    </row>
    <row r="1763" spans="5:11" x14ac:dyDescent="0.2">
      <c r="E1763" s="50"/>
      <c r="H1763" s="12"/>
      <c r="K1763"/>
    </row>
    <row r="1764" spans="5:11" x14ac:dyDescent="0.2">
      <c r="E1764" s="50"/>
      <c r="H1764" s="12"/>
      <c r="K1764"/>
    </row>
    <row r="1765" spans="5:11" x14ac:dyDescent="0.2">
      <c r="E1765" s="50"/>
      <c r="H1765" s="12"/>
      <c r="K1765"/>
    </row>
    <row r="1766" spans="5:11" x14ac:dyDescent="0.2">
      <c r="E1766" s="50"/>
      <c r="H1766" s="12"/>
      <c r="K1766"/>
    </row>
    <row r="1767" spans="5:11" x14ac:dyDescent="0.2">
      <c r="E1767" s="50"/>
      <c r="H1767" s="12"/>
      <c r="K1767"/>
    </row>
    <row r="1768" spans="5:11" x14ac:dyDescent="0.2">
      <c r="E1768" s="50"/>
      <c r="H1768" s="12"/>
      <c r="K1768"/>
    </row>
    <row r="1769" spans="5:11" x14ac:dyDescent="0.2">
      <c r="E1769" s="50"/>
      <c r="H1769" s="12"/>
      <c r="K1769"/>
    </row>
    <row r="1770" spans="5:11" x14ac:dyDescent="0.2">
      <c r="E1770" s="50"/>
      <c r="H1770" s="12"/>
      <c r="K1770"/>
    </row>
    <row r="1771" spans="5:11" x14ac:dyDescent="0.2">
      <c r="E1771" s="50"/>
      <c r="H1771" s="12"/>
      <c r="K1771"/>
    </row>
    <row r="1772" spans="5:11" x14ac:dyDescent="0.2">
      <c r="E1772" s="50"/>
      <c r="H1772" s="12"/>
      <c r="K1772"/>
    </row>
    <row r="1773" spans="5:11" x14ac:dyDescent="0.2">
      <c r="E1773" s="50"/>
      <c r="H1773" s="12"/>
      <c r="K1773"/>
    </row>
    <row r="1774" spans="5:11" x14ac:dyDescent="0.2">
      <c r="E1774" s="50"/>
      <c r="H1774" s="12"/>
      <c r="K1774"/>
    </row>
    <row r="1775" spans="5:11" x14ac:dyDescent="0.2">
      <c r="E1775" s="50"/>
      <c r="H1775" s="12"/>
      <c r="K1775"/>
    </row>
    <row r="1776" spans="5:11" x14ac:dyDescent="0.2">
      <c r="E1776" s="50"/>
      <c r="H1776" s="12"/>
      <c r="K1776"/>
    </row>
    <row r="1777" spans="5:11" x14ac:dyDescent="0.2">
      <c r="E1777" s="50"/>
      <c r="H1777" s="12"/>
      <c r="K1777"/>
    </row>
    <row r="1778" spans="5:11" x14ac:dyDescent="0.2">
      <c r="E1778" s="50"/>
      <c r="H1778" s="12"/>
      <c r="K1778"/>
    </row>
    <row r="1779" spans="5:11" x14ac:dyDescent="0.2">
      <c r="E1779" s="50"/>
      <c r="H1779" s="12"/>
      <c r="K1779"/>
    </row>
    <row r="1780" spans="5:11" x14ac:dyDescent="0.2">
      <c r="E1780" s="50"/>
      <c r="H1780" s="12"/>
      <c r="K1780"/>
    </row>
    <row r="1781" spans="5:11" x14ac:dyDescent="0.2">
      <c r="E1781" s="50"/>
      <c r="H1781" s="12"/>
      <c r="K1781"/>
    </row>
    <row r="1782" spans="5:11" x14ac:dyDescent="0.2">
      <c r="E1782" s="50"/>
      <c r="H1782" s="12"/>
      <c r="K1782"/>
    </row>
    <row r="1783" spans="5:11" x14ac:dyDescent="0.2">
      <c r="E1783" s="50"/>
      <c r="H1783" s="12"/>
      <c r="K1783"/>
    </row>
    <row r="1784" spans="5:11" x14ac:dyDescent="0.2">
      <c r="E1784" s="50"/>
      <c r="H1784" s="12"/>
      <c r="K1784"/>
    </row>
    <row r="1785" spans="5:11" x14ac:dyDescent="0.2">
      <c r="E1785" s="50"/>
      <c r="H1785" s="12"/>
      <c r="K1785"/>
    </row>
    <row r="1786" spans="5:11" x14ac:dyDescent="0.2">
      <c r="E1786" s="50"/>
      <c r="H1786" s="12"/>
      <c r="K1786"/>
    </row>
    <row r="1787" spans="5:11" x14ac:dyDescent="0.2">
      <c r="E1787" s="50"/>
      <c r="H1787" s="12"/>
      <c r="K1787"/>
    </row>
    <row r="1788" spans="5:11" x14ac:dyDescent="0.2">
      <c r="E1788" s="50"/>
      <c r="H1788" s="12"/>
      <c r="K1788"/>
    </row>
    <row r="1789" spans="5:11" x14ac:dyDescent="0.2">
      <c r="E1789" s="50"/>
      <c r="H1789" s="12"/>
      <c r="K1789"/>
    </row>
    <row r="1790" spans="5:11" x14ac:dyDescent="0.2">
      <c r="E1790" s="50"/>
      <c r="H1790" s="12"/>
      <c r="K1790"/>
    </row>
    <row r="1791" spans="5:11" x14ac:dyDescent="0.2">
      <c r="E1791" s="50"/>
      <c r="H1791" s="12"/>
      <c r="K1791"/>
    </row>
    <row r="1792" spans="5:11" x14ac:dyDescent="0.2">
      <c r="E1792" s="50"/>
      <c r="H1792" s="12"/>
      <c r="K1792"/>
    </row>
    <row r="1793" spans="5:11" x14ac:dyDescent="0.2">
      <c r="E1793" s="50"/>
      <c r="H1793" s="12"/>
      <c r="K1793"/>
    </row>
    <row r="1794" spans="5:11" x14ac:dyDescent="0.2">
      <c r="E1794" s="50"/>
      <c r="H1794" s="12"/>
      <c r="K1794"/>
    </row>
    <row r="1795" spans="5:11" x14ac:dyDescent="0.2">
      <c r="E1795" s="50"/>
      <c r="H1795" s="12"/>
      <c r="K1795"/>
    </row>
    <row r="1796" spans="5:11" x14ac:dyDescent="0.2">
      <c r="E1796" s="50"/>
      <c r="H1796" s="12"/>
      <c r="K1796"/>
    </row>
    <row r="1797" spans="5:11" x14ac:dyDescent="0.2">
      <c r="E1797" s="50"/>
      <c r="H1797" s="12"/>
      <c r="K1797"/>
    </row>
    <row r="1798" spans="5:11" x14ac:dyDescent="0.2">
      <c r="E1798" s="50"/>
      <c r="H1798" s="12"/>
      <c r="K1798"/>
    </row>
    <row r="1799" spans="5:11" x14ac:dyDescent="0.2">
      <c r="E1799" s="50"/>
      <c r="H1799" s="12"/>
      <c r="K1799"/>
    </row>
    <row r="1800" spans="5:11" x14ac:dyDescent="0.2">
      <c r="E1800" s="50"/>
      <c r="H1800" s="12"/>
      <c r="K1800"/>
    </row>
    <row r="1801" spans="5:11" x14ac:dyDescent="0.2">
      <c r="E1801" s="50"/>
      <c r="H1801" s="12"/>
      <c r="K1801"/>
    </row>
    <row r="1802" spans="5:11" x14ac:dyDescent="0.2">
      <c r="E1802" s="50"/>
      <c r="H1802" s="12"/>
      <c r="K1802"/>
    </row>
    <row r="1803" spans="5:11" x14ac:dyDescent="0.2">
      <c r="E1803" s="50"/>
      <c r="H1803" s="12"/>
      <c r="K1803"/>
    </row>
    <row r="1804" spans="5:11" x14ac:dyDescent="0.2">
      <c r="E1804" s="50"/>
      <c r="H1804" s="12"/>
      <c r="K1804"/>
    </row>
    <row r="1805" spans="5:11" x14ac:dyDescent="0.2">
      <c r="E1805" s="50"/>
      <c r="H1805" s="12"/>
      <c r="K1805"/>
    </row>
    <row r="1806" spans="5:11" x14ac:dyDescent="0.2">
      <c r="E1806" s="50"/>
      <c r="H1806" s="12"/>
      <c r="K1806"/>
    </row>
    <row r="1807" spans="5:11" x14ac:dyDescent="0.2">
      <c r="E1807" s="50"/>
      <c r="H1807" s="12"/>
      <c r="K1807"/>
    </row>
    <row r="1808" spans="5:11" x14ac:dyDescent="0.2">
      <c r="E1808" s="50"/>
      <c r="H1808" s="12"/>
      <c r="K1808"/>
    </row>
    <row r="1809" spans="5:11" x14ac:dyDescent="0.2">
      <c r="E1809" s="50"/>
      <c r="H1809" s="12"/>
      <c r="K1809"/>
    </row>
    <row r="1810" spans="5:11" x14ac:dyDescent="0.2">
      <c r="E1810" s="50"/>
      <c r="H1810" s="12"/>
      <c r="K1810"/>
    </row>
    <row r="1811" spans="5:11" x14ac:dyDescent="0.2">
      <c r="E1811" s="50"/>
      <c r="H1811" s="12"/>
      <c r="K1811"/>
    </row>
    <row r="1812" spans="5:11" x14ac:dyDescent="0.2">
      <c r="E1812" s="50"/>
      <c r="H1812" s="12"/>
      <c r="K1812"/>
    </row>
    <row r="1813" spans="5:11" x14ac:dyDescent="0.2">
      <c r="E1813" s="50"/>
      <c r="H1813" s="12"/>
      <c r="K1813"/>
    </row>
    <row r="1814" spans="5:11" x14ac:dyDescent="0.2">
      <c r="E1814" s="50"/>
      <c r="H1814" s="12"/>
      <c r="K1814"/>
    </row>
    <row r="1815" spans="5:11" x14ac:dyDescent="0.2">
      <c r="E1815" s="50"/>
      <c r="H1815" s="12"/>
      <c r="K1815"/>
    </row>
    <row r="1816" spans="5:11" x14ac:dyDescent="0.2">
      <c r="E1816" s="50"/>
      <c r="H1816" s="12"/>
      <c r="K1816"/>
    </row>
    <row r="1817" spans="5:11" x14ac:dyDescent="0.2">
      <c r="E1817" s="50"/>
      <c r="H1817" s="12"/>
      <c r="K1817"/>
    </row>
    <row r="1818" spans="5:11" x14ac:dyDescent="0.2">
      <c r="E1818" s="50"/>
      <c r="H1818" s="12"/>
      <c r="K1818"/>
    </row>
    <row r="1819" spans="5:11" x14ac:dyDescent="0.2">
      <c r="E1819" s="50"/>
      <c r="H1819" s="12"/>
      <c r="K1819"/>
    </row>
    <row r="1820" spans="5:11" x14ac:dyDescent="0.2">
      <c r="E1820" s="50"/>
      <c r="H1820" s="12"/>
      <c r="K1820"/>
    </row>
    <row r="1821" spans="5:11" x14ac:dyDescent="0.2">
      <c r="E1821" s="50"/>
      <c r="H1821" s="12"/>
      <c r="K1821"/>
    </row>
    <row r="1822" spans="5:11" x14ac:dyDescent="0.2">
      <c r="E1822" s="50"/>
      <c r="H1822" s="12"/>
      <c r="K1822"/>
    </row>
    <row r="1823" spans="5:11" x14ac:dyDescent="0.2">
      <c r="E1823" s="50"/>
      <c r="H1823" s="12"/>
      <c r="K1823"/>
    </row>
    <row r="1824" spans="5:11" x14ac:dyDescent="0.2">
      <c r="E1824" s="50"/>
      <c r="H1824" s="12"/>
      <c r="K1824"/>
    </row>
    <row r="1825" spans="5:11" x14ac:dyDescent="0.2">
      <c r="E1825" s="50"/>
      <c r="H1825" s="12"/>
      <c r="K1825"/>
    </row>
    <row r="1826" spans="5:11" x14ac:dyDescent="0.2">
      <c r="E1826" s="50"/>
      <c r="H1826" s="12"/>
      <c r="K1826"/>
    </row>
    <row r="1827" spans="5:11" x14ac:dyDescent="0.2">
      <c r="E1827" s="50"/>
      <c r="H1827" s="12"/>
      <c r="K1827"/>
    </row>
    <row r="1828" spans="5:11" x14ac:dyDescent="0.2">
      <c r="E1828" s="50"/>
      <c r="H1828" s="12"/>
      <c r="K1828"/>
    </row>
    <row r="1829" spans="5:11" x14ac:dyDescent="0.2">
      <c r="E1829" s="50"/>
      <c r="H1829" s="12"/>
      <c r="K1829"/>
    </row>
    <row r="1830" spans="5:11" x14ac:dyDescent="0.2">
      <c r="E1830" s="50"/>
      <c r="H1830" s="12"/>
      <c r="K1830"/>
    </row>
    <row r="1831" spans="5:11" x14ac:dyDescent="0.2">
      <c r="E1831" s="50"/>
      <c r="H1831" s="12"/>
      <c r="K1831"/>
    </row>
    <row r="1832" spans="5:11" x14ac:dyDescent="0.2">
      <c r="E1832" s="50"/>
      <c r="H1832" s="12"/>
      <c r="K1832"/>
    </row>
    <row r="1833" spans="5:11" x14ac:dyDescent="0.2">
      <c r="E1833" s="50"/>
      <c r="H1833" s="12"/>
      <c r="K1833"/>
    </row>
    <row r="1834" spans="5:11" x14ac:dyDescent="0.2">
      <c r="E1834" s="50"/>
      <c r="H1834" s="12"/>
      <c r="K1834"/>
    </row>
    <row r="1835" spans="5:11" x14ac:dyDescent="0.2">
      <c r="E1835" s="50"/>
      <c r="H1835" s="12"/>
      <c r="K1835"/>
    </row>
    <row r="1836" spans="5:11" x14ac:dyDescent="0.2">
      <c r="E1836" s="50"/>
      <c r="H1836" s="12"/>
      <c r="K1836"/>
    </row>
    <row r="1837" spans="5:11" x14ac:dyDescent="0.2">
      <c r="E1837" s="50"/>
      <c r="H1837" s="12"/>
      <c r="K1837"/>
    </row>
    <row r="1838" spans="5:11" x14ac:dyDescent="0.2">
      <c r="E1838" s="50"/>
      <c r="H1838" s="12"/>
      <c r="K1838"/>
    </row>
    <row r="1839" spans="5:11" x14ac:dyDescent="0.2">
      <c r="E1839" s="50"/>
      <c r="H1839" s="12"/>
      <c r="K1839"/>
    </row>
    <row r="1840" spans="5:11" x14ac:dyDescent="0.2">
      <c r="E1840" s="50"/>
      <c r="H1840" s="12"/>
      <c r="K1840"/>
    </row>
    <row r="1841" spans="5:11" x14ac:dyDescent="0.2">
      <c r="E1841" s="50"/>
      <c r="H1841" s="12"/>
      <c r="K1841"/>
    </row>
    <row r="1842" spans="5:11" x14ac:dyDescent="0.2">
      <c r="E1842" s="50"/>
      <c r="H1842" s="12"/>
      <c r="K1842"/>
    </row>
    <row r="1843" spans="5:11" x14ac:dyDescent="0.2">
      <c r="E1843" s="50"/>
      <c r="H1843" s="12"/>
      <c r="K1843"/>
    </row>
    <row r="1844" spans="5:11" x14ac:dyDescent="0.2">
      <c r="E1844" s="50"/>
      <c r="H1844" s="12"/>
      <c r="K1844"/>
    </row>
    <row r="1845" spans="5:11" x14ac:dyDescent="0.2">
      <c r="E1845" s="50"/>
      <c r="H1845" s="12"/>
      <c r="K1845"/>
    </row>
    <row r="1846" spans="5:11" x14ac:dyDescent="0.2">
      <c r="E1846" s="50"/>
      <c r="H1846" s="12"/>
      <c r="K1846"/>
    </row>
    <row r="1847" spans="5:11" x14ac:dyDescent="0.2">
      <c r="E1847" s="50"/>
      <c r="H1847" s="12"/>
      <c r="K1847"/>
    </row>
    <row r="1848" spans="5:11" x14ac:dyDescent="0.2">
      <c r="E1848" s="50"/>
      <c r="H1848" s="12"/>
      <c r="K1848"/>
    </row>
    <row r="1849" spans="5:11" x14ac:dyDescent="0.2">
      <c r="E1849" s="50"/>
      <c r="H1849" s="12"/>
      <c r="K1849"/>
    </row>
    <row r="1850" spans="5:11" x14ac:dyDescent="0.2">
      <c r="E1850" s="50"/>
      <c r="H1850" s="12"/>
      <c r="K1850"/>
    </row>
    <row r="1851" spans="5:11" x14ac:dyDescent="0.2">
      <c r="E1851" s="50"/>
      <c r="H1851" s="12"/>
      <c r="K1851"/>
    </row>
    <row r="1852" spans="5:11" x14ac:dyDescent="0.2">
      <c r="E1852" s="50"/>
      <c r="H1852" s="12"/>
      <c r="K1852"/>
    </row>
    <row r="1853" spans="5:11" x14ac:dyDescent="0.2">
      <c r="E1853" s="50"/>
      <c r="H1853" s="12"/>
      <c r="K1853"/>
    </row>
    <row r="1854" spans="5:11" x14ac:dyDescent="0.2">
      <c r="E1854" s="50"/>
      <c r="H1854" s="12"/>
      <c r="K1854"/>
    </row>
    <row r="1855" spans="5:11" x14ac:dyDescent="0.2">
      <c r="E1855" s="50"/>
      <c r="H1855" s="12"/>
      <c r="K1855"/>
    </row>
    <row r="1856" spans="5:11" x14ac:dyDescent="0.2">
      <c r="E1856" s="50"/>
      <c r="H1856" s="12"/>
      <c r="K1856"/>
    </row>
    <row r="1857" spans="5:11" x14ac:dyDescent="0.2">
      <c r="E1857" s="50"/>
      <c r="H1857" s="12"/>
      <c r="K1857"/>
    </row>
    <row r="1858" spans="5:11" x14ac:dyDescent="0.2">
      <c r="E1858" s="50"/>
      <c r="H1858" s="12"/>
      <c r="K1858"/>
    </row>
    <row r="1859" spans="5:11" x14ac:dyDescent="0.2">
      <c r="E1859" s="50"/>
      <c r="H1859" s="12"/>
      <c r="K1859"/>
    </row>
    <row r="1860" spans="5:11" x14ac:dyDescent="0.2">
      <c r="E1860" s="50"/>
      <c r="H1860" s="12"/>
      <c r="K1860"/>
    </row>
    <row r="1861" spans="5:11" x14ac:dyDescent="0.2">
      <c r="E1861" s="50"/>
      <c r="H1861" s="12"/>
      <c r="K1861"/>
    </row>
    <row r="1862" spans="5:11" x14ac:dyDescent="0.2">
      <c r="E1862" s="50"/>
      <c r="H1862" s="12"/>
      <c r="K1862"/>
    </row>
    <row r="1863" spans="5:11" x14ac:dyDescent="0.2">
      <c r="E1863" s="50"/>
      <c r="H1863" s="12"/>
      <c r="K1863"/>
    </row>
    <row r="1864" spans="5:11" x14ac:dyDescent="0.2">
      <c r="E1864" s="50"/>
      <c r="H1864" s="12"/>
      <c r="K1864"/>
    </row>
    <row r="1865" spans="5:11" x14ac:dyDescent="0.2">
      <c r="E1865" s="50"/>
      <c r="H1865" s="12"/>
      <c r="K1865"/>
    </row>
    <row r="1866" spans="5:11" x14ac:dyDescent="0.2">
      <c r="E1866" s="50"/>
      <c r="H1866" s="12"/>
      <c r="K1866"/>
    </row>
    <row r="1867" spans="5:11" x14ac:dyDescent="0.2">
      <c r="E1867" s="50"/>
      <c r="H1867" s="12"/>
      <c r="K1867"/>
    </row>
    <row r="1868" spans="5:11" x14ac:dyDescent="0.2">
      <c r="E1868" s="50"/>
      <c r="H1868" s="12"/>
      <c r="K1868"/>
    </row>
    <row r="1869" spans="5:11" x14ac:dyDescent="0.2">
      <c r="E1869" s="50"/>
      <c r="H1869" s="12"/>
      <c r="K1869"/>
    </row>
    <row r="1870" spans="5:11" x14ac:dyDescent="0.2">
      <c r="E1870" s="50"/>
      <c r="H1870" s="12"/>
      <c r="K1870"/>
    </row>
    <row r="1871" spans="5:11" x14ac:dyDescent="0.2">
      <c r="E1871" s="50"/>
      <c r="H1871" s="12"/>
      <c r="K1871"/>
    </row>
    <row r="1872" spans="5:11" x14ac:dyDescent="0.2">
      <c r="E1872" s="50"/>
      <c r="H1872" s="12"/>
      <c r="K1872"/>
    </row>
    <row r="1873" spans="5:11" x14ac:dyDescent="0.2">
      <c r="E1873" s="50"/>
      <c r="H1873" s="12"/>
      <c r="K1873"/>
    </row>
    <row r="1874" spans="5:11" x14ac:dyDescent="0.2">
      <c r="E1874" s="50"/>
      <c r="H1874" s="12"/>
      <c r="K1874"/>
    </row>
    <row r="1875" spans="5:11" x14ac:dyDescent="0.2">
      <c r="E1875" s="50"/>
      <c r="H1875" s="12"/>
      <c r="K1875"/>
    </row>
    <row r="1876" spans="5:11" x14ac:dyDescent="0.2">
      <c r="E1876" s="50"/>
      <c r="H1876" s="12"/>
      <c r="K1876"/>
    </row>
    <row r="1877" spans="5:11" x14ac:dyDescent="0.2">
      <c r="E1877" s="50"/>
      <c r="H1877" s="12"/>
      <c r="K1877"/>
    </row>
    <row r="1878" spans="5:11" x14ac:dyDescent="0.2">
      <c r="E1878" s="50"/>
      <c r="H1878" s="12"/>
      <c r="K1878"/>
    </row>
    <row r="1879" spans="5:11" x14ac:dyDescent="0.2">
      <c r="E1879" s="50"/>
      <c r="H1879" s="12"/>
      <c r="K1879"/>
    </row>
    <row r="1880" spans="5:11" x14ac:dyDescent="0.2">
      <c r="E1880" s="50"/>
      <c r="H1880" s="12"/>
      <c r="K1880"/>
    </row>
    <row r="1881" spans="5:11" x14ac:dyDescent="0.2">
      <c r="E1881" s="50"/>
      <c r="H1881" s="12"/>
      <c r="K1881"/>
    </row>
    <row r="1882" spans="5:11" x14ac:dyDescent="0.2">
      <c r="E1882" s="50"/>
      <c r="H1882" s="12"/>
      <c r="K1882"/>
    </row>
    <row r="1883" spans="5:11" x14ac:dyDescent="0.2">
      <c r="E1883" s="50"/>
      <c r="H1883" s="12"/>
      <c r="K1883"/>
    </row>
    <row r="1884" spans="5:11" x14ac:dyDescent="0.2">
      <c r="E1884" s="50"/>
      <c r="H1884" s="12"/>
      <c r="K1884"/>
    </row>
    <row r="1885" spans="5:11" x14ac:dyDescent="0.2">
      <c r="E1885" s="50"/>
      <c r="H1885" s="12"/>
      <c r="K1885"/>
    </row>
    <row r="1886" spans="5:11" x14ac:dyDescent="0.2">
      <c r="E1886" s="50"/>
      <c r="H1886" s="12"/>
      <c r="K1886"/>
    </row>
    <row r="1887" spans="5:11" x14ac:dyDescent="0.2">
      <c r="E1887" s="50"/>
      <c r="H1887" s="12"/>
      <c r="K1887"/>
    </row>
    <row r="1888" spans="5:11" x14ac:dyDescent="0.2">
      <c r="E1888" s="50"/>
      <c r="H1888" s="12"/>
      <c r="K1888"/>
    </row>
    <row r="1889" spans="5:11" x14ac:dyDescent="0.2">
      <c r="E1889" s="50"/>
      <c r="H1889" s="12"/>
      <c r="K1889"/>
    </row>
    <row r="1890" spans="5:11" x14ac:dyDescent="0.2">
      <c r="E1890" s="50"/>
      <c r="H1890" s="12"/>
      <c r="K1890"/>
    </row>
    <row r="1891" spans="5:11" x14ac:dyDescent="0.2">
      <c r="E1891" s="50"/>
      <c r="H1891" s="12"/>
      <c r="K1891"/>
    </row>
    <row r="1892" spans="5:11" x14ac:dyDescent="0.2">
      <c r="E1892" s="50"/>
      <c r="H1892" s="12"/>
      <c r="K1892"/>
    </row>
    <row r="1893" spans="5:11" x14ac:dyDescent="0.2">
      <c r="E1893" s="50"/>
      <c r="H1893" s="12"/>
      <c r="K1893"/>
    </row>
    <row r="1894" spans="5:11" x14ac:dyDescent="0.2">
      <c r="E1894" s="50"/>
      <c r="H1894" s="12"/>
      <c r="K1894"/>
    </row>
    <row r="1895" spans="5:11" x14ac:dyDescent="0.2">
      <c r="E1895" s="50"/>
      <c r="H1895" s="12"/>
      <c r="K1895"/>
    </row>
    <row r="1896" spans="5:11" x14ac:dyDescent="0.2">
      <c r="E1896" s="50"/>
      <c r="H1896" s="12"/>
      <c r="K1896"/>
    </row>
    <row r="1897" spans="5:11" x14ac:dyDescent="0.2">
      <c r="E1897" s="50"/>
      <c r="H1897" s="12"/>
      <c r="K1897"/>
    </row>
    <row r="1898" spans="5:11" x14ac:dyDescent="0.2">
      <c r="E1898" s="50"/>
      <c r="H1898" s="12"/>
      <c r="K1898"/>
    </row>
    <row r="1899" spans="5:11" x14ac:dyDescent="0.2">
      <c r="E1899" s="50"/>
      <c r="H1899" s="12"/>
      <c r="K1899"/>
    </row>
    <row r="1900" spans="5:11" x14ac:dyDescent="0.2">
      <c r="E1900" s="50"/>
      <c r="H1900" s="12"/>
      <c r="K1900"/>
    </row>
    <row r="1901" spans="5:11" x14ac:dyDescent="0.2">
      <c r="E1901" s="50"/>
      <c r="H1901" s="12"/>
      <c r="K1901"/>
    </row>
    <row r="1902" spans="5:11" x14ac:dyDescent="0.2">
      <c r="E1902" s="50"/>
      <c r="H1902" s="12"/>
      <c r="K1902"/>
    </row>
    <row r="1903" spans="5:11" x14ac:dyDescent="0.2">
      <c r="E1903" s="50"/>
      <c r="H1903" s="12"/>
      <c r="K1903"/>
    </row>
    <row r="1904" spans="5:11" x14ac:dyDescent="0.2">
      <c r="E1904" s="50"/>
      <c r="H1904" s="12"/>
      <c r="K1904"/>
    </row>
    <row r="1905" spans="5:11" x14ac:dyDescent="0.2">
      <c r="E1905" s="50"/>
      <c r="H1905" s="12"/>
      <c r="K1905"/>
    </row>
    <row r="1906" spans="5:11" x14ac:dyDescent="0.2">
      <c r="E1906" s="50"/>
      <c r="H1906" s="12"/>
      <c r="K1906"/>
    </row>
    <row r="1907" spans="5:11" x14ac:dyDescent="0.2">
      <c r="E1907" s="50"/>
      <c r="H1907" s="12"/>
      <c r="K1907"/>
    </row>
    <row r="1908" spans="5:11" x14ac:dyDescent="0.2">
      <c r="E1908" s="50"/>
      <c r="H1908" s="12"/>
      <c r="K1908"/>
    </row>
    <row r="1909" spans="5:11" x14ac:dyDescent="0.2">
      <c r="E1909" s="50"/>
      <c r="H1909" s="12"/>
      <c r="K1909"/>
    </row>
    <row r="1910" spans="5:11" x14ac:dyDescent="0.2">
      <c r="E1910" s="50"/>
      <c r="H1910" s="12"/>
      <c r="K1910"/>
    </row>
    <row r="1911" spans="5:11" x14ac:dyDescent="0.2">
      <c r="E1911" s="50"/>
      <c r="H1911" s="12"/>
      <c r="K1911"/>
    </row>
    <row r="1912" spans="5:11" x14ac:dyDescent="0.2">
      <c r="E1912" s="50"/>
      <c r="H1912" s="12"/>
      <c r="K1912"/>
    </row>
    <row r="1913" spans="5:11" x14ac:dyDescent="0.2">
      <c r="E1913" s="50"/>
      <c r="H1913" s="12"/>
      <c r="K1913"/>
    </row>
    <row r="1914" spans="5:11" x14ac:dyDescent="0.2">
      <c r="E1914" s="50"/>
      <c r="H1914" s="12"/>
      <c r="K1914"/>
    </row>
    <row r="1915" spans="5:11" x14ac:dyDescent="0.2">
      <c r="E1915" s="50"/>
      <c r="H1915" s="12"/>
      <c r="K1915"/>
    </row>
    <row r="1916" spans="5:11" x14ac:dyDescent="0.2">
      <c r="E1916" s="50"/>
      <c r="H1916" s="12"/>
      <c r="K1916"/>
    </row>
    <row r="1917" spans="5:11" x14ac:dyDescent="0.2">
      <c r="E1917" s="50"/>
      <c r="H1917" s="12"/>
      <c r="K1917"/>
    </row>
    <row r="1918" spans="5:11" x14ac:dyDescent="0.2">
      <c r="E1918" s="50"/>
      <c r="H1918" s="12"/>
      <c r="K1918"/>
    </row>
    <row r="1919" spans="5:11" x14ac:dyDescent="0.2">
      <c r="E1919" s="50"/>
      <c r="H1919" s="12"/>
      <c r="K1919"/>
    </row>
    <row r="1920" spans="5:11" x14ac:dyDescent="0.2">
      <c r="E1920" s="50"/>
      <c r="H1920" s="12"/>
      <c r="K1920"/>
    </row>
    <row r="1921" spans="5:11" x14ac:dyDescent="0.2">
      <c r="E1921" s="50"/>
      <c r="H1921" s="12"/>
      <c r="K1921"/>
    </row>
    <row r="1922" spans="5:11" x14ac:dyDescent="0.2">
      <c r="E1922" s="50"/>
      <c r="H1922" s="12"/>
      <c r="K1922"/>
    </row>
    <row r="1923" spans="5:11" x14ac:dyDescent="0.2">
      <c r="E1923" s="50"/>
      <c r="H1923" s="12"/>
      <c r="K1923"/>
    </row>
    <row r="1924" spans="5:11" x14ac:dyDescent="0.2">
      <c r="E1924" s="50"/>
      <c r="H1924" s="12"/>
      <c r="K1924"/>
    </row>
    <row r="1925" spans="5:11" x14ac:dyDescent="0.2">
      <c r="E1925" s="50"/>
      <c r="H1925" s="12"/>
      <c r="K1925"/>
    </row>
    <row r="1926" spans="5:11" x14ac:dyDescent="0.2">
      <c r="E1926" s="50"/>
      <c r="H1926" s="12"/>
      <c r="K1926"/>
    </row>
    <row r="1927" spans="5:11" x14ac:dyDescent="0.2">
      <c r="E1927" s="50"/>
      <c r="H1927" s="12"/>
      <c r="K1927"/>
    </row>
    <row r="1928" spans="5:11" x14ac:dyDescent="0.2">
      <c r="E1928" s="50"/>
      <c r="H1928" s="12"/>
      <c r="K1928"/>
    </row>
    <row r="1929" spans="5:11" x14ac:dyDescent="0.2">
      <c r="E1929" s="50"/>
      <c r="H1929" s="12"/>
      <c r="K1929"/>
    </row>
    <row r="1930" spans="5:11" x14ac:dyDescent="0.2">
      <c r="E1930" s="50"/>
      <c r="H1930" s="12"/>
      <c r="K1930"/>
    </row>
    <row r="1931" spans="5:11" x14ac:dyDescent="0.2">
      <c r="E1931" s="50"/>
      <c r="H1931" s="12"/>
      <c r="K1931"/>
    </row>
    <row r="1932" spans="5:11" x14ac:dyDescent="0.2">
      <c r="E1932" s="50"/>
      <c r="H1932" s="12"/>
      <c r="K1932"/>
    </row>
    <row r="1933" spans="5:11" x14ac:dyDescent="0.2">
      <c r="E1933" s="50"/>
      <c r="H1933" s="12"/>
      <c r="K1933"/>
    </row>
    <row r="1934" spans="5:11" x14ac:dyDescent="0.2">
      <c r="E1934" s="50"/>
      <c r="H1934" s="12"/>
      <c r="K1934"/>
    </row>
    <row r="1935" spans="5:11" x14ac:dyDescent="0.2">
      <c r="E1935" s="50"/>
      <c r="H1935" s="12"/>
      <c r="K1935"/>
    </row>
    <row r="1936" spans="5:11" x14ac:dyDescent="0.2">
      <c r="E1936" s="50"/>
      <c r="H1936" s="12"/>
      <c r="K1936"/>
    </row>
    <row r="1937" spans="5:11" x14ac:dyDescent="0.2">
      <c r="E1937" s="50"/>
      <c r="H1937" s="12"/>
      <c r="K1937"/>
    </row>
    <row r="1938" spans="5:11" x14ac:dyDescent="0.2">
      <c r="E1938" s="50"/>
      <c r="H1938" s="12"/>
      <c r="K1938"/>
    </row>
    <row r="1939" spans="5:11" x14ac:dyDescent="0.2">
      <c r="E1939" s="50"/>
      <c r="H1939" s="12"/>
      <c r="K1939"/>
    </row>
    <row r="1940" spans="5:11" x14ac:dyDescent="0.2">
      <c r="E1940" s="50"/>
      <c r="H1940" s="12"/>
      <c r="K1940"/>
    </row>
    <row r="1941" spans="5:11" x14ac:dyDescent="0.2">
      <c r="E1941" s="50"/>
      <c r="H1941" s="12"/>
      <c r="K1941"/>
    </row>
    <row r="1942" spans="5:11" x14ac:dyDescent="0.2">
      <c r="E1942" s="50"/>
      <c r="H1942" s="12"/>
      <c r="K1942"/>
    </row>
    <row r="1943" spans="5:11" x14ac:dyDescent="0.2">
      <c r="E1943" s="50"/>
      <c r="H1943" s="12"/>
      <c r="K1943"/>
    </row>
    <row r="1944" spans="5:11" x14ac:dyDescent="0.2">
      <c r="E1944" s="50"/>
      <c r="H1944" s="12"/>
      <c r="K1944"/>
    </row>
    <row r="1945" spans="5:11" x14ac:dyDescent="0.2">
      <c r="E1945" s="50"/>
      <c r="H1945" s="12"/>
      <c r="K1945"/>
    </row>
    <row r="1946" spans="5:11" x14ac:dyDescent="0.2">
      <c r="E1946" s="50"/>
      <c r="H1946" s="12"/>
      <c r="K1946"/>
    </row>
    <row r="1947" spans="5:11" x14ac:dyDescent="0.2">
      <c r="E1947" s="50"/>
      <c r="H1947" s="12"/>
      <c r="K1947"/>
    </row>
    <row r="1948" spans="5:11" x14ac:dyDescent="0.2">
      <c r="E1948" s="50"/>
      <c r="H1948" s="12"/>
      <c r="K1948"/>
    </row>
    <row r="1949" spans="5:11" x14ac:dyDescent="0.2">
      <c r="E1949" s="50"/>
      <c r="H1949" s="12"/>
      <c r="K1949"/>
    </row>
    <row r="1950" spans="5:11" x14ac:dyDescent="0.2">
      <c r="E1950" s="50"/>
      <c r="H1950" s="12"/>
      <c r="K1950"/>
    </row>
    <row r="1951" spans="5:11" x14ac:dyDescent="0.2">
      <c r="E1951" s="50"/>
      <c r="H1951" s="12"/>
      <c r="K1951"/>
    </row>
    <row r="1952" spans="5:11" x14ac:dyDescent="0.2">
      <c r="E1952" s="50"/>
      <c r="H1952" s="12"/>
      <c r="K1952"/>
    </row>
    <row r="1953" spans="5:11" x14ac:dyDescent="0.2">
      <c r="E1953" s="50"/>
      <c r="H1953" s="12"/>
      <c r="K1953"/>
    </row>
    <row r="1954" spans="5:11" x14ac:dyDescent="0.2">
      <c r="E1954" s="50"/>
      <c r="H1954" s="12"/>
      <c r="K1954"/>
    </row>
    <row r="1955" spans="5:11" x14ac:dyDescent="0.2">
      <c r="E1955" s="50"/>
      <c r="H1955" s="12"/>
      <c r="K1955"/>
    </row>
    <row r="1956" spans="5:11" x14ac:dyDescent="0.2">
      <c r="E1956" s="50"/>
      <c r="H1956" s="12"/>
      <c r="K1956"/>
    </row>
    <row r="1957" spans="5:11" x14ac:dyDescent="0.2">
      <c r="E1957" s="50"/>
      <c r="H1957" s="12"/>
      <c r="K1957"/>
    </row>
    <row r="1958" spans="5:11" x14ac:dyDescent="0.2">
      <c r="E1958" s="50"/>
      <c r="H1958" s="12"/>
      <c r="K1958"/>
    </row>
    <row r="1959" spans="5:11" x14ac:dyDescent="0.2">
      <c r="E1959" s="50"/>
      <c r="H1959" s="12"/>
      <c r="K1959"/>
    </row>
    <row r="1960" spans="5:11" x14ac:dyDescent="0.2">
      <c r="E1960" s="50"/>
      <c r="H1960" s="12"/>
      <c r="K1960"/>
    </row>
    <row r="1961" spans="5:11" x14ac:dyDescent="0.2">
      <c r="E1961" s="50"/>
      <c r="H1961" s="12"/>
      <c r="K1961"/>
    </row>
    <row r="1962" spans="5:11" x14ac:dyDescent="0.2">
      <c r="E1962" s="50"/>
      <c r="H1962" s="12"/>
      <c r="K1962"/>
    </row>
    <row r="1963" spans="5:11" x14ac:dyDescent="0.2">
      <c r="E1963" s="50"/>
      <c r="H1963" s="12"/>
      <c r="K1963"/>
    </row>
    <row r="1964" spans="5:11" x14ac:dyDescent="0.2">
      <c r="E1964" s="50"/>
      <c r="H1964" s="12"/>
      <c r="K1964"/>
    </row>
    <row r="1965" spans="5:11" x14ac:dyDescent="0.2">
      <c r="E1965" s="50"/>
      <c r="H1965" s="12"/>
      <c r="K1965"/>
    </row>
    <row r="1966" spans="5:11" x14ac:dyDescent="0.2">
      <c r="E1966" s="50"/>
      <c r="H1966" s="12"/>
      <c r="K1966"/>
    </row>
    <row r="1967" spans="5:11" x14ac:dyDescent="0.2">
      <c r="E1967" s="50"/>
      <c r="H1967" s="12"/>
      <c r="K1967"/>
    </row>
    <row r="1968" spans="5:11" x14ac:dyDescent="0.2">
      <c r="E1968" s="50"/>
      <c r="H1968" s="12"/>
      <c r="K1968"/>
    </row>
    <row r="1969" spans="5:11" x14ac:dyDescent="0.2">
      <c r="E1969" s="50"/>
      <c r="H1969" s="12"/>
      <c r="K1969"/>
    </row>
    <row r="1970" spans="5:11" x14ac:dyDescent="0.2">
      <c r="E1970" s="50"/>
      <c r="H1970" s="12"/>
      <c r="K1970"/>
    </row>
    <row r="1971" spans="5:11" x14ac:dyDescent="0.2">
      <c r="E1971" s="50"/>
      <c r="H1971" s="12"/>
      <c r="K1971"/>
    </row>
    <row r="1972" spans="5:11" x14ac:dyDescent="0.2">
      <c r="E1972" s="50"/>
      <c r="H1972" s="12"/>
      <c r="K1972"/>
    </row>
    <row r="1973" spans="5:11" x14ac:dyDescent="0.2">
      <c r="E1973" s="50"/>
      <c r="H1973" s="12"/>
      <c r="K1973"/>
    </row>
    <row r="1974" spans="5:11" x14ac:dyDescent="0.2">
      <c r="E1974" s="50"/>
      <c r="H1974" s="12"/>
      <c r="K1974"/>
    </row>
    <row r="1975" spans="5:11" x14ac:dyDescent="0.2">
      <c r="E1975" s="50"/>
      <c r="H1975" s="12"/>
      <c r="K1975"/>
    </row>
    <row r="1976" spans="5:11" x14ac:dyDescent="0.2">
      <c r="E1976" s="50"/>
      <c r="H1976" s="12"/>
      <c r="K1976"/>
    </row>
    <row r="1977" spans="5:11" x14ac:dyDescent="0.2">
      <c r="E1977" s="50"/>
      <c r="H1977" s="12"/>
      <c r="K1977"/>
    </row>
    <row r="1978" spans="5:11" x14ac:dyDescent="0.2">
      <c r="E1978" s="50"/>
      <c r="H1978" s="12"/>
      <c r="K1978"/>
    </row>
    <row r="1979" spans="5:11" x14ac:dyDescent="0.2">
      <c r="E1979" s="50"/>
      <c r="H1979" s="12"/>
      <c r="K1979"/>
    </row>
    <row r="1980" spans="5:11" x14ac:dyDescent="0.2">
      <c r="E1980" s="50"/>
      <c r="H1980" s="12"/>
      <c r="K1980"/>
    </row>
    <row r="1981" spans="5:11" x14ac:dyDescent="0.2">
      <c r="E1981" s="50"/>
      <c r="H1981" s="12"/>
      <c r="K1981"/>
    </row>
    <row r="1982" spans="5:11" x14ac:dyDescent="0.2">
      <c r="E1982" s="50"/>
      <c r="H1982" s="12"/>
      <c r="K1982"/>
    </row>
    <row r="1983" spans="5:11" x14ac:dyDescent="0.2">
      <c r="E1983" s="50"/>
      <c r="H1983" s="12"/>
      <c r="K1983"/>
    </row>
    <row r="1984" spans="5:11" x14ac:dyDescent="0.2">
      <c r="E1984" s="50"/>
      <c r="H1984" s="12"/>
      <c r="K1984"/>
    </row>
    <row r="1985" spans="5:11" x14ac:dyDescent="0.2">
      <c r="E1985" s="50"/>
      <c r="H1985" s="12"/>
      <c r="K1985"/>
    </row>
    <row r="1986" spans="5:11" x14ac:dyDescent="0.2">
      <c r="E1986" s="50"/>
      <c r="H1986" s="12"/>
      <c r="K1986"/>
    </row>
    <row r="1987" spans="5:11" x14ac:dyDescent="0.2">
      <c r="E1987" s="50"/>
      <c r="H1987" s="12"/>
      <c r="K1987"/>
    </row>
    <row r="1988" spans="5:11" x14ac:dyDescent="0.2">
      <c r="E1988" s="50"/>
      <c r="H1988" s="12"/>
      <c r="K1988"/>
    </row>
    <row r="1989" spans="5:11" x14ac:dyDescent="0.2">
      <c r="E1989" s="50"/>
      <c r="H1989" s="12"/>
      <c r="K1989"/>
    </row>
    <row r="1990" spans="5:11" x14ac:dyDescent="0.2">
      <c r="E1990" s="50"/>
      <c r="H1990" s="12"/>
      <c r="K1990"/>
    </row>
    <row r="1991" spans="5:11" x14ac:dyDescent="0.2">
      <c r="E1991" s="50"/>
      <c r="H1991" s="12"/>
      <c r="K1991"/>
    </row>
    <row r="1992" spans="5:11" x14ac:dyDescent="0.2">
      <c r="E1992" s="50"/>
      <c r="H1992" s="12"/>
      <c r="K1992"/>
    </row>
    <row r="1993" spans="5:11" x14ac:dyDescent="0.2">
      <c r="E1993" s="50"/>
      <c r="H1993" s="12"/>
      <c r="K1993"/>
    </row>
    <row r="1994" spans="5:11" x14ac:dyDescent="0.2">
      <c r="E1994" s="50"/>
      <c r="H1994" s="12"/>
      <c r="K1994"/>
    </row>
    <row r="1995" spans="5:11" x14ac:dyDescent="0.2">
      <c r="E1995" s="50"/>
      <c r="H1995" s="12"/>
      <c r="K1995"/>
    </row>
    <row r="1996" spans="5:11" x14ac:dyDescent="0.2">
      <c r="E1996" s="50"/>
      <c r="H1996" s="12"/>
      <c r="K1996"/>
    </row>
    <row r="1997" spans="5:11" x14ac:dyDescent="0.2">
      <c r="E1997" s="50"/>
      <c r="H1997" s="12"/>
      <c r="K1997"/>
    </row>
    <row r="1998" spans="5:11" x14ac:dyDescent="0.2">
      <c r="E1998" s="50"/>
      <c r="H1998" s="12"/>
      <c r="K1998"/>
    </row>
    <row r="1999" spans="5:11" x14ac:dyDescent="0.2">
      <c r="E1999" s="50"/>
      <c r="H1999" s="12"/>
      <c r="K1999"/>
    </row>
    <row r="2000" spans="5:11" x14ac:dyDescent="0.2">
      <c r="E2000" s="50"/>
      <c r="H2000" s="12"/>
      <c r="K2000"/>
    </row>
    <row r="2001" spans="5:11" x14ac:dyDescent="0.2">
      <c r="E2001" s="50"/>
      <c r="H2001" s="12"/>
      <c r="K2001"/>
    </row>
    <row r="2002" spans="5:11" x14ac:dyDescent="0.2">
      <c r="E2002" s="50"/>
      <c r="H2002" s="12"/>
      <c r="K2002"/>
    </row>
    <row r="2003" spans="5:11" x14ac:dyDescent="0.2">
      <c r="E2003" s="50"/>
      <c r="H2003" s="12"/>
      <c r="K2003"/>
    </row>
    <row r="2004" spans="5:11" x14ac:dyDescent="0.2">
      <c r="E2004" s="50"/>
      <c r="H2004" s="12"/>
      <c r="K2004"/>
    </row>
    <row r="2005" spans="5:11" x14ac:dyDescent="0.2">
      <c r="E2005" s="50"/>
      <c r="H2005" s="12"/>
      <c r="K2005"/>
    </row>
    <row r="2006" spans="5:11" x14ac:dyDescent="0.2">
      <c r="E2006" s="50"/>
      <c r="H2006" s="12"/>
      <c r="K2006"/>
    </row>
    <row r="2007" spans="5:11" x14ac:dyDescent="0.2">
      <c r="E2007" s="50"/>
      <c r="H2007" s="12"/>
      <c r="K2007"/>
    </row>
    <row r="2008" spans="5:11" x14ac:dyDescent="0.2">
      <c r="E2008" s="50"/>
      <c r="H2008" s="12"/>
      <c r="K2008"/>
    </row>
    <row r="2009" spans="5:11" x14ac:dyDescent="0.2">
      <c r="E2009" s="50"/>
      <c r="H2009" s="12"/>
      <c r="K2009"/>
    </row>
    <row r="2010" spans="5:11" x14ac:dyDescent="0.2">
      <c r="E2010" s="50"/>
      <c r="H2010" s="12"/>
      <c r="K2010"/>
    </row>
    <row r="2011" spans="5:11" x14ac:dyDescent="0.2">
      <c r="E2011" s="50"/>
      <c r="H2011" s="12"/>
      <c r="K2011"/>
    </row>
    <row r="2012" spans="5:11" x14ac:dyDescent="0.2">
      <c r="E2012" s="50"/>
      <c r="H2012" s="12"/>
      <c r="K2012"/>
    </row>
    <row r="2013" spans="5:11" x14ac:dyDescent="0.2">
      <c r="E2013" s="50"/>
      <c r="H2013" s="12"/>
      <c r="K2013"/>
    </row>
    <row r="2014" spans="5:11" x14ac:dyDescent="0.2">
      <c r="E2014" s="50"/>
      <c r="H2014" s="12"/>
      <c r="K2014"/>
    </row>
    <row r="2015" spans="5:11" x14ac:dyDescent="0.2">
      <c r="E2015" s="50"/>
      <c r="H2015" s="12"/>
      <c r="K2015"/>
    </row>
    <row r="2016" spans="5:11" x14ac:dyDescent="0.2">
      <c r="E2016" s="50"/>
      <c r="H2016" s="12"/>
      <c r="K2016"/>
    </row>
    <row r="2017" spans="5:11" x14ac:dyDescent="0.2">
      <c r="E2017" s="50"/>
      <c r="H2017" s="12"/>
      <c r="K2017"/>
    </row>
    <row r="2018" spans="5:11" x14ac:dyDescent="0.2">
      <c r="E2018" s="50"/>
      <c r="H2018" s="12"/>
      <c r="K2018"/>
    </row>
    <row r="2019" spans="5:11" x14ac:dyDescent="0.2">
      <c r="E2019" s="50"/>
      <c r="H2019" s="12"/>
      <c r="K2019"/>
    </row>
    <row r="2020" spans="5:11" x14ac:dyDescent="0.2">
      <c r="E2020" s="50"/>
      <c r="H2020" s="12"/>
      <c r="K2020"/>
    </row>
    <row r="2021" spans="5:11" x14ac:dyDescent="0.2">
      <c r="E2021" s="50"/>
      <c r="H2021" s="12"/>
      <c r="K2021"/>
    </row>
    <row r="2022" spans="5:11" x14ac:dyDescent="0.2">
      <c r="E2022" s="50"/>
      <c r="H2022" s="12"/>
      <c r="K2022"/>
    </row>
    <row r="2023" spans="5:11" x14ac:dyDescent="0.2">
      <c r="E2023" s="50"/>
      <c r="H2023" s="12"/>
      <c r="K2023"/>
    </row>
    <row r="2024" spans="5:11" x14ac:dyDescent="0.2">
      <c r="E2024" s="50"/>
      <c r="H2024" s="12"/>
      <c r="K2024"/>
    </row>
    <row r="2025" spans="5:11" x14ac:dyDescent="0.2">
      <c r="E2025" s="50"/>
      <c r="H2025" s="12"/>
      <c r="K2025"/>
    </row>
    <row r="2026" spans="5:11" x14ac:dyDescent="0.2">
      <c r="E2026" s="50"/>
      <c r="H2026" s="12"/>
      <c r="K2026"/>
    </row>
    <row r="2027" spans="5:11" x14ac:dyDescent="0.2">
      <c r="E2027" s="50"/>
      <c r="H2027" s="12"/>
      <c r="K2027"/>
    </row>
    <row r="2028" spans="5:11" x14ac:dyDescent="0.2">
      <c r="E2028" s="50"/>
      <c r="H2028" s="12"/>
      <c r="K2028"/>
    </row>
    <row r="2029" spans="5:11" x14ac:dyDescent="0.2">
      <c r="E2029" s="50"/>
      <c r="H2029" s="12"/>
      <c r="K2029"/>
    </row>
    <row r="2030" spans="5:11" x14ac:dyDescent="0.2">
      <c r="E2030" s="50"/>
      <c r="H2030" s="12"/>
      <c r="K2030"/>
    </row>
    <row r="2031" spans="5:11" x14ac:dyDescent="0.2">
      <c r="E2031" s="50"/>
      <c r="H2031" s="12"/>
      <c r="K2031"/>
    </row>
    <row r="2032" spans="5:11" x14ac:dyDescent="0.2">
      <c r="E2032" s="50"/>
      <c r="H2032" s="12"/>
      <c r="K2032"/>
    </row>
    <row r="2033" spans="5:11" x14ac:dyDescent="0.2">
      <c r="E2033" s="50"/>
      <c r="H2033" s="12"/>
      <c r="K2033"/>
    </row>
    <row r="2034" spans="5:11" x14ac:dyDescent="0.2">
      <c r="E2034" s="50"/>
      <c r="H2034" s="12"/>
      <c r="K2034"/>
    </row>
    <row r="2035" spans="5:11" x14ac:dyDescent="0.2">
      <c r="E2035" s="50"/>
      <c r="H2035" s="12"/>
      <c r="K2035"/>
    </row>
    <row r="2036" spans="5:11" x14ac:dyDescent="0.2">
      <c r="E2036" s="50"/>
      <c r="H2036" s="12"/>
      <c r="K2036"/>
    </row>
    <row r="2037" spans="5:11" x14ac:dyDescent="0.2">
      <c r="E2037" s="50"/>
      <c r="H2037" s="12"/>
      <c r="K2037"/>
    </row>
    <row r="2038" spans="5:11" x14ac:dyDescent="0.2">
      <c r="E2038" s="50"/>
      <c r="H2038" s="12"/>
      <c r="K2038"/>
    </row>
    <row r="2039" spans="5:11" x14ac:dyDescent="0.2">
      <c r="E2039" s="50"/>
      <c r="H2039" s="12"/>
      <c r="K2039"/>
    </row>
    <row r="2040" spans="5:11" x14ac:dyDescent="0.2">
      <c r="E2040" s="50"/>
      <c r="H2040" s="12"/>
      <c r="K2040"/>
    </row>
    <row r="2041" spans="5:11" x14ac:dyDescent="0.2">
      <c r="E2041" s="50"/>
      <c r="H2041" s="12"/>
      <c r="K2041"/>
    </row>
    <row r="2042" spans="5:11" x14ac:dyDescent="0.2">
      <c r="E2042" s="50"/>
      <c r="H2042" s="12"/>
      <c r="K2042"/>
    </row>
    <row r="2043" spans="5:11" x14ac:dyDescent="0.2">
      <c r="E2043" s="50"/>
      <c r="H2043" s="12"/>
      <c r="K2043"/>
    </row>
    <row r="2044" spans="5:11" x14ac:dyDescent="0.2">
      <c r="E2044" s="50"/>
      <c r="H2044" s="12"/>
      <c r="K2044"/>
    </row>
    <row r="2045" spans="5:11" x14ac:dyDescent="0.2">
      <c r="E2045" s="50"/>
      <c r="H2045" s="12"/>
      <c r="K2045"/>
    </row>
    <row r="2046" spans="5:11" x14ac:dyDescent="0.2">
      <c r="E2046" s="50"/>
      <c r="H2046" s="12"/>
      <c r="K2046"/>
    </row>
    <row r="2047" spans="5:11" x14ac:dyDescent="0.2">
      <c r="E2047" s="50"/>
      <c r="H2047" s="12"/>
      <c r="K2047"/>
    </row>
    <row r="2048" spans="5:11" x14ac:dyDescent="0.2">
      <c r="E2048" s="50"/>
      <c r="H2048" s="12"/>
      <c r="K2048"/>
    </row>
    <row r="2049" spans="5:11" x14ac:dyDescent="0.2">
      <c r="E2049" s="50"/>
      <c r="H2049" s="12"/>
      <c r="K2049"/>
    </row>
    <row r="2050" spans="5:11" x14ac:dyDescent="0.2">
      <c r="E2050" s="50"/>
      <c r="H2050" s="12"/>
      <c r="K2050"/>
    </row>
    <row r="2051" spans="5:11" x14ac:dyDescent="0.2">
      <c r="E2051" s="50"/>
      <c r="H2051" s="12"/>
      <c r="K2051"/>
    </row>
    <row r="2052" spans="5:11" x14ac:dyDescent="0.2">
      <c r="E2052" s="50"/>
      <c r="H2052" s="12"/>
      <c r="K2052"/>
    </row>
    <row r="2053" spans="5:11" x14ac:dyDescent="0.2">
      <c r="E2053" s="50"/>
      <c r="H2053" s="12"/>
      <c r="K2053"/>
    </row>
    <row r="2054" spans="5:11" x14ac:dyDescent="0.2">
      <c r="E2054" s="50"/>
      <c r="H2054" s="12"/>
      <c r="K2054"/>
    </row>
    <row r="2055" spans="5:11" x14ac:dyDescent="0.2">
      <c r="E2055" s="50"/>
      <c r="H2055" s="12"/>
      <c r="K2055"/>
    </row>
    <row r="2056" spans="5:11" x14ac:dyDescent="0.2">
      <c r="E2056" s="50"/>
      <c r="H2056" s="12"/>
      <c r="K2056"/>
    </row>
    <row r="2057" spans="5:11" x14ac:dyDescent="0.2">
      <c r="E2057" s="50"/>
      <c r="H2057" s="12"/>
      <c r="K2057"/>
    </row>
    <row r="2058" spans="5:11" x14ac:dyDescent="0.2">
      <c r="E2058" s="50"/>
      <c r="H2058" s="12"/>
      <c r="K2058"/>
    </row>
    <row r="2059" spans="5:11" x14ac:dyDescent="0.2">
      <c r="E2059" s="50"/>
      <c r="H2059" s="12"/>
      <c r="K2059"/>
    </row>
    <row r="2060" spans="5:11" x14ac:dyDescent="0.2">
      <c r="E2060" s="50"/>
      <c r="H2060" s="12"/>
      <c r="K2060"/>
    </row>
    <row r="2061" spans="5:11" x14ac:dyDescent="0.2">
      <c r="E2061" s="50"/>
      <c r="H2061" s="12"/>
      <c r="K2061"/>
    </row>
    <row r="2062" spans="5:11" x14ac:dyDescent="0.2">
      <c r="E2062" s="50"/>
      <c r="H2062" s="12"/>
      <c r="K2062"/>
    </row>
    <row r="2063" spans="5:11" x14ac:dyDescent="0.2">
      <c r="E2063" s="50"/>
      <c r="H2063" s="12"/>
      <c r="K2063"/>
    </row>
    <row r="2064" spans="5:11" x14ac:dyDescent="0.2">
      <c r="E2064" s="50"/>
      <c r="H2064" s="12"/>
      <c r="K2064"/>
    </row>
    <row r="2065" spans="5:11" x14ac:dyDescent="0.2">
      <c r="E2065" s="50"/>
      <c r="H2065" s="12"/>
      <c r="K2065"/>
    </row>
    <row r="2066" spans="5:11" x14ac:dyDescent="0.2">
      <c r="E2066" s="50"/>
      <c r="H2066" s="12"/>
      <c r="K2066"/>
    </row>
    <row r="2067" spans="5:11" x14ac:dyDescent="0.2">
      <c r="E2067" s="50"/>
      <c r="H2067" s="12"/>
      <c r="K2067"/>
    </row>
    <row r="2068" spans="5:11" x14ac:dyDescent="0.2">
      <c r="E2068" s="50"/>
      <c r="H2068" s="12"/>
      <c r="K2068"/>
    </row>
    <row r="2069" spans="5:11" x14ac:dyDescent="0.2">
      <c r="E2069" s="50"/>
      <c r="H2069" s="12"/>
      <c r="K2069"/>
    </row>
    <row r="2070" spans="5:11" x14ac:dyDescent="0.2">
      <c r="E2070" s="50"/>
      <c r="H2070" s="12"/>
      <c r="K2070"/>
    </row>
    <row r="2071" spans="5:11" x14ac:dyDescent="0.2">
      <c r="E2071" s="50"/>
      <c r="H2071" s="12"/>
      <c r="K2071"/>
    </row>
    <row r="2072" spans="5:11" x14ac:dyDescent="0.2">
      <c r="E2072" s="50"/>
      <c r="H2072" s="12"/>
      <c r="K2072"/>
    </row>
    <row r="2073" spans="5:11" x14ac:dyDescent="0.2">
      <c r="E2073" s="50"/>
      <c r="H2073" s="12"/>
      <c r="K2073"/>
    </row>
    <row r="2074" spans="5:11" x14ac:dyDescent="0.2">
      <c r="E2074" s="50"/>
      <c r="H2074" s="12"/>
      <c r="K2074"/>
    </row>
    <row r="2075" spans="5:11" x14ac:dyDescent="0.2">
      <c r="E2075" s="50"/>
      <c r="H2075" s="12"/>
      <c r="K2075"/>
    </row>
    <row r="2076" spans="5:11" x14ac:dyDescent="0.2">
      <c r="E2076" s="50"/>
      <c r="H2076" s="12"/>
      <c r="K2076"/>
    </row>
    <row r="2077" spans="5:11" x14ac:dyDescent="0.2">
      <c r="E2077" s="50"/>
      <c r="H2077" s="12"/>
      <c r="K2077"/>
    </row>
    <row r="2078" spans="5:11" x14ac:dyDescent="0.2">
      <c r="E2078" s="50"/>
      <c r="H2078" s="12"/>
      <c r="K2078"/>
    </row>
    <row r="2079" spans="5:11" x14ac:dyDescent="0.2">
      <c r="E2079" s="50"/>
      <c r="H2079" s="12"/>
      <c r="K2079"/>
    </row>
    <row r="2080" spans="5:11" x14ac:dyDescent="0.2">
      <c r="E2080" s="50"/>
      <c r="H2080" s="12"/>
      <c r="K2080"/>
    </row>
    <row r="2081" spans="5:11" x14ac:dyDescent="0.2">
      <c r="E2081" s="50"/>
      <c r="H2081" s="12"/>
      <c r="K2081"/>
    </row>
    <row r="2082" spans="5:11" x14ac:dyDescent="0.2">
      <c r="E2082" s="50"/>
      <c r="H2082" s="12"/>
      <c r="K2082"/>
    </row>
    <row r="2083" spans="5:11" x14ac:dyDescent="0.2">
      <c r="E2083" s="50"/>
      <c r="H2083" s="12"/>
      <c r="K2083"/>
    </row>
    <row r="2084" spans="5:11" x14ac:dyDescent="0.2">
      <c r="E2084" s="50"/>
      <c r="H2084" s="12"/>
      <c r="K2084"/>
    </row>
    <row r="2085" spans="5:11" x14ac:dyDescent="0.2">
      <c r="E2085" s="50"/>
      <c r="H2085" s="12"/>
      <c r="K2085"/>
    </row>
    <row r="2086" spans="5:11" x14ac:dyDescent="0.2">
      <c r="E2086" s="50"/>
      <c r="H2086" s="12"/>
      <c r="K2086"/>
    </row>
    <row r="2087" spans="5:11" x14ac:dyDescent="0.2">
      <c r="E2087" s="50"/>
      <c r="H2087" s="12"/>
      <c r="K2087"/>
    </row>
    <row r="2088" spans="5:11" x14ac:dyDescent="0.2">
      <c r="E2088" s="50"/>
      <c r="H2088" s="12"/>
      <c r="K2088"/>
    </row>
    <row r="2089" spans="5:11" x14ac:dyDescent="0.2">
      <c r="E2089" s="50"/>
      <c r="H2089" s="12"/>
      <c r="K2089"/>
    </row>
    <row r="2090" spans="5:11" x14ac:dyDescent="0.2">
      <c r="E2090" s="50"/>
      <c r="H2090" s="12"/>
      <c r="K2090"/>
    </row>
    <row r="2091" spans="5:11" x14ac:dyDescent="0.2">
      <c r="E2091" s="50"/>
      <c r="H2091" s="12"/>
      <c r="K2091"/>
    </row>
    <row r="2092" spans="5:11" x14ac:dyDescent="0.2">
      <c r="E2092" s="50"/>
      <c r="H2092" s="12"/>
      <c r="K2092"/>
    </row>
    <row r="2093" spans="5:11" x14ac:dyDescent="0.2">
      <c r="E2093" s="50"/>
      <c r="H2093" s="12"/>
      <c r="K2093"/>
    </row>
    <row r="2094" spans="5:11" x14ac:dyDescent="0.2">
      <c r="E2094" s="50"/>
      <c r="H2094" s="12"/>
      <c r="K2094"/>
    </row>
    <row r="2095" spans="5:11" x14ac:dyDescent="0.2">
      <c r="E2095" s="50"/>
      <c r="H2095" s="12"/>
      <c r="K2095"/>
    </row>
    <row r="2096" spans="5:11" x14ac:dyDescent="0.2">
      <c r="E2096" s="50"/>
      <c r="H2096" s="12"/>
      <c r="K2096"/>
    </row>
    <row r="2097" spans="5:11" x14ac:dyDescent="0.2">
      <c r="E2097" s="50"/>
      <c r="H2097" s="12"/>
      <c r="K2097"/>
    </row>
    <row r="2098" spans="5:11" x14ac:dyDescent="0.2">
      <c r="E2098" s="50"/>
      <c r="H2098" s="12"/>
      <c r="K2098"/>
    </row>
    <row r="2099" spans="5:11" x14ac:dyDescent="0.2">
      <c r="E2099" s="50"/>
      <c r="H2099" s="12"/>
      <c r="K2099"/>
    </row>
    <row r="2100" spans="5:11" x14ac:dyDescent="0.2">
      <c r="E2100" s="50"/>
      <c r="H2100" s="12"/>
      <c r="K2100"/>
    </row>
    <row r="2101" spans="5:11" x14ac:dyDescent="0.2">
      <c r="E2101" s="50"/>
      <c r="H2101" s="12"/>
      <c r="K2101"/>
    </row>
    <row r="2102" spans="5:11" x14ac:dyDescent="0.2">
      <c r="E2102" s="50"/>
      <c r="H2102" s="12"/>
      <c r="K2102"/>
    </row>
    <row r="2103" spans="5:11" x14ac:dyDescent="0.2">
      <c r="E2103" s="50"/>
      <c r="H2103" s="12"/>
      <c r="K2103"/>
    </row>
    <row r="2104" spans="5:11" x14ac:dyDescent="0.2">
      <c r="E2104" s="50"/>
      <c r="H2104" s="12"/>
      <c r="K2104"/>
    </row>
    <row r="2105" spans="5:11" x14ac:dyDescent="0.2">
      <c r="E2105" s="50"/>
      <c r="H2105" s="12"/>
      <c r="K2105"/>
    </row>
    <row r="2106" spans="5:11" x14ac:dyDescent="0.2">
      <c r="E2106" s="50"/>
      <c r="H2106" s="12"/>
      <c r="K2106"/>
    </row>
    <row r="2107" spans="5:11" x14ac:dyDescent="0.2">
      <c r="E2107" s="50"/>
      <c r="H2107" s="12"/>
      <c r="K2107"/>
    </row>
    <row r="2108" spans="5:11" x14ac:dyDescent="0.2">
      <c r="E2108" s="50"/>
      <c r="H2108" s="12"/>
      <c r="K2108"/>
    </row>
    <row r="2109" spans="5:11" x14ac:dyDescent="0.2">
      <c r="E2109" s="50"/>
      <c r="H2109" s="12"/>
      <c r="K2109"/>
    </row>
    <row r="2110" spans="5:11" x14ac:dyDescent="0.2">
      <c r="E2110" s="50"/>
      <c r="H2110" s="12"/>
      <c r="K2110"/>
    </row>
    <row r="2111" spans="5:11" x14ac:dyDescent="0.2">
      <c r="E2111" s="50"/>
      <c r="H2111" s="12"/>
      <c r="K2111"/>
    </row>
    <row r="2112" spans="5:11" x14ac:dyDescent="0.2">
      <c r="E2112" s="50"/>
      <c r="H2112" s="12"/>
      <c r="K2112"/>
    </row>
    <row r="2113" spans="5:11" x14ac:dyDescent="0.2">
      <c r="E2113" s="50"/>
      <c r="H2113" s="12"/>
      <c r="K2113"/>
    </row>
    <row r="2114" spans="5:11" x14ac:dyDescent="0.2">
      <c r="E2114" s="50"/>
      <c r="H2114" s="12"/>
      <c r="K2114"/>
    </row>
    <row r="2115" spans="5:11" x14ac:dyDescent="0.2">
      <c r="E2115" s="50"/>
      <c r="H2115" s="12"/>
      <c r="K2115"/>
    </row>
    <row r="2116" spans="5:11" x14ac:dyDescent="0.2">
      <c r="E2116" s="50"/>
      <c r="H2116" s="12"/>
      <c r="K2116"/>
    </row>
    <row r="2117" spans="5:11" x14ac:dyDescent="0.2">
      <c r="E2117" s="50"/>
      <c r="H2117" s="12"/>
      <c r="K2117"/>
    </row>
    <row r="2118" spans="5:11" x14ac:dyDescent="0.2">
      <c r="E2118" s="50"/>
      <c r="H2118" s="12"/>
      <c r="K2118"/>
    </row>
    <row r="2119" spans="5:11" x14ac:dyDescent="0.2">
      <c r="E2119" s="50"/>
      <c r="H2119" s="12"/>
      <c r="K2119"/>
    </row>
    <row r="2120" spans="5:11" x14ac:dyDescent="0.2">
      <c r="E2120" s="50"/>
      <c r="H2120" s="12"/>
      <c r="K2120"/>
    </row>
    <row r="2121" spans="5:11" x14ac:dyDescent="0.2">
      <c r="E2121" s="50"/>
      <c r="H2121" s="12"/>
      <c r="K2121"/>
    </row>
    <row r="2122" spans="5:11" x14ac:dyDescent="0.2">
      <c r="E2122" s="50"/>
      <c r="H2122" s="12"/>
      <c r="K2122"/>
    </row>
    <row r="2123" spans="5:11" x14ac:dyDescent="0.2">
      <c r="E2123" s="50"/>
      <c r="H2123" s="12"/>
      <c r="K2123"/>
    </row>
    <row r="2124" spans="5:11" x14ac:dyDescent="0.2">
      <c r="E2124" s="50"/>
      <c r="H2124" s="12"/>
      <c r="K2124"/>
    </row>
    <row r="2125" spans="5:11" x14ac:dyDescent="0.2">
      <c r="E2125" s="50"/>
      <c r="H2125" s="12"/>
      <c r="K2125"/>
    </row>
    <row r="2126" spans="5:11" x14ac:dyDescent="0.2">
      <c r="E2126" s="50"/>
      <c r="H2126" s="12"/>
      <c r="K2126"/>
    </row>
    <row r="2127" spans="5:11" x14ac:dyDescent="0.2">
      <c r="E2127" s="50"/>
      <c r="H2127" s="12"/>
      <c r="K2127"/>
    </row>
    <row r="2128" spans="5:11" x14ac:dyDescent="0.2">
      <c r="E2128" s="50"/>
      <c r="H2128" s="12"/>
      <c r="K2128"/>
    </row>
    <row r="2129" spans="5:11" x14ac:dyDescent="0.2">
      <c r="E2129" s="50"/>
      <c r="H2129" s="12"/>
      <c r="K2129"/>
    </row>
    <row r="2130" spans="5:11" x14ac:dyDescent="0.2">
      <c r="E2130" s="50"/>
      <c r="H2130" s="12"/>
      <c r="K2130"/>
    </row>
    <row r="2131" spans="5:11" x14ac:dyDescent="0.2">
      <c r="E2131" s="50"/>
      <c r="H2131" s="12"/>
      <c r="K2131"/>
    </row>
    <row r="2132" spans="5:11" x14ac:dyDescent="0.2">
      <c r="E2132" s="50"/>
      <c r="H2132" s="12"/>
      <c r="K2132"/>
    </row>
    <row r="2133" spans="5:11" x14ac:dyDescent="0.2">
      <c r="E2133" s="50"/>
      <c r="H2133" s="12"/>
      <c r="K2133"/>
    </row>
    <row r="2134" spans="5:11" x14ac:dyDescent="0.2">
      <c r="E2134" s="50"/>
      <c r="H2134" s="12"/>
      <c r="K2134"/>
    </row>
    <row r="2135" spans="5:11" x14ac:dyDescent="0.2">
      <c r="E2135" s="50"/>
      <c r="H2135" s="12"/>
      <c r="K2135"/>
    </row>
    <row r="2136" spans="5:11" x14ac:dyDescent="0.2">
      <c r="E2136" s="50"/>
      <c r="H2136" s="12"/>
      <c r="K2136"/>
    </row>
    <row r="2137" spans="5:11" x14ac:dyDescent="0.2">
      <c r="E2137" s="50"/>
      <c r="H2137" s="12"/>
      <c r="K2137"/>
    </row>
    <row r="2138" spans="5:11" x14ac:dyDescent="0.2">
      <c r="E2138" s="50"/>
      <c r="H2138" s="12"/>
      <c r="K2138"/>
    </row>
    <row r="2139" spans="5:11" x14ac:dyDescent="0.2">
      <c r="E2139" s="50"/>
      <c r="H2139" s="12"/>
      <c r="K2139"/>
    </row>
    <row r="2140" spans="5:11" x14ac:dyDescent="0.2">
      <c r="E2140" s="50"/>
      <c r="H2140" s="12"/>
      <c r="K2140"/>
    </row>
    <row r="2141" spans="5:11" x14ac:dyDescent="0.2">
      <c r="E2141" s="50"/>
      <c r="H2141" s="12"/>
      <c r="K2141"/>
    </row>
    <row r="2142" spans="5:11" x14ac:dyDescent="0.2">
      <c r="E2142" s="50"/>
      <c r="H2142" s="12"/>
      <c r="K2142"/>
    </row>
    <row r="2143" spans="5:11" x14ac:dyDescent="0.2">
      <c r="E2143" s="50"/>
      <c r="H2143" s="12"/>
      <c r="K2143"/>
    </row>
    <row r="2144" spans="5:11" x14ac:dyDescent="0.2">
      <c r="E2144" s="50"/>
      <c r="H2144" s="12"/>
      <c r="K2144"/>
    </row>
    <row r="2145" spans="5:11" x14ac:dyDescent="0.2">
      <c r="E2145" s="50"/>
      <c r="H2145" s="12"/>
      <c r="K2145"/>
    </row>
    <row r="2146" spans="5:11" x14ac:dyDescent="0.2">
      <c r="E2146" s="50"/>
      <c r="H2146" s="12"/>
      <c r="K2146"/>
    </row>
    <row r="2147" spans="5:11" x14ac:dyDescent="0.2">
      <c r="E2147" s="50"/>
      <c r="H2147" s="12"/>
      <c r="K2147"/>
    </row>
    <row r="2148" spans="5:11" x14ac:dyDescent="0.2">
      <c r="E2148" s="50"/>
      <c r="H2148" s="12"/>
      <c r="K2148"/>
    </row>
    <row r="2149" spans="5:11" x14ac:dyDescent="0.2">
      <c r="E2149" s="50"/>
      <c r="H2149" s="12"/>
      <c r="K2149"/>
    </row>
    <row r="2150" spans="5:11" x14ac:dyDescent="0.2">
      <c r="E2150" s="50"/>
      <c r="H2150" s="12"/>
      <c r="K2150"/>
    </row>
    <row r="2151" spans="5:11" x14ac:dyDescent="0.2">
      <c r="E2151" s="50"/>
      <c r="H2151" s="12"/>
      <c r="K2151"/>
    </row>
    <row r="2152" spans="5:11" x14ac:dyDescent="0.2">
      <c r="E2152" s="50"/>
      <c r="H2152" s="12"/>
      <c r="K2152"/>
    </row>
    <row r="2153" spans="5:11" x14ac:dyDescent="0.2">
      <c r="E2153" s="50"/>
      <c r="H2153" s="12"/>
      <c r="K2153"/>
    </row>
    <row r="2154" spans="5:11" x14ac:dyDescent="0.2">
      <c r="E2154" s="50"/>
      <c r="H2154" s="12"/>
      <c r="K2154"/>
    </row>
    <row r="2155" spans="5:11" x14ac:dyDescent="0.2">
      <c r="E2155" s="50"/>
      <c r="H2155" s="12"/>
      <c r="K2155"/>
    </row>
    <row r="2156" spans="5:11" x14ac:dyDescent="0.2">
      <c r="E2156" s="50"/>
      <c r="H2156" s="12"/>
      <c r="K2156"/>
    </row>
    <row r="2157" spans="5:11" x14ac:dyDescent="0.2">
      <c r="E2157" s="50"/>
      <c r="H2157" s="12"/>
      <c r="K2157"/>
    </row>
    <row r="2158" spans="5:11" x14ac:dyDescent="0.2">
      <c r="E2158" s="50"/>
      <c r="H2158" s="12"/>
      <c r="K2158"/>
    </row>
    <row r="2159" spans="5:11" x14ac:dyDescent="0.2">
      <c r="E2159" s="50"/>
      <c r="H2159" s="12"/>
      <c r="K2159"/>
    </row>
    <row r="2160" spans="5:11" x14ac:dyDescent="0.2">
      <c r="E2160" s="50"/>
      <c r="H2160" s="12"/>
      <c r="K2160"/>
    </row>
    <row r="2161" spans="5:11" x14ac:dyDescent="0.2">
      <c r="E2161" s="50"/>
      <c r="H2161" s="12"/>
      <c r="K2161"/>
    </row>
    <row r="2162" spans="5:11" x14ac:dyDescent="0.2">
      <c r="E2162" s="50"/>
      <c r="H2162" s="12"/>
      <c r="K2162"/>
    </row>
    <row r="2163" spans="5:11" x14ac:dyDescent="0.2">
      <c r="E2163" s="50"/>
      <c r="H2163" s="12"/>
      <c r="K2163"/>
    </row>
    <row r="2164" spans="5:11" x14ac:dyDescent="0.2">
      <c r="E2164" s="50"/>
      <c r="H2164" s="12"/>
      <c r="K2164"/>
    </row>
    <row r="2165" spans="5:11" x14ac:dyDescent="0.2">
      <c r="E2165" s="50"/>
      <c r="H2165" s="12"/>
      <c r="K2165"/>
    </row>
    <row r="2166" spans="5:11" x14ac:dyDescent="0.2">
      <c r="E2166" s="50"/>
      <c r="H2166" s="12"/>
      <c r="K2166"/>
    </row>
    <row r="2167" spans="5:11" x14ac:dyDescent="0.2">
      <c r="E2167" s="50"/>
      <c r="H2167" s="12"/>
      <c r="K2167"/>
    </row>
    <row r="2168" spans="5:11" x14ac:dyDescent="0.2">
      <c r="E2168" s="50"/>
      <c r="H2168" s="12"/>
      <c r="K2168"/>
    </row>
    <row r="2169" spans="5:11" x14ac:dyDescent="0.2">
      <c r="E2169" s="50"/>
      <c r="H2169" s="12"/>
      <c r="K2169"/>
    </row>
    <row r="2170" spans="5:11" x14ac:dyDescent="0.2">
      <c r="E2170" s="50"/>
      <c r="H2170" s="12"/>
      <c r="K2170"/>
    </row>
    <row r="2171" spans="5:11" x14ac:dyDescent="0.2">
      <c r="E2171" s="50"/>
      <c r="H2171" s="12"/>
      <c r="K2171"/>
    </row>
    <row r="2172" spans="5:11" x14ac:dyDescent="0.2">
      <c r="E2172" s="50"/>
      <c r="H2172" s="12"/>
      <c r="K2172"/>
    </row>
    <row r="2173" spans="5:11" x14ac:dyDescent="0.2">
      <c r="E2173" s="50"/>
      <c r="H2173" s="12"/>
      <c r="K2173"/>
    </row>
    <row r="2174" spans="5:11" x14ac:dyDescent="0.2">
      <c r="E2174" s="50"/>
      <c r="H2174" s="12"/>
      <c r="K2174"/>
    </row>
    <row r="2175" spans="5:11" x14ac:dyDescent="0.2">
      <c r="E2175" s="50"/>
      <c r="H2175" s="12"/>
      <c r="K2175"/>
    </row>
    <row r="2176" spans="5:11" x14ac:dyDescent="0.2">
      <c r="E2176" s="50"/>
      <c r="H2176" s="12"/>
      <c r="K2176"/>
    </row>
    <row r="2177" spans="5:11" x14ac:dyDescent="0.2">
      <c r="E2177" s="50"/>
      <c r="H2177" s="12"/>
      <c r="K2177"/>
    </row>
    <row r="2178" spans="5:11" x14ac:dyDescent="0.2">
      <c r="E2178" s="50"/>
      <c r="H2178" s="12"/>
      <c r="K2178"/>
    </row>
    <row r="2179" spans="5:11" x14ac:dyDescent="0.2">
      <c r="E2179" s="50"/>
      <c r="H2179" s="12"/>
      <c r="K2179"/>
    </row>
    <row r="2180" spans="5:11" x14ac:dyDescent="0.2">
      <c r="E2180" s="50"/>
      <c r="H2180" s="12"/>
      <c r="K2180"/>
    </row>
    <row r="2181" spans="5:11" x14ac:dyDescent="0.2">
      <c r="E2181" s="50"/>
      <c r="H2181" s="12"/>
      <c r="K2181"/>
    </row>
    <row r="2182" spans="5:11" x14ac:dyDescent="0.2">
      <c r="E2182" s="50"/>
      <c r="H2182" s="12"/>
      <c r="K2182"/>
    </row>
    <row r="2183" spans="5:11" x14ac:dyDescent="0.2">
      <c r="E2183" s="50"/>
      <c r="H2183" s="12"/>
      <c r="K2183"/>
    </row>
    <row r="2184" spans="5:11" x14ac:dyDescent="0.2">
      <c r="E2184" s="50"/>
      <c r="H2184" s="12"/>
      <c r="K2184"/>
    </row>
    <row r="2185" spans="5:11" x14ac:dyDescent="0.2">
      <c r="E2185" s="50"/>
      <c r="H2185" s="12"/>
      <c r="K2185"/>
    </row>
    <row r="2186" spans="5:11" x14ac:dyDescent="0.2">
      <c r="E2186" s="50"/>
      <c r="H2186" s="12"/>
      <c r="K2186"/>
    </row>
    <row r="2187" spans="5:11" x14ac:dyDescent="0.2">
      <c r="E2187" s="50"/>
      <c r="H2187" s="12"/>
      <c r="K2187"/>
    </row>
    <row r="2188" spans="5:11" x14ac:dyDescent="0.2">
      <c r="E2188" s="50"/>
      <c r="H2188" s="12"/>
      <c r="K2188"/>
    </row>
    <row r="2189" spans="5:11" x14ac:dyDescent="0.2">
      <c r="E2189" s="50"/>
      <c r="H2189" s="12"/>
      <c r="K2189"/>
    </row>
    <row r="2190" spans="5:11" x14ac:dyDescent="0.2">
      <c r="E2190" s="50"/>
      <c r="H2190" s="12"/>
      <c r="K2190"/>
    </row>
    <row r="2191" spans="5:11" x14ac:dyDescent="0.2">
      <c r="E2191" s="50"/>
      <c r="H2191" s="12"/>
      <c r="K2191"/>
    </row>
    <row r="2192" spans="5:11" x14ac:dyDescent="0.2">
      <c r="E2192" s="50"/>
      <c r="H2192" s="12"/>
      <c r="K2192"/>
    </row>
    <row r="2193" spans="5:11" x14ac:dyDescent="0.2">
      <c r="E2193" s="50"/>
      <c r="H2193" s="12"/>
      <c r="K2193"/>
    </row>
    <row r="2194" spans="5:11" x14ac:dyDescent="0.2">
      <c r="E2194" s="50"/>
      <c r="H2194" s="12"/>
      <c r="K2194"/>
    </row>
    <row r="2195" spans="5:11" x14ac:dyDescent="0.2">
      <c r="E2195" s="50"/>
      <c r="H2195" s="12"/>
      <c r="K2195"/>
    </row>
    <row r="2196" spans="5:11" x14ac:dyDescent="0.2">
      <c r="E2196" s="50"/>
      <c r="H2196" s="12"/>
      <c r="K2196"/>
    </row>
    <row r="2197" spans="5:11" x14ac:dyDescent="0.2">
      <c r="E2197" s="50"/>
      <c r="H2197" s="12"/>
      <c r="K2197"/>
    </row>
    <row r="2198" spans="5:11" x14ac:dyDescent="0.2">
      <c r="E2198" s="50"/>
      <c r="H2198" s="12"/>
      <c r="K2198"/>
    </row>
    <row r="2199" spans="5:11" x14ac:dyDescent="0.2">
      <c r="E2199" s="50"/>
      <c r="H2199" s="12"/>
      <c r="K2199"/>
    </row>
    <row r="2200" spans="5:11" x14ac:dyDescent="0.2">
      <c r="E2200" s="50"/>
      <c r="H2200" s="12"/>
      <c r="K2200"/>
    </row>
    <row r="2201" spans="5:11" x14ac:dyDescent="0.2">
      <c r="E2201" s="50"/>
      <c r="H2201" s="12"/>
      <c r="K2201"/>
    </row>
    <row r="2202" spans="5:11" x14ac:dyDescent="0.2">
      <c r="E2202" s="50"/>
      <c r="H2202" s="12"/>
      <c r="K2202"/>
    </row>
    <row r="2203" spans="5:11" x14ac:dyDescent="0.2">
      <c r="E2203" s="50"/>
      <c r="H2203" s="12"/>
      <c r="K2203"/>
    </row>
    <row r="2204" spans="5:11" x14ac:dyDescent="0.2">
      <c r="E2204" s="50"/>
      <c r="H2204" s="12"/>
      <c r="K2204"/>
    </row>
    <row r="2205" spans="5:11" x14ac:dyDescent="0.2">
      <c r="E2205" s="50"/>
      <c r="H2205" s="12"/>
      <c r="K2205"/>
    </row>
    <row r="2206" spans="5:11" x14ac:dyDescent="0.2">
      <c r="E2206" s="50"/>
      <c r="H2206" s="12"/>
      <c r="K2206"/>
    </row>
    <row r="2207" spans="5:11" x14ac:dyDescent="0.2">
      <c r="E2207" s="50"/>
      <c r="H2207" s="12"/>
      <c r="K2207"/>
    </row>
    <row r="2208" spans="5:11" x14ac:dyDescent="0.2">
      <c r="E2208" s="50"/>
      <c r="H2208" s="12"/>
      <c r="K2208"/>
    </row>
    <row r="2209" spans="5:11" x14ac:dyDescent="0.2">
      <c r="E2209" s="50"/>
      <c r="H2209" s="12"/>
      <c r="K2209"/>
    </row>
    <row r="2210" spans="5:11" x14ac:dyDescent="0.2">
      <c r="E2210" s="50"/>
      <c r="H2210" s="12"/>
      <c r="K2210"/>
    </row>
    <row r="2211" spans="5:11" x14ac:dyDescent="0.2">
      <c r="E2211" s="50"/>
      <c r="H2211" s="12"/>
      <c r="K2211"/>
    </row>
    <row r="2212" spans="5:11" x14ac:dyDescent="0.2">
      <c r="E2212" s="50"/>
      <c r="H2212" s="12"/>
      <c r="K2212"/>
    </row>
    <row r="2213" spans="5:11" x14ac:dyDescent="0.2">
      <c r="E2213" s="50"/>
      <c r="H2213" s="12"/>
      <c r="K2213"/>
    </row>
    <row r="2214" spans="5:11" x14ac:dyDescent="0.2">
      <c r="E2214" s="50"/>
      <c r="H2214" s="12"/>
      <c r="K2214"/>
    </row>
    <row r="2215" spans="5:11" x14ac:dyDescent="0.2">
      <c r="E2215" s="50"/>
      <c r="H2215" s="12"/>
      <c r="K2215"/>
    </row>
    <row r="2216" spans="5:11" x14ac:dyDescent="0.2">
      <c r="E2216" s="50"/>
      <c r="H2216" s="12"/>
      <c r="K2216"/>
    </row>
    <row r="2217" spans="5:11" x14ac:dyDescent="0.2">
      <c r="E2217" s="50"/>
      <c r="H2217" s="12"/>
      <c r="K2217"/>
    </row>
    <row r="2218" spans="5:11" x14ac:dyDescent="0.2">
      <c r="E2218" s="50"/>
      <c r="H2218" s="12"/>
      <c r="K2218"/>
    </row>
    <row r="2219" spans="5:11" x14ac:dyDescent="0.2">
      <c r="E2219" s="50"/>
      <c r="H2219" s="12"/>
      <c r="K2219"/>
    </row>
    <row r="2220" spans="5:11" x14ac:dyDescent="0.2">
      <c r="E2220" s="50"/>
      <c r="H2220" s="12"/>
      <c r="K2220"/>
    </row>
    <row r="2221" spans="5:11" x14ac:dyDescent="0.2">
      <c r="E2221" s="50"/>
      <c r="H2221" s="12"/>
      <c r="K2221"/>
    </row>
    <row r="2222" spans="5:11" x14ac:dyDescent="0.2">
      <c r="E2222" s="50"/>
      <c r="H2222" s="12"/>
      <c r="K2222"/>
    </row>
    <row r="2223" spans="5:11" x14ac:dyDescent="0.2">
      <c r="E2223" s="50"/>
      <c r="H2223" s="12"/>
      <c r="K2223"/>
    </row>
    <row r="2224" spans="5:11" x14ac:dyDescent="0.2">
      <c r="E2224" s="50"/>
      <c r="H2224" s="12"/>
      <c r="K2224"/>
    </row>
    <row r="2225" spans="5:11" x14ac:dyDescent="0.2">
      <c r="E2225" s="50"/>
      <c r="H2225" s="12"/>
      <c r="K2225"/>
    </row>
    <row r="2226" spans="5:11" x14ac:dyDescent="0.2">
      <c r="E2226" s="50"/>
      <c r="H2226" s="12"/>
      <c r="K2226"/>
    </row>
    <row r="2227" spans="5:11" x14ac:dyDescent="0.2">
      <c r="E2227" s="50"/>
      <c r="H2227" s="12"/>
      <c r="K2227"/>
    </row>
    <row r="2228" spans="5:11" x14ac:dyDescent="0.2">
      <c r="E2228" s="50"/>
      <c r="H2228" s="12"/>
      <c r="K2228"/>
    </row>
    <row r="2229" spans="5:11" x14ac:dyDescent="0.2">
      <c r="E2229" s="50"/>
      <c r="H2229" s="12"/>
      <c r="K2229"/>
    </row>
    <row r="2230" spans="5:11" x14ac:dyDescent="0.2">
      <c r="E2230" s="50"/>
      <c r="H2230" s="12"/>
      <c r="K2230"/>
    </row>
    <row r="2231" spans="5:11" x14ac:dyDescent="0.2">
      <c r="E2231" s="50"/>
      <c r="H2231" s="12"/>
      <c r="K2231"/>
    </row>
    <row r="2232" spans="5:11" x14ac:dyDescent="0.2">
      <c r="E2232" s="50"/>
      <c r="H2232" s="12"/>
      <c r="K2232"/>
    </row>
    <row r="2233" spans="5:11" x14ac:dyDescent="0.2">
      <c r="E2233" s="50"/>
      <c r="H2233" s="12"/>
      <c r="K2233"/>
    </row>
    <row r="2234" spans="5:11" x14ac:dyDescent="0.2">
      <c r="E2234" s="50"/>
      <c r="H2234" s="12"/>
      <c r="K2234"/>
    </row>
    <row r="2235" spans="5:11" x14ac:dyDescent="0.2">
      <c r="E2235" s="50"/>
      <c r="H2235" s="12"/>
      <c r="K2235"/>
    </row>
    <row r="2236" spans="5:11" x14ac:dyDescent="0.2">
      <c r="E2236" s="50"/>
      <c r="H2236" s="12"/>
      <c r="K2236"/>
    </row>
    <row r="2237" spans="5:11" x14ac:dyDescent="0.2">
      <c r="E2237" s="50"/>
      <c r="H2237" s="12"/>
      <c r="K2237"/>
    </row>
    <row r="2238" spans="5:11" x14ac:dyDescent="0.2">
      <c r="E2238" s="50"/>
      <c r="H2238" s="12"/>
      <c r="K2238"/>
    </row>
    <row r="2239" spans="5:11" x14ac:dyDescent="0.2">
      <c r="E2239" s="50"/>
      <c r="H2239" s="12"/>
      <c r="K2239"/>
    </row>
    <row r="2240" spans="5:11" x14ac:dyDescent="0.2">
      <c r="E2240" s="50"/>
      <c r="H2240" s="12"/>
      <c r="K2240"/>
    </row>
    <row r="2241" spans="5:11" x14ac:dyDescent="0.2">
      <c r="E2241" s="50"/>
      <c r="H2241" s="12"/>
      <c r="K2241"/>
    </row>
    <row r="2242" spans="5:11" x14ac:dyDescent="0.2">
      <c r="E2242" s="50"/>
      <c r="H2242" s="12"/>
      <c r="K2242"/>
    </row>
    <row r="2243" spans="5:11" x14ac:dyDescent="0.2">
      <c r="E2243" s="50"/>
      <c r="H2243" s="12"/>
      <c r="K2243"/>
    </row>
    <row r="2244" spans="5:11" x14ac:dyDescent="0.2">
      <c r="E2244" s="50"/>
      <c r="H2244" s="12"/>
      <c r="K2244"/>
    </row>
    <row r="2245" spans="5:11" x14ac:dyDescent="0.2">
      <c r="E2245" s="50"/>
      <c r="H2245" s="12"/>
      <c r="K2245"/>
    </row>
    <row r="2246" spans="5:11" x14ac:dyDescent="0.2">
      <c r="E2246" s="50"/>
      <c r="H2246" s="12"/>
      <c r="K2246"/>
    </row>
    <row r="2247" spans="5:11" x14ac:dyDescent="0.2">
      <c r="E2247" s="50"/>
      <c r="H2247" s="12"/>
      <c r="K2247"/>
    </row>
    <row r="2248" spans="5:11" x14ac:dyDescent="0.2">
      <c r="E2248" s="50"/>
      <c r="H2248" s="12"/>
      <c r="K2248"/>
    </row>
    <row r="2249" spans="5:11" x14ac:dyDescent="0.2">
      <c r="E2249" s="50"/>
      <c r="H2249" s="12"/>
      <c r="K2249"/>
    </row>
    <row r="2250" spans="5:11" x14ac:dyDescent="0.2">
      <c r="E2250" s="50"/>
      <c r="H2250" s="12"/>
      <c r="K2250"/>
    </row>
    <row r="2251" spans="5:11" x14ac:dyDescent="0.2">
      <c r="E2251" s="50"/>
      <c r="H2251" s="12"/>
      <c r="K2251"/>
    </row>
    <row r="2252" spans="5:11" x14ac:dyDescent="0.2">
      <c r="E2252" s="50"/>
      <c r="H2252" s="12"/>
      <c r="K2252"/>
    </row>
    <row r="2253" spans="5:11" x14ac:dyDescent="0.2">
      <c r="E2253" s="50"/>
      <c r="H2253" s="12"/>
      <c r="K2253"/>
    </row>
    <row r="2254" spans="5:11" x14ac:dyDescent="0.2">
      <c r="E2254" s="50"/>
      <c r="H2254" s="12"/>
      <c r="K2254"/>
    </row>
    <row r="2255" spans="5:11" x14ac:dyDescent="0.2">
      <c r="E2255" s="50"/>
      <c r="H2255" s="12"/>
      <c r="K2255"/>
    </row>
    <row r="2256" spans="5:11" x14ac:dyDescent="0.2">
      <c r="E2256" s="50"/>
      <c r="H2256" s="12"/>
      <c r="K2256"/>
    </row>
    <row r="2257" spans="5:11" x14ac:dyDescent="0.2">
      <c r="E2257" s="50"/>
      <c r="H2257" s="12"/>
      <c r="K2257"/>
    </row>
    <row r="2258" spans="5:11" x14ac:dyDescent="0.2">
      <c r="E2258" s="50"/>
      <c r="H2258" s="12"/>
      <c r="K2258"/>
    </row>
    <row r="2259" spans="5:11" x14ac:dyDescent="0.2">
      <c r="E2259" s="50"/>
      <c r="H2259" s="12"/>
      <c r="K2259"/>
    </row>
    <row r="2260" spans="5:11" x14ac:dyDescent="0.2">
      <c r="E2260" s="50"/>
      <c r="H2260" s="12"/>
      <c r="K2260"/>
    </row>
    <row r="2261" spans="5:11" x14ac:dyDescent="0.2">
      <c r="E2261" s="50"/>
      <c r="H2261" s="12"/>
      <c r="K2261"/>
    </row>
    <row r="2262" spans="5:11" x14ac:dyDescent="0.2">
      <c r="E2262" s="50"/>
      <c r="H2262" s="12"/>
      <c r="K2262"/>
    </row>
    <row r="2263" spans="5:11" x14ac:dyDescent="0.2">
      <c r="E2263" s="50"/>
      <c r="H2263" s="12"/>
      <c r="K2263"/>
    </row>
    <row r="2264" spans="5:11" x14ac:dyDescent="0.2">
      <c r="E2264" s="50"/>
      <c r="H2264" s="12"/>
      <c r="K2264"/>
    </row>
    <row r="2265" spans="5:11" x14ac:dyDescent="0.2">
      <c r="E2265" s="50"/>
      <c r="H2265" s="12"/>
      <c r="K2265"/>
    </row>
    <row r="2266" spans="5:11" x14ac:dyDescent="0.2">
      <c r="E2266" s="50"/>
      <c r="H2266" s="12"/>
      <c r="K2266"/>
    </row>
    <row r="2267" spans="5:11" x14ac:dyDescent="0.2">
      <c r="E2267" s="50"/>
      <c r="H2267" s="12"/>
      <c r="K2267"/>
    </row>
    <row r="2268" spans="5:11" x14ac:dyDescent="0.2">
      <c r="E2268" s="50"/>
      <c r="H2268" s="12"/>
      <c r="K2268"/>
    </row>
    <row r="2269" spans="5:11" x14ac:dyDescent="0.2">
      <c r="E2269" s="50"/>
      <c r="H2269" s="12"/>
      <c r="K2269"/>
    </row>
    <row r="2270" spans="5:11" x14ac:dyDescent="0.2">
      <c r="E2270" s="50"/>
      <c r="H2270" s="12"/>
      <c r="K2270"/>
    </row>
    <row r="2271" spans="5:11" x14ac:dyDescent="0.2">
      <c r="E2271" s="50"/>
      <c r="H2271" s="12"/>
      <c r="K2271"/>
    </row>
    <row r="2272" spans="5:11" x14ac:dyDescent="0.2">
      <c r="E2272" s="50"/>
      <c r="H2272" s="12"/>
      <c r="K2272"/>
    </row>
    <row r="2273" spans="5:11" x14ac:dyDescent="0.2">
      <c r="E2273" s="50"/>
      <c r="H2273" s="12"/>
      <c r="K2273"/>
    </row>
    <row r="2274" spans="5:11" x14ac:dyDescent="0.2">
      <c r="E2274" s="50"/>
      <c r="H2274" s="12"/>
      <c r="K2274"/>
    </row>
    <row r="2275" spans="5:11" x14ac:dyDescent="0.2">
      <c r="E2275" s="50"/>
      <c r="H2275" s="12"/>
      <c r="K2275"/>
    </row>
    <row r="2276" spans="5:11" x14ac:dyDescent="0.2">
      <c r="E2276" s="50"/>
      <c r="H2276" s="12"/>
      <c r="K2276"/>
    </row>
    <row r="2277" spans="5:11" x14ac:dyDescent="0.2">
      <c r="E2277" s="50"/>
      <c r="H2277" s="12"/>
      <c r="K2277"/>
    </row>
    <row r="2278" spans="5:11" x14ac:dyDescent="0.2">
      <c r="E2278" s="50"/>
      <c r="H2278" s="12"/>
      <c r="K2278"/>
    </row>
    <row r="2279" spans="5:11" x14ac:dyDescent="0.2">
      <c r="E2279" s="50"/>
      <c r="H2279" s="12"/>
      <c r="K2279"/>
    </row>
    <row r="2280" spans="5:11" x14ac:dyDescent="0.2">
      <c r="E2280" s="50"/>
      <c r="H2280" s="12"/>
      <c r="K2280"/>
    </row>
    <row r="2281" spans="5:11" x14ac:dyDescent="0.2">
      <c r="E2281" s="50"/>
      <c r="H2281" s="12"/>
      <c r="K2281"/>
    </row>
    <row r="2282" spans="5:11" x14ac:dyDescent="0.2">
      <c r="E2282" s="50"/>
      <c r="H2282" s="12"/>
      <c r="K2282"/>
    </row>
    <row r="2283" spans="5:11" x14ac:dyDescent="0.2">
      <c r="E2283" s="50"/>
      <c r="H2283" s="12"/>
      <c r="K2283"/>
    </row>
    <row r="2284" spans="5:11" x14ac:dyDescent="0.2">
      <c r="E2284" s="50"/>
      <c r="H2284" s="12"/>
      <c r="K2284"/>
    </row>
    <row r="2285" spans="5:11" x14ac:dyDescent="0.2">
      <c r="E2285" s="50"/>
      <c r="H2285" s="12"/>
      <c r="K2285"/>
    </row>
    <row r="2286" spans="5:11" x14ac:dyDescent="0.2">
      <c r="E2286" s="50"/>
      <c r="H2286" s="12"/>
      <c r="K2286"/>
    </row>
    <row r="2287" spans="5:11" x14ac:dyDescent="0.2">
      <c r="E2287" s="50"/>
      <c r="H2287" s="12"/>
      <c r="K2287"/>
    </row>
    <row r="2288" spans="5:11" x14ac:dyDescent="0.2">
      <c r="E2288" s="50"/>
      <c r="H2288" s="12"/>
      <c r="K2288"/>
    </row>
    <row r="2289" spans="5:11" x14ac:dyDescent="0.2">
      <c r="E2289" s="50"/>
      <c r="H2289" s="12"/>
      <c r="K2289"/>
    </row>
    <row r="2290" spans="5:11" x14ac:dyDescent="0.2">
      <c r="E2290" s="50"/>
      <c r="H2290" s="12"/>
      <c r="K2290"/>
    </row>
    <row r="2291" spans="5:11" x14ac:dyDescent="0.2">
      <c r="E2291" s="50"/>
      <c r="H2291" s="12"/>
      <c r="K2291"/>
    </row>
    <row r="2292" spans="5:11" x14ac:dyDescent="0.2">
      <c r="E2292" s="50"/>
      <c r="H2292" s="12"/>
      <c r="K2292"/>
    </row>
    <row r="2293" spans="5:11" x14ac:dyDescent="0.2">
      <c r="E2293" s="50"/>
      <c r="H2293" s="12"/>
      <c r="K2293"/>
    </row>
    <row r="2294" spans="5:11" x14ac:dyDescent="0.2">
      <c r="E2294" s="50"/>
      <c r="H2294" s="12"/>
      <c r="K2294"/>
    </row>
    <row r="2295" spans="5:11" x14ac:dyDescent="0.2">
      <c r="E2295" s="50"/>
      <c r="H2295" s="12"/>
      <c r="K2295"/>
    </row>
    <row r="2296" spans="5:11" x14ac:dyDescent="0.2">
      <c r="E2296" s="50"/>
      <c r="H2296" s="12"/>
      <c r="K2296"/>
    </row>
    <row r="2297" spans="5:11" x14ac:dyDescent="0.2">
      <c r="E2297" s="50"/>
      <c r="H2297" s="12"/>
      <c r="K2297"/>
    </row>
    <row r="2298" spans="5:11" x14ac:dyDescent="0.2">
      <c r="E2298" s="50"/>
      <c r="H2298" s="12"/>
      <c r="K2298"/>
    </row>
    <row r="2299" spans="5:11" x14ac:dyDescent="0.2">
      <c r="E2299" s="50"/>
      <c r="H2299" s="12"/>
      <c r="K2299"/>
    </row>
    <row r="2300" spans="5:11" x14ac:dyDescent="0.2">
      <c r="E2300" s="50"/>
      <c r="H2300" s="12"/>
      <c r="K2300"/>
    </row>
    <row r="2301" spans="5:11" x14ac:dyDescent="0.2">
      <c r="E2301" s="50"/>
      <c r="H2301" s="12"/>
      <c r="K2301"/>
    </row>
    <row r="2302" spans="5:11" x14ac:dyDescent="0.2">
      <c r="E2302" s="50"/>
      <c r="H2302" s="12"/>
      <c r="K2302"/>
    </row>
    <row r="2303" spans="5:11" x14ac:dyDescent="0.2">
      <c r="E2303" s="50"/>
      <c r="H2303" s="12"/>
      <c r="K2303"/>
    </row>
    <row r="2304" spans="5:11" x14ac:dyDescent="0.2">
      <c r="E2304" s="50"/>
      <c r="H2304" s="12"/>
      <c r="K2304"/>
    </row>
    <row r="2305" spans="5:11" x14ac:dyDescent="0.2">
      <c r="E2305" s="50"/>
      <c r="H2305" s="12"/>
      <c r="K2305"/>
    </row>
    <row r="2306" spans="5:11" x14ac:dyDescent="0.2">
      <c r="E2306" s="50"/>
      <c r="H2306" s="12"/>
      <c r="K2306"/>
    </row>
    <row r="2307" spans="5:11" x14ac:dyDescent="0.2">
      <c r="E2307" s="50"/>
      <c r="H2307" s="12"/>
      <c r="K2307"/>
    </row>
    <row r="2308" spans="5:11" x14ac:dyDescent="0.2">
      <c r="E2308" s="50"/>
      <c r="H2308" s="12"/>
      <c r="K2308"/>
    </row>
    <row r="2309" spans="5:11" x14ac:dyDescent="0.2">
      <c r="E2309" s="50"/>
      <c r="H2309" s="12"/>
      <c r="K2309"/>
    </row>
    <row r="2310" spans="5:11" x14ac:dyDescent="0.2">
      <c r="E2310" s="50"/>
      <c r="H2310" s="12"/>
      <c r="K2310"/>
    </row>
    <row r="2311" spans="5:11" x14ac:dyDescent="0.2">
      <c r="E2311" s="50"/>
      <c r="H2311" s="12"/>
      <c r="K2311"/>
    </row>
    <row r="2312" spans="5:11" x14ac:dyDescent="0.2">
      <c r="E2312" s="50"/>
      <c r="H2312" s="12"/>
      <c r="K2312"/>
    </row>
    <row r="2313" spans="5:11" x14ac:dyDescent="0.2">
      <c r="E2313" s="50"/>
      <c r="H2313" s="12"/>
      <c r="K2313"/>
    </row>
    <row r="2314" spans="5:11" x14ac:dyDescent="0.2">
      <c r="E2314" s="50"/>
      <c r="H2314" s="12"/>
      <c r="K2314"/>
    </row>
    <row r="2315" spans="5:11" x14ac:dyDescent="0.2">
      <c r="E2315" s="50"/>
      <c r="H2315" s="12"/>
      <c r="K2315"/>
    </row>
    <row r="2316" spans="5:11" x14ac:dyDescent="0.2">
      <c r="E2316" s="50"/>
      <c r="H2316" s="12"/>
      <c r="K2316"/>
    </row>
    <row r="2317" spans="5:11" x14ac:dyDescent="0.2">
      <c r="E2317" s="50"/>
      <c r="H2317" s="12"/>
      <c r="K2317"/>
    </row>
    <row r="2318" spans="5:11" x14ac:dyDescent="0.2">
      <c r="E2318" s="50"/>
      <c r="H2318" s="12"/>
      <c r="K2318"/>
    </row>
    <row r="2319" spans="5:11" x14ac:dyDescent="0.2">
      <c r="E2319" s="50"/>
      <c r="H2319" s="12"/>
      <c r="K2319"/>
    </row>
    <row r="2320" spans="5:11" x14ac:dyDescent="0.2">
      <c r="E2320" s="50"/>
      <c r="H2320" s="12"/>
      <c r="K2320"/>
    </row>
    <row r="2321" spans="5:11" x14ac:dyDescent="0.2">
      <c r="E2321" s="50"/>
      <c r="H2321" s="12"/>
      <c r="K2321"/>
    </row>
    <row r="2322" spans="5:11" x14ac:dyDescent="0.2">
      <c r="E2322" s="50"/>
      <c r="H2322" s="12"/>
      <c r="K2322"/>
    </row>
    <row r="2323" spans="5:11" x14ac:dyDescent="0.2">
      <c r="E2323" s="50"/>
      <c r="H2323" s="12"/>
      <c r="K2323"/>
    </row>
    <row r="2324" spans="5:11" x14ac:dyDescent="0.2">
      <c r="E2324" s="50"/>
      <c r="H2324" s="12"/>
      <c r="K2324"/>
    </row>
    <row r="2325" spans="5:11" x14ac:dyDescent="0.2">
      <c r="E2325" s="50"/>
      <c r="H2325" s="12"/>
      <c r="K2325"/>
    </row>
    <row r="2326" spans="5:11" x14ac:dyDescent="0.2">
      <c r="E2326" s="50"/>
      <c r="H2326" s="12"/>
      <c r="K2326"/>
    </row>
    <row r="2327" spans="5:11" x14ac:dyDescent="0.2">
      <c r="E2327" s="50"/>
      <c r="H2327" s="12"/>
      <c r="K2327"/>
    </row>
    <row r="2328" spans="5:11" x14ac:dyDescent="0.2">
      <c r="E2328" s="50"/>
      <c r="H2328" s="12"/>
      <c r="K2328"/>
    </row>
    <row r="2329" spans="5:11" x14ac:dyDescent="0.2">
      <c r="E2329" s="50"/>
      <c r="H2329" s="12"/>
      <c r="K2329"/>
    </row>
    <row r="2330" spans="5:11" x14ac:dyDescent="0.2">
      <c r="E2330" s="50"/>
      <c r="H2330" s="12"/>
      <c r="K2330"/>
    </row>
    <row r="2331" spans="5:11" x14ac:dyDescent="0.2">
      <c r="E2331" s="50"/>
      <c r="H2331" s="12"/>
      <c r="K2331"/>
    </row>
    <row r="2332" spans="5:11" x14ac:dyDescent="0.2">
      <c r="E2332" s="50"/>
      <c r="H2332" s="12"/>
      <c r="K2332"/>
    </row>
    <row r="2333" spans="5:11" x14ac:dyDescent="0.2">
      <c r="E2333" s="50"/>
      <c r="H2333" s="12"/>
      <c r="K2333"/>
    </row>
    <row r="2334" spans="5:11" x14ac:dyDescent="0.2">
      <c r="E2334" s="50"/>
      <c r="H2334" s="12"/>
      <c r="K2334"/>
    </row>
    <row r="2335" spans="5:11" x14ac:dyDescent="0.2">
      <c r="E2335" s="50"/>
      <c r="H2335" s="12"/>
      <c r="K2335"/>
    </row>
    <row r="2336" spans="5:11" x14ac:dyDescent="0.2">
      <c r="E2336" s="50"/>
      <c r="H2336" s="12"/>
      <c r="K2336"/>
    </row>
    <row r="2337" spans="5:11" x14ac:dyDescent="0.2">
      <c r="E2337" s="50"/>
      <c r="H2337" s="12"/>
      <c r="K2337"/>
    </row>
    <row r="2338" spans="5:11" x14ac:dyDescent="0.2">
      <c r="E2338" s="50"/>
      <c r="H2338" s="12"/>
      <c r="K2338"/>
    </row>
    <row r="2339" spans="5:11" x14ac:dyDescent="0.2">
      <c r="E2339" s="50"/>
      <c r="H2339" s="12"/>
      <c r="K2339"/>
    </row>
    <row r="2340" spans="5:11" x14ac:dyDescent="0.2">
      <c r="E2340" s="50"/>
      <c r="H2340" s="12"/>
      <c r="K2340"/>
    </row>
    <row r="2341" spans="5:11" x14ac:dyDescent="0.2">
      <c r="E2341" s="50"/>
      <c r="H2341" s="12"/>
      <c r="K2341"/>
    </row>
    <row r="2342" spans="5:11" x14ac:dyDescent="0.2">
      <c r="E2342" s="50"/>
      <c r="H2342" s="12"/>
      <c r="K2342"/>
    </row>
    <row r="2343" spans="5:11" x14ac:dyDescent="0.2">
      <c r="E2343" s="50"/>
      <c r="H2343" s="12"/>
      <c r="K2343"/>
    </row>
    <row r="2344" spans="5:11" x14ac:dyDescent="0.2">
      <c r="E2344" s="50"/>
      <c r="H2344" s="12"/>
      <c r="K2344"/>
    </row>
    <row r="2345" spans="5:11" x14ac:dyDescent="0.2">
      <c r="E2345" s="50"/>
      <c r="H2345" s="12"/>
      <c r="K2345"/>
    </row>
    <row r="2346" spans="5:11" x14ac:dyDescent="0.2">
      <c r="E2346" s="50"/>
      <c r="H2346" s="12"/>
      <c r="K2346"/>
    </row>
    <row r="2347" spans="5:11" x14ac:dyDescent="0.2">
      <c r="E2347" s="50"/>
      <c r="H2347" s="12"/>
      <c r="K2347"/>
    </row>
    <row r="2348" spans="5:11" x14ac:dyDescent="0.2">
      <c r="E2348" s="50"/>
      <c r="H2348" s="12"/>
      <c r="K2348"/>
    </row>
    <row r="2349" spans="5:11" x14ac:dyDescent="0.2">
      <c r="E2349" s="50"/>
      <c r="H2349" s="12"/>
      <c r="K2349"/>
    </row>
    <row r="2350" spans="5:11" x14ac:dyDescent="0.2">
      <c r="E2350" s="50"/>
      <c r="H2350" s="12"/>
      <c r="K2350"/>
    </row>
    <row r="2351" spans="5:11" x14ac:dyDescent="0.2">
      <c r="E2351" s="50"/>
      <c r="H2351" s="12"/>
      <c r="K2351"/>
    </row>
    <row r="2352" spans="5:11" x14ac:dyDescent="0.2">
      <c r="E2352" s="50"/>
      <c r="H2352" s="12"/>
      <c r="K2352"/>
    </row>
    <row r="2353" spans="5:11" x14ac:dyDescent="0.2">
      <c r="E2353" s="50"/>
      <c r="H2353" s="12"/>
      <c r="K2353"/>
    </row>
    <row r="2354" spans="5:11" x14ac:dyDescent="0.2">
      <c r="E2354" s="50"/>
      <c r="H2354" s="12"/>
      <c r="K2354"/>
    </row>
    <row r="2355" spans="5:11" x14ac:dyDescent="0.2">
      <c r="E2355" s="50"/>
      <c r="H2355" s="12"/>
      <c r="K2355"/>
    </row>
    <row r="2356" spans="5:11" x14ac:dyDescent="0.2">
      <c r="E2356" s="50"/>
      <c r="H2356" s="12"/>
      <c r="K2356"/>
    </row>
    <row r="2357" spans="5:11" x14ac:dyDescent="0.2">
      <c r="E2357" s="50"/>
      <c r="H2357" s="12"/>
      <c r="K2357"/>
    </row>
    <row r="2358" spans="5:11" x14ac:dyDescent="0.2">
      <c r="E2358" s="50"/>
      <c r="H2358" s="12"/>
      <c r="K2358"/>
    </row>
    <row r="2359" spans="5:11" x14ac:dyDescent="0.2">
      <c r="E2359" s="50"/>
      <c r="H2359" s="12"/>
      <c r="K2359"/>
    </row>
    <row r="2360" spans="5:11" x14ac:dyDescent="0.2">
      <c r="E2360" s="50"/>
      <c r="H2360" s="12"/>
      <c r="K2360"/>
    </row>
    <row r="2361" spans="5:11" x14ac:dyDescent="0.2">
      <c r="E2361" s="50"/>
      <c r="H2361" s="12"/>
      <c r="K2361"/>
    </row>
    <row r="2362" spans="5:11" x14ac:dyDescent="0.2">
      <c r="E2362" s="50"/>
      <c r="H2362" s="12"/>
      <c r="K2362"/>
    </row>
    <row r="2363" spans="5:11" x14ac:dyDescent="0.2">
      <c r="E2363" s="50"/>
      <c r="H2363" s="12"/>
      <c r="K2363"/>
    </row>
    <row r="2364" spans="5:11" x14ac:dyDescent="0.2">
      <c r="E2364" s="50"/>
      <c r="H2364" s="12"/>
      <c r="K2364"/>
    </row>
    <row r="2365" spans="5:11" x14ac:dyDescent="0.2">
      <c r="E2365" s="50"/>
      <c r="H2365" s="12"/>
      <c r="K2365"/>
    </row>
    <row r="2366" spans="5:11" x14ac:dyDescent="0.2">
      <c r="E2366" s="50"/>
      <c r="H2366" s="12"/>
      <c r="K2366"/>
    </row>
    <row r="2367" spans="5:11" x14ac:dyDescent="0.2">
      <c r="E2367" s="50"/>
      <c r="H2367" s="12"/>
      <c r="K2367"/>
    </row>
    <row r="2368" spans="5:11" x14ac:dyDescent="0.2">
      <c r="E2368" s="50"/>
      <c r="H2368" s="12"/>
      <c r="K2368"/>
    </row>
    <row r="2369" spans="5:11" x14ac:dyDescent="0.2">
      <c r="E2369" s="50"/>
      <c r="H2369" s="12"/>
      <c r="K2369"/>
    </row>
    <row r="2370" spans="5:11" x14ac:dyDescent="0.2">
      <c r="E2370" s="50"/>
      <c r="H2370" s="12"/>
      <c r="K2370"/>
    </row>
    <row r="2371" spans="5:11" x14ac:dyDescent="0.2">
      <c r="E2371" s="50"/>
      <c r="H2371" s="12"/>
      <c r="K2371"/>
    </row>
    <row r="2372" spans="5:11" x14ac:dyDescent="0.2">
      <c r="E2372" s="50"/>
      <c r="H2372" s="12"/>
      <c r="K2372"/>
    </row>
    <row r="2373" spans="5:11" x14ac:dyDescent="0.2">
      <c r="E2373" s="50"/>
      <c r="H2373" s="12"/>
      <c r="K2373"/>
    </row>
    <row r="2374" spans="5:11" x14ac:dyDescent="0.2">
      <c r="E2374" s="50"/>
      <c r="H2374" s="12"/>
      <c r="K2374"/>
    </row>
    <row r="2375" spans="5:11" x14ac:dyDescent="0.2">
      <c r="E2375" s="50"/>
      <c r="H2375" s="12"/>
      <c r="K2375"/>
    </row>
    <row r="2376" spans="5:11" x14ac:dyDescent="0.2">
      <c r="E2376" s="50"/>
      <c r="H2376" s="12"/>
      <c r="K2376"/>
    </row>
    <row r="2377" spans="5:11" x14ac:dyDescent="0.2">
      <c r="E2377" s="50"/>
      <c r="H2377" s="12"/>
      <c r="K2377"/>
    </row>
    <row r="2378" spans="5:11" x14ac:dyDescent="0.2">
      <c r="E2378" s="50"/>
      <c r="H2378" s="12"/>
      <c r="K2378"/>
    </row>
    <row r="2379" spans="5:11" x14ac:dyDescent="0.2">
      <c r="E2379" s="50"/>
      <c r="H2379" s="12"/>
      <c r="K2379"/>
    </row>
    <row r="2380" spans="5:11" x14ac:dyDescent="0.2">
      <c r="E2380" s="50"/>
      <c r="H2380" s="12"/>
      <c r="K2380"/>
    </row>
    <row r="2381" spans="5:11" x14ac:dyDescent="0.2">
      <c r="E2381" s="50"/>
      <c r="H2381" s="12"/>
      <c r="K2381"/>
    </row>
    <row r="2382" spans="5:11" x14ac:dyDescent="0.2">
      <c r="E2382" s="50"/>
      <c r="H2382" s="12"/>
      <c r="K2382"/>
    </row>
    <row r="2383" spans="5:11" x14ac:dyDescent="0.2">
      <c r="E2383" s="50"/>
      <c r="H2383" s="12"/>
      <c r="K2383"/>
    </row>
    <row r="2384" spans="5:11" x14ac:dyDescent="0.2">
      <c r="E2384" s="50"/>
      <c r="H2384" s="12"/>
      <c r="K2384"/>
    </row>
    <row r="2385" spans="5:11" x14ac:dyDescent="0.2">
      <c r="E2385" s="50"/>
      <c r="H2385" s="12"/>
      <c r="K2385"/>
    </row>
    <row r="2386" spans="5:11" x14ac:dyDescent="0.2">
      <c r="E2386" s="50"/>
      <c r="H2386" s="12"/>
      <c r="K2386"/>
    </row>
    <row r="2387" spans="5:11" x14ac:dyDescent="0.2">
      <c r="E2387" s="50"/>
      <c r="H2387" s="12"/>
      <c r="K2387"/>
    </row>
    <row r="2388" spans="5:11" x14ac:dyDescent="0.2">
      <c r="E2388" s="50"/>
      <c r="H2388" s="12"/>
      <c r="K2388"/>
    </row>
    <row r="2389" spans="5:11" x14ac:dyDescent="0.2">
      <c r="E2389" s="50"/>
      <c r="H2389" s="12"/>
      <c r="K2389"/>
    </row>
    <row r="2390" spans="5:11" x14ac:dyDescent="0.2">
      <c r="E2390" s="50"/>
      <c r="H2390" s="12"/>
      <c r="K2390"/>
    </row>
    <row r="2391" spans="5:11" x14ac:dyDescent="0.2">
      <c r="E2391" s="50"/>
      <c r="H2391" s="12"/>
      <c r="K2391"/>
    </row>
    <row r="2392" spans="5:11" x14ac:dyDescent="0.2">
      <c r="E2392" s="50"/>
      <c r="H2392" s="12"/>
      <c r="K2392"/>
    </row>
    <row r="2393" spans="5:11" x14ac:dyDescent="0.2">
      <c r="E2393" s="50"/>
      <c r="H2393" s="12"/>
      <c r="K2393"/>
    </row>
    <row r="2394" spans="5:11" x14ac:dyDescent="0.2">
      <c r="E2394" s="50"/>
      <c r="H2394" s="12"/>
      <c r="K2394"/>
    </row>
    <row r="2395" spans="5:11" x14ac:dyDescent="0.2">
      <c r="E2395" s="50"/>
      <c r="H2395" s="12"/>
      <c r="K2395"/>
    </row>
    <row r="2396" spans="5:11" x14ac:dyDescent="0.2">
      <c r="E2396" s="50"/>
      <c r="H2396" s="12"/>
      <c r="K2396"/>
    </row>
    <row r="2397" spans="5:11" x14ac:dyDescent="0.2">
      <c r="E2397" s="50"/>
      <c r="H2397" s="12"/>
      <c r="K2397"/>
    </row>
    <row r="2398" spans="5:11" x14ac:dyDescent="0.2">
      <c r="E2398" s="50"/>
      <c r="H2398" s="12"/>
      <c r="K2398"/>
    </row>
    <row r="2399" spans="5:11" x14ac:dyDescent="0.2">
      <c r="E2399" s="50"/>
      <c r="H2399" s="12"/>
      <c r="K2399"/>
    </row>
    <row r="2400" spans="5:11" x14ac:dyDescent="0.2">
      <c r="E2400" s="50"/>
      <c r="H2400" s="12"/>
      <c r="K2400"/>
    </row>
    <row r="2401" spans="5:11" x14ac:dyDescent="0.2">
      <c r="E2401" s="50"/>
      <c r="H2401" s="12"/>
      <c r="K2401"/>
    </row>
    <row r="2402" spans="5:11" x14ac:dyDescent="0.2">
      <c r="E2402" s="50"/>
      <c r="H2402" s="12"/>
      <c r="K2402"/>
    </row>
    <row r="2403" spans="5:11" x14ac:dyDescent="0.2">
      <c r="E2403" s="50"/>
      <c r="H2403" s="12"/>
      <c r="K2403"/>
    </row>
    <row r="2404" spans="5:11" x14ac:dyDescent="0.2">
      <c r="E2404" s="50"/>
      <c r="H2404" s="12"/>
      <c r="K2404"/>
    </row>
    <row r="2405" spans="5:11" x14ac:dyDescent="0.2">
      <c r="E2405" s="50"/>
      <c r="H2405" s="12"/>
      <c r="K2405"/>
    </row>
    <row r="2406" spans="5:11" x14ac:dyDescent="0.2">
      <c r="E2406" s="50"/>
      <c r="H2406" s="12"/>
      <c r="K2406"/>
    </row>
    <row r="2407" spans="5:11" x14ac:dyDescent="0.2">
      <c r="E2407" s="50"/>
      <c r="H2407" s="12"/>
      <c r="K2407"/>
    </row>
    <row r="2408" spans="5:11" x14ac:dyDescent="0.2">
      <c r="E2408" s="50"/>
      <c r="H2408" s="12"/>
      <c r="K2408"/>
    </row>
    <row r="2409" spans="5:11" x14ac:dyDescent="0.2">
      <c r="E2409" s="50"/>
      <c r="H2409" s="12"/>
      <c r="K2409"/>
    </row>
    <row r="2410" spans="5:11" x14ac:dyDescent="0.2">
      <c r="E2410" s="50"/>
      <c r="H2410" s="12"/>
      <c r="K2410"/>
    </row>
    <row r="2411" spans="5:11" x14ac:dyDescent="0.2">
      <c r="E2411" s="50"/>
      <c r="H2411" s="12"/>
      <c r="K2411"/>
    </row>
    <row r="2412" spans="5:11" x14ac:dyDescent="0.2">
      <c r="E2412" s="50"/>
      <c r="H2412" s="12"/>
      <c r="K2412"/>
    </row>
    <row r="2413" spans="5:11" x14ac:dyDescent="0.2">
      <c r="E2413" s="50"/>
      <c r="H2413" s="12"/>
      <c r="K2413"/>
    </row>
    <row r="2414" spans="5:11" x14ac:dyDescent="0.2">
      <c r="E2414" s="50"/>
      <c r="H2414" s="12"/>
      <c r="K2414"/>
    </row>
    <row r="2415" spans="5:11" x14ac:dyDescent="0.2">
      <c r="E2415" s="50"/>
      <c r="H2415" s="12"/>
      <c r="K2415"/>
    </row>
    <row r="2416" spans="5:11" x14ac:dyDescent="0.2">
      <c r="E2416" s="50"/>
      <c r="H2416" s="12"/>
      <c r="K2416"/>
    </row>
    <row r="2417" spans="5:11" x14ac:dyDescent="0.2">
      <c r="E2417" s="50"/>
      <c r="H2417" s="12"/>
      <c r="K2417"/>
    </row>
    <row r="2418" spans="5:11" x14ac:dyDescent="0.2">
      <c r="E2418" s="50"/>
      <c r="H2418" s="12"/>
      <c r="K2418"/>
    </row>
    <row r="2419" spans="5:11" x14ac:dyDescent="0.2">
      <c r="E2419" s="50"/>
      <c r="H2419" s="12"/>
      <c r="K2419"/>
    </row>
    <row r="2420" spans="5:11" x14ac:dyDescent="0.2">
      <c r="E2420" s="50"/>
      <c r="H2420" s="12"/>
      <c r="K2420"/>
    </row>
    <row r="2421" spans="5:11" x14ac:dyDescent="0.2">
      <c r="E2421" s="50"/>
      <c r="H2421" s="12"/>
      <c r="K2421"/>
    </row>
    <row r="2422" spans="5:11" x14ac:dyDescent="0.2">
      <c r="E2422" s="50"/>
      <c r="H2422" s="12"/>
      <c r="K2422"/>
    </row>
    <row r="2423" spans="5:11" x14ac:dyDescent="0.2">
      <c r="E2423" s="50"/>
      <c r="H2423" s="12"/>
      <c r="K2423"/>
    </row>
    <row r="2424" spans="5:11" x14ac:dyDescent="0.2">
      <c r="E2424" s="50"/>
      <c r="H2424" s="12"/>
      <c r="K2424"/>
    </row>
    <row r="2425" spans="5:11" x14ac:dyDescent="0.2">
      <c r="E2425" s="50"/>
      <c r="H2425" s="12"/>
      <c r="K2425"/>
    </row>
    <row r="2426" spans="5:11" x14ac:dyDescent="0.2">
      <c r="E2426" s="50"/>
      <c r="H2426" s="12"/>
      <c r="K2426"/>
    </row>
    <row r="2427" spans="5:11" x14ac:dyDescent="0.2">
      <c r="E2427" s="50"/>
      <c r="H2427" s="12"/>
      <c r="K2427"/>
    </row>
    <row r="2428" spans="5:11" x14ac:dyDescent="0.2">
      <c r="E2428" s="50"/>
      <c r="H2428" s="12"/>
      <c r="K2428"/>
    </row>
    <row r="2429" spans="5:11" x14ac:dyDescent="0.2">
      <c r="E2429" s="50"/>
      <c r="H2429" s="12"/>
      <c r="K2429"/>
    </row>
    <row r="2430" spans="5:11" x14ac:dyDescent="0.2">
      <c r="E2430" s="50"/>
      <c r="H2430" s="12"/>
      <c r="K2430"/>
    </row>
    <row r="2431" spans="5:11" x14ac:dyDescent="0.2">
      <c r="E2431" s="50"/>
      <c r="H2431" s="12"/>
      <c r="K2431"/>
    </row>
    <row r="2432" spans="5:11" x14ac:dyDescent="0.2">
      <c r="E2432" s="50"/>
      <c r="H2432" s="12"/>
      <c r="K2432"/>
    </row>
    <row r="2433" spans="5:11" x14ac:dyDescent="0.2">
      <c r="E2433" s="50"/>
      <c r="H2433" s="12"/>
      <c r="K2433"/>
    </row>
    <row r="2434" spans="5:11" x14ac:dyDescent="0.2">
      <c r="E2434" s="50"/>
      <c r="H2434" s="12"/>
      <c r="K2434"/>
    </row>
    <row r="2435" spans="5:11" x14ac:dyDescent="0.2">
      <c r="E2435" s="50"/>
      <c r="H2435" s="12"/>
      <c r="K2435"/>
    </row>
    <row r="2436" spans="5:11" x14ac:dyDescent="0.2">
      <c r="E2436" s="50"/>
      <c r="H2436" s="12"/>
      <c r="K2436"/>
    </row>
    <row r="2437" spans="5:11" x14ac:dyDescent="0.2">
      <c r="E2437" s="50"/>
      <c r="H2437" s="12"/>
      <c r="K2437"/>
    </row>
    <row r="2438" spans="5:11" x14ac:dyDescent="0.2">
      <c r="E2438" s="50"/>
      <c r="H2438" s="12"/>
      <c r="K2438"/>
    </row>
    <row r="2439" spans="5:11" x14ac:dyDescent="0.2">
      <c r="E2439" s="50"/>
      <c r="H2439" s="12"/>
      <c r="K2439"/>
    </row>
    <row r="2440" spans="5:11" x14ac:dyDescent="0.2">
      <c r="E2440" s="50"/>
      <c r="H2440" s="12"/>
      <c r="K2440"/>
    </row>
    <row r="2441" spans="5:11" x14ac:dyDescent="0.2">
      <c r="E2441" s="50"/>
      <c r="H2441" s="12"/>
      <c r="K2441"/>
    </row>
    <row r="2442" spans="5:11" x14ac:dyDescent="0.2">
      <c r="E2442" s="50"/>
      <c r="H2442" s="12"/>
      <c r="K2442"/>
    </row>
    <row r="2443" spans="5:11" x14ac:dyDescent="0.2">
      <c r="E2443" s="50"/>
      <c r="H2443" s="12"/>
      <c r="K2443"/>
    </row>
    <row r="2444" spans="5:11" x14ac:dyDescent="0.2">
      <c r="E2444" s="50"/>
      <c r="H2444" s="12"/>
      <c r="K2444"/>
    </row>
    <row r="2445" spans="5:11" x14ac:dyDescent="0.2">
      <c r="E2445" s="50"/>
      <c r="H2445" s="12"/>
      <c r="K2445"/>
    </row>
    <row r="2446" spans="5:11" x14ac:dyDescent="0.2">
      <c r="E2446" s="50"/>
      <c r="H2446" s="12"/>
      <c r="K2446"/>
    </row>
    <row r="2447" spans="5:11" x14ac:dyDescent="0.2">
      <c r="E2447" s="50"/>
      <c r="H2447" s="12"/>
      <c r="K2447"/>
    </row>
    <row r="2448" spans="5:11" x14ac:dyDescent="0.2">
      <c r="E2448" s="50"/>
      <c r="H2448" s="12"/>
      <c r="K2448"/>
    </row>
    <row r="2449" spans="5:11" x14ac:dyDescent="0.2">
      <c r="E2449" s="50"/>
      <c r="H2449" s="12"/>
      <c r="K2449"/>
    </row>
    <row r="2450" spans="5:11" x14ac:dyDescent="0.2">
      <c r="E2450" s="50"/>
      <c r="H2450" s="12"/>
      <c r="K2450"/>
    </row>
    <row r="2451" spans="5:11" x14ac:dyDescent="0.2">
      <c r="E2451" s="50"/>
      <c r="H2451" s="12"/>
      <c r="K2451"/>
    </row>
    <row r="2452" spans="5:11" x14ac:dyDescent="0.2">
      <c r="E2452" s="50"/>
      <c r="H2452" s="12"/>
      <c r="K2452"/>
    </row>
    <row r="2453" spans="5:11" x14ac:dyDescent="0.2">
      <c r="E2453" s="50"/>
      <c r="H2453" s="12"/>
      <c r="K2453"/>
    </row>
    <row r="2454" spans="5:11" x14ac:dyDescent="0.2">
      <c r="E2454" s="50"/>
      <c r="H2454" s="12"/>
      <c r="K2454"/>
    </row>
    <row r="2455" spans="5:11" x14ac:dyDescent="0.2">
      <c r="E2455" s="50"/>
      <c r="H2455" s="12"/>
      <c r="K2455"/>
    </row>
    <row r="2456" spans="5:11" x14ac:dyDescent="0.2">
      <c r="E2456" s="50"/>
      <c r="H2456" s="12"/>
      <c r="K2456"/>
    </row>
    <row r="2457" spans="5:11" x14ac:dyDescent="0.2">
      <c r="E2457" s="50"/>
      <c r="H2457" s="12"/>
      <c r="K2457"/>
    </row>
    <row r="2458" spans="5:11" x14ac:dyDescent="0.2">
      <c r="E2458" s="50"/>
      <c r="H2458" s="12"/>
      <c r="K2458"/>
    </row>
    <row r="2459" spans="5:11" x14ac:dyDescent="0.2">
      <c r="E2459" s="50"/>
      <c r="H2459" s="12"/>
      <c r="K2459"/>
    </row>
    <row r="2460" spans="5:11" x14ac:dyDescent="0.2">
      <c r="E2460" s="50"/>
      <c r="H2460" s="12"/>
      <c r="K2460"/>
    </row>
    <row r="2461" spans="5:11" x14ac:dyDescent="0.2">
      <c r="E2461" s="50"/>
      <c r="H2461" s="12"/>
      <c r="K2461"/>
    </row>
    <row r="2462" spans="5:11" x14ac:dyDescent="0.2">
      <c r="E2462" s="50"/>
      <c r="H2462" s="12"/>
      <c r="K2462"/>
    </row>
    <row r="2463" spans="5:11" x14ac:dyDescent="0.2">
      <c r="E2463" s="50"/>
      <c r="H2463" s="12"/>
      <c r="K2463"/>
    </row>
    <row r="2464" spans="5:11" x14ac:dyDescent="0.2">
      <c r="E2464" s="50"/>
      <c r="H2464" s="12"/>
      <c r="K2464"/>
    </row>
    <row r="2465" spans="5:11" x14ac:dyDescent="0.2">
      <c r="E2465" s="50"/>
      <c r="H2465" s="12"/>
      <c r="K2465"/>
    </row>
    <row r="2466" spans="5:11" x14ac:dyDescent="0.2">
      <c r="E2466" s="50"/>
      <c r="H2466" s="12"/>
      <c r="K2466"/>
    </row>
    <row r="2467" spans="5:11" x14ac:dyDescent="0.2">
      <c r="E2467" s="50"/>
      <c r="H2467" s="12"/>
      <c r="K2467"/>
    </row>
    <row r="2468" spans="5:11" x14ac:dyDescent="0.2">
      <c r="E2468" s="50"/>
      <c r="H2468" s="12"/>
      <c r="K2468"/>
    </row>
    <row r="2469" spans="5:11" x14ac:dyDescent="0.2">
      <c r="E2469" s="50"/>
      <c r="H2469" s="12"/>
      <c r="K2469"/>
    </row>
    <row r="2470" spans="5:11" x14ac:dyDescent="0.2">
      <c r="E2470" s="50"/>
      <c r="H2470" s="12"/>
      <c r="K2470"/>
    </row>
    <row r="2471" spans="5:11" x14ac:dyDescent="0.2">
      <c r="E2471" s="50"/>
      <c r="H2471" s="12"/>
      <c r="K2471"/>
    </row>
    <row r="2472" spans="5:11" x14ac:dyDescent="0.2">
      <c r="E2472" s="50"/>
      <c r="H2472" s="12"/>
      <c r="K2472"/>
    </row>
    <row r="2473" spans="5:11" x14ac:dyDescent="0.2">
      <c r="E2473" s="50"/>
      <c r="H2473" s="12"/>
      <c r="K2473"/>
    </row>
    <row r="2474" spans="5:11" x14ac:dyDescent="0.2">
      <c r="E2474" s="50"/>
      <c r="H2474" s="12"/>
      <c r="K2474"/>
    </row>
    <row r="2475" spans="5:11" x14ac:dyDescent="0.2">
      <c r="E2475" s="50"/>
      <c r="H2475" s="12"/>
      <c r="K2475"/>
    </row>
    <row r="2476" spans="5:11" x14ac:dyDescent="0.2">
      <c r="E2476" s="50"/>
      <c r="H2476" s="12"/>
      <c r="K2476"/>
    </row>
    <row r="2477" spans="5:11" x14ac:dyDescent="0.2">
      <c r="E2477" s="50"/>
      <c r="H2477" s="12"/>
      <c r="K2477"/>
    </row>
    <row r="2478" spans="5:11" x14ac:dyDescent="0.2">
      <c r="E2478" s="50"/>
      <c r="H2478" s="12"/>
      <c r="K2478"/>
    </row>
    <row r="2479" spans="5:11" x14ac:dyDescent="0.2">
      <c r="E2479" s="50"/>
      <c r="H2479" s="12"/>
      <c r="K2479"/>
    </row>
    <row r="2480" spans="5:11" x14ac:dyDescent="0.2">
      <c r="E2480" s="50"/>
      <c r="H2480" s="12"/>
      <c r="K2480"/>
    </row>
    <row r="2481" spans="5:11" x14ac:dyDescent="0.2">
      <c r="E2481" s="50"/>
      <c r="H2481" s="12"/>
      <c r="K2481"/>
    </row>
    <row r="2482" spans="5:11" x14ac:dyDescent="0.2">
      <c r="E2482" s="50"/>
      <c r="H2482" s="12"/>
      <c r="K2482"/>
    </row>
    <row r="2483" spans="5:11" x14ac:dyDescent="0.2">
      <c r="E2483" s="50"/>
      <c r="H2483" s="12"/>
      <c r="K2483"/>
    </row>
    <row r="2484" spans="5:11" x14ac:dyDescent="0.2">
      <c r="E2484" s="50"/>
      <c r="H2484" s="12"/>
      <c r="K2484"/>
    </row>
    <row r="2485" spans="5:11" x14ac:dyDescent="0.2">
      <c r="E2485" s="50"/>
      <c r="H2485" s="12"/>
      <c r="K2485"/>
    </row>
    <row r="2486" spans="5:11" x14ac:dyDescent="0.2">
      <c r="E2486" s="50"/>
      <c r="H2486" s="12"/>
      <c r="K2486"/>
    </row>
    <row r="2487" spans="5:11" x14ac:dyDescent="0.2">
      <c r="E2487" s="50"/>
      <c r="H2487" s="12"/>
      <c r="K2487"/>
    </row>
    <row r="2488" spans="5:11" x14ac:dyDescent="0.2">
      <c r="E2488" s="50"/>
      <c r="H2488" s="12"/>
      <c r="K2488"/>
    </row>
    <row r="2489" spans="5:11" x14ac:dyDescent="0.2">
      <c r="E2489" s="50"/>
      <c r="H2489" s="12"/>
      <c r="K2489"/>
    </row>
    <row r="2490" spans="5:11" x14ac:dyDescent="0.2">
      <c r="E2490" s="50"/>
      <c r="H2490" s="12"/>
      <c r="K2490"/>
    </row>
    <row r="2491" spans="5:11" x14ac:dyDescent="0.2">
      <c r="E2491" s="50"/>
      <c r="H2491" s="12"/>
      <c r="K2491"/>
    </row>
    <row r="2492" spans="5:11" x14ac:dyDescent="0.2">
      <c r="E2492" s="50"/>
      <c r="H2492" s="12"/>
      <c r="K2492"/>
    </row>
    <row r="2493" spans="5:11" x14ac:dyDescent="0.2">
      <c r="E2493" s="50"/>
      <c r="H2493" s="12"/>
      <c r="K2493"/>
    </row>
    <row r="2494" spans="5:11" x14ac:dyDescent="0.2">
      <c r="E2494" s="50"/>
      <c r="H2494" s="12"/>
      <c r="K2494"/>
    </row>
    <row r="2495" spans="5:11" x14ac:dyDescent="0.2">
      <c r="E2495" s="50"/>
      <c r="H2495" s="12"/>
      <c r="K2495"/>
    </row>
    <row r="2496" spans="5:11" x14ac:dyDescent="0.2">
      <c r="E2496" s="50"/>
      <c r="H2496" s="12"/>
      <c r="K2496"/>
    </row>
    <row r="2497" spans="5:11" x14ac:dyDescent="0.2">
      <c r="E2497" s="50"/>
      <c r="H2497" s="12"/>
      <c r="K2497"/>
    </row>
    <row r="2498" spans="5:11" x14ac:dyDescent="0.2">
      <c r="E2498" s="50"/>
      <c r="H2498" s="12"/>
      <c r="K2498"/>
    </row>
    <row r="2499" spans="5:11" x14ac:dyDescent="0.2">
      <c r="E2499" s="50"/>
      <c r="H2499" s="12"/>
      <c r="K2499"/>
    </row>
    <row r="2500" spans="5:11" x14ac:dyDescent="0.2">
      <c r="E2500" s="50"/>
      <c r="H2500" s="12"/>
      <c r="K2500"/>
    </row>
    <row r="2501" spans="5:11" x14ac:dyDescent="0.2">
      <c r="E2501" s="50"/>
      <c r="H2501" s="12"/>
      <c r="K2501"/>
    </row>
    <row r="2502" spans="5:11" x14ac:dyDescent="0.2">
      <c r="E2502" s="50"/>
      <c r="H2502" s="12"/>
      <c r="K2502"/>
    </row>
    <row r="2503" spans="5:11" x14ac:dyDescent="0.2">
      <c r="E2503" s="50"/>
      <c r="H2503" s="12"/>
      <c r="K2503"/>
    </row>
    <row r="2504" spans="5:11" x14ac:dyDescent="0.2">
      <c r="E2504" s="50"/>
      <c r="H2504" s="12"/>
      <c r="K2504"/>
    </row>
    <row r="2505" spans="5:11" x14ac:dyDescent="0.2">
      <c r="E2505" s="50"/>
      <c r="H2505" s="12"/>
      <c r="K2505"/>
    </row>
    <row r="2506" spans="5:11" x14ac:dyDescent="0.2">
      <c r="E2506" s="50"/>
      <c r="H2506" s="12"/>
      <c r="K2506"/>
    </row>
    <row r="2507" spans="5:11" x14ac:dyDescent="0.2">
      <c r="E2507" s="50"/>
      <c r="H2507" s="12"/>
      <c r="K2507"/>
    </row>
    <row r="2508" spans="5:11" x14ac:dyDescent="0.2">
      <c r="E2508" s="50"/>
      <c r="H2508" s="12"/>
      <c r="K2508"/>
    </row>
    <row r="2509" spans="5:11" x14ac:dyDescent="0.2">
      <c r="E2509" s="50"/>
      <c r="H2509" s="12"/>
      <c r="K2509"/>
    </row>
    <row r="2510" spans="5:11" x14ac:dyDescent="0.2">
      <c r="E2510" s="50"/>
      <c r="H2510" s="12"/>
      <c r="K2510"/>
    </row>
    <row r="2511" spans="5:11" x14ac:dyDescent="0.2">
      <c r="E2511" s="50"/>
      <c r="H2511" s="12"/>
      <c r="K2511"/>
    </row>
    <row r="2512" spans="5:11" x14ac:dyDescent="0.2">
      <c r="E2512" s="50"/>
      <c r="H2512" s="12"/>
      <c r="K2512"/>
    </row>
    <row r="2513" spans="5:11" x14ac:dyDescent="0.2">
      <c r="E2513" s="50"/>
      <c r="H2513" s="12"/>
      <c r="K2513"/>
    </row>
    <row r="2514" spans="5:11" x14ac:dyDescent="0.2">
      <c r="E2514" s="50"/>
      <c r="H2514" s="12"/>
      <c r="K2514"/>
    </row>
    <row r="2515" spans="5:11" x14ac:dyDescent="0.2">
      <c r="E2515" s="50"/>
      <c r="H2515" s="12"/>
      <c r="K2515"/>
    </row>
    <row r="2516" spans="5:11" x14ac:dyDescent="0.2">
      <c r="E2516" s="50"/>
      <c r="H2516" s="12"/>
      <c r="K2516"/>
    </row>
    <row r="2517" spans="5:11" x14ac:dyDescent="0.2">
      <c r="E2517" s="50"/>
      <c r="H2517" s="12"/>
      <c r="K2517"/>
    </row>
    <row r="2518" spans="5:11" x14ac:dyDescent="0.2">
      <c r="E2518" s="50"/>
      <c r="H2518" s="12"/>
      <c r="K2518"/>
    </row>
    <row r="2519" spans="5:11" x14ac:dyDescent="0.2">
      <c r="E2519" s="50"/>
      <c r="H2519" s="12"/>
      <c r="K2519"/>
    </row>
    <row r="2520" spans="5:11" x14ac:dyDescent="0.2">
      <c r="E2520" s="50"/>
      <c r="H2520" s="12"/>
      <c r="K2520"/>
    </row>
    <row r="2521" spans="5:11" x14ac:dyDescent="0.2">
      <c r="E2521" s="50"/>
      <c r="H2521" s="12"/>
      <c r="K2521"/>
    </row>
    <row r="2522" spans="5:11" x14ac:dyDescent="0.2">
      <c r="E2522" s="50"/>
      <c r="H2522" s="12"/>
      <c r="K2522"/>
    </row>
    <row r="2523" spans="5:11" x14ac:dyDescent="0.2">
      <c r="E2523" s="50"/>
      <c r="H2523" s="12"/>
      <c r="K2523"/>
    </row>
    <row r="2524" spans="5:11" x14ac:dyDescent="0.2">
      <c r="E2524" s="50"/>
      <c r="H2524" s="12"/>
      <c r="K2524"/>
    </row>
    <row r="2525" spans="5:11" x14ac:dyDescent="0.2">
      <c r="E2525" s="50"/>
      <c r="H2525" s="12"/>
      <c r="K2525"/>
    </row>
    <row r="2526" spans="5:11" x14ac:dyDescent="0.2">
      <c r="E2526" s="50"/>
      <c r="H2526" s="12"/>
      <c r="K2526"/>
    </row>
    <row r="2527" spans="5:11" x14ac:dyDescent="0.2">
      <c r="E2527" s="50"/>
      <c r="H2527" s="12"/>
      <c r="K2527"/>
    </row>
    <row r="2528" spans="5:11" x14ac:dyDescent="0.2">
      <c r="E2528" s="50"/>
      <c r="H2528" s="12"/>
      <c r="K2528"/>
    </row>
    <row r="2529" spans="5:11" x14ac:dyDescent="0.2">
      <c r="E2529" s="50"/>
      <c r="H2529" s="12"/>
      <c r="K2529"/>
    </row>
    <row r="2530" spans="5:11" x14ac:dyDescent="0.2">
      <c r="E2530" s="50"/>
      <c r="H2530" s="12"/>
      <c r="K2530"/>
    </row>
    <row r="2531" spans="5:11" x14ac:dyDescent="0.2">
      <c r="E2531" s="50"/>
      <c r="H2531" s="12"/>
      <c r="K2531"/>
    </row>
    <row r="2532" spans="5:11" x14ac:dyDescent="0.2">
      <c r="E2532" s="50"/>
      <c r="H2532" s="12"/>
      <c r="K2532"/>
    </row>
    <row r="2533" spans="5:11" x14ac:dyDescent="0.2">
      <c r="E2533" s="50"/>
      <c r="H2533" s="12"/>
      <c r="K2533"/>
    </row>
    <row r="2534" spans="5:11" x14ac:dyDescent="0.2">
      <c r="E2534" s="50"/>
      <c r="H2534" s="12"/>
      <c r="K2534"/>
    </row>
    <row r="2535" spans="5:11" x14ac:dyDescent="0.2">
      <c r="E2535" s="50"/>
      <c r="H2535" s="12"/>
      <c r="K2535"/>
    </row>
    <row r="2536" spans="5:11" x14ac:dyDescent="0.2">
      <c r="E2536" s="50"/>
      <c r="H2536" s="12"/>
      <c r="K2536"/>
    </row>
    <row r="2537" spans="5:11" x14ac:dyDescent="0.2">
      <c r="E2537" s="50"/>
      <c r="H2537" s="12"/>
      <c r="K2537"/>
    </row>
    <row r="2538" spans="5:11" x14ac:dyDescent="0.2">
      <c r="E2538" s="50"/>
      <c r="H2538" s="12"/>
      <c r="K2538"/>
    </row>
    <row r="2539" spans="5:11" x14ac:dyDescent="0.2">
      <c r="E2539" s="50"/>
      <c r="H2539" s="12"/>
      <c r="K2539"/>
    </row>
    <row r="2540" spans="5:11" x14ac:dyDescent="0.2">
      <c r="E2540" s="50"/>
      <c r="H2540" s="12"/>
      <c r="K2540"/>
    </row>
    <row r="2541" spans="5:11" x14ac:dyDescent="0.2">
      <c r="E2541" s="50"/>
      <c r="H2541" s="12"/>
      <c r="K2541"/>
    </row>
    <row r="2542" spans="5:11" x14ac:dyDescent="0.2">
      <c r="E2542" s="50"/>
      <c r="H2542" s="12"/>
      <c r="K2542"/>
    </row>
    <row r="2543" spans="5:11" x14ac:dyDescent="0.2">
      <c r="E2543" s="50"/>
      <c r="H2543" s="12"/>
      <c r="K2543"/>
    </row>
    <row r="2544" spans="5:11" x14ac:dyDescent="0.2">
      <c r="E2544" s="50"/>
      <c r="H2544" s="12"/>
      <c r="K2544"/>
    </row>
    <row r="2545" spans="5:11" x14ac:dyDescent="0.2">
      <c r="E2545" s="50"/>
      <c r="H2545" s="12"/>
      <c r="K2545"/>
    </row>
    <row r="2546" spans="5:11" x14ac:dyDescent="0.2">
      <c r="E2546" s="50"/>
      <c r="H2546" s="12"/>
      <c r="K2546"/>
    </row>
    <row r="2547" spans="5:11" x14ac:dyDescent="0.2">
      <c r="E2547" s="50"/>
      <c r="H2547" s="12"/>
      <c r="K2547"/>
    </row>
    <row r="2548" spans="5:11" x14ac:dyDescent="0.2">
      <c r="E2548" s="50"/>
      <c r="H2548" s="12"/>
      <c r="K2548"/>
    </row>
    <row r="2549" spans="5:11" x14ac:dyDescent="0.2">
      <c r="E2549" s="50"/>
      <c r="H2549" s="12"/>
      <c r="K2549"/>
    </row>
    <row r="2550" spans="5:11" x14ac:dyDescent="0.2">
      <c r="E2550" s="50"/>
      <c r="H2550" s="12"/>
      <c r="K2550"/>
    </row>
    <row r="2551" spans="5:11" x14ac:dyDescent="0.2">
      <c r="E2551" s="50"/>
      <c r="H2551" s="12"/>
      <c r="K2551"/>
    </row>
    <row r="2552" spans="5:11" x14ac:dyDescent="0.2">
      <c r="E2552" s="50"/>
      <c r="H2552" s="12"/>
      <c r="K2552"/>
    </row>
    <row r="2553" spans="5:11" x14ac:dyDescent="0.2">
      <c r="E2553" s="50"/>
      <c r="H2553" s="12"/>
      <c r="K2553"/>
    </row>
    <row r="2554" spans="5:11" x14ac:dyDescent="0.2">
      <c r="E2554" s="50"/>
      <c r="H2554" s="12"/>
      <c r="K2554"/>
    </row>
    <row r="2555" spans="5:11" x14ac:dyDescent="0.2">
      <c r="E2555" s="50"/>
      <c r="H2555" s="12"/>
      <c r="K2555"/>
    </row>
    <row r="2556" spans="5:11" x14ac:dyDescent="0.2">
      <c r="E2556" s="50"/>
      <c r="H2556" s="12"/>
      <c r="K2556"/>
    </row>
    <row r="2557" spans="5:11" x14ac:dyDescent="0.2">
      <c r="E2557" s="50"/>
      <c r="H2557" s="12"/>
      <c r="K2557"/>
    </row>
    <row r="2558" spans="5:11" x14ac:dyDescent="0.2">
      <c r="E2558" s="50"/>
      <c r="H2558" s="12"/>
      <c r="K2558"/>
    </row>
    <row r="2559" spans="5:11" x14ac:dyDescent="0.2">
      <c r="E2559" s="50"/>
      <c r="H2559" s="12"/>
      <c r="K2559"/>
    </row>
    <row r="2560" spans="5:11" x14ac:dyDescent="0.2">
      <c r="E2560" s="50"/>
      <c r="H2560" s="12"/>
      <c r="K2560"/>
    </row>
    <row r="2561" spans="5:11" x14ac:dyDescent="0.2">
      <c r="E2561" s="50"/>
      <c r="H2561" s="12"/>
      <c r="K2561"/>
    </row>
    <row r="2562" spans="5:11" x14ac:dyDescent="0.2">
      <c r="E2562" s="50"/>
      <c r="H2562" s="12"/>
      <c r="K2562"/>
    </row>
    <row r="2563" spans="5:11" x14ac:dyDescent="0.2">
      <c r="E2563" s="50"/>
      <c r="H2563" s="12"/>
      <c r="K2563"/>
    </row>
    <row r="2564" spans="5:11" x14ac:dyDescent="0.2">
      <c r="E2564" s="50"/>
      <c r="H2564" s="12"/>
      <c r="K2564"/>
    </row>
    <row r="2565" spans="5:11" x14ac:dyDescent="0.2">
      <c r="E2565" s="50"/>
      <c r="H2565" s="12"/>
      <c r="K2565"/>
    </row>
    <row r="2566" spans="5:11" x14ac:dyDescent="0.2">
      <c r="E2566" s="50"/>
      <c r="H2566" s="12"/>
      <c r="K2566"/>
    </row>
    <row r="2567" spans="5:11" x14ac:dyDescent="0.2">
      <c r="E2567" s="50"/>
      <c r="H2567" s="12"/>
      <c r="K2567"/>
    </row>
    <row r="2568" spans="5:11" x14ac:dyDescent="0.2">
      <c r="E2568" s="50"/>
      <c r="H2568" s="12"/>
      <c r="K2568"/>
    </row>
    <row r="2569" spans="5:11" x14ac:dyDescent="0.2">
      <c r="E2569" s="50"/>
      <c r="H2569" s="12"/>
      <c r="K2569"/>
    </row>
    <row r="2570" spans="5:11" x14ac:dyDescent="0.2">
      <c r="E2570" s="50"/>
      <c r="H2570" s="12"/>
      <c r="K2570"/>
    </row>
    <row r="2571" spans="5:11" x14ac:dyDescent="0.2">
      <c r="E2571" s="50"/>
      <c r="H2571" s="12"/>
      <c r="K2571"/>
    </row>
    <row r="2572" spans="5:11" x14ac:dyDescent="0.2">
      <c r="E2572" s="50"/>
      <c r="H2572" s="12"/>
      <c r="K2572"/>
    </row>
    <row r="2573" spans="5:11" x14ac:dyDescent="0.2">
      <c r="E2573" s="50"/>
      <c r="H2573" s="12"/>
      <c r="K2573"/>
    </row>
    <row r="2574" spans="5:11" x14ac:dyDescent="0.2">
      <c r="E2574" s="50"/>
      <c r="H2574" s="12"/>
      <c r="K2574"/>
    </row>
    <row r="2575" spans="5:11" x14ac:dyDescent="0.2">
      <c r="E2575" s="50"/>
      <c r="H2575" s="12"/>
      <c r="K2575"/>
    </row>
    <row r="2576" spans="5:11" x14ac:dyDescent="0.2">
      <c r="E2576" s="50"/>
      <c r="H2576" s="12"/>
      <c r="K2576"/>
    </row>
    <row r="2577" spans="5:11" x14ac:dyDescent="0.2">
      <c r="E2577" s="50"/>
      <c r="H2577" s="12"/>
      <c r="K2577"/>
    </row>
    <row r="2578" spans="5:11" x14ac:dyDescent="0.2">
      <c r="E2578" s="50"/>
      <c r="H2578" s="12"/>
      <c r="K2578"/>
    </row>
    <row r="2579" spans="5:11" x14ac:dyDescent="0.2">
      <c r="E2579" s="50"/>
      <c r="H2579" s="12"/>
      <c r="K2579"/>
    </row>
    <row r="2580" spans="5:11" x14ac:dyDescent="0.2">
      <c r="E2580" s="50"/>
      <c r="H2580" s="12"/>
      <c r="K2580"/>
    </row>
    <row r="2581" spans="5:11" x14ac:dyDescent="0.2">
      <c r="E2581" s="50"/>
      <c r="H2581" s="12"/>
      <c r="K2581"/>
    </row>
    <row r="2582" spans="5:11" x14ac:dyDescent="0.2">
      <c r="E2582" s="50"/>
      <c r="H2582" s="12"/>
      <c r="K2582"/>
    </row>
    <row r="2583" spans="5:11" x14ac:dyDescent="0.2">
      <c r="E2583" s="50"/>
      <c r="H2583" s="12"/>
      <c r="K2583"/>
    </row>
    <row r="2584" spans="5:11" x14ac:dyDescent="0.2">
      <c r="E2584" s="50"/>
      <c r="H2584" s="12"/>
      <c r="K2584"/>
    </row>
    <row r="2585" spans="5:11" x14ac:dyDescent="0.2">
      <c r="E2585" s="50"/>
      <c r="H2585" s="12"/>
      <c r="K2585"/>
    </row>
    <row r="2586" spans="5:11" x14ac:dyDescent="0.2">
      <c r="E2586" s="50"/>
      <c r="H2586" s="12"/>
      <c r="K2586"/>
    </row>
    <row r="2587" spans="5:11" x14ac:dyDescent="0.2">
      <c r="E2587" s="50"/>
      <c r="H2587" s="12"/>
      <c r="K2587"/>
    </row>
    <row r="2588" spans="5:11" x14ac:dyDescent="0.2">
      <c r="E2588" s="50"/>
      <c r="H2588" s="12"/>
      <c r="K2588"/>
    </row>
    <row r="2589" spans="5:11" x14ac:dyDescent="0.2">
      <c r="E2589" s="50"/>
      <c r="H2589" s="12"/>
      <c r="K2589"/>
    </row>
    <row r="2590" spans="5:11" x14ac:dyDescent="0.2">
      <c r="E2590" s="50"/>
      <c r="H2590" s="12"/>
      <c r="K2590"/>
    </row>
    <row r="2591" spans="5:11" x14ac:dyDescent="0.2">
      <c r="E2591" s="50"/>
      <c r="H2591" s="12"/>
      <c r="K2591"/>
    </row>
    <row r="2592" spans="5:11" x14ac:dyDescent="0.2">
      <c r="E2592" s="50"/>
      <c r="H2592" s="12"/>
      <c r="K2592"/>
    </row>
    <row r="2593" spans="5:11" x14ac:dyDescent="0.2">
      <c r="E2593" s="50"/>
      <c r="H2593" s="12"/>
      <c r="K2593"/>
    </row>
    <row r="2594" spans="5:11" x14ac:dyDescent="0.2">
      <c r="E2594" s="50"/>
      <c r="H2594" s="12"/>
      <c r="K2594"/>
    </row>
    <row r="2595" spans="5:11" x14ac:dyDescent="0.2">
      <c r="E2595" s="50"/>
      <c r="H2595" s="12"/>
      <c r="K2595"/>
    </row>
    <row r="2596" spans="5:11" x14ac:dyDescent="0.2">
      <c r="E2596" s="50"/>
      <c r="H2596" s="12"/>
      <c r="K2596"/>
    </row>
    <row r="2597" spans="5:11" x14ac:dyDescent="0.2">
      <c r="E2597" s="50"/>
      <c r="H2597" s="12"/>
      <c r="K2597"/>
    </row>
    <row r="2598" spans="5:11" x14ac:dyDescent="0.2">
      <c r="E2598" s="50"/>
      <c r="H2598" s="12"/>
      <c r="K2598"/>
    </row>
    <row r="2599" spans="5:11" x14ac:dyDescent="0.2">
      <c r="E2599" s="50"/>
      <c r="H2599" s="12"/>
      <c r="K2599"/>
    </row>
    <row r="2600" spans="5:11" x14ac:dyDescent="0.2">
      <c r="E2600" s="50"/>
      <c r="H2600" s="12"/>
      <c r="K2600"/>
    </row>
    <row r="2601" spans="5:11" x14ac:dyDescent="0.2">
      <c r="E2601" s="50"/>
      <c r="H2601" s="12"/>
      <c r="K2601"/>
    </row>
    <row r="2602" spans="5:11" x14ac:dyDescent="0.2">
      <c r="E2602" s="50"/>
      <c r="H2602" s="12"/>
      <c r="K2602"/>
    </row>
    <row r="2603" spans="5:11" x14ac:dyDescent="0.2">
      <c r="E2603" s="50"/>
      <c r="H2603" s="12"/>
      <c r="K2603"/>
    </row>
    <row r="2604" spans="5:11" x14ac:dyDescent="0.2">
      <c r="E2604" s="50"/>
      <c r="H2604" s="12"/>
      <c r="K2604"/>
    </row>
    <row r="2605" spans="5:11" x14ac:dyDescent="0.2">
      <c r="E2605" s="50"/>
      <c r="H2605" s="12"/>
      <c r="K2605"/>
    </row>
    <row r="2606" spans="5:11" x14ac:dyDescent="0.2">
      <c r="E2606" s="50"/>
      <c r="H2606" s="12"/>
      <c r="K2606"/>
    </row>
    <row r="2607" spans="5:11" x14ac:dyDescent="0.2">
      <c r="E2607" s="50"/>
      <c r="H2607" s="12"/>
      <c r="K2607"/>
    </row>
    <row r="2608" spans="5:11" x14ac:dyDescent="0.2">
      <c r="E2608" s="50"/>
      <c r="H2608" s="12"/>
      <c r="K2608"/>
    </row>
    <row r="2609" spans="5:11" x14ac:dyDescent="0.2">
      <c r="E2609" s="50"/>
      <c r="H2609" s="12"/>
      <c r="K2609"/>
    </row>
    <row r="2610" spans="5:11" x14ac:dyDescent="0.2">
      <c r="E2610" s="50"/>
      <c r="H2610" s="12"/>
      <c r="K2610"/>
    </row>
    <row r="2611" spans="5:11" x14ac:dyDescent="0.2">
      <c r="E2611" s="50"/>
      <c r="H2611" s="12"/>
      <c r="K2611"/>
    </row>
    <row r="2612" spans="5:11" x14ac:dyDescent="0.2">
      <c r="E2612" s="50"/>
      <c r="H2612" s="12"/>
      <c r="K2612"/>
    </row>
    <row r="2613" spans="5:11" x14ac:dyDescent="0.2">
      <c r="E2613" s="50"/>
      <c r="H2613" s="12"/>
      <c r="K2613"/>
    </row>
    <row r="2614" spans="5:11" x14ac:dyDescent="0.2">
      <c r="E2614" s="50"/>
      <c r="H2614" s="12"/>
      <c r="K2614"/>
    </row>
    <row r="2615" spans="5:11" x14ac:dyDescent="0.2">
      <c r="E2615" s="50"/>
      <c r="H2615" s="12"/>
      <c r="K2615"/>
    </row>
    <row r="2616" spans="5:11" x14ac:dyDescent="0.2">
      <c r="E2616" s="50"/>
      <c r="H2616" s="12"/>
      <c r="K2616"/>
    </row>
    <row r="2617" spans="5:11" x14ac:dyDescent="0.2">
      <c r="E2617" s="50"/>
      <c r="H2617" s="12"/>
      <c r="K2617"/>
    </row>
    <row r="2618" spans="5:11" x14ac:dyDescent="0.2">
      <c r="E2618" s="50"/>
      <c r="H2618" s="12"/>
      <c r="K2618"/>
    </row>
    <row r="2619" spans="5:11" x14ac:dyDescent="0.2">
      <c r="E2619" s="50"/>
      <c r="H2619" s="12"/>
      <c r="K2619"/>
    </row>
    <row r="2620" spans="5:11" x14ac:dyDescent="0.2">
      <c r="E2620" s="50"/>
      <c r="H2620" s="12"/>
      <c r="K2620"/>
    </row>
    <row r="2621" spans="5:11" x14ac:dyDescent="0.2">
      <c r="E2621" s="50"/>
      <c r="H2621" s="12"/>
      <c r="K2621"/>
    </row>
    <row r="2622" spans="5:11" x14ac:dyDescent="0.2">
      <c r="E2622" s="50"/>
      <c r="H2622" s="12"/>
      <c r="K2622"/>
    </row>
    <row r="2623" spans="5:11" x14ac:dyDescent="0.2">
      <c r="E2623" s="50"/>
      <c r="H2623" s="12"/>
      <c r="K2623"/>
    </row>
    <row r="2624" spans="5:11" x14ac:dyDescent="0.2">
      <c r="E2624" s="50"/>
      <c r="H2624" s="12"/>
      <c r="K2624"/>
    </row>
    <row r="2625" spans="5:11" x14ac:dyDescent="0.2">
      <c r="E2625" s="50"/>
      <c r="H2625" s="12"/>
      <c r="K2625"/>
    </row>
    <row r="2626" spans="5:11" x14ac:dyDescent="0.2">
      <c r="E2626" s="50"/>
      <c r="H2626" s="12"/>
      <c r="K2626"/>
    </row>
    <row r="2627" spans="5:11" x14ac:dyDescent="0.2">
      <c r="E2627" s="50"/>
      <c r="H2627" s="12"/>
      <c r="K2627"/>
    </row>
    <row r="2628" spans="5:11" x14ac:dyDescent="0.2">
      <c r="E2628" s="50"/>
      <c r="H2628" s="12"/>
      <c r="K2628"/>
    </row>
    <row r="2629" spans="5:11" x14ac:dyDescent="0.2">
      <c r="E2629" s="50"/>
      <c r="H2629" s="12"/>
      <c r="K2629"/>
    </row>
    <row r="2630" spans="5:11" x14ac:dyDescent="0.2">
      <c r="E2630" s="50"/>
      <c r="H2630" s="12"/>
      <c r="K2630"/>
    </row>
    <row r="2631" spans="5:11" x14ac:dyDescent="0.2">
      <c r="E2631" s="50"/>
      <c r="H2631" s="12"/>
      <c r="K2631"/>
    </row>
    <row r="2632" spans="5:11" x14ac:dyDescent="0.2">
      <c r="E2632" s="50"/>
      <c r="H2632" s="12"/>
      <c r="K2632"/>
    </row>
    <row r="2633" spans="5:11" x14ac:dyDescent="0.2">
      <c r="E2633" s="50"/>
      <c r="H2633" s="12"/>
      <c r="K2633"/>
    </row>
    <row r="2634" spans="5:11" x14ac:dyDescent="0.2">
      <c r="E2634" s="50"/>
      <c r="H2634" s="12"/>
      <c r="K2634"/>
    </row>
    <row r="2635" spans="5:11" x14ac:dyDescent="0.2">
      <c r="E2635" s="50"/>
      <c r="H2635" s="12"/>
      <c r="K2635"/>
    </row>
    <row r="2636" spans="5:11" x14ac:dyDescent="0.2">
      <c r="E2636" s="50"/>
      <c r="H2636" s="12"/>
      <c r="K2636"/>
    </row>
    <row r="2637" spans="5:11" x14ac:dyDescent="0.2">
      <c r="E2637" s="50"/>
      <c r="H2637" s="12"/>
      <c r="K2637"/>
    </row>
    <row r="2638" spans="5:11" x14ac:dyDescent="0.2">
      <c r="E2638" s="50"/>
      <c r="H2638" s="12"/>
      <c r="K2638"/>
    </row>
    <row r="2639" spans="5:11" x14ac:dyDescent="0.2">
      <c r="E2639" s="50"/>
      <c r="H2639" s="12"/>
      <c r="K2639"/>
    </row>
    <row r="2640" spans="5:11" x14ac:dyDescent="0.2">
      <c r="E2640" s="50"/>
      <c r="H2640" s="12"/>
      <c r="K2640"/>
    </row>
    <row r="2641" spans="5:11" x14ac:dyDescent="0.2">
      <c r="E2641" s="50"/>
      <c r="H2641" s="12"/>
      <c r="K2641"/>
    </row>
    <row r="2642" spans="5:11" x14ac:dyDescent="0.2">
      <c r="E2642" s="50"/>
      <c r="H2642" s="12"/>
      <c r="K2642"/>
    </row>
    <row r="2643" spans="5:11" x14ac:dyDescent="0.2">
      <c r="E2643" s="50"/>
      <c r="H2643" s="12"/>
      <c r="K2643"/>
    </row>
    <row r="2644" spans="5:11" x14ac:dyDescent="0.2">
      <c r="E2644" s="50"/>
      <c r="H2644" s="12"/>
      <c r="K2644"/>
    </row>
    <row r="2645" spans="5:11" x14ac:dyDescent="0.2">
      <c r="E2645" s="50"/>
      <c r="H2645" s="12"/>
      <c r="K2645"/>
    </row>
    <row r="2646" spans="5:11" x14ac:dyDescent="0.2">
      <c r="E2646" s="50"/>
      <c r="H2646" s="12"/>
      <c r="K2646"/>
    </row>
    <row r="2647" spans="5:11" x14ac:dyDescent="0.2">
      <c r="E2647" s="50"/>
      <c r="H2647" s="12"/>
      <c r="K2647"/>
    </row>
    <row r="2648" spans="5:11" x14ac:dyDescent="0.2">
      <c r="E2648" s="50"/>
      <c r="H2648" s="12"/>
      <c r="K2648"/>
    </row>
    <row r="2649" spans="5:11" x14ac:dyDescent="0.2">
      <c r="E2649" s="50"/>
      <c r="H2649" s="12"/>
      <c r="K2649"/>
    </row>
    <row r="2650" spans="5:11" x14ac:dyDescent="0.2">
      <c r="E2650" s="50"/>
      <c r="H2650" s="12"/>
      <c r="K2650"/>
    </row>
    <row r="2651" spans="5:11" x14ac:dyDescent="0.2">
      <c r="E2651" s="50"/>
      <c r="H2651" s="12"/>
      <c r="K2651"/>
    </row>
    <row r="2652" spans="5:11" x14ac:dyDescent="0.2">
      <c r="E2652" s="50"/>
      <c r="H2652" s="12"/>
      <c r="K2652"/>
    </row>
    <row r="2653" spans="5:11" x14ac:dyDescent="0.2">
      <c r="E2653" s="50"/>
      <c r="H2653" s="12"/>
      <c r="K2653"/>
    </row>
    <row r="2654" spans="5:11" x14ac:dyDescent="0.2">
      <c r="E2654" s="50"/>
      <c r="H2654" s="12"/>
      <c r="K2654"/>
    </row>
    <row r="2655" spans="5:11" x14ac:dyDescent="0.2">
      <c r="E2655" s="50"/>
      <c r="H2655" s="12"/>
      <c r="K2655"/>
    </row>
    <row r="2656" spans="5:11" x14ac:dyDescent="0.2">
      <c r="E2656" s="50"/>
      <c r="H2656" s="12"/>
      <c r="K2656"/>
    </row>
    <row r="2657" spans="5:11" x14ac:dyDescent="0.2">
      <c r="E2657" s="50"/>
      <c r="H2657" s="12"/>
      <c r="K2657"/>
    </row>
    <row r="2658" spans="5:11" x14ac:dyDescent="0.2">
      <c r="E2658" s="50"/>
      <c r="H2658" s="12"/>
      <c r="K2658"/>
    </row>
    <row r="2659" spans="5:11" x14ac:dyDescent="0.2">
      <c r="E2659" s="50"/>
      <c r="H2659" s="12"/>
      <c r="K2659"/>
    </row>
    <row r="2660" spans="5:11" x14ac:dyDescent="0.2">
      <c r="E2660" s="50"/>
      <c r="H2660" s="12"/>
      <c r="K2660"/>
    </row>
    <row r="2661" spans="5:11" x14ac:dyDescent="0.2">
      <c r="E2661" s="50"/>
      <c r="H2661" s="12"/>
      <c r="K2661"/>
    </row>
    <row r="2662" spans="5:11" x14ac:dyDescent="0.2">
      <c r="E2662" s="50"/>
      <c r="H2662" s="12"/>
      <c r="K2662"/>
    </row>
    <row r="2663" spans="5:11" x14ac:dyDescent="0.2">
      <c r="E2663" s="50"/>
      <c r="H2663" s="12"/>
      <c r="K2663"/>
    </row>
    <row r="2664" spans="5:11" x14ac:dyDescent="0.2">
      <c r="E2664" s="50"/>
      <c r="H2664" s="12"/>
      <c r="K2664"/>
    </row>
    <row r="2665" spans="5:11" x14ac:dyDescent="0.2">
      <c r="E2665" s="50"/>
      <c r="H2665" s="12"/>
      <c r="K2665"/>
    </row>
    <row r="2666" spans="5:11" x14ac:dyDescent="0.2">
      <c r="E2666" s="50"/>
      <c r="H2666" s="12"/>
      <c r="K2666"/>
    </row>
    <row r="2667" spans="5:11" x14ac:dyDescent="0.2">
      <c r="E2667" s="50"/>
      <c r="H2667" s="12"/>
      <c r="K2667"/>
    </row>
    <row r="2668" spans="5:11" x14ac:dyDescent="0.2">
      <c r="E2668" s="50"/>
      <c r="H2668" s="12"/>
      <c r="K2668"/>
    </row>
    <row r="2669" spans="5:11" x14ac:dyDescent="0.2">
      <c r="E2669" s="50"/>
      <c r="H2669" s="12"/>
      <c r="K2669"/>
    </row>
    <row r="2670" spans="5:11" x14ac:dyDescent="0.2">
      <c r="E2670" s="50"/>
      <c r="H2670" s="12"/>
      <c r="K2670"/>
    </row>
    <row r="2671" spans="5:11" x14ac:dyDescent="0.2">
      <c r="E2671" s="50"/>
      <c r="H2671" s="12"/>
      <c r="K2671"/>
    </row>
    <row r="2672" spans="5:11" x14ac:dyDescent="0.2">
      <c r="E2672" s="50"/>
      <c r="H2672" s="12"/>
      <c r="K2672"/>
    </row>
    <row r="2673" spans="5:11" x14ac:dyDescent="0.2">
      <c r="E2673" s="50"/>
      <c r="H2673" s="12"/>
      <c r="K2673"/>
    </row>
    <row r="2674" spans="5:11" x14ac:dyDescent="0.2">
      <c r="E2674" s="50"/>
      <c r="H2674" s="12"/>
      <c r="K2674"/>
    </row>
    <row r="2675" spans="5:11" x14ac:dyDescent="0.2">
      <c r="E2675" s="50"/>
      <c r="H2675" s="12"/>
      <c r="K2675"/>
    </row>
    <row r="2676" spans="5:11" x14ac:dyDescent="0.2">
      <c r="E2676" s="50"/>
      <c r="H2676" s="12"/>
      <c r="K2676"/>
    </row>
    <row r="2677" spans="5:11" x14ac:dyDescent="0.2">
      <c r="E2677" s="50"/>
      <c r="H2677" s="12"/>
      <c r="K2677"/>
    </row>
    <row r="2678" spans="5:11" x14ac:dyDescent="0.2">
      <c r="E2678" s="50"/>
      <c r="H2678" s="12"/>
      <c r="K2678"/>
    </row>
    <row r="2679" spans="5:11" x14ac:dyDescent="0.2">
      <c r="E2679" s="50"/>
      <c r="H2679" s="12"/>
      <c r="K2679"/>
    </row>
    <row r="2680" spans="5:11" x14ac:dyDescent="0.2">
      <c r="E2680" s="50"/>
      <c r="H2680" s="12"/>
      <c r="K2680"/>
    </row>
    <row r="2681" spans="5:11" x14ac:dyDescent="0.2">
      <c r="E2681" s="50"/>
      <c r="H2681" s="12"/>
      <c r="K2681"/>
    </row>
    <row r="2682" spans="5:11" x14ac:dyDescent="0.2">
      <c r="E2682" s="50"/>
      <c r="H2682" s="12"/>
      <c r="K2682"/>
    </row>
    <row r="2683" spans="5:11" x14ac:dyDescent="0.2">
      <c r="E2683" s="50"/>
      <c r="H2683" s="12"/>
      <c r="K2683"/>
    </row>
    <row r="2684" spans="5:11" x14ac:dyDescent="0.2">
      <c r="E2684" s="50"/>
      <c r="H2684" s="12"/>
      <c r="K2684"/>
    </row>
    <row r="2685" spans="5:11" x14ac:dyDescent="0.2">
      <c r="E2685" s="50"/>
      <c r="H2685" s="12"/>
      <c r="K2685"/>
    </row>
    <row r="2686" spans="5:11" x14ac:dyDescent="0.2">
      <c r="E2686" s="50"/>
      <c r="H2686" s="12"/>
      <c r="K2686"/>
    </row>
    <row r="2687" spans="5:11" x14ac:dyDescent="0.2">
      <c r="E2687" s="50"/>
      <c r="H2687" s="12"/>
      <c r="K2687"/>
    </row>
    <row r="2688" spans="5:11" x14ac:dyDescent="0.2">
      <c r="E2688" s="50"/>
      <c r="H2688" s="12"/>
      <c r="K2688"/>
    </row>
    <row r="2689" spans="5:11" x14ac:dyDescent="0.2">
      <c r="E2689" s="50"/>
      <c r="H2689" s="12"/>
      <c r="K2689"/>
    </row>
    <row r="2690" spans="5:11" x14ac:dyDescent="0.2">
      <c r="E2690" s="50"/>
      <c r="H2690" s="12"/>
      <c r="K2690"/>
    </row>
    <row r="2691" spans="5:11" x14ac:dyDescent="0.2">
      <c r="E2691" s="50"/>
      <c r="H2691" s="12"/>
      <c r="K2691"/>
    </row>
    <row r="2692" spans="5:11" x14ac:dyDescent="0.2">
      <c r="E2692" s="50"/>
      <c r="H2692" s="12"/>
      <c r="K2692"/>
    </row>
    <row r="2693" spans="5:11" x14ac:dyDescent="0.2">
      <c r="E2693" s="50"/>
      <c r="H2693" s="12"/>
      <c r="K2693"/>
    </row>
    <row r="2694" spans="5:11" x14ac:dyDescent="0.2">
      <c r="E2694" s="50"/>
      <c r="H2694" s="12"/>
      <c r="K2694"/>
    </row>
    <row r="2695" spans="5:11" x14ac:dyDescent="0.2">
      <c r="E2695" s="50"/>
      <c r="H2695" s="12"/>
      <c r="K2695"/>
    </row>
    <row r="2696" spans="5:11" x14ac:dyDescent="0.2">
      <c r="E2696" s="50"/>
      <c r="H2696" s="12"/>
      <c r="K2696"/>
    </row>
    <row r="2697" spans="5:11" x14ac:dyDescent="0.2">
      <c r="E2697" s="50"/>
      <c r="H2697" s="12"/>
      <c r="K2697"/>
    </row>
    <row r="2698" spans="5:11" x14ac:dyDescent="0.2">
      <c r="E2698" s="50"/>
      <c r="H2698" s="12"/>
      <c r="K2698"/>
    </row>
    <row r="2699" spans="5:11" x14ac:dyDescent="0.2">
      <c r="E2699" s="50"/>
      <c r="H2699" s="12"/>
      <c r="K2699"/>
    </row>
    <row r="2700" spans="5:11" x14ac:dyDescent="0.2">
      <c r="E2700" s="50"/>
      <c r="H2700" s="12"/>
      <c r="K2700"/>
    </row>
    <row r="2701" spans="5:11" x14ac:dyDescent="0.2">
      <c r="E2701" s="50"/>
      <c r="H2701" s="12"/>
      <c r="K2701"/>
    </row>
    <row r="2702" spans="5:11" x14ac:dyDescent="0.2">
      <c r="E2702" s="50"/>
      <c r="H2702" s="12"/>
      <c r="K2702"/>
    </row>
    <row r="2703" spans="5:11" x14ac:dyDescent="0.2">
      <c r="E2703" s="50"/>
      <c r="H2703" s="12"/>
      <c r="K2703"/>
    </row>
    <row r="2704" spans="5:11" x14ac:dyDescent="0.2">
      <c r="E2704" s="50"/>
      <c r="H2704" s="12"/>
      <c r="K2704"/>
    </row>
    <row r="2705" spans="5:11" x14ac:dyDescent="0.2">
      <c r="E2705" s="50"/>
      <c r="H2705" s="12"/>
      <c r="K2705"/>
    </row>
    <row r="2706" spans="5:11" x14ac:dyDescent="0.2">
      <c r="E2706" s="50"/>
      <c r="H2706" s="12"/>
      <c r="K2706"/>
    </row>
    <row r="2707" spans="5:11" x14ac:dyDescent="0.2">
      <c r="E2707" s="50"/>
      <c r="H2707" s="12"/>
      <c r="K2707"/>
    </row>
    <row r="2708" spans="5:11" x14ac:dyDescent="0.2">
      <c r="E2708" s="50"/>
      <c r="H2708" s="12"/>
      <c r="K2708"/>
    </row>
    <row r="2709" spans="5:11" x14ac:dyDescent="0.2">
      <c r="E2709" s="50"/>
      <c r="H2709" s="12"/>
      <c r="K2709"/>
    </row>
    <row r="2710" spans="5:11" x14ac:dyDescent="0.2">
      <c r="E2710" s="50"/>
      <c r="H2710" s="12"/>
      <c r="K2710"/>
    </row>
    <row r="2711" spans="5:11" x14ac:dyDescent="0.2">
      <c r="E2711" s="50"/>
      <c r="H2711" s="12"/>
      <c r="K2711"/>
    </row>
    <row r="2712" spans="5:11" x14ac:dyDescent="0.2">
      <c r="E2712" s="50"/>
      <c r="H2712" s="12"/>
      <c r="K2712"/>
    </row>
    <row r="2713" spans="5:11" x14ac:dyDescent="0.2">
      <c r="E2713" s="50"/>
      <c r="H2713" s="12"/>
      <c r="K2713"/>
    </row>
    <row r="2714" spans="5:11" x14ac:dyDescent="0.2">
      <c r="E2714" s="50"/>
      <c r="H2714" s="12"/>
      <c r="K2714"/>
    </row>
    <row r="2715" spans="5:11" x14ac:dyDescent="0.2">
      <c r="E2715" s="50"/>
      <c r="H2715" s="12"/>
      <c r="K2715"/>
    </row>
    <row r="2716" spans="5:11" x14ac:dyDescent="0.2">
      <c r="E2716" s="50"/>
      <c r="H2716" s="12"/>
      <c r="K2716"/>
    </row>
    <row r="2717" spans="5:11" x14ac:dyDescent="0.2">
      <c r="E2717" s="50"/>
      <c r="H2717" s="12"/>
      <c r="K2717"/>
    </row>
    <row r="2718" spans="5:11" x14ac:dyDescent="0.2">
      <c r="E2718" s="50"/>
      <c r="H2718" s="12"/>
      <c r="K2718"/>
    </row>
    <row r="2719" spans="5:11" x14ac:dyDescent="0.2">
      <c r="E2719" s="50"/>
      <c r="H2719" s="12"/>
      <c r="K2719"/>
    </row>
    <row r="2720" spans="5:11" x14ac:dyDescent="0.2">
      <c r="E2720" s="50"/>
      <c r="H2720" s="12"/>
      <c r="K2720"/>
    </row>
    <row r="2721" spans="5:11" x14ac:dyDescent="0.2">
      <c r="E2721" s="50"/>
      <c r="H2721" s="12"/>
      <c r="K2721"/>
    </row>
    <row r="2722" spans="5:11" x14ac:dyDescent="0.2">
      <c r="E2722" s="50"/>
      <c r="H2722" s="12"/>
      <c r="K2722"/>
    </row>
    <row r="2723" spans="5:11" x14ac:dyDescent="0.2">
      <c r="E2723" s="50"/>
      <c r="H2723" s="12"/>
      <c r="K2723"/>
    </row>
    <row r="2724" spans="5:11" x14ac:dyDescent="0.2">
      <c r="E2724" s="50"/>
      <c r="H2724" s="12"/>
      <c r="K2724"/>
    </row>
    <row r="2725" spans="5:11" x14ac:dyDescent="0.2">
      <c r="E2725" s="50"/>
      <c r="H2725" s="12"/>
      <c r="K2725"/>
    </row>
    <row r="2726" spans="5:11" x14ac:dyDescent="0.2">
      <c r="E2726" s="50"/>
      <c r="H2726" s="12"/>
      <c r="K2726"/>
    </row>
    <row r="2727" spans="5:11" x14ac:dyDescent="0.2">
      <c r="E2727" s="50"/>
      <c r="H2727" s="12"/>
      <c r="K2727"/>
    </row>
    <row r="2728" spans="5:11" x14ac:dyDescent="0.2">
      <c r="E2728" s="50"/>
      <c r="H2728" s="12"/>
      <c r="K2728"/>
    </row>
    <row r="2729" spans="5:11" x14ac:dyDescent="0.2">
      <c r="E2729" s="50"/>
      <c r="H2729" s="12"/>
      <c r="K2729"/>
    </row>
    <row r="2730" spans="5:11" x14ac:dyDescent="0.2">
      <c r="E2730" s="50"/>
      <c r="H2730" s="12"/>
      <c r="K2730"/>
    </row>
    <row r="2731" spans="5:11" x14ac:dyDescent="0.2">
      <c r="E2731" s="50"/>
      <c r="H2731" s="12"/>
      <c r="K2731"/>
    </row>
    <row r="2732" spans="5:11" x14ac:dyDescent="0.2">
      <c r="E2732" s="50"/>
      <c r="H2732" s="12"/>
      <c r="K2732"/>
    </row>
    <row r="2733" spans="5:11" x14ac:dyDescent="0.2">
      <c r="E2733" s="50"/>
      <c r="H2733" s="12"/>
      <c r="K2733"/>
    </row>
    <row r="2734" spans="5:11" x14ac:dyDescent="0.2">
      <c r="E2734" s="50"/>
      <c r="H2734" s="12"/>
      <c r="K2734"/>
    </row>
    <row r="2735" spans="5:11" x14ac:dyDescent="0.2">
      <c r="E2735" s="50"/>
      <c r="H2735" s="12"/>
      <c r="K2735"/>
    </row>
    <row r="2736" spans="5:11" x14ac:dyDescent="0.2">
      <c r="E2736" s="50"/>
      <c r="H2736" s="12"/>
      <c r="K2736"/>
    </row>
    <row r="2737" spans="5:11" x14ac:dyDescent="0.2">
      <c r="E2737" s="50"/>
      <c r="H2737" s="12"/>
      <c r="K2737"/>
    </row>
    <row r="2738" spans="5:11" x14ac:dyDescent="0.2">
      <c r="E2738" s="50"/>
      <c r="H2738" s="12"/>
      <c r="K2738"/>
    </row>
    <row r="2739" spans="5:11" x14ac:dyDescent="0.2">
      <c r="E2739" s="50"/>
      <c r="H2739" s="12"/>
      <c r="K2739"/>
    </row>
    <row r="2740" spans="5:11" x14ac:dyDescent="0.2">
      <c r="E2740" s="50"/>
      <c r="H2740" s="12"/>
      <c r="K2740"/>
    </row>
    <row r="2741" spans="5:11" x14ac:dyDescent="0.2">
      <c r="E2741" s="50"/>
      <c r="H2741" s="12"/>
      <c r="K2741"/>
    </row>
    <row r="2742" spans="5:11" x14ac:dyDescent="0.2">
      <c r="E2742" s="50"/>
      <c r="H2742" s="12"/>
      <c r="K2742"/>
    </row>
    <row r="2743" spans="5:11" x14ac:dyDescent="0.2">
      <c r="E2743" s="50"/>
      <c r="H2743" s="12"/>
      <c r="K2743"/>
    </row>
    <row r="2744" spans="5:11" x14ac:dyDescent="0.2">
      <c r="E2744" s="50"/>
      <c r="H2744" s="12"/>
      <c r="K2744"/>
    </row>
    <row r="2745" spans="5:11" x14ac:dyDescent="0.2">
      <c r="E2745" s="50"/>
      <c r="H2745" s="12"/>
      <c r="K2745"/>
    </row>
    <row r="2746" spans="5:11" x14ac:dyDescent="0.2">
      <c r="E2746" s="50"/>
      <c r="H2746" s="12"/>
      <c r="K2746"/>
    </row>
    <row r="2747" spans="5:11" x14ac:dyDescent="0.2">
      <c r="E2747" s="50"/>
      <c r="H2747" s="12"/>
      <c r="K2747"/>
    </row>
    <row r="2748" spans="5:11" x14ac:dyDescent="0.2">
      <c r="E2748" s="50"/>
      <c r="H2748" s="12"/>
      <c r="K2748"/>
    </row>
    <row r="2749" spans="5:11" x14ac:dyDescent="0.2">
      <c r="E2749" s="50"/>
      <c r="H2749" s="12"/>
      <c r="K2749"/>
    </row>
    <row r="2750" spans="5:11" x14ac:dyDescent="0.2">
      <c r="E2750" s="50"/>
      <c r="H2750" s="12"/>
      <c r="K2750"/>
    </row>
    <row r="2751" spans="5:11" x14ac:dyDescent="0.2">
      <c r="E2751" s="50"/>
      <c r="H2751" s="12"/>
      <c r="K2751"/>
    </row>
    <row r="2752" spans="5:11" x14ac:dyDescent="0.2">
      <c r="E2752" s="50"/>
      <c r="H2752" s="12"/>
      <c r="K2752"/>
    </row>
    <row r="2753" spans="5:11" x14ac:dyDescent="0.2">
      <c r="E2753" s="50"/>
      <c r="H2753" s="12"/>
      <c r="K2753"/>
    </row>
    <row r="2754" spans="5:11" x14ac:dyDescent="0.2">
      <c r="E2754" s="50"/>
      <c r="H2754" s="12"/>
      <c r="K2754"/>
    </row>
    <row r="2755" spans="5:11" x14ac:dyDescent="0.2">
      <c r="E2755" s="50"/>
      <c r="H2755" s="12"/>
      <c r="K2755"/>
    </row>
    <row r="2756" spans="5:11" x14ac:dyDescent="0.2">
      <c r="E2756" s="50"/>
      <c r="H2756" s="12"/>
      <c r="K2756"/>
    </row>
    <row r="2757" spans="5:11" x14ac:dyDescent="0.2">
      <c r="E2757" s="50"/>
      <c r="H2757" s="12"/>
      <c r="K2757"/>
    </row>
    <row r="2758" spans="5:11" x14ac:dyDescent="0.2">
      <c r="E2758" s="50"/>
      <c r="H2758" s="12"/>
      <c r="K2758"/>
    </row>
    <row r="2759" spans="5:11" x14ac:dyDescent="0.2">
      <c r="E2759" s="50"/>
      <c r="H2759" s="12"/>
      <c r="K2759"/>
    </row>
    <row r="2760" spans="5:11" x14ac:dyDescent="0.2">
      <c r="E2760" s="50"/>
      <c r="H2760" s="12"/>
      <c r="K2760"/>
    </row>
    <row r="2761" spans="5:11" x14ac:dyDescent="0.2">
      <c r="E2761" s="50"/>
      <c r="H2761" s="12"/>
      <c r="K2761"/>
    </row>
    <row r="2762" spans="5:11" x14ac:dyDescent="0.2">
      <c r="E2762" s="50"/>
      <c r="H2762" s="12"/>
      <c r="K2762"/>
    </row>
    <row r="2763" spans="5:11" x14ac:dyDescent="0.2">
      <c r="E2763" s="50"/>
      <c r="H2763" s="12"/>
      <c r="K2763"/>
    </row>
    <row r="2764" spans="5:11" x14ac:dyDescent="0.2">
      <c r="E2764" s="50"/>
      <c r="H2764" s="12"/>
      <c r="K2764"/>
    </row>
    <row r="2765" spans="5:11" x14ac:dyDescent="0.2">
      <c r="E2765" s="50"/>
      <c r="H2765" s="12"/>
      <c r="K2765"/>
    </row>
    <row r="2766" spans="5:11" x14ac:dyDescent="0.2">
      <c r="E2766" s="50"/>
      <c r="H2766" s="12"/>
      <c r="K2766"/>
    </row>
    <row r="2767" spans="5:11" x14ac:dyDescent="0.2">
      <c r="E2767" s="50"/>
      <c r="H2767" s="12"/>
      <c r="K2767"/>
    </row>
    <row r="2768" spans="5:11" x14ac:dyDescent="0.2">
      <c r="E2768" s="50"/>
      <c r="H2768" s="12"/>
      <c r="K2768"/>
    </row>
    <row r="2769" spans="5:11" x14ac:dyDescent="0.2">
      <c r="E2769" s="50"/>
      <c r="H2769" s="12"/>
      <c r="K2769"/>
    </row>
    <row r="2770" spans="5:11" x14ac:dyDescent="0.2">
      <c r="E2770" s="50"/>
      <c r="H2770" s="12"/>
      <c r="K2770"/>
    </row>
    <row r="2771" spans="5:11" x14ac:dyDescent="0.2">
      <c r="E2771" s="50"/>
      <c r="H2771" s="12"/>
      <c r="K2771"/>
    </row>
    <row r="2772" spans="5:11" x14ac:dyDescent="0.2">
      <c r="E2772" s="50"/>
      <c r="H2772" s="12"/>
      <c r="K2772"/>
    </row>
    <row r="2773" spans="5:11" x14ac:dyDescent="0.2">
      <c r="E2773" s="50"/>
      <c r="H2773" s="12"/>
      <c r="K2773"/>
    </row>
    <row r="2774" spans="5:11" x14ac:dyDescent="0.2">
      <c r="E2774" s="50"/>
      <c r="H2774" s="12"/>
      <c r="K2774"/>
    </row>
    <row r="2775" spans="5:11" x14ac:dyDescent="0.2">
      <c r="E2775" s="50"/>
      <c r="H2775" s="12"/>
      <c r="K2775"/>
    </row>
    <row r="2776" spans="5:11" x14ac:dyDescent="0.2">
      <c r="E2776" s="50"/>
      <c r="H2776" s="12"/>
      <c r="K2776"/>
    </row>
    <row r="2777" spans="5:11" x14ac:dyDescent="0.2">
      <c r="E2777" s="50"/>
      <c r="H2777" s="12"/>
      <c r="K2777"/>
    </row>
    <row r="2778" spans="5:11" x14ac:dyDescent="0.2">
      <c r="E2778" s="50"/>
      <c r="H2778" s="12"/>
      <c r="K2778"/>
    </row>
    <row r="2779" spans="5:11" x14ac:dyDescent="0.2">
      <c r="E2779" s="50"/>
      <c r="H2779" s="12"/>
      <c r="K2779"/>
    </row>
    <row r="2780" spans="5:11" x14ac:dyDescent="0.2">
      <c r="E2780" s="50"/>
      <c r="H2780" s="12"/>
      <c r="K2780"/>
    </row>
    <row r="2781" spans="5:11" x14ac:dyDescent="0.2">
      <c r="E2781" s="50"/>
      <c r="H2781" s="12"/>
      <c r="K2781"/>
    </row>
    <row r="2782" spans="5:11" x14ac:dyDescent="0.2">
      <c r="E2782" s="50"/>
      <c r="H2782" s="12"/>
      <c r="K2782"/>
    </row>
    <row r="2783" spans="5:11" x14ac:dyDescent="0.2">
      <c r="E2783" s="50"/>
      <c r="H2783" s="12"/>
      <c r="K2783"/>
    </row>
    <row r="2784" spans="5:11" x14ac:dyDescent="0.2">
      <c r="E2784" s="50"/>
      <c r="H2784" s="12"/>
      <c r="K2784"/>
    </row>
    <row r="2785" spans="5:11" x14ac:dyDescent="0.2">
      <c r="E2785" s="50"/>
      <c r="H2785" s="12"/>
      <c r="K2785"/>
    </row>
    <row r="2786" spans="5:11" x14ac:dyDescent="0.2">
      <c r="E2786" s="50"/>
      <c r="H2786" s="12"/>
      <c r="K2786"/>
    </row>
    <row r="2787" spans="5:11" x14ac:dyDescent="0.2">
      <c r="E2787" s="50"/>
      <c r="H2787" s="12"/>
      <c r="K2787"/>
    </row>
    <row r="2788" spans="5:11" x14ac:dyDescent="0.2">
      <c r="E2788" s="50"/>
      <c r="H2788" s="12"/>
      <c r="K2788"/>
    </row>
    <row r="2789" spans="5:11" x14ac:dyDescent="0.2">
      <c r="E2789" s="50"/>
      <c r="H2789" s="12"/>
      <c r="K2789"/>
    </row>
    <row r="2790" spans="5:11" x14ac:dyDescent="0.2">
      <c r="E2790" s="50"/>
      <c r="H2790" s="12"/>
      <c r="K2790"/>
    </row>
    <row r="2791" spans="5:11" x14ac:dyDescent="0.2">
      <c r="E2791" s="50"/>
      <c r="H2791" s="12"/>
      <c r="K2791"/>
    </row>
    <row r="2792" spans="5:11" x14ac:dyDescent="0.2">
      <c r="E2792" s="50"/>
      <c r="H2792" s="12"/>
      <c r="K2792"/>
    </row>
    <row r="2793" spans="5:11" x14ac:dyDescent="0.2">
      <c r="E2793" s="50"/>
      <c r="F2793" s="42"/>
      <c r="H2793" s="12"/>
      <c r="K2793"/>
    </row>
    <row r="2794" spans="5:11" x14ac:dyDescent="0.2">
      <c r="E2794" s="50"/>
      <c r="H2794" s="12"/>
      <c r="K2794"/>
    </row>
    <row r="2795" spans="5:11" x14ac:dyDescent="0.2">
      <c r="E2795" s="50"/>
      <c r="H2795" s="12"/>
      <c r="K2795"/>
    </row>
    <row r="2796" spans="5:11" x14ac:dyDescent="0.2">
      <c r="E2796" s="50"/>
      <c r="H2796" s="12"/>
      <c r="K2796"/>
    </row>
    <row r="2797" spans="5:11" x14ac:dyDescent="0.2">
      <c r="E2797" s="50"/>
      <c r="H2797" s="12"/>
      <c r="K2797"/>
    </row>
    <row r="2798" spans="5:11" x14ac:dyDescent="0.2">
      <c r="E2798" s="50"/>
      <c r="H2798" s="12"/>
      <c r="K2798"/>
    </row>
    <row r="2799" spans="5:11" x14ac:dyDescent="0.2">
      <c r="E2799" s="50"/>
      <c r="H2799" s="12"/>
      <c r="K2799"/>
    </row>
    <row r="2800" spans="5:11" x14ac:dyDescent="0.2">
      <c r="E2800" s="50"/>
      <c r="H2800" s="12"/>
      <c r="K2800"/>
    </row>
    <row r="2801" spans="5:11" x14ac:dyDescent="0.2">
      <c r="E2801" s="50"/>
      <c r="H2801" s="12"/>
      <c r="K2801"/>
    </row>
    <row r="2802" spans="5:11" x14ac:dyDescent="0.2">
      <c r="E2802" s="50"/>
      <c r="H2802" s="12"/>
      <c r="K2802"/>
    </row>
    <row r="2803" spans="5:11" x14ac:dyDescent="0.2">
      <c r="E2803" s="50"/>
      <c r="H2803" s="12"/>
      <c r="K2803"/>
    </row>
    <row r="2804" spans="5:11" x14ac:dyDescent="0.2">
      <c r="E2804" s="50"/>
      <c r="H2804" s="12"/>
      <c r="K2804"/>
    </row>
    <row r="2805" spans="5:11" x14ac:dyDescent="0.2">
      <c r="E2805" s="50"/>
      <c r="H2805" s="12"/>
      <c r="K2805"/>
    </row>
    <row r="2806" spans="5:11" x14ac:dyDescent="0.2">
      <c r="E2806" s="50"/>
      <c r="H2806" s="12"/>
      <c r="K2806"/>
    </row>
    <row r="2807" spans="5:11" x14ac:dyDescent="0.2">
      <c r="E2807" s="50"/>
      <c r="H2807" s="12"/>
      <c r="K2807"/>
    </row>
    <row r="2808" spans="5:11" x14ac:dyDescent="0.2">
      <c r="E2808" s="50"/>
      <c r="H2808" s="12"/>
      <c r="K2808"/>
    </row>
    <row r="2809" spans="5:11" x14ac:dyDescent="0.2">
      <c r="E2809" s="50"/>
      <c r="H2809" s="12"/>
      <c r="K2809"/>
    </row>
    <row r="2810" spans="5:11" x14ac:dyDescent="0.2">
      <c r="E2810" s="50"/>
      <c r="H2810" s="12"/>
      <c r="K2810"/>
    </row>
    <row r="2811" spans="5:11" x14ac:dyDescent="0.2">
      <c r="E2811" s="50"/>
      <c r="H2811" s="12"/>
      <c r="K2811"/>
    </row>
    <row r="2812" spans="5:11" x14ac:dyDescent="0.2">
      <c r="E2812" s="50"/>
      <c r="H2812" s="12"/>
      <c r="K2812"/>
    </row>
    <row r="2813" spans="5:11" x14ac:dyDescent="0.2">
      <c r="E2813" s="50"/>
      <c r="H2813" s="12"/>
      <c r="K2813"/>
    </row>
    <row r="2814" spans="5:11" x14ac:dyDescent="0.2">
      <c r="E2814" s="50"/>
      <c r="H2814" s="12"/>
      <c r="K2814"/>
    </row>
    <row r="2815" spans="5:11" x14ac:dyDescent="0.2">
      <c r="E2815" s="50"/>
      <c r="H2815" s="12"/>
      <c r="K2815"/>
    </row>
    <row r="2816" spans="5:11" x14ac:dyDescent="0.2">
      <c r="E2816" s="50"/>
      <c r="H2816" s="12"/>
      <c r="K2816"/>
    </row>
    <row r="2817" spans="1:11" x14ac:dyDescent="0.2">
      <c r="E2817" s="50"/>
      <c r="H2817" s="12"/>
      <c r="K2817"/>
    </row>
    <row r="2818" spans="1:11" x14ac:dyDescent="0.2">
      <c r="A2818" s="43"/>
      <c r="B2818" s="43"/>
      <c r="C2818" s="43"/>
      <c r="D2818" s="28" t="s">
        <v>55</v>
      </c>
      <c r="E2818" s="53" t="s">
        <v>43</v>
      </c>
      <c r="G2818" s="29"/>
      <c r="H2818" s="12"/>
    </row>
    <row r="2819" spans="1:11" ht="12" customHeight="1" x14ac:dyDescent="0.2">
      <c r="A2819" s="45" t="s">
        <v>0</v>
      </c>
      <c r="D2819" s="27" t="s">
        <v>17</v>
      </c>
      <c r="E2819" s="63">
        <v>44317</v>
      </c>
      <c r="G2819" s="26" t="s">
        <v>12</v>
      </c>
      <c r="H2819" s="123">
        <v>44319</v>
      </c>
      <c r="I2819" s="12" t="s">
        <v>53</v>
      </c>
    </row>
    <row r="2820" spans="1:11" x14ac:dyDescent="0.2">
      <c r="A2820" s="46" t="s">
        <v>41</v>
      </c>
      <c r="D2820" s="27" t="s">
        <v>17</v>
      </c>
      <c r="E2820" s="63">
        <v>44318</v>
      </c>
      <c r="G2820" s="26" t="s">
        <v>20</v>
      </c>
      <c r="H2820" s="123">
        <v>44319</v>
      </c>
      <c r="I2820" s="12" t="s">
        <v>53</v>
      </c>
      <c r="K2820"/>
    </row>
    <row r="2821" spans="1:11" x14ac:dyDescent="0.2">
      <c r="D2821" s="27" t="s">
        <v>17</v>
      </c>
      <c r="E2821" s="63">
        <v>44319</v>
      </c>
      <c r="G2821" s="26" t="s">
        <v>21</v>
      </c>
      <c r="H2821" s="123">
        <v>44319</v>
      </c>
      <c r="I2821" s="12" t="s">
        <v>53</v>
      </c>
      <c r="K2821"/>
    </row>
    <row r="2822" spans="1:11" x14ac:dyDescent="0.2">
      <c r="D2822" s="27" t="s">
        <v>17</v>
      </c>
      <c r="E2822" s="63">
        <v>44320</v>
      </c>
      <c r="G2822" s="26" t="s">
        <v>19</v>
      </c>
      <c r="H2822" s="123">
        <v>44320</v>
      </c>
      <c r="I2822" s="12" t="s">
        <v>53</v>
      </c>
      <c r="K2822"/>
    </row>
    <row r="2823" spans="1:11" x14ac:dyDescent="0.2">
      <c r="D2823" s="27" t="s">
        <v>17</v>
      </c>
      <c r="E2823" s="63">
        <v>44321</v>
      </c>
      <c r="G2823" s="26" t="s">
        <v>14</v>
      </c>
      <c r="H2823" s="123">
        <v>44321</v>
      </c>
      <c r="I2823" s="12" t="s">
        <v>53</v>
      </c>
      <c r="K2823"/>
    </row>
    <row r="2824" spans="1:11" x14ac:dyDescent="0.2">
      <c r="D2824" s="27" t="s">
        <v>17</v>
      </c>
      <c r="E2824" s="63">
        <v>44322</v>
      </c>
      <c r="G2824" s="26" t="s">
        <v>15</v>
      </c>
      <c r="H2824" s="123">
        <v>44322</v>
      </c>
      <c r="I2824" s="12" t="s">
        <v>53</v>
      </c>
      <c r="K2824"/>
    </row>
    <row r="2825" spans="1:11" x14ac:dyDescent="0.2">
      <c r="D2825" s="27" t="s">
        <v>17</v>
      </c>
      <c r="E2825" s="63">
        <v>44323</v>
      </c>
      <c r="G2825" s="26" t="s">
        <v>16</v>
      </c>
      <c r="H2825" s="123">
        <v>44323</v>
      </c>
      <c r="I2825" s="12" t="s">
        <v>53</v>
      </c>
      <c r="K2825"/>
    </row>
    <row r="2826" spans="1:11" x14ac:dyDescent="0.2">
      <c r="D2826" s="27" t="s">
        <v>17</v>
      </c>
      <c r="E2826" s="63">
        <v>44324</v>
      </c>
      <c r="G2826" s="26" t="s">
        <v>25</v>
      </c>
      <c r="H2826" s="123">
        <v>44326</v>
      </c>
      <c r="I2826" s="12" t="s">
        <v>53</v>
      </c>
      <c r="K2826"/>
    </row>
    <row r="2827" spans="1:11" x14ac:dyDescent="0.2">
      <c r="D2827" s="27" t="s">
        <v>17</v>
      </c>
      <c r="E2827" s="63">
        <v>44325</v>
      </c>
      <c r="G2827" s="26" t="s">
        <v>26</v>
      </c>
      <c r="H2827" s="123">
        <v>44326</v>
      </c>
      <c r="I2827" s="12" t="s">
        <v>53</v>
      </c>
      <c r="K2827"/>
    </row>
    <row r="2828" spans="1:11" x14ac:dyDescent="0.2">
      <c r="D2828" s="27" t="s">
        <v>17</v>
      </c>
      <c r="E2828" s="63">
        <v>44326</v>
      </c>
      <c r="G2828" s="26" t="s">
        <v>36</v>
      </c>
      <c r="H2828" s="123">
        <v>44326</v>
      </c>
      <c r="I2828" s="12" t="s">
        <v>53</v>
      </c>
      <c r="K2828"/>
    </row>
    <row r="2829" spans="1:11" x14ac:dyDescent="0.2">
      <c r="D2829" s="27" t="s">
        <v>17</v>
      </c>
      <c r="E2829" s="63">
        <v>44327</v>
      </c>
      <c r="G2829" s="26" t="s">
        <v>31</v>
      </c>
      <c r="H2829" s="123">
        <v>44327</v>
      </c>
      <c r="I2829" s="12" t="s">
        <v>53</v>
      </c>
      <c r="K2829"/>
    </row>
    <row r="2830" spans="1:11" x14ac:dyDescent="0.2">
      <c r="D2830" s="27" t="s">
        <v>17</v>
      </c>
      <c r="E2830" s="63">
        <v>44328</v>
      </c>
      <c r="G2830" s="26" t="s">
        <v>29</v>
      </c>
      <c r="H2830" s="123">
        <v>44328</v>
      </c>
      <c r="I2830" s="12" t="s">
        <v>53</v>
      </c>
      <c r="K2830"/>
    </row>
    <row r="2831" spans="1:11" x14ac:dyDescent="0.2">
      <c r="D2831" s="27" t="s">
        <v>17</v>
      </c>
      <c r="E2831" s="63">
        <v>44329</v>
      </c>
      <c r="G2831" s="26" t="s">
        <v>32</v>
      </c>
      <c r="H2831" s="123">
        <v>44329</v>
      </c>
      <c r="I2831" s="12" t="s">
        <v>53</v>
      </c>
      <c r="K2831"/>
    </row>
    <row r="2832" spans="1:11" x14ac:dyDescent="0.2">
      <c r="D2832" s="27" t="s">
        <v>17</v>
      </c>
      <c r="E2832" s="63">
        <v>44330</v>
      </c>
      <c r="G2832" s="26" t="s">
        <v>33</v>
      </c>
      <c r="H2832" s="123">
        <v>44330</v>
      </c>
      <c r="I2832" s="12" t="s">
        <v>53</v>
      </c>
      <c r="K2832"/>
    </row>
    <row r="2833" spans="4:11" x14ac:dyDescent="0.2">
      <c r="D2833" s="27" t="s">
        <v>17</v>
      </c>
      <c r="E2833" s="63">
        <v>44331</v>
      </c>
      <c r="G2833" s="26" t="s">
        <v>34</v>
      </c>
      <c r="H2833" s="123">
        <v>44333</v>
      </c>
      <c r="I2833" s="12" t="s">
        <v>53</v>
      </c>
      <c r="K2833"/>
    </row>
    <row r="2834" spans="4:11" x14ac:dyDescent="0.2">
      <c r="D2834" s="27" t="s">
        <v>17</v>
      </c>
      <c r="E2834" s="63">
        <v>44332</v>
      </c>
      <c r="G2834" s="26" t="s">
        <v>7</v>
      </c>
      <c r="H2834" s="123">
        <v>44333</v>
      </c>
      <c r="I2834" s="12" t="s">
        <v>53</v>
      </c>
      <c r="K2834"/>
    </row>
    <row r="2835" spans="4:11" x14ac:dyDescent="0.2">
      <c r="D2835" s="27" t="s">
        <v>17</v>
      </c>
      <c r="E2835" s="63">
        <v>44333</v>
      </c>
      <c r="G2835" s="26" t="s">
        <v>8</v>
      </c>
      <c r="H2835" s="123">
        <v>44333</v>
      </c>
      <c r="I2835" s="12" t="s">
        <v>53</v>
      </c>
      <c r="K2835"/>
    </row>
    <row r="2836" spans="4:11" x14ac:dyDescent="0.2">
      <c r="D2836" s="27" t="s">
        <v>17</v>
      </c>
      <c r="E2836" s="63">
        <v>44334</v>
      </c>
      <c r="G2836" s="26" t="s">
        <v>9</v>
      </c>
      <c r="H2836" s="123">
        <v>44334</v>
      </c>
      <c r="I2836" s="12" t="s">
        <v>53</v>
      </c>
      <c r="K2836"/>
    </row>
    <row r="2837" spans="4:11" x14ac:dyDescent="0.2">
      <c r="D2837" s="27" t="s">
        <v>17</v>
      </c>
      <c r="E2837" s="63">
        <v>44335</v>
      </c>
      <c r="G2837" s="26" t="s">
        <v>52</v>
      </c>
      <c r="H2837" s="123">
        <v>44335</v>
      </c>
      <c r="I2837" s="12" t="s">
        <v>53</v>
      </c>
      <c r="K2837"/>
    </row>
    <row r="2838" spans="4:11" x14ac:dyDescent="0.2">
      <c r="D2838" s="27" t="s">
        <v>17</v>
      </c>
      <c r="E2838" s="63">
        <v>44336</v>
      </c>
      <c r="G2838" s="26" t="s">
        <v>30</v>
      </c>
      <c r="H2838" s="123">
        <v>44336</v>
      </c>
      <c r="I2838" s="12" t="s">
        <v>53</v>
      </c>
      <c r="K2838"/>
    </row>
    <row r="2839" spans="4:11" x14ac:dyDescent="0.2">
      <c r="D2839" s="27" t="s">
        <v>17</v>
      </c>
      <c r="E2839" s="63">
        <v>44337</v>
      </c>
      <c r="G2839" s="26" t="s">
        <v>51</v>
      </c>
      <c r="H2839" s="123">
        <v>44337</v>
      </c>
      <c r="I2839" s="12" t="s">
        <v>53</v>
      </c>
      <c r="K2839"/>
    </row>
    <row r="2840" spans="4:11" x14ac:dyDescent="0.2">
      <c r="D2840" s="27" t="s">
        <v>17</v>
      </c>
      <c r="E2840" s="63">
        <v>44338</v>
      </c>
      <c r="G2840" s="26" t="s">
        <v>38</v>
      </c>
      <c r="H2840" s="123">
        <v>44340</v>
      </c>
      <c r="I2840" s="12" t="s">
        <v>53</v>
      </c>
      <c r="K2840"/>
    </row>
    <row r="2841" spans="4:11" x14ac:dyDescent="0.2">
      <c r="D2841" s="27" t="s">
        <v>17</v>
      </c>
      <c r="E2841" s="63">
        <v>44339</v>
      </c>
      <c r="G2841" s="26" t="s">
        <v>39</v>
      </c>
      <c r="H2841" s="123">
        <v>44340</v>
      </c>
      <c r="I2841" s="12" t="s">
        <v>53</v>
      </c>
      <c r="K2841"/>
    </row>
    <row r="2842" spans="4:11" x14ac:dyDescent="0.2">
      <c r="D2842" s="27" t="s">
        <v>17</v>
      </c>
      <c r="E2842" s="63">
        <v>44340</v>
      </c>
      <c r="G2842" s="26" t="s">
        <v>27</v>
      </c>
      <c r="H2842" s="123">
        <v>44340</v>
      </c>
      <c r="I2842" s="12" t="s">
        <v>53</v>
      </c>
      <c r="K2842"/>
    </row>
    <row r="2843" spans="4:11" x14ac:dyDescent="0.2">
      <c r="D2843" s="27" t="s">
        <v>17</v>
      </c>
      <c r="E2843" s="63">
        <v>44341</v>
      </c>
      <c r="G2843" s="26" t="s">
        <v>28</v>
      </c>
      <c r="H2843" s="123">
        <v>44341</v>
      </c>
      <c r="I2843" s="12" t="s">
        <v>53</v>
      </c>
      <c r="K2843"/>
    </row>
    <row r="2844" spans="4:11" x14ac:dyDescent="0.2">
      <c r="D2844" s="27" t="s">
        <v>17</v>
      </c>
      <c r="E2844" s="63">
        <v>44342</v>
      </c>
      <c r="G2844" s="26" t="s">
        <v>18</v>
      </c>
      <c r="H2844" s="123">
        <v>44342</v>
      </c>
      <c r="I2844" s="12" t="s">
        <v>53</v>
      </c>
      <c r="K2844"/>
    </row>
    <row r="2845" spans="4:11" x14ac:dyDescent="0.2">
      <c r="D2845" s="27" t="s">
        <v>17</v>
      </c>
      <c r="E2845" s="63">
        <v>44343</v>
      </c>
      <c r="G2845" s="26" t="s">
        <v>6</v>
      </c>
      <c r="H2845" s="123">
        <v>44343</v>
      </c>
      <c r="I2845" s="12" t="s">
        <v>53</v>
      </c>
      <c r="K2845"/>
    </row>
    <row r="2846" spans="4:11" x14ac:dyDescent="0.2">
      <c r="D2846" s="27" t="s">
        <v>17</v>
      </c>
      <c r="E2846" s="63">
        <v>44344</v>
      </c>
      <c r="G2846" s="26" t="s">
        <v>22</v>
      </c>
      <c r="H2846" s="123">
        <v>44344</v>
      </c>
      <c r="I2846" s="12" t="s">
        <v>53</v>
      </c>
      <c r="K2846"/>
    </row>
    <row r="2847" spans="4:11" x14ac:dyDescent="0.2">
      <c r="D2847" s="27" t="s">
        <v>17</v>
      </c>
      <c r="E2847" s="63">
        <v>44345</v>
      </c>
      <c r="G2847" s="26" t="s">
        <v>45</v>
      </c>
      <c r="H2847" s="123">
        <v>44347</v>
      </c>
      <c r="I2847" s="12" t="s">
        <v>53</v>
      </c>
      <c r="K2847"/>
    </row>
    <row r="2848" spans="4:11" x14ac:dyDescent="0.2">
      <c r="D2848" s="27" t="s">
        <v>17</v>
      </c>
      <c r="E2848" s="63">
        <v>44346</v>
      </c>
      <c r="G2848" s="26" t="s">
        <v>13</v>
      </c>
      <c r="H2848" s="123">
        <v>44347</v>
      </c>
      <c r="I2848" s="12" t="s">
        <v>53</v>
      </c>
      <c r="K2848"/>
    </row>
    <row r="2849" spans="4:11" x14ac:dyDescent="0.2">
      <c r="D2849" s="27" t="s">
        <v>17</v>
      </c>
      <c r="E2849" s="63">
        <v>44347</v>
      </c>
      <c r="G2849" s="26"/>
      <c r="H2849" s="123">
        <v>44347</v>
      </c>
      <c r="I2849" s="12" t="s">
        <v>53</v>
      </c>
      <c r="K2849"/>
    </row>
    <row r="2850" spans="4:11" x14ac:dyDescent="0.2">
      <c r="D2850" s="27" t="s">
        <v>44</v>
      </c>
      <c r="E2850" s="59">
        <v>44317</v>
      </c>
      <c r="G2850" s="26" t="s">
        <v>1</v>
      </c>
      <c r="H2850" s="65">
        <v>44317</v>
      </c>
      <c r="I2850" s="12"/>
      <c r="K2850"/>
    </row>
    <row r="2851" spans="4:11" x14ac:dyDescent="0.2">
      <c r="D2851" s="27" t="s">
        <v>44</v>
      </c>
      <c r="E2851" s="59">
        <v>44318</v>
      </c>
      <c r="G2851" s="26" t="s">
        <v>10</v>
      </c>
      <c r="H2851" s="65">
        <v>44318</v>
      </c>
      <c r="K2851"/>
    </row>
    <row r="2852" spans="4:11" x14ac:dyDescent="0.2">
      <c r="D2852" s="27" t="s">
        <v>44</v>
      </c>
      <c r="E2852" s="59">
        <v>44324</v>
      </c>
      <c r="G2852" s="26" t="s">
        <v>11</v>
      </c>
      <c r="H2852" s="65">
        <v>44324</v>
      </c>
      <c r="K2852"/>
    </row>
    <row r="2853" spans="4:11" x14ac:dyDescent="0.2">
      <c r="D2853" s="27" t="s">
        <v>44</v>
      </c>
      <c r="E2853" s="59">
        <v>44325</v>
      </c>
      <c r="G2853" s="26" t="s">
        <v>23</v>
      </c>
      <c r="H2853" s="65">
        <v>44325</v>
      </c>
      <c r="K2853"/>
    </row>
    <row r="2854" spans="4:11" x14ac:dyDescent="0.2">
      <c r="D2854" s="27" t="s">
        <v>44</v>
      </c>
      <c r="E2854" s="59">
        <v>44331</v>
      </c>
      <c r="G2854" s="26" t="s">
        <v>4</v>
      </c>
      <c r="H2854" s="65">
        <v>44331</v>
      </c>
      <c r="K2854"/>
    </row>
    <row r="2855" spans="4:11" x14ac:dyDescent="0.2">
      <c r="D2855" s="27" t="s">
        <v>44</v>
      </c>
      <c r="E2855" s="59">
        <v>44332</v>
      </c>
      <c r="G2855" s="26" t="s">
        <v>24</v>
      </c>
      <c r="H2855" s="65">
        <v>44332</v>
      </c>
      <c r="K2855"/>
    </row>
    <row r="2856" spans="4:11" x14ac:dyDescent="0.2">
      <c r="D2856" s="27" t="s">
        <v>44</v>
      </c>
      <c r="E2856" s="59">
        <v>44338</v>
      </c>
      <c r="G2856" s="26" t="s">
        <v>37</v>
      </c>
      <c r="H2856" s="65">
        <v>44338</v>
      </c>
      <c r="K2856"/>
    </row>
    <row r="2857" spans="4:11" x14ac:dyDescent="0.2">
      <c r="D2857" s="27" t="s">
        <v>44</v>
      </c>
      <c r="E2857" s="59">
        <v>44339</v>
      </c>
      <c r="H2857" s="65">
        <v>44339</v>
      </c>
      <c r="K2857"/>
    </row>
    <row r="2858" spans="4:11" x14ac:dyDescent="0.2">
      <c r="D2858" s="27"/>
      <c r="E2858" s="59">
        <v>44345</v>
      </c>
      <c r="H2858" s="65">
        <v>44345</v>
      </c>
      <c r="K2858"/>
    </row>
    <row r="2859" spans="4:11" x14ac:dyDescent="0.2">
      <c r="D2859" s="27"/>
      <c r="E2859" s="59">
        <v>44346</v>
      </c>
      <c r="H2859" s="65">
        <v>44346</v>
      </c>
      <c r="K2859"/>
    </row>
    <row r="2860" spans="4:11" x14ac:dyDescent="0.2">
      <c r="D2860" s="27"/>
      <c r="E2860" s="78"/>
      <c r="H2860" s="124"/>
      <c r="K2860"/>
    </row>
    <row r="2865" spans="5:11" x14ac:dyDescent="0.2">
      <c r="I2865" s="30"/>
      <c r="K2865"/>
    </row>
    <row r="2866" spans="5:11" x14ac:dyDescent="0.2">
      <c r="I2866" s="30"/>
      <c r="K2866"/>
    </row>
    <row r="2867" spans="5:11" x14ac:dyDescent="0.2">
      <c r="I2867" s="30"/>
      <c r="K2867"/>
    </row>
    <row r="2868" spans="5:11" x14ac:dyDescent="0.2">
      <c r="E2868"/>
      <c r="F2868"/>
      <c r="H2868"/>
      <c r="I2868" s="30"/>
      <c r="K2868"/>
    </row>
    <row r="2869" spans="5:11" x14ac:dyDescent="0.2">
      <c r="E2869"/>
      <c r="F2869"/>
      <c r="H2869"/>
      <c r="I2869" s="30"/>
      <c r="K2869"/>
    </row>
    <row r="2870" spans="5:11" x14ac:dyDescent="0.2">
      <c r="E2870"/>
      <c r="F2870"/>
      <c r="H2870"/>
      <c r="I2870" s="30"/>
      <c r="K2870"/>
    </row>
    <row r="2871" spans="5:11" x14ac:dyDescent="0.2">
      <c r="E2871"/>
      <c r="F2871"/>
      <c r="H2871"/>
      <c r="I2871" s="30"/>
      <c r="K2871"/>
    </row>
    <row r="2872" spans="5:11" x14ac:dyDescent="0.2">
      <c r="E2872"/>
      <c r="F2872"/>
      <c r="H2872"/>
      <c r="I2872" s="30"/>
      <c r="K2872"/>
    </row>
    <row r="2873" spans="5:11" x14ac:dyDescent="0.2">
      <c r="E2873"/>
      <c r="F2873"/>
      <c r="H2873"/>
      <c r="I2873" s="30"/>
      <c r="K2873"/>
    </row>
    <row r="2874" spans="5:11" x14ac:dyDescent="0.2">
      <c r="E2874"/>
      <c r="F2874"/>
      <c r="H2874"/>
      <c r="I2874" s="30"/>
      <c r="K2874"/>
    </row>
    <row r="2875" spans="5:11" x14ac:dyDescent="0.2">
      <c r="E2875"/>
      <c r="F2875"/>
      <c r="H2875"/>
      <c r="I2875" s="30"/>
      <c r="K2875"/>
    </row>
    <row r="2876" spans="5:11" x14ac:dyDescent="0.2">
      <c r="E2876"/>
      <c r="F2876"/>
      <c r="H2876"/>
      <c r="I2876" s="30"/>
      <c r="K2876"/>
    </row>
    <row r="2877" spans="5:11" x14ac:dyDescent="0.2">
      <c r="E2877"/>
      <c r="F2877"/>
      <c r="H2877"/>
      <c r="I2877" s="30"/>
      <c r="K2877"/>
    </row>
    <row r="2878" spans="5:11" x14ac:dyDescent="0.2">
      <c r="E2878"/>
      <c r="F2878"/>
      <c r="H2878"/>
      <c r="I2878" s="30"/>
      <c r="K2878"/>
    </row>
    <row r="2879" spans="5:11" x14ac:dyDescent="0.2">
      <c r="E2879"/>
      <c r="F2879"/>
      <c r="H2879"/>
      <c r="I2879" s="30"/>
      <c r="K2879"/>
    </row>
    <row r="2880" spans="5:11" x14ac:dyDescent="0.2">
      <c r="E2880"/>
      <c r="F2880"/>
      <c r="H2880"/>
      <c r="I2880" s="30"/>
      <c r="K2880"/>
    </row>
    <row r="2881" spans="9:9" customFormat="1" x14ac:dyDescent="0.2">
      <c r="I2881" s="30"/>
    </row>
    <row r="2882" spans="9:9" customFormat="1" x14ac:dyDescent="0.2">
      <c r="I2882" s="30"/>
    </row>
    <row r="2883" spans="9:9" customFormat="1" x14ac:dyDescent="0.2">
      <c r="I2883" s="30"/>
    </row>
    <row r="2884" spans="9:9" customFormat="1" x14ac:dyDescent="0.2">
      <c r="I2884" s="30"/>
    </row>
    <row r="2885" spans="9:9" customFormat="1" x14ac:dyDescent="0.2">
      <c r="I2885" s="30"/>
    </row>
    <row r="2886" spans="9:9" customFormat="1" x14ac:dyDescent="0.2">
      <c r="I2886" s="30"/>
    </row>
    <row r="2887" spans="9:9" customFormat="1" x14ac:dyDescent="0.2">
      <c r="I2887" s="30"/>
    </row>
    <row r="2888" spans="9:9" customFormat="1" x14ac:dyDescent="0.2">
      <c r="I2888" s="30"/>
    </row>
    <row r="2889" spans="9:9" customFormat="1" x14ac:dyDescent="0.2">
      <c r="I2889" s="30"/>
    </row>
    <row r="2890" spans="9:9" customFormat="1" x14ac:dyDescent="0.2">
      <c r="I2890" s="30"/>
    </row>
    <row r="2891" spans="9:9" customFormat="1" x14ac:dyDescent="0.2">
      <c r="I2891" s="30"/>
    </row>
    <row r="2892" spans="9:9" customFormat="1" x14ac:dyDescent="0.2">
      <c r="I2892" s="30"/>
    </row>
    <row r="2893" spans="9:9" customFormat="1" x14ac:dyDescent="0.2">
      <c r="I2893" s="30"/>
    </row>
    <row r="2894" spans="9:9" customFormat="1" x14ac:dyDescent="0.2">
      <c r="I2894" s="30"/>
    </row>
    <row r="2895" spans="9:9" customFormat="1" x14ac:dyDescent="0.2">
      <c r="I2895" s="30"/>
    </row>
  </sheetData>
  <autoFilter ref="A1:H309" xr:uid="{00000000-0009-0000-0000-00000E000000}"/>
  <pageMargins left="0.78740157499999996" right="0.78740157499999996" top="0.984251969" bottom="0.984251969" header="0.49212598499999999" footer="0.49212598499999999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30A0"/>
  </sheetPr>
  <dimension ref="A1:AD50"/>
  <sheetViews>
    <sheetView tabSelected="1" zoomScale="75" zoomScaleNormal="75" workbookViewId="0">
      <pane xSplit="1" ySplit="4" topLeftCell="G5" activePane="bottomRight" state="frozen"/>
      <selection activeCell="F32" sqref="F32:F35"/>
      <selection pane="topRight" activeCell="F32" sqref="F32:F35"/>
      <selection pane="bottomLeft" activeCell="F32" sqref="F32:F35"/>
      <selection pane="bottomRight" activeCell="J22" sqref="J22"/>
    </sheetView>
  </sheetViews>
  <sheetFormatPr defaultColWidth="15.7109375" defaultRowHeight="12.75" x14ac:dyDescent="0.2"/>
  <cols>
    <col min="1" max="1" width="15.7109375" customWidth="1"/>
    <col min="2" max="12" width="15.7109375" style="1" customWidth="1"/>
    <col min="13" max="24" width="15.7109375" customWidth="1"/>
  </cols>
  <sheetData>
    <row r="1" spans="1:22" s="2" customFormat="1" x14ac:dyDescent="0.2">
      <c r="B1" s="2" t="str">
        <f>IF(B5=1,"Domingo",IF(B5=2,"Segunda",IF(B5=3,"Terça",IF(B5=4,"Quarta",IF(B5=5,"Quinta",IF(B5=6,"Sexta",IF(B5=7,"Sábado",0)))))))</f>
        <v>Segunda</v>
      </c>
      <c r="C1" s="2" t="str">
        <f t="shared" ref="C1:U1" si="0">IF(C5=1,"Domingo",IF(C5=2,"Segunda",IF(C5=3,"Terça",IF(C5=4,"Quarta",IF(C5=5,"Quinta",IF(C5=6,"Sexta",IF(C5=7,"Sábado",0)))))))</f>
        <v>Terça</v>
      </c>
      <c r="D1" s="2" t="str">
        <f t="shared" si="0"/>
        <v>Quarta</v>
      </c>
      <c r="E1" s="2" t="str">
        <f t="shared" si="0"/>
        <v>Quinta</v>
      </c>
      <c r="F1" s="2" t="str">
        <f t="shared" si="0"/>
        <v>Sexta</v>
      </c>
      <c r="G1" s="2" t="str">
        <f t="shared" si="0"/>
        <v>Segunda</v>
      </c>
      <c r="H1" s="2" t="str">
        <f t="shared" si="0"/>
        <v>Terça</v>
      </c>
      <c r="I1" s="2" t="str">
        <f t="shared" si="0"/>
        <v>Quarta</v>
      </c>
      <c r="J1" s="2" t="str">
        <f t="shared" si="0"/>
        <v>Quinta</v>
      </c>
      <c r="K1" s="2" t="str">
        <f t="shared" si="0"/>
        <v>Sexta</v>
      </c>
      <c r="L1" s="2" t="str">
        <f t="shared" si="0"/>
        <v>Segunda</v>
      </c>
      <c r="M1" s="2" t="str">
        <f t="shared" si="0"/>
        <v>Terça</v>
      </c>
      <c r="N1" s="2" t="str">
        <f t="shared" si="0"/>
        <v>Quarta</v>
      </c>
      <c r="O1" s="2" t="str">
        <f t="shared" si="0"/>
        <v>Quinta</v>
      </c>
      <c r="P1" s="2" t="str">
        <f t="shared" si="0"/>
        <v>Sexta</v>
      </c>
      <c r="Q1" s="2" t="str">
        <f t="shared" si="0"/>
        <v>Segunda</v>
      </c>
      <c r="R1" s="2" t="str">
        <f t="shared" si="0"/>
        <v>Terça</v>
      </c>
      <c r="S1" s="2" t="str">
        <f t="shared" si="0"/>
        <v>Quarta</v>
      </c>
      <c r="T1" s="2" t="str">
        <f t="shared" si="0"/>
        <v>Quinta</v>
      </c>
      <c r="U1" s="2" t="str">
        <f t="shared" si="0"/>
        <v>Sexta</v>
      </c>
      <c r="V1" s="2" t="str">
        <f>IF(V5=1,"Domingo",IF(V5=2,"Segunda",IF(V5=3,"Terça",IF(V5=4,"Quarta",IF(V5=5,"Quinta",IF(V5=6,"Sexta",IF(V5=7,"Sábado",0)))))))</f>
        <v>Segunda</v>
      </c>
    </row>
    <row r="2" spans="1:22" s="3" customFormat="1" x14ac:dyDescent="0.2">
      <c r="A2" s="4" t="s">
        <v>2</v>
      </c>
      <c r="B2" s="3">
        <f t="shared" ref="B2:U2" si="1">B29</f>
        <v>44319</v>
      </c>
      <c r="C2" s="3">
        <f t="shared" si="1"/>
        <v>44320</v>
      </c>
      <c r="D2" s="3">
        <f t="shared" si="1"/>
        <v>44321</v>
      </c>
      <c r="E2" s="3">
        <f t="shared" si="1"/>
        <v>44322</v>
      </c>
      <c r="F2" s="3">
        <f t="shared" si="1"/>
        <v>44323</v>
      </c>
      <c r="G2" s="3">
        <f t="shared" si="1"/>
        <v>44326</v>
      </c>
      <c r="H2" s="3">
        <f t="shared" si="1"/>
        <v>44327</v>
      </c>
      <c r="I2" s="3">
        <f t="shared" si="1"/>
        <v>44328</v>
      </c>
      <c r="J2" s="3">
        <f t="shared" si="1"/>
        <v>44329</v>
      </c>
      <c r="K2" s="3">
        <f t="shared" si="1"/>
        <v>44330</v>
      </c>
      <c r="L2" s="3">
        <f t="shared" si="1"/>
        <v>44333</v>
      </c>
      <c r="M2" s="3">
        <f t="shared" si="1"/>
        <v>44334</v>
      </c>
      <c r="N2" s="3">
        <f t="shared" si="1"/>
        <v>44335</v>
      </c>
      <c r="O2" s="3">
        <f t="shared" si="1"/>
        <v>44336</v>
      </c>
      <c r="P2" s="3">
        <f t="shared" si="1"/>
        <v>44337</v>
      </c>
      <c r="Q2" s="3">
        <f t="shared" si="1"/>
        <v>44340</v>
      </c>
      <c r="R2" s="3">
        <f t="shared" si="1"/>
        <v>44341</v>
      </c>
      <c r="S2" s="3">
        <f t="shared" si="1"/>
        <v>44342</v>
      </c>
      <c r="T2" s="3">
        <f t="shared" si="1"/>
        <v>44343</v>
      </c>
      <c r="U2" s="3">
        <f t="shared" si="1"/>
        <v>44344</v>
      </c>
      <c r="V2" s="3">
        <f>V29</f>
        <v>44347</v>
      </c>
    </row>
    <row r="3" spans="1:22" ht="3.75" customHeight="1" thickBo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22" ht="14.25" thickTop="1" thickBot="1" x14ac:dyDescent="0.25">
      <c r="A4" s="7" t="s">
        <v>40</v>
      </c>
      <c r="B4" s="8">
        <f>Fluxo_04_21!V38</f>
        <v>5598.230000000025</v>
      </c>
      <c r="C4" s="8">
        <f>B38</f>
        <v>887.31000000002496</v>
      </c>
      <c r="D4" s="8">
        <f>C38</f>
        <v>7106.1500000000251</v>
      </c>
      <c r="E4" s="8">
        <f>D38</f>
        <v>-3786.9099999999744</v>
      </c>
      <c r="F4" s="8">
        <f>E38</f>
        <v>-15777.089999999975</v>
      </c>
      <c r="G4" s="8">
        <f>F38</f>
        <v>-20664.609999999975</v>
      </c>
      <c r="H4" s="8">
        <f t="shared" ref="H4:V4" si="2">G38</f>
        <v>-17794.41999999998</v>
      </c>
      <c r="I4" s="8">
        <f t="shared" si="2"/>
        <v>-15885.539999999983</v>
      </c>
      <c r="J4" s="8">
        <f t="shared" si="2"/>
        <v>7977.2300000000159</v>
      </c>
      <c r="K4" s="8">
        <f t="shared" si="2"/>
        <v>6573.6900000000205</v>
      </c>
      <c r="L4" s="8">
        <f t="shared" si="2"/>
        <v>-11054.279999999981</v>
      </c>
      <c r="M4" s="8">
        <f t="shared" si="2"/>
        <v>-7129.2399999999798</v>
      </c>
      <c r="N4" s="8">
        <f t="shared" si="2"/>
        <v>-8544.2299999999796</v>
      </c>
      <c r="O4" s="8">
        <f t="shared" si="2"/>
        <v>-9587.539999999979</v>
      </c>
      <c r="P4" s="8">
        <f t="shared" si="2"/>
        <v>14013.430000000022</v>
      </c>
      <c r="Q4" s="8">
        <f t="shared" si="2"/>
        <v>-4055.8999999999796</v>
      </c>
      <c r="R4" s="8">
        <f t="shared" si="2"/>
        <v>-9013.0999999999804</v>
      </c>
      <c r="S4" s="8">
        <f t="shared" si="2"/>
        <v>-14468.539999999981</v>
      </c>
      <c r="T4" s="8">
        <f t="shared" si="2"/>
        <v>-14468.539999999981</v>
      </c>
      <c r="U4" s="8">
        <f t="shared" si="2"/>
        <v>-1338.789999999979</v>
      </c>
      <c r="V4" s="8">
        <f t="shared" si="2"/>
        <v>16204.960000000021</v>
      </c>
    </row>
    <row r="5" spans="1:22" ht="6.95" customHeight="1" thickTop="1" x14ac:dyDescent="0.2">
      <c r="A5" s="9"/>
      <c r="B5" s="10">
        <f t="shared" ref="B5:U5" si="3">WEEKDAY(B2)</f>
        <v>2</v>
      </c>
      <c r="C5" s="10">
        <f t="shared" si="3"/>
        <v>3</v>
      </c>
      <c r="D5" s="10">
        <f t="shared" si="3"/>
        <v>4</v>
      </c>
      <c r="E5" s="10">
        <f t="shared" si="3"/>
        <v>5</v>
      </c>
      <c r="F5" s="10">
        <f t="shared" si="3"/>
        <v>6</v>
      </c>
      <c r="G5" s="10">
        <f t="shared" si="3"/>
        <v>2</v>
      </c>
      <c r="H5" s="10">
        <f t="shared" si="3"/>
        <v>3</v>
      </c>
      <c r="I5" s="10">
        <f t="shared" si="3"/>
        <v>4</v>
      </c>
      <c r="J5" s="10">
        <f t="shared" si="3"/>
        <v>5</v>
      </c>
      <c r="K5" s="10">
        <f t="shared" si="3"/>
        <v>6</v>
      </c>
      <c r="L5" s="10">
        <f t="shared" si="3"/>
        <v>2</v>
      </c>
      <c r="M5" s="10">
        <f t="shared" si="3"/>
        <v>3</v>
      </c>
      <c r="N5" s="10">
        <f t="shared" si="3"/>
        <v>4</v>
      </c>
      <c r="O5" s="10">
        <f t="shared" si="3"/>
        <v>5</v>
      </c>
      <c r="P5" s="10">
        <f t="shared" si="3"/>
        <v>6</v>
      </c>
      <c r="Q5" s="10">
        <f t="shared" si="3"/>
        <v>2</v>
      </c>
      <c r="R5" s="10">
        <f t="shared" si="3"/>
        <v>3</v>
      </c>
      <c r="S5" s="10">
        <f t="shared" si="3"/>
        <v>4</v>
      </c>
      <c r="T5" s="10">
        <f t="shared" si="3"/>
        <v>5</v>
      </c>
      <c r="U5" s="10">
        <f t="shared" si="3"/>
        <v>6</v>
      </c>
      <c r="V5" s="10">
        <f>WEEKDAY(V2)</f>
        <v>2</v>
      </c>
    </row>
    <row r="6" spans="1:22" x14ac:dyDescent="0.2">
      <c r="A6" s="20" t="s">
        <v>3</v>
      </c>
      <c r="B6" s="23">
        <f t="shared" ref="B6:U6" si="4">SUM(B7:B26)</f>
        <v>8736</v>
      </c>
      <c r="C6" s="23">
        <f t="shared" si="4"/>
        <v>12543.84</v>
      </c>
      <c r="D6" s="23">
        <f t="shared" si="4"/>
        <v>63107.94</v>
      </c>
      <c r="E6" s="23">
        <f t="shared" si="4"/>
        <v>0</v>
      </c>
      <c r="F6" s="23">
        <f t="shared" si="4"/>
        <v>17482.71</v>
      </c>
      <c r="G6" s="23">
        <f t="shared" si="4"/>
        <v>40678</v>
      </c>
      <c r="H6" s="23">
        <f t="shared" si="4"/>
        <v>34892.199999999997</v>
      </c>
      <c r="I6" s="23">
        <f t="shared" si="4"/>
        <v>33941</v>
      </c>
      <c r="J6" s="23">
        <f t="shared" si="4"/>
        <v>28025.79</v>
      </c>
      <c r="K6" s="23">
        <f t="shared" si="4"/>
        <v>0</v>
      </c>
      <c r="L6" s="23">
        <f t="shared" si="4"/>
        <v>20000</v>
      </c>
      <c r="M6" s="23">
        <f t="shared" si="4"/>
        <v>2648.16</v>
      </c>
      <c r="N6" s="23">
        <f t="shared" si="4"/>
        <v>3270.52</v>
      </c>
      <c r="O6" s="23">
        <f t="shared" si="4"/>
        <v>43258.29</v>
      </c>
      <c r="P6" s="23">
        <f t="shared" si="4"/>
        <v>0</v>
      </c>
      <c r="Q6" s="23">
        <f t="shared" si="4"/>
        <v>850</v>
      </c>
      <c r="R6" s="23">
        <f t="shared" si="4"/>
        <v>0</v>
      </c>
      <c r="S6" s="23">
        <f t="shared" si="4"/>
        <v>0</v>
      </c>
      <c r="T6" s="23">
        <f t="shared" si="4"/>
        <v>60359.39</v>
      </c>
      <c r="U6" s="23">
        <f t="shared" si="4"/>
        <v>51000.94</v>
      </c>
      <c r="V6" s="23">
        <f>SUM(V7:V26)</f>
        <v>0</v>
      </c>
    </row>
    <row r="7" spans="1:22" x14ac:dyDescent="0.2">
      <c r="A7" t="s">
        <v>137</v>
      </c>
      <c r="C7" s="15"/>
      <c r="D7" s="93"/>
      <c r="E7" s="15"/>
      <c r="F7" s="110">
        <v>17482.71</v>
      </c>
      <c r="G7" s="74">
        <f>14480.85-830</f>
        <v>13650.85</v>
      </c>
      <c r="H7" s="15"/>
      <c r="I7" s="15"/>
      <c r="J7" s="109">
        <v>17319.25</v>
      </c>
      <c r="K7" s="15"/>
      <c r="L7" s="15"/>
      <c r="M7" s="15"/>
      <c r="N7" s="15"/>
      <c r="O7" s="15"/>
      <c r="P7" s="15"/>
      <c r="Q7" s="74">
        <f>850</f>
        <v>850</v>
      </c>
      <c r="R7" s="15"/>
      <c r="S7" s="15"/>
      <c r="T7" s="15"/>
      <c r="V7" s="1"/>
    </row>
    <row r="8" spans="1:22" x14ac:dyDescent="0.2">
      <c r="A8" t="s">
        <v>60</v>
      </c>
      <c r="C8" s="15"/>
      <c r="D8" s="110">
        <v>34221.94</v>
      </c>
      <c r="E8" s="15"/>
      <c r="F8" s="15"/>
      <c r="G8" s="13"/>
      <c r="I8" s="13"/>
      <c r="N8" s="1"/>
      <c r="O8" s="110">
        <v>39164.69</v>
      </c>
      <c r="P8" s="1"/>
      <c r="Q8" s="15"/>
      <c r="R8" s="94"/>
      <c r="S8" s="15"/>
      <c r="T8" s="15"/>
      <c r="U8" s="1"/>
    </row>
    <row r="9" spans="1:22" x14ac:dyDescent="0.2">
      <c r="A9" t="s">
        <v>79</v>
      </c>
      <c r="C9" s="110">
        <v>12543.84</v>
      </c>
      <c r="D9" s="104">
        <v>28886</v>
      </c>
      <c r="E9" s="104"/>
      <c r="F9" s="15"/>
      <c r="G9" s="74">
        <v>9700</v>
      </c>
      <c r="H9" s="109">
        <f>26510.26-338.72</f>
        <v>26171.539999999997</v>
      </c>
      <c r="L9" s="104">
        <f>20000</f>
        <v>20000</v>
      </c>
      <c r="M9" s="1"/>
      <c r="N9" s="1"/>
      <c r="O9" s="114">
        <f>4093.6</f>
        <v>4093.6</v>
      </c>
      <c r="Q9" s="15"/>
      <c r="R9" s="15"/>
      <c r="S9" s="15"/>
      <c r="T9" s="109">
        <v>45810.49</v>
      </c>
    </row>
    <row r="10" spans="1:22" x14ac:dyDescent="0.2">
      <c r="A10" t="s">
        <v>138</v>
      </c>
      <c r="B10" s="104">
        <v>8736</v>
      </c>
      <c r="C10" s="13"/>
      <c r="D10" s="104"/>
      <c r="G10" s="13"/>
      <c r="H10" s="15"/>
      <c r="I10" s="15"/>
      <c r="J10" s="15"/>
      <c r="K10" s="15"/>
      <c r="L10" s="15"/>
      <c r="M10" s="15"/>
      <c r="N10" s="15"/>
      <c r="P10" s="15"/>
      <c r="Q10" s="15"/>
      <c r="R10" s="15"/>
      <c r="S10" s="15"/>
      <c r="T10" s="15"/>
      <c r="U10" s="106">
        <f>7338.24+1834.56</f>
        <v>9172.7999999999993</v>
      </c>
    </row>
    <row r="11" spans="1:22" x14ac:dyDescent="0.2">
      <c r="A11" t="s">
        <v>61</v>
      </c>
      <c r="B11" s="14"/>
      <c r="C11" s="13"/>
      <c r="D11"/>
      <c r="E11" s="15"/>
      <c r="F11" s="15"/>
      <c r="G11" s="15"/>
      <c r="H11" s="15"/>
      <c r="I11" s="74">
        <v>33941</v>
      </c>
      <c r="J11" s="15"/>
      <c r="K11" s="15"/>
      <c r="L11" s="15"/>
      <c r="M11" s="15"/>
      <c r="N11" s="15"/>
      <c r="O11" s="15"/>
      <c r="P11" s="15"/>
      <c r="Q11" s="14"/>
      <c r="R11" s="15"/>
      <c r="U11" s="110">
        <v>35729.550000000003</v>
      </c>
    </row>
    <row r="12" spans="1:22" x14ac:dyDescent="0.2">
      <c r="A12" t="s">
        <v>58</v>
      </c>
      <c r="C12"/>
      <c r="D12"/>
      <c r="E12" s="15"/>
      <c r="F12" s="15"/>
      <c r="G12" s="74">
        <v>2604.9699999999998</v>
      </c>
      <c r="H12" s="15"/>
      <c r="I12" s="15"/>
      <c r="L12" s="15"/>
      <c r="M12" s="106">
        <v>2648.16</v>
      </c>
      <c r="N12" s="15"/>
      <c r="O12" s="15"/>
      <c r="P12" s="15"/>
    </row>
    <row r="13" spans="1:22" x14ac:dyDescent="0.2">
      <c r="A13" t="s">
        <v>59</v>
      </c>
      <c r="B13" s="15"/>
      <c r="C13"/>
      <c r="D13" s="15"/>
      <c r="E13" s="15"/>
      <c r="F13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spans="1:22" x14ac:dyDescent="0.2">
      <c r="A14" t="s">
        <v>139</v>
      </c>
      <c r="B14"/>
      <c r="C14" s="13"/>
      <c r="D14" s="15"/>
      <c r="E14" s="15"/>
      <c r="F14" s="15"/>
      <c r="G14" s="15"/>
      <c r="H14" s="110">
        <f>7252.13</f>
        <v>7252.13</v>
      </c>
      <c r="I14" s="15"/>
      <c r="J14" s="15"/>
      <c r="K14" s="15"/>
      <c r="L14" s="15"/>
      <c r="M14" s="15"/>
      <c r="N14" s="112">
        <v>3270.52</v>
      </c>
      <c r="O14" s="15"/>
      <c r="P14" s="15"/>
      <c r="Q14" s="15"/>
      <c r="R14" s="15"/>
      <c r="U14" s="112">
        <v>6098.59</v>
      </c>
      <c r="V14" s="13"/>
    </row>
    <row r="15" spans="1:22" x14ac:dyDescent="0.2">
      <c r="A15" t="s">
        <v>140</v>
      </c>
      <c r="B15"/>
      <c r="C15"/>
      <c r="J15" s="74">
        <f>3653+3399.7+3653.84</f>
        <v>10706.54</v>
      </c>
      <c r="K15" s="15"/>
      <c r="L15" s="15"/>
      <c r="M15" s="15"/>
      <c r="N15" s="15"/>
      <c r="O15" s="15"/>
      <c r="P15" s="15"/>
      <c r="Q15" s="15"/>
      <c r="R15" s="15"/>
      <c r="S15" s="15"/>
      <c r="T15" s="74">
        <f>1594.4+4628.18+4473.18+3853.14</f>
        <v>14548.9</v>
      </c>
    </row>
    <row r="16" spans="1:22" x14ac:dyDescent="0.2">
      <c r="A16" t="s">
        <v>57</v>
      </c>
      <c r="B16"/>
      <c r="C16"/>
      <c r="D16"/>
      <c r="E16" s="15"/>
      <c r="F16" s="15"/>
      <c r="G16" s="74">
        <v>3135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1:30" x14ac:dyDescent="0.2">
      <c r="A17" t="s">
        <v>680</v>
      </c>
      <c r="B17"/>
      <c r="C17"/>
      <c r="G17" s="104">
        <v>11587.18</v>
      </c>
      <c r="H17" s="15"/>
      <c r="I17" s="15"/>
      <c r="J17" s="13"/>
      <c r="L17" s="15"/>
      <c r="M17" s="15"/>
      <c r="N17" s="15"/>
      <c r="O17" s="13"/>
      <c r="P17" s="13"/>
      <c r="R17" s="1"/>
      <c r="S17" s="15"/>
      <c r="T17" s="1"/>
      <c r="U17" s="1"/>
      <c r="V17" s="1"/>
    </row>
    <row r="18" spans="1:30" x14ac:dyDescent="0.2">
      <c r="A18" t="s">
        <v>230</v>
      </c>
      <c r="D18" s="13"/>
      <c r="E18" s="16"/>
      <c r="F18" s="15"/>
      <c r="G18" s="15"/>
      <c r="H18" s="74">
        <v>1468.53</v>
      </c>
      <c r="I18" s="15"/>
      <c r="J18" s="15"/>
      <c r="M18" s="15"/>
      <c r="N18" s="15"/>
      <c r="O18" s="15"/>
      <c r="P18" s="41"/>
      <c r="R18" s="15"/>
      <c r="S18" s="15"/>
      <c r="T18" s="41"/>
    </row>
    <row r="19" spans="1:30" x14ac:dyDescent="0.2">
      <c r="E19" s="16"/>
      <c r="F19" s="15"/>
      <c r="G19" s="15"/>
      <c r="I19" s="15"/>
      <c r="J19" s="15"/>
      <c r="K19" s="15"/>
      <c r="M19" s="15"/>
      <c r="N19" s="1"/>
      <c r="O19" s="14"/>
      <c r="P19" s="41"/>
      <c r="R19" s="15"/>
      <c r="S19" s="15"/>
      <c r="T19" s="41"/>
    </row>
    <row r="20" spans="1:30" x14ac:dyDescent="0.2">
      <c r="A20" s="12"/>
      <c r="E20" s="16"/>
      <c r="F20" s="15"/>
      <c r="G20" s="15"/>
      <c r="I20" s="15"/>
      <c r="J20" s="14"/>
      <c r="K20" s="15"/>
      <c r="M20" s="15"/>
      <c r="N20" s="1"/>
      <c r="O20" s="14"/>
      <c r="P20" s="41"/>
      <c r="R20" s="15"/>
      <c r="S20" s="15"/>
      <c r="T20" s="41"/>
    </row>
    <row r="21" spans="1:30" x14ac:dyDescent="0.2">
      <c r="B21" s="15"/>
      <c r="C2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4"/>
      <c r="S21" s="15"/>
      <c r="T21" s="15"/>
      <c r="U21" s="15"/>
    </row>
    <row r="22" spans="1:30" x14ac:dyDescent="0.2">
      <c r="B22"/>
      <c r="C22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spans="1:30" x14ac:dyDescent="0.2">
      <c r="D23" s="13"/>
      <c r="E23" s="16"/>
      <c r="F23" s="15"/>
      <c r="G23" s="15"/>
      <c r="I23" s="15"/>
      <c r="J23" s="15"/>
      <c r="M23" s="15"/>
      <c r="N23" s="15"/>
      <c r="O23" s="17"/>
      <c r="P23" s="19"/>
      <c r="R23" s="15"/>
      <c r="S23" s="15"/>
      <c r="T23" s="19"/>
    </row>
    <row r="24" spans="1:30" x14ac:dyDescent="0.2">
      <c r="D24" s="13"/>
      <c r="E24" s="16"/>
      <c r="F24" s="15"/>
      <c r="G24" s="15"/>
      <c r="I24" s="15"/>
      <c r="J24" s="15"/>
      <c r="M24" s="15"/>
      <c r="N24" s="15"/>
      <c r="O24" s="48"/>
      <c r="P24" s="19"/>
      <c r="R24" s="15"/>
      <c r="S24" s="15"/>
      <c r="T24" s="19"/>
    </row>
    <row r="25" spans="1:30" x14ac:dyDescent="0.2">
      <c r="A25" s="12"/>
      <c r="D25" s="13"/>
      <c r="E25" s="47"/>
      <c r="F25" s="15"/>
      <c r="G25" s="15"/>
      <c r="I25" s="15"/>
      <c r="J25" s="15"/>
      <c r="M25" s="15"/>
      <c r="N25" s="15"/>
      <c r="O25" s="17"/>
      <c r="P25" s="19"/>
      <c r="R25" s="15"/>
      <c r="S25" s="15"/>
      <c r="T25" s="19"/>
    </row>
    <row r="26" spans="1:30" x14ac:dyDescent="0.2">
      <c r="A26" s="12"/>
      <c r="B26"/>
      <c r="C26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</row>
    <row r="27" spans="1:30" x14ac:dyDescent="0.2">
      <c r="A27" s="21" t="s">
        <v>54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spans="1:30" x14ac:dyDescent="0.2">
      <c r="A28" s="80" t="s">
        <v>62</v>
      </c>
      <c r="B28" s="80" t="s">
        <v>42</v>
      </c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2"/>
    </row>
    <row r="29" spans="1:30" x14ac:dyDescent="0.2">
      <c r="A29" s="80" t="s">
        <v>50</v>
      </c>
      <c r="B29" s="83">
        <v>44319</v>
      </c>
      <c r="C29" s="84">
        <v>44320</v>
      </c>
      <c r="D29" s="84">
        <v>44321</v>
      </c>
      <c r="E29" s="84">
        <v>44322</v>
      </c>
      <c r="F29" s="84">
        <v>44323</v>
      </c>
      <c r="G29" s="84">
        <v>44326</v>
      </c>
      <c r="H29" s="84">
        <v>44327</v>
      </c>
      <c r="I29" s="84">
        <v>44328</v>
      </c>
      <c r="J29" s="84">
        <v>44329</v>
      </c>
      <c r="K29" s="84">
        <v>44330</v>
      </c>
      <c r="L29" s="84">
        <v>44333</v>
      </c>
      <c r="M29" s="84">
        <v>44334</v>
      </c>
      <c r="N29" s="84">
        <v>44335</v>
      </c>
      <c r="O29" s="84">
        <v>44336</v>
      </c>
      <c r="P29" s="84">
        <v>44337</v>
      </c>
      <c r="Q29" s="84">
        <v>44340</v>
      </c>
      <c r="R29" s="84">
        <v>44341</v>
      </c>
      <c r="S29" s="84">
        <v>44342</v>
      </c>
      <c r="T29" s="84">
        <v>44343</v>
      </c>
      <c r="U29" s="84">
        <v>44344</v>
      </c>
      <c r="V29" s="84">
        <v>44347</v>
      </c>
      <c r="W29" s="85" t="s">
        <v>71</v>
      </c>
    </row>
    <row r="30" spans="1:30" s="11" customFormat="1" x14ac:dyDescent="0.2">
      <c r="A30" s="86" t="s">
        <v>63</v>
      </c>
      <c r="B30" s="86"/>
      <c r="C30" s="87">
        <v>50</v>
      </c>
      <c r="D30" s="87">
        <v>878.5</v>
      </c>
      <c r="E30" s="87">
        <v>100</v>
      </c>
      <c r="F30" s="87"/>
      <c r="G30" s="87">
        <v>250</v>
      </c>
      <c r="H30" s="87">
        <v>4500</v>
      </c>
      <c r="I30" s="87">
        <v>3000</v>
      </c>
      <c r="J30" s="87">
        <v>1805.32</v>
      </c>
      <c r="K30" s="87">
        <v>2589.31</v>
      </c>
      <c r="L30" s="87">
        <v>2500</v>
      </c>
      <c r="M30" s="87"/>
      <c r="N30" s="87"/>
      <c r="O30" s="87"/>
      <c r="P30" s="87">
        <v>2325.7399999999998</v>
      </c>
      <c r="Q30" s="87"/>
      <c r="R30" s="87"/>
      <c r="S30" s="87"/>
      <c r="T30" s="87">
        <v>5135.0599999999995</v>
      </c>
      <c r="U30" s="87">
        <v>5818.11</v>
      </c>
      <c r="V30" s="87">
        <v>1020.5</v>
      </c>
      <c r="W30" s="85">
        <v>29972.54</v>
      </c>
      <c r="X30"/>
      <c r="Y30"/>
      <c r="Z30"/>
      <c r="AA30"/>
      <c r="AB30"/>
      <c r="AC30"/>
      <c r="AD30"/>
    </row>
    <row r="31" spans="1:30" s="11" customFormat="1" x14ac:dyDescent="0.2">
      <c r="A31" s="88" t="s">
        <v>67</v>
      </c>
      <c r="B31" s="88">
        <v>10224.59</v>
      </c>
      <c r="C31">
        <v>1364.88</v>
      </c>
      <c r="D31">
        <v>8907.5</v>
      </c>
      <c r="E31">
        <v>4497</v>
      </c>
      <c r="F31">
        <v>4632</v>
      </c>
      <c r="G31">
        <v>2000</v>
      </c>
      <c r="H31">
        <v>5336.7</v>
      </c>
      <c r="I31">
        <v>2916.2900000000004</v>
      </c>
      <c r="J31">
        <v>6073.2599999999993</v>
      </c>
      <c r="K31">
        <v>3944.5</v>
      </c>
      <c r="L31">
        <v>5260.41</v>
      </c>
      <c r="M31">
        <v>1181.25</v>
      </c>
      <c r="N31"/>
      <c r="O31">
        <v>970.56</v>
      </c>
      <c r="P31">
        <v>5727.46</v>
      </c>
      <c r="Q31">
        <v>2188.98</v>
      </c>
      <c r="R31">
        <v>80</v>
      </c>
      <c r="S31">
        <v>0</v>
      </c>
      <c r="T31">
        <v>6137.4699999999993</v>
      </c>
      <c r="U31">
        <v>8697.06</v>
      </c>
      <c r="V31"/>
      <c r="W31" s="89">
        <v>80139.91</v>
      </c>
      <c r="X31"/>
      <c r="Y31"/>
      <c r="Z31"/>
      <c r="AA31"/>
      <c r="AB31"/>
      <c r="AC31"/>
      <c r="AD31"/>
    </row>
    <row r="32" spans="1:30" s="11" customFormat="1" x14ac:dyDescent="0.2">
      <c r="A32" s="88" t="s">
        <v>68</v>
      </c>
      <c r="B32" s="88"/>
      <c r="C32"/>
      <c r="D32"/>
      <c r="E32"/>
      <c r="F32"/>
      <c r="G32"/>
      <c r="H32"/>
      <c r="I32"/>
      <c r="J32">
        <v>1288.6500000000001</v>
      </c>
      <c r="K32"/>
      <c r="L32"/>
      <c r="M32"/>
      <c r="N32"/>
      <c r="O32"/>
      <c r="P32"/>
      <c r="Q32"/>
      <c r="R32"/>
      <c r="S32"/>
      <c r="T32"/>
      <c r="U32"/>
      <c r="V32">
        <v>1794.47</v>
      </c>
      <c r="W32" s="89">
        <v>3083.12</v>
      </c>
      <c r="X32"/>
      <c r="Y32"/>
      <c r="Z32"/>
      <c r="AA32"/>
      <c r="AB32"/>
      <c r="AC32"/>
      <c r="AD32"/>
    </row>
    <row r="33" spans="1:30" s="11" customFormat="1" x14ac:dyDescent="0.2">
      <c r="A33" s="88" t="s">
        <v>64</v>
      </c>
      <c r="B33" s="88"/>
      <c r="C33"/>
      <c r="D33"/>
      <c r="E33"/>
      <c r="F33"/>
      <c r="G33"/>
      <c r="H33"/>
      <c r="I33"/>
      <c r="J33"/>
      <c r="K33">
        <v>380.52</v>
      </c>
      <c r="L33">
        <v>3594.05</v>
      </c>
      <c r="M33"/>
      <c r="N33"/>
      <c r="O33"/>
      <c r="P33"/>
      <c r="Q33"/>
      <c r="R33"/>
      <c r="S33"/>
      <c r="T33"/>
      <c r="U33"/>
      <c r="V33"/>
      <c r="W33" s="89">
        <v>3974.57</v>
      </c>
      <c r="X33"/>
      <c r="Y33"/>
      <c r="Z33"/>
      <c r="AA33"/>
      <c r="AB33"/>
      <c r="AC33"/>
      <c r="AD33"/>
    </row>
    <row r="34" spans="1:30" s="11" customFormat="1" x14ac:dyDescent="0.2">
      <c r="A34" s="88" t="s">
        <v>91</v>
      </c>
      <c r="B34" s="88">
        <v>3222.33</v>
      </c>
      <c r="C34">
        <v>4910.12</v>
      </c>
      <c r="D34">
        <v>64215</v>
      </c>
      <c r="E34">
        <v>7393.18</v>
      </c>
      <c r="F34">
        <v>17738.23</v>
      </c>
      <c r="G34">
        <v>35557.810000000005</v>
      </c>
      <c r="H34">
        <v>23146.62</v>
      </c>
      <c r="I34">
        <v>4161.9400000000005</v>
      </c>
      <c r="J34">
        <v>20262.099999999999</v>
      </c>
      <c r="K34">
        <v>10713.64</v>
      </c>
      <c r="L34">
        <v>4720.5</v>
      </c>
      <c r="M34">
        <v>2881.9</v>
      </c>
      <c r="N34">
        <v>4313.83</v>
      </c>
      <c r="O34">
        <v>18686.759999999998</v>
      </c>
      <c r="P34">
        <v>10016.130000000001</v>
      </c>
      <c r="Q34">
        <v>2573.2199999999998</v>
      </c>
      <c r="R34">
        <v>5375.4400000000005</v>
      </c>
      <c r="S34"/>
      <c r="T34">
        <v>35957.11</v>
      </c>
      <c r="U34">
        <v>18942.02</v>
      </c>
      <c r="V34">
        <v>25322.7</v>
      </c>
      <c r="W34" s="89">
        <v>320110.58000000007</v>
      </c>
      <c r="X34"/>
      <c r="Y34"/>
      <c r="Z34"/>
      <c r="AA34"/>
      <c r="AB34"/>
      <c r="AC34"/>
      <c r="AD34"/>
    </row>
    <row r="35" spans="1:30" s="11" customFormat="1" x14ac:dyDescent="0.2">
      <c r="A35" s="88" t="s">
        <v>181</v>
      </c>
      <c r="B35" s="88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>
        <v>1045</v>
      </c>
      <c r="R35"/>
      <c r="S35"/>
      <c r="T35"/>
      <c r="U35"/>
      <c r="V35"/>
      <c r="W35" s="89">
        <v>1045</v>
      </c>
      <c r="X35"/>
      <c r="Y35"/>
      <c r="Z35"/>
      <c r="AA35"/>
      <c r="AB35"/>
      <c r="AC35"/>
      <c r="AD35"/>
    </row>
    <row r="36" spans="1:30" s="11" customFormat="1" x14ac:dyDescent="0.2">
      <c r="A36" s="90" t="s">
        <v>71</v>
      </c>
      <c r="B36" s="90">
        <v>13446.92</v>
      </c>
      <c r="C36" s="91">
        <v>6325</v>
      </c>
      <c r="D36" s="91">
        <v>74001</v>
      </c>
      <c r="E36" s="91">
        <v>11990.18</v>
      </c>
      <c r="F36" s="91">
        <v>22370.23</v>
      </c>
      <c r="G36" s="91">
        <v>37807.810000000005</v>
      </c>
      <c r="H36" s="91">
        <v>32983.32</v>
      </c>
      <c r="I36" s="91">
        <v>10078.230000000001</v>
      </c>
      <c r="J36" s="91">
        <v>29429.329999999998</v>
      </c>
      <c r="K36" s="91">
        <v>17627.97</v>
      </c>
      <c r="L36" s="91">
        <v>16074.96</v>
      </c>
      <c r="M36" s="91">
        <v>4063.15</v>
      </c>
      <c r="N36" s="91">
        <v>4313.83</v>
      </c>
      <c r="O36" s="91">
        <v>19657.32</v>
      </c>
      <c r="P36" s="91">
        <v>18069.330000000002</v>
      </c>
      <c r="Q36" s="91">
        <v>5807.2</v>
      </c>
      <c r="R36" s="91">
        <v>5455.4400000000005</v>
      </c>
      <c r="S36" s="91">
        <v>0</v>
      </c>
      <c r="T36" s="91">
        <v>47229.64</v>
      </c>
      <c r="U36" s="91">
        <v>33457.19</v>
      </c>
      <c r="V36" s="91">
        <v>28137.670000000002</v>
      </c>
      <c r="W36" s="92">
        <v>438325.72000000009</v>
      </c>
      <c r="X36"/>
      <c r="Y36"/>
      <c r="Z36"/>
      <c r="AA36"/>
      <c r="AB36"/>
      <c r="AC36"/>
      <c r="AD36"/>
    </row>
    <row r="37" spans="1:30" s="1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 spans="1:30" s="25" customFormat="1" ht="13.5" thickBot="1" x14ac:dyDescent="0.25">
      <c r="A38" s="24" t="s">
        <v>35</v>
      </c>
      <c r="B38" s="24">
        <f>B4+B6-GETPIVOTDATA("Valor",$A$28,"Pagto.",DATE(2021,5,3))</f>
        <v>887.31000000002496</v>
      </c>
      <c r="C38" s="24">
        <f>C4+C6-GETPIVOTDATA("Valor",$A$28,"Pagto.",DATE(2021,5,4))</f>
        <v>7106.1500000000251</v>
      </c>
      <c r="D38" s="24">
        <f>D4+D6-GETPIVOTDATA("Valor",$A$28,"Pagto.",DATE(2021,5,5))</f>
        <v>-3786.9099999999744</v>
      </c>
      <c r="E38" s="24">
        <f>E4+E6-GETPIVOTDATA("Valor",$A$28,"Pagto.",DATE(2021,5,6))</f>
        <v>-15777.089999999975</v>
      </c>
      <c r="F38" s="24">
        <f>F4+F6-GETPIVOTDATA("Valor",$A$28,"Pagto.",DATE(2021,5,7))</f>
        <v>-20664.609999999975</v>
      </c>
      <c r="G38" s="24">
        <f>G4+G6-GETPIVOTDATA("Valor",$A$28,"Pagto.",DATE(2021,5,10))</f>
        <v>-17794.41999999998</v>
      </c>
      <c r="H38" s="24">
        <f>H4+H6-GETPIVOTDATA("Valor",$A$28,"Pagto.",DATE(2021,5,11))</f>
        <v>-15885.539999999983</v>
      </c>
      <c r="I38" s="24">
        <f>I4+I6-GETPIVOTDATA("Valor",$A$28,"Pagto.",DATE(2021,5,12))</f>
        <v>7977.2300000000159</v>
      </c>
      <c r="J38" s="24">
        <f>J4+J6-GETPIVOTDATA("Valor",$A$28,"Pagto.",DATE(2021,5,13))</f>
        <v>6573.6900000000205</v>
      </c>
      <c r="K38" s="24">
        <f>K4+K6-GETPIVOTDATA("Valor",$A$28,"Pagto.",DATE(2021,5,14))</f>
        <v>-11054.279999999981</v>
      </c>
      <c r="L38" s="24">
        <f>L4+L6-GETPIVOTDATA("Valor",$A$28,"Pagto.",DATE(2021,5,17))</f>
        <v>-7129.2399999999798</v>
      </c>
      <c r="M38" s="24">
        <f>M4+M6-GETPIVOTDATA("Valor",$A$28,"Pagto.",DATE(2021,5,18))</f>
        <v>-8544.2299999999796</v>
      </c>
      <c r="N38" s="24">
        <f>N4+N6-GETPIVOTDATA("Valor",$A$28,"Pagto.",DATE(2021,5,19))</f>
        <v>-9587.539999999979</v>
      </c>
      <c r="O38" s="24">
        <f>O4+O6-GETPIVOTDATA("Valor",$A$28,"Pagto.",DATE(2021,5,20))</f>
        <v>14013.430000000022</v>
      </c>
      <c r="P38" s="24">
        <f>P4+P6-GETPIVOTDATA("Valor",$A$28,"Pagto.",DATE(2021,5,21))</f>
        <v>-4055.8999999999796</v>
      </c>
      <c r="Q38" s="24">
        <f>Q4+Q6-GETPIVOTDATA("Valor",$A$28,"Pagto.",DATE(2021,5,24))</f>
        <v>-9013.0999999999804</v>
      </c>
      <c r="R38" s="24">
        <f>R4+R6-GETPIVOTDATA("Valor",$A$28,"Pagto.",DATE(2021,5,25))</f>
        <v>-14468.539999999981</v>
      </c>
      <c r="S38" s="24">
        <f>S4+S6-GETPIVOTDATA("Valor",$A$28,"Pagto.",DATE(2021,5,26))</f>
        <v>-14468.539999999981</v>
      </c>
      <c r="T38" s="24">
        <f>T4+T6-GETPIVOTDATA("Valor",$A$28,"Pagto.",DATE(2021,5,27))</f>
        <v>-1338.789999999979</v>
      </c>
      <c r="U38" s="24">
        <f>U4+U6-GETPIVOTDATA("Valor",$A$28,"Pagto.",DATE(2021,5,28))</f>
        <v>16204.960000000021</v>
      </c>
      <c r="V38" s="24">
        <f>V4+V6-GETPIVOTDATA("Valor",$A$28,"Pagto.",DATE(2021,5,31))</f>
        <v>-11932.709999999981</v>
      </c>
    </row>
    <row r="39" spans="1:30" ht="13.5" thickTop="1" x14ac:dyDescent="0.2">
      <c r="B39"/>
      <c r="C39"/>
      <c r="D39"/>
      <c r="E39"/>
      <c r="F39"/>
      <c r="G39"/>
      <c r="H39"/>
      <c r="I39"/>
      <c r="J39"/>
      <c r="K39"/>
      <c r="L39"/>
    </row>
    <row r="40" spans="1:30" x14ac:dyDescent="0.2">
      <c r="B40"/>
      <c r="C40"/>
      <c r="D40"/>
      <c r="E40"/>
      <c r="F40"/>
      <c r="G40"/>
      <c r="H40"/>
      <c r="I40"/>
    </row>
    <row r="41" spans="1:30" x14ac:dyDescent="0.2">
      <c r="B41"/>
      <c r="C41"/>
      <c r="D41"/>
      <c r="E41"/>
      <c r="F41"/>
      <c r="G41"/>
      <c r="H41"/>
      <c r="I41"/>
    </row>
    <row r="42" spans="1:30" x14ac:dyDescent="0.2">
      <c r="B42"/>
      <c r="C42"/>
      <c r="D42"/>
      <c r="E42"/>
      <c r="F42"/>
      <c r="G42"/>
      <c r="H42"/>
      <c r="I42"/>
    </row>
    <row r="43" spans="1:30" x14ac:dyDescent="0.2">
      <c r="B43"/>
      <c r="C43"/>
      <c r="D43"/>
      <c r="E43"/>
      <c r="F43"/>
      <c r="G43"/>
      <c r="H43"/>
      <c r="I43"/>
    </row>
    <row r="44" spans="1:30" x14ac:dyDescent="0.2">
      <c r="B44"/>
      <c r="C44"/>
      <c r="D44"/>
      <c r="E44"/>
      <c r="F44"/>
      <c r="G44"/>
      <c r="H44"/>
      <c r="I44"/>
    </row>
    <row r="45" spans="1:30" x14ac:dyDescent="0.2">
      <c r="B45"/>
      <c r="C45"/>
      <c r="D45"/>
      <c r="E45"/>
      <c r="F45"/>
      <c r="G45"/>
      <c r="H45"/>
      <c r="I45"/>
    </row>
    <row r="46" spans="1:30" x14ac:dyDescent="0.2">
      <c r="B46"/>
      <c r="C46"/>
      <c r="D46"/>
      <c r="E46"/>
      <c r="F46"/>
      <c r="G46"/>
      <c r="H46"/>
      <c r="I46"/>
    </row>
    <row r="47" spans="1:30" x14ac:dyDescent="0.2">
      <c r="B47"/>
      <c r="C47"/>
      <c r="D47"/>
      <c r="E47"/>
      <c r="F47"/>
      <c r="G47"/>
      <c r="H47"/>
      <c r="I47"/>
    </row>
    <row r="48" spans="1:30" x14ac:dyDescent="0.2">
      <c r="B48"/>
      <c r="C48"/>
      <c r="D48"/>
      <c r="E48"/>
      <c r="F48"/>
      <c r="G48"/>
      <c r="H48"/>
      <c r="I48"/>
    </row>
    <row r="49" spans="2:9" x14ac:dyDescent="0.2">
      <c r="B49"/>
      <c r="C49"/>
      <c r="D49"/>
      <c r="E49"/>
      <c r="F49"/>
      <c r="G49"/>
      <c r="H49"/>
      <c r="I49"/>
    </row>
    <row r="50" spans="2:9" x14ac:dyDescent="0.2">
      <c r="B50"/>
      <c r="C50"/>
      <c r="D50"/>
      <c r="E50"/>
      <c r="F50"/>
      <c r="G50"/>
      <c r="H50"/>
      <c r="I50"/>
    </row>
  </sheetData>
  <conditionalFormatting sqref="A36 A38:XFD38 A4:XFD4">
    <cfRule type="cellIs" dxfId="14" priority="3" stopIfTrue="1" operator="lessThan">
      <formula>0</formula>
    </cfRule>
  </conditionalFormatting>
  <conditionalFormatting sqref="A1:XFD1">
    <cfRule type="cellIs" dxfId="13" priority="1" stopIfTrue="1" operator="equal">
      <formula>"Sábado"</formula>
    </cfRule>
    <cfRule type="cellIs" dxfId="12" priority="2" stopIfTrue="1" operator="equal">
      <formula>"Domingo"</formula>
    </cfRule>
  </conditionalFormatting>
  <pageMargins left="0.74791666666666667" right="0.74791666666666667" top="0.98402777777777783" bottom="0.98402777777777783" header="0.51180555555555562" footer="0.51180555555555562"/>
  <pageSetup paperSize="9" firstPageNumber="0" orientation="landscape" horizontalDpi="300" verticalDpi="300" r:id="rId2"/>
  <headerFooter alignWithMargins="0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K2912"/>
  <sheetViews>
    <sheetView topLeftCell="B1" workbookViewId="0">
      <selection activeCell="D3" sqref="D3"/>
    </sheetView>
  </sheetViews>
  <sheetFormatPr defaultRowHeight="12.75" x14ac:dyDescent="0.2"/>
  <cols>
    <col min="1" max="1" width="7.140625" customWidth="1"/>
    <col min="2" max="2" width="5.7109375" customWidth="1"/>
    <col min="3" max="3" width="16.42578125" bestFit="1" customWidth="1"/>
    <col min="4" max="4" width="81.7109375" bestFit="1" customWidth="1"/>
    <col min="5" max="5" width="12.5703125" style="49" customWidth="1"/>
    <col min="6" max="6" width="13" style="40" customWidth="1"/>
    <col min="7" max="7" width="24.85546875" customWidth="1"/>
    <col min="8" max="8" width="15.28515625" style="75" customWidth="1"/>
    <col min="9" max="9" width="21.7109375" bestFit="1" customWidth="1"/>
    <col min="10" max="10" width="19" customWidth="1"/>
    <col min="11" max="11" width="18.28515625" style="1" customWidth="1"/>
    <col min="12" max="12" width="17.28515625" customWidth="1"/>
    <col min="13" max="13" width="14.140625" customWidth="1"/>
    <col min="14" max="14" width="19.140625" customWidth="1"/>
  </cols>
  <sheetData>
    <row r="1" spans="1:11" s="36" customFormat="1" x14ac:dyDescent="0.2">
      <c r="A1" s="36">
        <v>0</v>
      </c>
      <c r="B1" s="36" t="s">
        <v>5</v>
      </c>
      <c r="C1" s="36" t="s">
        <v>46</v>
      </c>
      <c r="D1" s="36" t="s">
        <v>47</v>
      </c>
      <c r="E1" s="36" t="s">
        <v>48</v>
      </c>
      <c r="F1" s="67" t="s">
        <v>49</v>
      </c>
      <c r="G1" s="36" t="s">
        <v>50</v>
      </c>
      <c r="H1" s="33" t="s">
        <v>42</v>
      </c>
      <c r="K1" s="37"/>
    </row>
    <row r="2" spans="1:11" ht="13.5" customHeight="1" x14ac:dyDescent="0.2">
      <c r="C2" s="12" t="s">
        <v>187</v>
      </c>
      <c r="D2" s="57" t="s">
        <v>205</v>
      </c>
      <c r="E2" s="60">
        <v>44287</v>
      </c>
      <c r="F2" s="58">
        <v>215.8</v>
      </c>
      <c r="G2" s="12" t="s">
        <v>1689</v>
      </c>
      <c r="H2" s="61">
        <f t="shared" ref="H2:H33" si="0">VLOOKUP(E2,$E$2818:$H$2876,4,FALSE)</f>
        <v>44287</v>
      </c>
    </row>
    <row r="3" spans="1:11" ht="13.5" customHeight="1" x14ac:dyDescent="0.2">
      <c r="C3" s="12" t="s">
        <v>72</v>
      </c>
      <c r="D3" s="57" t="s">
        <v>1763</v>
      </c>
      <c r="E3" s="60">
        <v>44287</v>
      </c>
      <c r="F3" s="58">
        <v>2000</v>
      </c>
      <c r="G3" s="12" t="s">
        <v>1688</v>
      </c>
      <c r="H3" s="61">
        <f t="shared" si="0"/>
        <v>44287</v>
      </c>
    </row>
    <row r="4" spans="1:11" ht="13.5" customHeight="1" x14ac:dyDescent="0.2">
      <c r="C4" s="12" t="s">
        <v>159</v>
      </c>
      <c r="D4" s="57" t="s">
        <v>357</v>
      </c>
      <c r="E4" s="60">
        <v>44287</v>
      </c>
      <c r="F4" s="58">
        <v>312</v>
      </c>
      <c r="G4" s="12" t="s">
        <v>1689</v>
      </c>
      <c r="H4" s="61">
        <f t="shared" si="0"/>
        <v>44287</v>
      </c>
    </row>
    <row r="5" spans="1:11" ht="13.5" customHeight="1" x14ac:dyDescent="0.2">
      <c r="C5" s="12" t="s">
        <v>80</v>
      </c>
      <c r="D5" s="57" t="s">
        <v>687</v>
      </c>
      <c r="E5" s="60">
        <v>44287</v>
      </c>
      <c r="F5" s="58">
        <v>150</v>
      </c>
      <c r="G5" s="12" t="s">
        <v>1689</v>
      </c>
      <c r="H5" s="61">
        <f t="shared" si="0"/>
        <v>44287</v>
      </c>
    </row>
    <row r="6" spans="1:11" ht="13.5" customHeight="1" x14ac:dyDescent="0.2">
      <c r="C6" s="12" t="s">
        <v>80</v>
      </c>
      <c r="D6" s="57" t="s">
        <v>688</v>
      </c>
      <c r="E6" s="60">
        <v>44287</v>
      </c>
      <c r="F6" s="58">
        <v>300</v>
      </c>
      <c r="G6" s="12" t="s">
        <v>1689</v>
      </c>
      <c r="H6" s="61">
        <f t="shared" si="0"/>
        <v>44287</v>
      </c>
    </row>
    <row r="7" spans="1:11" ht="13.5" customHeight="1" x14ac:dyDescent="0.2">
      <c r="C7" s="12" t="s">
        <v>56</v>
      </c>
      <c r="D7" s="57" t="s">
        <v>594</v>
      </c>
      <c r="E7" s="60">
        <v>44287</v>
      </c>
      <c r="F7" s="58">
        <v>255</v>
      </c>
      <c r="G7" s="12" t="s">
        <v>1689</v>
      </c>
      <c r="H7" s="61">
        <f t="shared" si="0"/>
        <v>44287</v>
      </c>
    </row>
    <row r="8" spans="1:11" ht="13.5" customHeight="1" x14ac:dyDescent="0.2">
      <c r="C8" s="12" t="s">
        <v>199</v>
      </c>
      <c r="D8" s="57" t="s">
        <v>365</v>
      </c>
      <c r="E8" s="60">
        <v>44287</v>
      </c>
      <c r="F8" s="58">
        <f>2310.37+125+423+340+490</f>
        <v>3688.37</v>
      </c>
      <c r="G8" s="12" t="s">
        <v>1676</v>
      </c>
      <c r="H8" s="61">
        <f t="shared" si="0"/>
        <v>44287</v>
      </c>
    </row>
    <row r="9" spans="1:11" ht="13.5" customHeight="1" x14ac:dyDescent="0.2">
      <c r="C9" s="12" t="s">
        <v>173</v>
      </c>
      <c r="D9" s="57" t="s">
        <v>635</v>
      </c>
      <c r="E9" s="60">
        <v>44287</v>
      </c>
      <c r="F9" s="58">
        <v>137</v>
      </c>
      <c r="G9" s="12" t="s">
        <v>1689</v>
      </c>
      <c r="H9" s="61">
        <f t="shared" si="0"/>
        <v>44287</v>
      </c>
    </row>
    <row r="10" spans="1:11" ht="13.5" customHeight="1" x14ac:dyDescent="0.2">
      <c r="C10" s="12" t="s">
        <v>80</v>
      </c>
      <c r="D10" s="57" t="s">
        <v>689</v>
      </c>
      <c r="E10" s="60">
        <v>44287</v>
      </c>
      <c r="F10" s="58">
        <v>100</v>
      </c>
      <c r="G10" s="12" t="s">
        <v>1689</v>
      </c>
      <c r="H10" s="61">
        <f t="shared" si="0"/>
        <v>44287</v>
      </c>
    </row>
    <row r="11" spans="1:11" ht="13.5" customHeight="1" x14ac:dyDescent="0.2">
      <c r="C11" s="12" t="s">
        <v>80</v>
      </c>
      <c r="D11" s="57" t="s">
        <v>236</v>
      </c>
      <c r="E11" s="60">
        <v>44287</v>
      </c>
      <c r="F11" s="58">
        <v>50</v>
      </c>
      <c r="G11" s="12" t="s">
        <v>1689</v>
      </c>
      <c r="H11" s="61">
        <f t="shared" si="0"/>
        <v>44287</v>
      </c>
    </row>
    <row r="12" spans="1:11" ht="13.5" customHeight="1" x14ac:dyDescent="0.2">
      <c r="C12" s="12" t="s">
        <v>56</v>
      </c>
      <c r="D12" s="57" t="s">
        <v>693</v>
      </c>
      <c r="E12" s="60">
        <v>44287</v>
      </c>
      <c r="F12" s="58">
        <v>31581</v>
      </c>
      <c r="G12" s="12" t="s">
        <v>1689</v>
      </c>
      <c r="H12" s="61">
        <f t="shared" si="0"/>
        <v>44287</v>
      </c>
    </row>
    <row r="13" spans="1:11" ht="13.5" customHeight="1" x14ac:dyDescent="0.2">
      <c r="C13" s="12" t="s">
        <v>159</v>
      </c>
      <c r="D13" s="57" t="s">
        <v>681</v>
      </c>
      <c r="E13" s="60">
        <v>44288</v>
      </c>
      <c r="F13" s="58">
        <v>450</v>
      </c>
      <c r="G13" s="12" t="s">
        <v>1689</v>
      </c>
      <c r="H13" s="61">
        <f t="shared" si="0"/>
        <v>44291</v>
      </c>
    </row>
    <row r="14" spans="1:11" ht="13.5" customHeight="1" x14ac:dyDescent="0.2">
      <c r="C14" s="12" t="s">
        <v>159</v>
      </c>
      <c r="D14" s="57" t="s">
        <v>690</v>
      </c>
      <c r="E14" s="60">
        <v>44288</v>
      </c>
      <c r="F14" s="58">
        <v>1125</v>
      </c>
      <c r="G14" s="12" t="s">
        <v>1689</v>
      </c>
      <c r="H14" s="61">
        <f t="shared" si="0"/>
        <v>44291</v>
      </c>
    </row>
    <row r="15" spans="1:11" ht="13.5" customHeight="1" x14ac:dyDescent="0.2">
      <c r="C15" s="12" t="s">
        <v>97</v>
      </c>
      <c r="D15" s="57" t="s">
        <v>108</v>
      </c>
      <c r="E15" s="60">
        <v>44289</v>
      </c>
      <c r="F15" s="58">
        <v>2315.35</v>
      </c>
      <c r="G15" s="12" t="s">
        <v>1689</v>
      </c>
      <c r="H15" s="61">
        <f t="shared" si="0"/>
        <v>44291</v>
      </c>
    </row>
    <row r="16" spans="1:11" ht="13.5" customHeight="1" x14ac:dyDescent="0.2">
      <c r="C16" s="12" t="s">
        <v>80</v>
      </c>
      <c r="D16" s="57" t="s">
        <v>1719</v>
      </c>
      <c r="E16" s="60">
        <v>44290</v>
      </c>
      <c r="F16" s="58">
        <f>61.52+200+250</f>
        <v>511.52</v>
      </c>
      <c r="G16" s="12" t="s">
        <v>1688</v>
      </c>
      <c r="H16" s="61">
        <f t="shared" si="0"/>
        <v>44291</v>
      </c>
    </row>
    <row r="17" spans="3:8" ht="13.5" customHeight="1" x14ac:dyDescent="0.2">
      <c r="C17" s="12" t="s">
        <v>187</v>
      </c>
      <c r="D17" s="57" t="s">
        <v>686</v>
      </c>
      <c r="E17" s="60">
        <v>44291</v>
      </c>
      <c r="F17" s="58">
        <v>100</v>
      </c>
      <c r="G17" s="12" t="s">
        <v>1689</v>
      </c>
      <c r="H17" s="61">
        <f t="shared" si="0"/>
        <v>44291</v>
      </c>
    </row>
    <row r="18" spans="3:8" ht="13.5" customHeight="1" x14ac:dyDescent="0.2">
      <c r="C18" s="12" t="s">
        <v>72</v>
      </c>
      <c r="D18" s="57" t="s">
        <v>1707</v>
      </c>
      <c r="E18" s="60">
        <v>44291</v>
      </c>
      <c r="F18" s="58">
        <v>2500</v>
      </c>
      <c r="G18" s="12" t="s">
        <v>1688</v>
      </c>
      <c r="H18" s="61">
        <f t="shared" si="0"/>
        <v>44291</v>
      </c>
    </row>
    <row r="19" spans="3:8" ht="13.5" customHeight="1" x14ac:dyDescent="0.2">
      <c r="C19" s="12" t="s">
        <v>72</v>
      </c>
      <c r="D19" s="57" t="s">
        <v>1739</v>
      </c>
      <c r="E19" s="60">
        <v>44291</v>
      </c>
      <c r="F19" s="58">
        <v>725</v>
      </c>
      <c r="G19" s="12" t="s">
        <v>1688</v>
      </c>
      <c r="H19" s="61">
        <f t="shared" si="0"/>
        <v>44291</v>
      </c>
    </row>
    <row r="20" spans="3:8" ht="13.5" customHeight="1" x14ac:dyDescent="0.2">
      <c r="C20" s="12" t="s">
        <v>80</v>
      </c>
      <c r="D20" s="57" t="s">
        <v>1711</v>
      </c>
      <c r="E20" s="60">
        <v>44291</v>
      </c>
      <c r="F20" s="58">
        <v>200</v>
      </c>
      <c r="G20" s="12" t="s">
        <v>1688</v>
      </c>
      <c r="H20" s="61">
        <f t="shared" si="0"/>
        <v>44291</v>
      </c>
    </row>
    <row r="21" spans="3:8" ht="13.5" customHeight="1" x14ac:dyDescent="0.2">
      <c r="C21" s="12" t="s">
        <v>164</v>
      </c>
      <c r="D21" s="57" t="s">
        <v>691</v>
      </c>
      <c r="E21" s="60">
        <v>44291</v>
      </c>
      <c r="F21" s="58">
        <v>70</v>
      </c>
      <c r="G21" s="12" t="s">
        <v>1689</v>
      </c>
      <c r="H21" s="61">
        <f t="shared" si="0"/>
        <v>44291</v>
      </c>
    </row>
    <row r="22" spans="3:8" ht="13.5" customHeight="1" x14ac:dyDescent="0.2">
      <c r="C22" s="12" t="s">
        <v>96</v>
      </c>
      <c r="D22" s="57" t="s">
        <v>459</v>
      </c>
      <c r="E22" s="60">
        <v>44291</v>
      </c>
      <c r="F22" s="58">
        <v>1500</v>
      </c>
      <c r="G22" s="12" t="s">
        <v>1689</v>
      </c>
      <c r="H22" s="61">
        <f t="shared" si="0"/>
        <v>44291</v>
      </c>
    </row>
    <row r="23" spans="3:8" ht="13.5" customHeight="1" x14ac:dyDescent="0.2">
      <c r="C23" s="12" t="s">
        <v>96</v>
      </c>
      <c r="D23" s="57" t="s">
        <v>460</v>
      </c>
      <c r="E23" s="60">
        <v>44291</v>
      </c>
      <c r="F23" s="58">
        <v>1500</v>
      </c>
      <c r="G23" s="12" t="s">
        <v>1689</v>
      </c>
      <c r="H23" s="61">
        <f t="shared" si="0"/>
        <v>44291</v>
      </c>
    </row>
    <row r="24" spans="3:8" ht="13.5" customHeight="1" x14ac:dyDescent="0.2">
      <c r="C24" s="12" t="s">
        <v>96</v>
      </c>
      <c r="D24" s="57" t="s">
        <v>461</v>
      </c>
      <c r="E24" s="60">
        <v>44291</v>
      </c>
      <c r="F24" s="58">
        <v>1500</v>
      </c>
      <c r="G24" s="12" t="s">
        <v>1689</v>
      </c>
      <c r="H24" s="61">
        <f t="shared" si="0"/>
        <v>44291</v>
      </c>
    </row>
    <row r="25" spans="3:8" ht="13.5" customHeight="1" x14ac:dyDescent="0.2">
      <c r="C25" s="12" t="s">
        <v>56</v>
      </c>
      <c r="D25" s="57" t="s">
        <v>694</v>
      </c>
      <c r="E25" s="60">
        <v>44291</v>
      </c>
      <c r="F25" s="58">
        <f>8476+602+833+292+2654+2077+2469</f>
        <v>17403</v>
      </c>
      <c r="G25" s="12" t="s">
        <v>1689</v>
      </c>
      <c r="H25" s="61">
        <f t="shared" si="0"/>
        <v>44291</v>
      </c>
    </row>
    <row r="26" spans="3:8" ht="13.5" customHeight="1" x14ac:dyDescent="0.2">
      <c r="C26" s="12" t="s">
        <v>56</v>
      </c>
      <c r="D26" s="57" t="s">
        <v>695</v>
      </c>
      <c r="E26" s="60">
        <v>44292</v>
      </c>
      <c r="F26" s="58">
        <f>22440+622+1009</f>
        <v>24071</v>
      </c>
      <c r="G26" s="12" t="s">
        <v>1689</v>
      </c>
      <c r="H26" s="61">
        <f t="shared" si="0"/>
        <v>44292</v>
      </c>
    </row>
    <row r="27" spans="3:8" ht="13.5" customHeight="1" x14ac:dyDescent="0.2">
      <c r="C27" s="12" t="s">
        <v>97</v>
      </c>
      <c r="D27" s="57" t="s">
        <v>119</v>
      </c>
      <c r="E27" s="60">
        <v>44292</v>
      </c>
      <c r="F27" s="58">
        <v>2201.1999999999998</v>
      </c>
      <c r="G27" s="12" t="s">
        <v>1689</v>
      </c>
      <c r="H27" s="61">
        <f t="shared" si="0"/>
        <v>44292</v>
      </c>
    </row>
    <row r="28" spans="3:8" ht="13.5" customHeight="1" x14ac:dyDescent="0.2">
      <c r="C28" s="12" t="s">
        <v>72</v>
      </c>
      <c r="D28" s="57" t="s">
        <v>1722</v>
      </c>
      <c r="E28" s="60">
        <v>44292</v>
      </c>
      <c r="F28" s="58">
        <v>882.17</v>
      </c>
      <c r="G28" s="12" t="s">
        <v>1688</v>
      </c>
      <c r="H28" s="61">
        <f t="shared" si="0"/>
        <v>44292</v>
      </c>
    </row>
    <row r="29" spans="3:8" ht="13.5" customHeight="1" x14ac:dyDescent="0.2">
      <c r="C29" s="12" t="s">
        <v>88</v>
      </c>
      <c r="D29" s="57" t="s">
        <v>1773</v>
      </c>
      <c r="E29" s="60">
        <v>44292</v>
      </c>
      <c r="F29" s="58">
        <v>5901</v>
      </c>
      <c r="G29" s="12" t="s">
        <v>1689</v>
      </c>
      <c r="H29" s="61">
        <f t="shared" si="0"/>
        <v>44292</v>
      </c>
    </row>
    <row r="30" spans="3:8" ht="13.5" customHeight="1" x14ac:dyDescent="0.2">
      <c r="C30" s="12" t="s">
        <v>170</v>
      </c>
      <c r="D30" s="57" t="s">
        <v>702</v>
      </c>
      <c r="E30" s="60">
        <v>44292</v>
      </c>
      <c r="F30" s="58">
        <v>83.16</v>
      </c>
      <c r="G30" s="12" t="s">
        <v>1689</v>
      </c>
      <c r="H30" s="61">
        <f t="shared" si="0"/>
        <v>44292</v>
      </c>
    </row>
    <row r="31" spans="3:8" ht="13.5" customHeight="1" x14ac:dyDescent="0.2">
      <c r="C31" s="12" t="s">
        <v>56</v>
      </c>
      <c r="D31" s="57" t="s">
        <v>696</v>
      </c>
      <c r="E31" s="60">
        <v>44293</v>
      </c>
      <c r="F31" s="58">
        <v>16811</v>
      </c>
      <c r="G31" s="12" t="s">
        <v>1689</v>
      </c>
      <c r="H31" s="61">
        <f t="shared" si="0"/>
        <v>44293</v>
      </c>
    </row>
    <row r="32" spans="3:8" ht="13.5" customHeight="1" x14ac:dyDescent="0.2">
      <c r="C32" s="12" t="s">
        <v>56</v>
      </c>
      <c r="D32" s="57" t="s">
        <v>701</v>
      </c>
      <c r="E32" s="60">
        <v>44293</v>
      </c>
      <c r="F32" s="58">
        <v>3729</v>
      </c>
      <c r="G32" s="12" t="s">
        <v>1689</v>
      </c>
      <c r="H32" s="61">
        <f t="shared" si="0"/>
        <v>44293</v>
      </c>
    </row>
    <row r="33" spans="3:8" ht="13.5" customHeight="1" x14ac:dyDescent="0.2">
      <c r="C33" s="12" t="s">
        <v>56</v>
      </c>
      <c r="D33" s="57" t="s">
        <v>698</v>
      </c>
      <c r="E33" s="60">
        <v>44293</v>
      </c>
      <c r="F33" s="58">
        <v>1212</v>
      </c>
      <c r="G33" s="12" t="s">
        <v>1689</v>
      </c>
      <c r="H33" s="61">
        <f t="shared" si="0"/>
        <v>44293</v>
      </c>
    </row>
    <row r="34" spans="3:8" ht="13.5" customHeight="1" x14ac:dyDescent="0.2">
      <c r="C34" s="12" t="s">
        <v>56</v>
      </c>
      <c r="D34" s="57" t="s">
        <v>697</v>
      </c>
      <c r="E34" s="60">
        <v>44293</v>
      </c>
      <c r="F34" s="58">
        <f>2662-622</f>
        <v>2040</v>
      </c>
      <c r="G34" s="12" t="s">
        <v>1689</v>
      </c>
      <c r="H34" s="61">
        <f t="shared" ref="H34:H65" si="1">VLOOKUP(E34,$E$2818:$H$2876,4,FALSE)</f>
        <v>44293</v>
      </c>
    </row>
    <row r="35" spans="3:8" ht="13.5" customHeight="1" x14ac:dyDescent="0.2">
      <c r="C35" s="12" t="s">
        <v>170</v>
      </c>
      <c r="D35" s="57" t="s">
        <v>704</v>
      </c>
      <c r="E35" s="60">
        <v>44293</v>
      </c>
      <c r="F35" s="58">
        <v>260</v>
      </c>
      <c r="G35" s="12" t="s">
        <v>1689</v>
      </c>
      <c r="H35" s="61">
        <f t="shared" si="1"/>
        <v>44293</v>
      </c>
    </row>
    <row r="36" spans="3:8" ht="13.5" customHeight="1" x14ac:dyDescent="0.2">
      <c r="C36" s="12" t="s">
        <v>164</v>
      </c>
      <c r="D36" s="57" t="s">
        <v>641</v>
      </c>
      <c r="E36" s="60">
        <v>44293</v>
      </c>
      <c r="F36" s="58">
        <v>1000</v>
      </c>
      <c r="G36" s="12" t="s">
        <v>1689</v>
      </c>
      <c r="H36" s="61">
        <f t="shared" si="1"/>
        <v>44293</v>
      </c>
    </row>
    <row r="37" spans="3:8" ht="13.5" customHeight="1" x14ac:dyDescent="0.2">
      <c r="C37" s="12" t="s">
        <v>56</v>
      </c>
      <c r="D37" s="57" t="s">
        <v>717</v>
      </c>
      <c r="E37" s="60">
        <v>44293</v>
      </c>
      <c r="F37" s="58">
        <v>308.13</v>
      </c>
      <c r="G37" s="12" t="s">
        <v>1689</v>
      </c>
      <c r="H37" s="61">
        <f t="shared" si="1"/>
        <v>44293</v>
      </c>
    </row>
    <row r="38" spans="3:8" ht="13.5" customHeight="1" x14ac:dyDescent="0.2">
      <c r="C38" s="12" t="s">
        <v>159</v>
      </c>
      <c r="D38" s="57" t="s">
        <v>376</v>
      </c>
      <c r="E38" s="60">
        <v>44294</v>
      </c>
      <c r="F38" s="58">
        <v>311.77999999999997</v>
      </c>
      <c r="G38" s="12" t="s">
        <v>1689</v>
      </c>
      <c r="H38" s="61">
        <f t="shared" si="1"/>
        <v>44294</v>
      </c>
    </row>
    <row r="39" spans="3:8" ht="13.5" customHeight="1" x14ac:dyDescent="0.2">
      <c r="C39" s="12" t="s">
        <v>170</v>
      </c>
      <c r="D39" s="57" t="s">
        <v>705</v>
      </c>
      <c r="E39" s="60">
        <v>44294</v>
      </c>
      <c r="F39" s="58">
        <v>380</v>
      </c>
      <c r="G39" s="12" t="s">
        <v>1689</v>
      </c>
      <c r="H39" s="61">
        <f t="shared" si="1"/>
        <v>44294</v>
      </c>
    </row>
    <row r="40" spans="3:8" ht="13.5" customHeight="1" x14ac:dyDescent="0.2">
      <c r="C40" s="12" t="s">
        <v>170</v>
      </c>
      <c r="D40" s="57" t="s">
        <v>712</v>
      </c>
      <c r="E40" s="60">
        <v>44294</v>
      </c>
      <c r="F40" s="58">
        <v>90</v>
      </c>
      <c r="G40" s="12" t="s">
        <v>1689</v>
      </c>
      <c r="H40" s="61">
        <f t="shared" si="1"/>
        <v>44294</v>
      </c>
    </row>
    <row r="41" spans="3:8" ht="13.5" customHeight="1" x14ac:dyDescent="0.2">
      <c r="C41" s="12" t="s">
        <v>84</v>
      </c>
      <c r="D41" s="57" t="s">
        <v>685</v>
      </c>
      <c r="E41" s="60">
        <v>44294</v>
      </c>
      <c r="F41" s="58">
        <v>558</v>
      </c>
      <c r="G41" s="12" t="s">
        <v>1689</v>
      </c>
      <c r="H41" s="61">
        <f t="shared" si="1"/>
        <v>44294</v>
      </c>
    </row>
    <row r="42" spans="3:8" ht="13.5" customHeight="1" x14ac:dyDescent="0.2">
      <c r="C42" s="12" t="s">
        <v>83</v>
      </c>
      <c r="D42" s="57" t="s">
        <v>692</v>
      </c>
      <c r="E42" s="60">
        <v>44295</v>
      </c>
      <c r="F42" s="58">
        <v>410.02</v>
      </c>
      <c r="G42" s="12" t="s">
        <v>1689</v>
      </c>
      <c r="H42" s="61">
        <f t="shared" si="1"/>
        <v>44295</v>
      </c>
    </row>
    <row r="43" spans="3:8" ht="13.5" customHeight="1" x14ac:dyDescent="0.2">
      <c r="C43" s="12" t="s">
        <v>80</v>
      </c>
      <c r="D43" s="57" t="s">
        <v>711</v>
      </c>
      <c r="E43" s="60">
        <v>44295</v>
      </c>
      <c r="F43" s="58">
        <v>300</v>
      </c>
      <c r="G43" s="12" t="s">
        <v>1689</v>
      </c>
      <c r="H43" s="61">
        <f t="shared" si="1"/>
        <v>44295</v>
      </c>
    </row>
    <row r="44" spans="3:8" ht="13.5" customHeight="1" x14ac:dyDescent="0.2">
      <c r="C44" s="12" t="s">
        <v>192</v>
      </c>
      <c r="D44" s="57" t="s">
        <v>707</v>
      </c>
      <c r="E44" s="60">
        <v>44295</v>
      </c>
      <c r="F44" s="58">
        <v>95.18</v>
      </c>
      <c r="G44" s="12" t="s">
        <v>1689</v>
      </c>
      <c r="H44" s="61">
        <f t="shared" si="1"/>
        <v>44295</v>
      </c>
    </row>
    <row r="45" spans="3:8" ht="13.5" customHeight="1" x14ac:dyDescent="0.2">
      <c r="C45" s="12" t="s">
        <v>117</v>
      </c>
      <c r="D45" s="57" t="s">
        <v>710</v>
      </c>
      <c r="E45" s="60">
        <v>44295</v>
      </c>
      <c r="F45" s="58">
        <v>200</v>
      </c>
      <c r="G45" s="12" t="s">
        <v>1676</v>
      </c>
      <c r="H45" s="61">
        <f t="shared" si="1"/>
        <v>44295</v>
      </c>
    </row>
    <row r="46" spans="3:8" ht="13.5" customHeight="1" x14ac:dyDescent="0.2">
      <c r="C46" s="12" t="s">
        <v>170</v>
      </c>
      <c r="D46" s="57" t="s">
        <v>718</v>
      </c>
      <c r="E46" s="60">
        <v>44295</v>
      </c>
      <c r="F46" s="58">
        <v>27</v>
      </c>
      <c r="G46" s="12" t="s">
        <v>1676</v>
      </c>
      <c r="H46" s="61">
        <f t="shared" si="1"/>
        <v>44295</v>
      </c>
    </row>
    <row r="47" spans="3:8" ht="13.5" customHeight="1" x14ac:dyDescent="0.2">
      <c r="C47" s="12" t="s">
        <v>83</v>
      </c>
      <c r="D47" s="57" t="s">
        <v>206</v>
      </c>
      <c r="E47" s="60">
        <v>44295</v>
      </c>
      <c r="F47" s="58">
        <v>2720</v>
      </c>
      <c r="G47" s="12" t="s">
        <v>1689</v>
      </c>
      <c r="H47" s="61">
        <f t="shared" si="1"/>
        <v>44295</v>
      </c>
    </row>
    <row r="48" spans="3:8" ht="13.5" customHeight="1" x14ac:dyDescent="0.2">
      <c r="C48" s="12" t="s">
        <v>80</v>
      </c>
      <c r="D48" s="57" t="s">
        <v>240</v>
      </c>
      <c r="E48" s="60">
        <v>44295</v>
      </c>
      <c r="F48" s="58">
        <v>50</v>
      </c>
      <c r="G48" s="12" t="s">
        <v>1688</v>
      </c>
      <c r="H48" s="61">
        <f t="shared" si="1"/>
        <v>44295</v>
      </c>
    </row>
    <row r="49" spans="3:8" ht="13.5" customHeight="1" x14ac:dyDescent="0.2">
      <c r="C49" s="12" t="s">
        <v>164</v>
      </c>
      <c r="D49" s="57" t="s">
        <v>636</v>
      </c>
      <c r="E49" s="60">
        <v>44295</v>
      </c>
      <c r="F49" s="58">
        <v>3500</v>
      </c>
      <c r="G49" s="12" t="s">
        <v>1689</v>
      </c>
      <c r="H49" s="61">
        <f t="shared" si="1"/>
        <v>44295</v>
      </c>
    </row>
    <row r="50" spans="3:8" ht="13.5" customHeight="1" x14ac:dyDescent="0.2">
      <c r="C50" s="12" t="s">
        <v>170</v>
      </c>
      <c r="D50" s="57" t="s">
        <v>729</v>
      </c>
      <c r="E50" s="60">
        <v>44296</v>
      </c>
      <c r="F50" s="58">
        <v>11.73</v>
      </c>
      <c r="G50" s="12" t="s">
        <v>1689</v>
      </c>
      <c r="H50" s="61">
        <f t="shared" si="1"/>
        <v>44298</v>
      </c>
    </row>
    <row r="51" spans="3:8" ht="13.5" customHeight="1" x14ac:dyDescent="0.2">
      <c r="C51" s="12" t="s">
        <v>77</v>
      </c>
      <c r="D51" s="57" t="s">
        <v>720</v>
      </c>
      <c r="E51" s="60">
        <v>44297</v>
      </c>
      <c r="F51" s="58">
        <v>232.01</v>
      </c>
      <c r="G51" s="12" t="s">
        <v>1689</v>
      </c>
      <c r="H51" s="61">
        <f t="shared" si="1"/>
        <v>44298</v>
      </c>
    </row>
    <row r="52" spans="3:8" ht="13.5" customHeight="1" x14ac:dyDescent="0.2">
      <c r="C52" s="12" t="s">
        <v>164</v>
      </c>
      <c r="D52" s="57" t="s">
        <v>217</v>
      </c>
      <c r="E52" s="60">
        <v>44298</v>
      </c>
      <c r="F52" s="58">
        <v>90</v>
      </c>
      <c r="G52" s="12" t="s">
        <v>1676</v>
      </c>
      <c r="H52" s="61">
        <f t="shared" si="1"/>
        <v>44298</v>
      </c>
    </row>
    <row r="53" spans="3:8" ht="13.5" customHeight="1" x14ac:dyDescent="0.2">
      <c r="C53" s="12" t="s">
        <v>96</v>
      </c>
      <c r="D53" s="57" t="s">
        <v>721</v>
      </c>
      <c r="E53" s="60">
        <v>44298</v>
      </c>
      <c r="F53" s="58">
        <v>280</v>
      </c>
      <c r="G53" s="12" t="s">
        <v>1689</v>
      </c>
      <c r="H53" s="61">
        <f t="shared" si="1"/>
        <v>44298</v>
      </c>
    </row>
    <row r="54" spans="3:8" ht="13.5" customHeight="1" x14ac:dyDescent="0.2">
      <c r="C54" s="12" t="s">
        <v>72</v>
      </c>
      <c r="D54" s="57" t="s">
        <v>1774</v>
      </c>
      <c r="E54" s="60">
        <v>44299</v>
      </c>
      <c r="F54" s="58">
        <v>1769.95</v>
      </c>
      <c r="G54" s="12" t="s">
        <v>1688</v>
      </c>
      <c r="H54" s="61">
        <f t="shared" si="1"/>
        <v>44299</v>
      </c>
    </row>
    <row r="55" spans="3:8" ht="13.5" customHeight="1" x14ac:dyDescent="0.2">
      <c r="C55" s="12" t="s">
        <v>164</v>
      </c>
      <c r="D55" s="57" t="s">
        <v>736</v>
      </c>
      <c r="E55" s="60">
        <v>44299</v>
      </c>
      <c r="F55" s="58">
        <v>100</v>
      </c>
      <c r="G55" s="12" t="s">
        <v>1689</v>
      </c>
      <c r="H55" s="61">
        <f t="shared" si="1"/>
        <v>44299</v>
      </c>
    </row>
    <row r="56" spans="3:8" ht="13.5" customHeight="1" x14ac:dyDescent="0.2">
      <c r="C56" s="12" t="s">
        <v>88</v>
      </c>
      <c r="D56" s="57" t="s">
        <v>741</v>
      </c>
      <c r="E56" s="60">
        <v>44299</v>
      </c>
      <c r="F56" s="58">
        <v>1830</v>
      </c>
      <c r="G56" s="12" t="s">
        <v>1676</v>
      </c>
      <c r="H56" s="61">
        <f t="shared" si="1"/>
        <v>44299</v>
      </c>
    </row>
    <row r="57" spans="3:8" ht="13.5" customHeight="1" x14ac:dyDescent="0.2">
      <c r="C57" s="12" t="s">
        <v>56</v>
      </c>
      <c r="D57" s="57" t="s">
        <v>196</v>
      </c>
      <c r="E57" s="60">
        <v>44299</v>
      </c>
      <c r="F57" s="58">
        <f>308.13+750.08+750.33-308.13</f>
        <v>1500.4099999999999</v>
      </c>
      <c r="G57" s="12" t="s">
        <v>1689</v>
      </c>
      <c r="H57" s="61">
        <f t="shared" si="1"/>
        <v>44299</v>
      </c>
    </row>
    <row r="58" spans="3:8" ht="13.5" customHeight="1" x14ac:dyDescent="0.2">
      <c r="C58" s="12" t="s">
        <v>56</v>
      </c>
      <c r="D58" s="57" t="s">
        <v>734</v>
      </c>
      <c r="E58" s="60">
        <v>44299</v>
      </c>
      <c r="F58" s="58">
        <v>6078</v>
      </c>
      <c r="G58" s="12" t="s">
        <v>1689</v>
      </c>
      <c r="H58" s="61">
        <f t="shared" si="1"/>
        <v>44299</v>
      </c>
    </row>
    <row r="59" spans="3:8" ht="13.5" customHeight="1" x14ac:dyDescent="0.2">
      <c r="C59" s="12" t="s">
        <v>56</v>
      </c>
      <c r="D59" s="57" t="s">
        <v>740</v>
      </c>
      <c r="E59" s="60">
        <v>44299</v>
      </c>
      <c r="F59" s="58">
        <f>2094+2541</f>
        <v>4635</v>
      </c>
      <c r="G59" s="12" t="s">
        <v>1689</v>
      </c>
      <c r="H59" s="61">
        <f t="shared" si="1"/>
        <v>44299</v>
      </c>
    </row>
    <row r="60" spans="3:8" ht="13.5" customHeight="1" x14ac:dyDescent="0.2">
      <c r="C60" s="12" t="s">
        <v>56</v>
      </c>
      <c r="D60" s="57" t="s">
        <v>197</v>
      </c>
      <c r="E60" s="60">
        <v>44299</v>
      </c>
      <c r="F60" s="58">
        <v>2885</v>
      </c>
      <c r="G60" s="12" t="s">
        <v>1689</v>
      </c>
      <c r="H60" s="61">
        <f t="shared" si="1"/>
        <v>44299</v>
      </c>
    </row>
    <row r="61" spans="3:8" ht="13.5" customHeight="1" x14ac:dyDescent="0.2">
      <c r="C61" s="12" t="s">
        <v>56</v>
      </c>
      <c r="D61" s="57" t="s">
        <v>709</v>
      </c>
      <c r="E61" s="60">
        <v>44299</v>
      </c>
      <c r="F61" s="58">
        <v>2892</v>
      </c>
      <c r="G61" s="12" t="s">
        <v>1689</v>
      </c>
      <c r="H61" s="61">
        <f t="shared" si="1"/>
        <v>44299</v>
      </c>
    </row>
    <row r="62" spans="3:8" ht="13.5" customHeight="1" x14ac:dyDescent="0.2">
      <c r="C62" s="12" t="s">
        <v>164</v>
      </c>
      <c r="D62" s="57" t="s">
        <v>691</v>
      </c>
      <c r="E62" s="60">
        <v>44300</v>
      </c>
      <c r="F62" s="58">
        <v>70</v>
      </c>
      <c r="G62" s="12" t="s">
        <v>1689</v>
      </c>
      <c r="H62" s="61">
        <f t="shared" si="1"/>
        <v>44300</v>
      </c>
    </row>
    <row r="63" spans="3:8" ht="13.5" customHeight="1" x14ac:dyDescent="0.2">
      <c r="C63" s="12" t="s">
        <v>82</v>
      </c>
      <c r="D63" s="57" t="s">
        <v>550</v>
      </c>
      <c r="E63" s="60">
        <v>44300</v>
      </c>
      <c r="F63" s="58">
        <v>1106.44</v>
      </c>
      <c r="G63" s="12" t="s">
        <v>1676</v>
      </c>
      <c r="H63" s="61">
        <f t="shared" si="1"/>
        <v>44300</v>
      </c>
    </row>
    <row r="64" spans="3:8" ht="13.5" customHeight="1" x14ac:dyDescent="0.2">
      <c r="C64" s="12" t="s">
        <v>82</v>
      </c>
      <c r="D64" s="57" t="s">
        <v>550</v>
      </c>
      <c r="E64" s="60">
        <v>44300</v>
      </c>
      <c r="F64" s="58">
        <v>959.21</v>
      </c>
      <c r="G64" s="12" t="s">
        <v>1676</v>
      </c>
      <c r="H64" s="61">
        <f t="shared" si="1"/>
        <v>44300</v>
      </c>
    </row>
    <row r="65" spans="3:8" ht="13.5" customHeight="1" x14ac:dyDescent="0.2">
      <c r="C65" s="12" t="s">
        <v>80</v>
      </c>
      <c r="D65" s="57" t="s">
        <v>706</v>
      </c>
      <c r="E65" s="60">
        <v>44300</v>
      </c>
      <c r="F65" s="58">
        <v>50</v>
      </c>
      <c r="G65" s="12" t="s">
        <v>1689</v>
      </c>
      <c r="H65" s="61">
        <f t="shared" si="1"/>
        <v>44300</v>
      </c>
    </row>
    <row r="66" spans="3:8" ht="13.5" customHeight="1" x14ac:dyDescent="0.2">
      <c r="C66" s="12" t="s">
        <v>170</v>
      </c>
      <c r="D66" s="57" t="s">
        <v>731</v>
      </c>
      <c r="E66" s="60">
        <v>44300</v>
      </c>
      <c r="F66" s="58">
        <v>50</v>
      </c>
      <c r="G66" s="12" t="s">
        <v>1676</v>
      </c>
      <c r="H66" s="61">
        <f t="shared" ref="H66:H97" si="2">VLOOKUP(E66,$E$2818:$H$2876,4,FALSE)</f>
        <v>44300</v>
      </c>
    </row>
    <row r="67" spans="3:8" ht="13.5" customHeight="1" x14ac:dyDescent="0.2">
      <c r="C67" s="12" t="s">
        <v>149</v>
      </c>
      <c r="D67" s="57" t="s">
        <v>742</v>
      </c>
      <c r="E67" s="60">
        <v>44300</v>
      </c>
      <c r="F67" s="58">
        <v>60</v>
      </c>
      <c r="G67" s="12" t="s">
        <v>1689</v>
      </c>
      <c r="H67" s="61">
        <f t="shared" si="2"/>
        <v>44300</v>
      </c>
    </row>
    <row r="68" spans="3:8" ht="13.5" customHeight="1" x14ac:dyDescent="0.2">
      <c r="C68" s="12" t="s">
        <v>216</v>
      </c>
      <c r="D68" s="57" t="s">
        <v>332</v>
      </c>
      <c r="E68" s="60">
        <v>44300</v>
      </c>
      <c r="F68" s="58">
        <v>203.75</v>
      </c>
      <c r="G68" s="12" t="s">
        <v>1689</v>
      </c>
      <c r="H68" s="61">
        <f t="shared" si="2"/>
        <v>44300</v>
      </c>
    </row>
    <row r="69" spans="3:8" ht="13.5" customHeight="1" x14ac:dyDescent="0.2">
      <c r="C69" s="12" t="s">
        <v>80</v>
      </c>
      <c r="D69" s="57" t="s">
        <v>637</v>
      </c>
      <c r="E69" s="60">
        <v>44300</v>
      </c>
      <c r="F69" s="58">
        <v>100</v>
      </c>
      <c r="G69" s="12" t="s">
        <v>1688</v>
      </c>
      <c r="H69" s="61">
        <f t="shared" si="2"/>
        <v>44300</v>
      </c>
    </row>
    <row r="70" spans="3:8" ht="13.5" customHeight="1" x14ac:dyDescent="0.2">
      <c r="C70" s="12" t="s">
        <v>164</v>
      </c>
      <c r="D70" s="57" t="s">
        <v>743</v>
      </c>
      <c r="E70" s="60">
        <v>44300</v>
      </c>
      <c r="F70" s="58">
        <v>63.51</v>
      </c>
      <c r="G70" s="12" t="s">
        <v>1676</v>
      </c>
      <c r="H70" s="61">
        <f t="shared" si="2"/>
        <v>44300</v>
      </c>
    </row>
    <row r="71" spans="3:8" ht="13.5" customHeight="1" x14ac:dyDescent="0.2">
      <c r="C71" s="12" t="s">
        <v>164</v>
      </c>
      <c r="D71" s="57" t="s">
        <v>733</v>
      </c>
      <c r="E71" s="60">
        <v>44300</v>
      </c>
      <c r="F71" s="58">
        <v>1350</v>
      </c>
      <c r="G71" s="12" t="s">
        <v>1676</v>
      </c>
      <c r="H71" s="61">
        <f t="shared" si="2"/>
        <v>44300</v>
      </c>
    </row>
    <row r="72" spans="3:8" ht="13.5" customHeight="1" x14ac:dyDescent="0.2">
      <c r="C72" s="12" t="s">
        <v>159</v>
      </c>
      <c r="D72" s="57" t="s">
        <v>714</v>
      </c>
      <c r="E72" s="60">
        <v>44300</v>
      </c>
      <c r="F72" s="58">
        <v>506.18</v>
      </c>
      <c r="G72" s="12" t="s">
        <v>1689</v>
      </c>
      <c r="H72" s="61">
        <f t="shared" si="2"/>
        <v>44300</v>
      </c>
    </row>
    <row r="73" spans="3:8" ht="13.5" customHeight="1" x14ac:dyDescent="0.2">
      <c r="C73" s="12" t="s">
        <v>159</v>
      </c>
      <c r="D73" s="57" t="s">
        <v>714</v>
      </c>
      <c r="E73" s="60">
        <v>44300</v>
      </c>
      <c r="F73" s="58">
        <v>665.89</v>
      </c>
      <c r="G73" s="12" t="s">
        <v>1689</v>
      </c>
      <c r="H73" s="61">
        <f t="shared" si="2"/>
        <v>44300</v>
      </c>
    </row>
    <row r="74" spans="3:8" ht="13.5" customHeight="1" x14ac:dyDescent="0.2">
      <c r="C74" s="12" t="s">
        <v>159</v>
      </c>
      <c r="D74" s="57" t="s">
        <v>716</v>
      </c>
      <c r="E74" s="60">
        <v>44300</v>
      </c>
      <c r="F74" s="58">
        <v>475.19</v>
      </c>
      <c r="G74" s="12" t="s">
        <v>1689</v>
      </c>
      <c r="H74" s="61">
        <f t="shared" si="2"/>
        <v>44300</v>
      </c>
    </row>
    <row r="75" spans="3:8" ht="13.5" customHeight="1" x14ac:dyDescent="0.2">
      <c r="C75" s="12" t="s">
        <v>159</v>
      </c>
      <c r="D75" s="57" t="s">
        <v>724</v>
      </c>
      <c r="E75" s="60">
        <v>44300</v>
      </c>
      <c r="F75" s="58">
        <v>152.46</v>
      </c>
      <c r="G75" s="12" t="s">
        <v>1689</v>
      </c>
      <c r="H75" s="61">
        <f t="shared" si="2"/>
        <v>44300</v>
      </c>
    </row>
    <row r="76" spans="3:8" ht="13.5" customHeight="1" x14ac:dyDescent="0.2">
      <c r="C76" s="12" t="s">
        <v>173</v>
      </c>
      <c r="D76" s="57" t="s">
        <v>713</v>
      </c>
      <c r="E76" s="60">
        <v>44300</v>
      </c>
      <c r="F76" s="58">
        <v>120</v>
      </c>
      <c r="G76" s="12" t="s">
        <v>1689</v>
      </c>
      <c r="H76" s="61">
        <f t="shared" si="2"/>
        <v>44300</v>
      </c>
    </row>
    <row r="77" spans="3:8" ht="13.5" customHeight="1" x14ac:dyDescent="0.2">
      <c r="C77" s="12" t="s">
        <v>56</v>
      </c>
      <c r="D77" s="57" t="s">
        <v>735</v>
      </c>
      <c r="E77" s="60">
        <v>44301</v>
      </c>
      <c r="F77" s="58">
        <f>14322+9110-1469-2009-4254-2892-2094-2541</f>
        <v>8173</v>
      </c>
      <c r="G77" s="12" t="s">
        <v>1689</v>
      </c>
      <c r="H77" s="61">
        <f t="shared" si="2"/>
        <v>44301</v>
      </c>
    </row>
    <row r="78" spans="3:8" ht="13.5" customHeight="1" x14ac:dyDescent="0.2">
      <c r="C78" s="12" t="s">
        <v>88</v>
      </c>
      <c r="D78" s="57" t="s">
        <v>470</v>
      </c>
      <c r="E78" s="60">
        <v>44301</v>
      </c>
      <c r="F78" s="58">
        <v>1272</v>
      </c>
      <c r="G78" s="12" t="s">
        <v>1689</v>
      </c>
      <c r="H78" s="61">
        <f t="shared" si="2"/>
        <v>44301</v>
      </c>
    </row>
    <row r="79" spans="3:8" ht="13.5" customHeight="1" x14ac:dyDescent="0.2">
      <c r="C79" s="12" t="s">
        <v>88</v>
      </c>
      <c r="D79" s="57" t="s">
        <v>203</v>
      </c>
      <c r="E79" s="60">
        <v>44301</v>
      </c>
      <c r="F79" s="58">
        <v>1996</v>
      </c>
      <c r="G79" s="12" t="s">
        <v>1676</v>
      </c>
      <c r="H79" s="61">
        <f t="shared" si="2"/>
        <v>44301</v>
      </c>
    </row>
    <row r="80" spans="3:8" ht="13.5" customHeight="1" x14ac:dyDescent="0.2">
      <c r="C80" s="12" t="s">
        <v>164</v>
      </c>
      <c r="D80" s="57" t="s">
        <v>744</v>
      </c>
      <c r="E80" s="60">
        <v>44301</v>
      </c>
      <c r="F80" s="58">
        <f>88.78+88.78</f>
        <v>177.56</v>
      </c>
      <c r="G80" s="12" t="s">
        <v>1676</v>
      </c>
      <c r="H80" s="61">
        <f t="shared" si="2"/>
        <v>44301</v>
      </c>
    </row>
    <row r="81" spans="3:8" ht="13.5" customHeight="1" x14ac:dyDescent="0.2">
      <c r="C81" s="12" t="s">
        <v>159</v>
      </c>
      <c r="D81" s="57" t="s">
        <v>508</v>
      </c>
      <c r="E81" s="60">
        <v>44301</v>
      </c>
      <c r="F81" s="58">
        <v>404.9</v>
      </c>
      <c r="G81" s="12" t="s">
        <v>1689</v>
      </c>
      <c r="H81" s="61">
        <f t="shared" si="2"/>
        <v>44301</v>
      </c>
    </row>
    <row r="82" spans="3:8" ht="13.5" customHeight="1" x14ac:dyDescent="0.2">
      <c r="C82" s="12" t="s">
        <v>89</v>
      </c>
      <c r="D82" s="57" t="s">
        <v>90</v>
      </c>
      <c r="E82" s="60">
        <v>44301</v>
      </c>
      <c r="F82" s="58">
        <v>3594.05</v>
      </c>
      <c r="G82" s="12" t="s">
        <v>64</v>
      </c>
      <c r="H82" s="61">
        <f t="shared" si="2"/>
        <v>44301</v>
      </c>
    </row>
    <row r="83" spans="3:8" ht="13.5" customHeight="1" x14ac:dyDescent="0.2">
      <c r="C83" s="12" t="s">
        <v>170</v>
      </c>
      <c r="D83" s="57" t="s">
        <v>727</v>
      </c>
      <c r="E83" s="60">
        <v>44301</v>
      </c>
      <c r="F83" s="58">
        <v>39.200000000000003</v>
      </c>
      <c r="G83" s="12" t="s">
        <v>1676</v>
      </c>
      <c r="H83" s="61">
        <f t="shared" si="2"/>
        <v>44301</v>
      </c>
    </row>
    <row r="84" spans="3:8" ht="13.5" customHeight="1" x14ac:dyDescent="0.2">
      <c r="C84" s="12" t="s">
        <v>80</v>
      </c>
      <c r="D84" s="57" t="s">
        <v>637</v>
      </c>
      <c r="E84" s="60">
        <v>44301</v>
      </c>
      <c r="F84" s="58">
        <v>150</v>
      </c>
      <c r="G84" s="12" t="s">
        <v>1688</v>
      </c>
      <c r="H84" s="61">
        <f t="shared" si="2"/>
        <v>44301</v>
      </c>
    </row>
    <row r="85" spans="3:8" ht="13.5" customHeight="1" x14ac:dyDescent="0.2">
      <c r="C85" s="12" t="s">
        <v>89</v>
      </c>
      <c r="D85" s="57" t="s">
        <v>703</v>
      </c>
      <c r="E85" s="60">
        <v>44301</v>
      </c>
      <c r="F85" s="58">
        <v>209.5</v>
      </c>
      <c r="G85" s="12" t="s">
        <v>1689</v>
      </c>
      <c r="H85" s="61">
        <f t="shared" si="2"/>
        <v>44301</v>
      </c>
    </row>
    <row r="86" spans="3:8" ht="13.5" customHeight="1" x14ac:dyDescent="0.2">
      <c r="C86" s="12" t="s">
        <v>117</v>
      </c>
      <c r="D86" s="57" t="s">
        <v>568</v>
      </c>
      <c r="E86" s="60">
        <v>44301</v>
      </c>
      <c r="F86" s="58">
        <v>627</v>
      </c>
      <c r="G86" s="12" t="s">
        <v>1689</v>
      </c>
      <c r="H86" s="61">
        <f t="shared" si="2"/>
        <v>44301</v>
      </c>
    </row>
    <row r="87" spans="3:8" ht="13.5" customHeight="1" x14ac:dyDescent="0.2">
      <c r="C87" s="12" t="s">
        <v>192</v>
      </c>
      <c r="D87" s="57" t="s">
        <v>730</v>
      </c>
      <c r="E87" s="60">
        <v>44301</v>
      </c>
      <c r="F87" s="58">
        <f>32.98+603.83</f>
        <v>636.81000000000006</v>
      </c>
      <c r="G87" s="12" t="s">
        <v>1689</v>
      </c>
      <c r="H87" s="61">
        <f t="shared" si="2"/>
        <v>44301</v>
      </c>
    </row>
    <row r="88" spans="3:8" ht="13.5" customHeight="1" x14ac:dyDescent="0.2">
      <c r="C88" s="12" t="s">
        <v>159</v>
      </c>
      <c r="D88" s="57" t="s">
        <v>214</v>
      </c>
      <c r="E88" s="60">
        <v>44301</v>
      </c>
      <c r="F88" s="58">
        <v>1245.96</v>
      </c>
      <c r="G88" s="12" t="s">
        <v>1689</v>
      </c>
      <c r="H88" s="61">
        <f t="shared" si="2"/>
        <v>44301</v>
      </c>
    </row>
    <row r="89" spans="3:8" ht="13.5" customHeight="1" x14ac:dyDescent="0.2">
      <c r="C89" s="12" t="s">
        <v>83</v>
      </c>
      <c r="D89" s="57" t="s">
        <v>749</v>
      </c>
      <c r="E89" s="60">
        <v>44301</v>
      </c>
      <c r="F89" s="58">
        <v>217.4</v>
      </c>
      <c r="G89" s="12" t="s">
        <v>1689</v>
      </c>
      <c r="H89" s="61">
        <f t="shared" si="2"/>
        <v>44301</v>
      </c>
    </row>
    <row r="90" spans="3:8" ht="13.5" customHeight="1" x14ac:dyDescent="0.2">
      <c r="C90" s="12" t="s">
        <v>80</v>
      </c>
      <c r="D90" s="57" t="s">
        <v>236</v>
      </c>
      <c r="E90" s="60">
        <v>44301</v>
      </c>
      <c r="F90" s="58">
        <v>100</v>
      </c>
      <c r="G90" s="12" t="s">
        <v>1689</v>
      </c>
      <c r="H90" s="61">
        <f t="shared" si="2"/>
        <v>44301</v>
      </c>
    </row>
    <row r="91" spans="3:8" ht="13.5" customHeight="1" x14ac:dyDescent="0.2">
      <c r="C91" s="12" t="s">
        <v>89</v>
      </c>
      <c r="D91" s="57" t="s">
        <v>212</v>
      </c>
      <c r="E91" s="60">
        <v>44301</v>
      </c>
      <c r="F91" s="58">
        <v>80.25</v>
      </c>
      <c r="G91" s="12" t="s">
        <v>1676</v>
      </c>
      <c r="H91" s="61">
        <f t="shared" si="2"/>
        <v>44301</v>
      </c>
    </row>
    <row r="92" spans="3:8" ht="13.5" customHeight="1" x14ac:dyDescent="0.2">
      <c r="C92" s="12" t="s">
        <v>86</v>
      </c>
      <c r="D92" s="57" t="s">
        <v>85</v>
      </c>
      <c r="E92" s="60">
        <v>44301</v>
      </c>
      <c r="F92" s="16">
        <v>84</v>
      </c>
      <c r="G92" s="12" t="s">
        <v>1689</v>
      </c>
      <c r="H92" s="61">
        <f t="shared" si="2"/>
        <v>44301</v>
      </c>
    </row>
    <row r="93" spans="3:8" ht="13.5" customHeight="1" x14ac:dyDescent="0.2">
      <c r="C93" s="12" t="s">
        <v>77</v>
      </c>
      <c r="D93" s="57" t="s">
        <v>674</v>
      </c>
      <c r="E93" s="60">
        <v>44301</v>
      </c>
      <c r="F93" s="58">
        <f>177.15+42.88+1322.3</f>
        <v>1542.33</v>
      </c>
      <c r="G93" s="12" t="s">
        <v>1676</v>
      </c>
      <c r="H93" s="61">
        <f t="shared" si="2"/>
        <v>44301</v>
      </c>
    </row>
    <row r="94" spans="3:8" ht="13.5" customHeight="1" x14ac:dyDescent="0.2">
      <c r="C94" s="12" t="s">
        <v>117</v>
      </c>
      <c r="D94" s="57" t="s">
        <v>353</v>
      </c>
      <c r="E94" s="60">
        <v>44301</v>
      </c>
      <c r="F94" s="58">
        <v>430.83</v>
      </c>
      <c r="G94" s="12" t="s">
        <v>1676</v>
      </c>
      <c r="H94" s="61">
        <f t="shared" si="2"/>
        <v>44301</v>
      </c>
    </row>
    <row r="95" spans="3:8" ht="13.5" customHeight="1" x14ac:dyDescent="0.2">
      <c r="C95" s="12" t="s">
        <v>170</v>
      </c>
      <c r="D95" s="57" t="s">
        <v>677</v>
      </c>
      <c r="E95" s="60">
        <v>44301</v>
      </c>
      <c r="F95" s="58">
        <v>350.87</v>
      </c>
      <c r="G95" s="12" t="s">
        <v>1676</v>
      </c>
      <c r="H95" s="61">
        <f t="shared" si="2"/>
        <v>44301</v>
      </c>
    </row>
    <row r="96" spans="3:8" ht="13.5" customHeight="1" x14ac:dyDescent="0.2">
      <c r="C96" s="12" t="s">
        <v>243</v>
      </c>
      <c r="D96" s="57" t="s">
        <v>737</v>
      </c>
      <c r="E96" s="60">
        <v>44301</v>
      </c>
      <c r="F96" s="58">
        <v>1500</v>
      </c>
      <c r="G96" s="12" t="s">
        <v>1689</v>
      </c>
      <c r="H96" s="61">
        <f t="shared" si="2"/>
        <v>44301</v>
      </c>
    </row>
    <row r="97" spans="3:8" ht="13.5" customHeight="1" x14ac:dyDescent="0.2">
      <c r="C97" s="12" t="s">
        <v>117</v>
      </c>
      <c r="D97" s="57" t="s">
        <v>441</v>
      </c>
      <c r="E97" s="60">
        <v>44301</v>
      </c>
      <c r="F97" s="58">
        <v>566.66</v>
      </c>
      <c r="G97" s="12" t="s">
        <v>1676</v>
      </c>
      <c r="H97" s="61">
        <f t="shared" si="2"/>
        <v>44301</v>
      </c>
    </row>
    <row r="98" spans="3:8" ht="13.5" customHeight="1" x14ac:dyDescent="0.2">
      <c r="C98" s="12" t="s">
        <v>192</v>
      </c>
      <c r="D98" s="57" t="s">
        <v>750</v>
      </c>
      <c r="E98" s="60">
        <v>44301</v>
      </c>
      <c r="F98" s="58">
        <v>29.13</v>
      </c>
      <c r="G98" s="12" t="s">
        <v>1689</v>
      </c>
      <c r="H98" s="61">
        <f t="shared" ref="H98:H129" si="3">VLOOKUP(E98,$E$2818:$H$2876,4,FALSE)</f>
        <v>44301</v>
      </c>
    </row>
    <row r="99" spans="3:8" ht="13.5" customHeight="1" x14ac:dyDescent="0.2">
      <c r="C99" s="12" t="s">
        <v>159</v>
      </c>
      <c r="D99" s="57" t="s">
        <v>586</v>
      </c>
      <c r="E99" s="60">
        <v>44302</v>
      </c>
      <c r="F99" s="58">
        <v>675</v>
      </c>
      <c r="G99" s="12" t="s">
        <v>1689</v>
      </c>
      <c r="H99" s="61">
        <f t="shared" si="3"/>
        <v>44302</v>
      </c>
    </row>
    <row r="100" spans="3:8" ht="13.5" customHeight="1" x14ac:dyDescent="0.2">
      <c r="C100" s="12" t="s">
        <v>80</v>
      </c>
      <c r="D100" s="57" t="s">
        <v>1711</v>
      </c>
      <c r="E100" s="60">
        <v>44303</v>
      </c>
      <c r="F100" s="58">
        <v>200</v>
      </c>
      <c r="G100" s="12" t="s">
        <v>1688</v>
      </c>
      <c r="H100" s="61">
        <f t="shared" si="3"/>
        <v>44305</v>
      </c>
    </row>
    <row r="101" spans="3:8" ht="13.5" customHeight="1" x14ac:dyDescent="0.2">
      <c r="C101" s="12" t="s">
        <v>89</v>
      </c>
      <c r="D101" s="57" t="s">
        <v>700</v>
      </c>
      <c r="E101" s="60">
        <v>44304</v>
      </c>
      <c r="F101" s="58">
        <v>880.59</v>
      </c>
      <c r="G101" s="12" t="s">
        <v>1689</v>
      </c>
      <c r="H101" s="61">
        <f t="shared" si="3"/>
        <v>44305</v>
      </c>
    </row>
    <row r="102" spans="3:8" ht="13.5" customHeight="1" x14ac:dyDescent="0.2">
      <c r="C102" s="12" t="s">
        <v>164</v>
      </c>
      <c r="D102" s="57" t="s">
        <v>757</v>
      </c>
      <c r="E102" s="60">
        <v>44305</v>
      </c>
      <c r="F102" s="58">
        <v>70</v>
      </c>
      <c r="G102" s="12" t="s">
        <v>1689</v>
      </c>
      <c r="H102" s="61">
        <f t="shared" si="3"/>
        <v>44305</v>
      </c>
    </row>
    <row r="103" spans="3:8" ht="13.5" customHeight="1" x14ac:dyDescent="0.2">
      <c r="C103" s="12" t="s">
        <v>56</v>
      </c>
      <c r="D103" s="57" t="s">
        <v>745</v>
      </c>
      <c r="E103" s="60">
        <v>44306</v>
      </c>
      <c r="F103" s="58">
        <v>1650</v>
      </c>
      <c r="G103" s="12" t="s">
        <v>1689</v>
      </c>
      <c r="H103" s="61">
        <f t="shared" si="3"/>
        <v>44306</v>
      </c>
    </row>
    <row r="104" spans="3:8" ht="13.5" customHeight="1" x14ac:dyDescent="0.2">
      <c r="C104" s="12" t="s">
        <v>56</v>
      </c>
      <c r="D104" s="57" t="s">
        <v>746</v>
      </c>
      <c r="E104" s="60">
        <v>44306</v>
      </c>
      <c r="F104" s="58">
        <v>1100</v>
      </c>
      <c r="G104" s="12" t="s">
        <v>1689</v>
      </c>
      <c r="H104" s="61">
        <f t="shared" si="3"/>
        <v>44306</v>
      </c>
    </row>
    <row r="105" spans="3:8" ht="13.5" customHeight="1" x14ac:dyDescent="0.2">
      <c r="C105" s="12" t="s">
        <v>88</v>
      </c>
      <c r="D105" s="57" t="s">
        <v>715</v>
      </c>
      <c r="E105" s="60">
        <v>44306</v>
      </c>
      <c r="F105" s="58">
        <v>2614</v>
      </c>
      <c r="G105" s="12" t="s">
        <v>1689</v>
      </c>
      <c r="H105" s="61">
        <f t="shared" si="3"/>
        <v>44306</v>
      </c>
    </row>
    <row r="106" spans="3:8" ht="13.5" customHeight="1" x14ac:dyDescent="0.2">
      <c r="C106" s="12" t="s">
        <v>83</v>
      </c>
      <c r="D106" s="57" t="s">
        <v>207</v>
      </c>
      <c r="E106" s="60">
        <v>44306</v>
      </c>
      <c r="F106" s="58">
        <v>2720</v>
      </c>
      <c r="G106" s="12" t="s">
        <v>1689</v>
      </c>
      <c r="H106" s="61">
        <f t="shared" si="3"/>
        <v>44306</v>
      </c>
    </row>
    <row r="107" spans="3:8" ht="13.5" customHeight="1" x14ac:dyDescent="0.2">
      <c r="C107" s="12"/>
      <c r="D107" s="57"/>
      <c r="E107" s="60">
        <v>44307</v>
      </c>
      <c r="F107" s="58">
        <v>0</v>
      </c>
      <c r="G107" s="12" t="s">
        <v>1689</v>
      </c>
      <c r="H107" s="61">
        <f t="shared" si="3"/>
        <v>44307</v>
      </c>
    </row>
    <row r="108" spans="3:8" ht="13.5" customHeight="1" x14ac:dyDescent="0.2">
      <c r="C108" s="12" t="s">
        <v>192</v>
      </c>
      <c r="D108" s="57" t="s">
        <v>774</v>
      </c>
      <c r="E108" s="60">
        <v>44308</v>
      </c>
      <c r="F108" s="58">
        <v>39.89</v>
      </c>
      <c r="G108" s="12" t="s">
        <v>1689</v>
      </c>
      <c r="H108" s="61">
        <f t="shared" si="3"/>
        <v>44308</v>
      </c>
    </row>
    <row r="109" spans="3:8" ht="13.5" customHeight="1" x14ac:dyDescent="0.2">
      <c r="C109" s="12" t="s">
        <v>80</v>
      </c>
      <c r="D109" s="57" t="s">
        <v>1711</v>
      </c>
      <c r="E109" s="60">
        <v>44308</v>
      </c>
      <c r="F109" s="58">
        <v>200</v>
      </c>
      <c r="G109" s="12" t="s">
        <v>1688</v>
      </c>
      <c r="H109" s="61">
        <f t="shared" si="3"/>
        <v>44308</v>
      </c>
    </row>
    <row r="110" spans="3:8" ht="13.5" customHeight="1" x14ac:dyDescent="0.2">
      <c r="C110" s="12" t="s">
        <v>80</v>
      </c>
      <c r="D110" s="57" t="s">
        <v>240</v>
      </c>
      <c r="E110" s="60">
        <v>44308</v>
      </c>
      <c r="F110" s="58">
        <v>150</v>
      </c>
      <c r="G110" s="12" t="s">
        <v>1688</v>
      </c>
      <c r="H110" s="61">
        <f t="shared" si="3"/>
        <v>44308</v>
      </c>
    </row>
    <row r="111" spans="3:8" ht="13.5" customHeight="1" x14ac:dyDescent="0.2">
      <c r="C111" s="12" t="s">
        <v>80</v>
      </c>
      <c r="D111" s="57" t="s">
        <v>236</v>
      </c>
      <c r="E111" s="60">
        <v>44308</v>
      </c>
      <c r="F111" s="58">
        <v>100</v>
      </c>
      <c r="G111" s="12" t="s">
        <v>1689</v>
      </c>
      <c r="H111" s="61">
        <f t="shared" si="3"/>
        <v>44308</v>
      </c>
    </row>
    <row r="112" spans="3:8" ht="13.5" customHeight="1" x14ac:dyDescent="0.2">
      <c r="C112" s="12" t="s">
        <v>80</v>
      </c>
      <c r="D112" s="57" t="s">
        <v>235</v>
      </c>
      <c r="E112" s="60">
        <v>44308</v>
      </c>
      <c r="F112" s="58">
        <v>100</v>
      </c>
      <c r="G112" s="12" t="s">
        <v>1689</v>
      </c>
      <c r="H112" s="61">
        <f t="shared" si="3"/>
        <v>44308</v>
      </c>
    </row>
    <row r="113" spans="3:8" ht="13.5" customHeight="1" x14ac:dyDescent="0.2">
      <c r="C113" s="12" t="s">
        <v>164</v>
      </c>
      <c r="D113" s="57" t="s">
        <v>641</v>
      </c>
      <c r="E113" s="60">
        <v>44308</v>
      </c>
      <c r="F113" s="58">
        <v>1000</v>
      </c>
      <c r="G113" s="12" t="s">
        <v>1689</v>
      </c>
      <c r="H113" s="61">
        <f t="shared" si="3"/>
        <v>44308</v>
      </c>
    </row>
    <row r="114" spans="3:8" ht="13.5" customHeight="1" x14ac:dyDescent="0.2">
      <c r="C114" s="12" t="s">
        <v>84</v>
      </c>
      <c r="D114" s="57" t="s">
        <v>260</v>
      </c>
      <c r="E114" s="60">
        <v>44308</v>
      </c>
      <c r="F114" s="58">
        <v>186</v>
      </c>
      <c r="G114" s="12" t="s">
        <v>1689</v>
      </c>
      <c r="H114" s="61">
        <f t="shared" si="3"/>
        <v>44308</v>
      </c>
    </row>
    <row r="115" spans="3:8" ht="13.5" customHeight="1" x14ac:dyDescent="0.2">
      <c r="C115" s="12" t="s">
        <v>584</v>
      </c>
      <c r="D115" s="57" t="s">
        <v>589</v>
      </c>
      <c r="E115" s="60">
        <v>44309</v>
      </c>
      <c r="F115" s="58">
        <v>2000</v>
      </c>
      <c r="G115" s="12" t="s">
        <v>1689</v>
      </c>
      <c r="H115" s="61">
        <f t="shared" si="3"/>
        <v>44309</v>
      </c>
    </row>
    <row r="116" spans="3:8" ht="13.5" customHeight="1" x14ac:dyDescent="0.2">
      <c r="C116" s="12" t="s">
        <v>131</v>
      </c>
      <c r="D116" s="57" t="s">
        <v>323</v>
      </c>
      <c r="E116" s="60">
        <v>44310</v>
      </c>
      <c r="F116" s="58">
        <v>319.91000000000003</v>
      </c>
      <c r="G116" s="12" t="s">
        <v>1676</v>
      </c>
      <c r="H116" s="61">
        <f t="shared" si="3"/>
        <v>44312</v>
      </c>
    </row>
    <row r="117" spans="3:8" ht="13.5" customHeight="1" x14ac:dyDescent="0.2">
      <c r="C117" s="12" t="s">
        <v>74</v>
      </c>
      <c r="D117" s="57" t="s">
        <v>807</v>
      </c>
      <c r="E117" s="60">
        <v>44311</v>
      </c>
      <c r="F117" s="58">
        <v>6.18</v>
      </c>
      <c r="G117" s="12" t="s">
        <v>1689</v>
      </c>
      <c r="H117" s="61">
        <f t="shared" si="3"/>
        <v>44312</v>
      </c>
    </row>
    <row r="118" spans="3:8" ht="13.5" customHeight="1" x14ac:dyDescent="0.2">
      <c r="C118" s="12" t="s">
        <v>804</v>
      </c>
      <c r="D118" s="57" t="s">
        <v>805</v>
      </c>
      <c r="E118" s="60">
        <v>44312</v>
      </c>
      <c r="F118" s="58">
        <v>100</v>
      </c>
      <c r="G118" s="12" t="s">
        <v>1676</v>
      </c>
      <c r="H118" s="61">
        <f t="shared" si="3"/>
        <v>44312</v>
      </c>
    </row>
    <row r="119" spans="3:8" ht="13.5" customHeight="1" x14ac:dyDescent="0.2">
      <c r="C119" s="12" t="s">
        <v>192</v>
      </c>
      <c r="D119" s="57" t="s">
        <v>790</v>
      </c>
      <c r="E119" s="60">
        <v>44312</v>
      </c>
      <c r="F119" s="58">
        <v>146.33000000000001</v>
      </c>
      <c r="G119" s="12" t="s">
        <v>1689</v>
      </c>
      <c r="H119" s="61">
        <f t="shared" si="3"/>
        <v>44312</v>
      </c>
    </row>
    <row r="120" spans="3:8" ht="13.5" customHeight="1" x14ac:dyDescent="0.2">
      <c r="C120" s="12" t="s">
        <v>80</v>
      </c>
      <c r="D120" s="57" t="s">
        <v>808</v>
      </c>
      <c r="E120" s="60">
        <v>44312</v>
      </c>
      <c r="F120" s="58">
        <v>200</v>
      </c>
      <c r="G120" s="12" t="s">
        <v>1689</v>
      </c>
      <c r="H120" s="61">
        <f t="shared" si="3"/>
        <v>44312</v>
      </c>
    </row>
    <row r="121" spans="3:8" ht="13.5" customHeight="1" x14ac:dyDescent="0.2">
      <c r="C121" s="12" t="s">
        <v>170</v>
      </c>
      <c r="D121" s="57" t="s">
        <v>809</v>
      </c>
      <c r="E121" s="60">
        <v>44312</v>
      </c>
      <c r="F121" s="58">
        <v>40</v>
      </c>
      <c r="G121" s="12" t="s">
        <v>1676</v>
      </c>
      <c r="H121" s="61">
        <f t="shared" si="3"/>
        <v>44312</v>
      </c>
    </row>
    <row r="122" spans="3:8" ht="13.5" customHeight="1" x14ac:dyDescent="0.2">
      <c r="C122" s="12" t="s">
        <v>73</v>
      </c>
      <c r="D122" s="57" t="s">
        <v>810</v>
      </c>
      <c r="E122" s="60">
        <v>44312</v>
      </c>
      <c r="F122" s="58">
        <f>160.11+51.82</f>
        <v>211.93</v>
      </c>
      <c r="G122" s="12" t="s">
        <v>1689</v>
      </c>
      <c r="H122" s="61">
        <f t="shared" si="3"/>
        <v>44312</v>
      </c>
    </row>
    <row r="123" spans="3:8" ht="13.5" customHeight="1" x14ac:dyDescent="0.2">
      <c r="C123" s="12" t="s">
        <v>77</v>
      </c>
      <c r="D123" s="57" t="s">
        <v>796</v>
      </c>
      <c r="E123" s="60">
        <v>44312</v>
      </c>
      <c r="F123" s="58">
        <v>380.78</v>
      </c>
      <c r="G123" s="12" t="s">
        <v>64</v>
      </c>
      <c r="H123" s="61">
        <f t="shared" si="3"/>
        <v>44312</v>
      </c>
    </row>
    <row r="124" spans="3:8" ht="13.5" customHeight="1" x14ac:dyDescent="0.2">
      <c r="C124" s="12" t="s">
        <v>76</v>
      </c>
      <c r="D124" s="57" t="s">
        <v>722</v>
      </c>
      <c r="E124" s="60">
        <v>44312</v>
      </c>
      <c r="F124" s="58">
        <v>3413.04</v>
      </c>
      <c r="G124" s="12" t="s">
        <v>1676</v>
      </c>
      <c r="H124" s="61">
        <f t="shared" si="3"/>
        <v>44312</v>
      </c>
    </row>
    <row r="125" spans="3:8" ht="13.5" customHeight="1" x14ac:dyDescent="0.2">
      <c r="C125" s="12" t="s">
        <v>170</v>
      </c>
      <c r="D125" s="57" t="s">
        <v>806</v>
      </c>
      <c r="E125" s="60">
        <v>44312</v>
      </c>
      <c r="F125" s="58">
        <v>4365.8999999999996</v>
      </c>
      <c r="G125" s="12" t="s">
        <v>1676</v>
      </c>
      <c r="H125" s="61">
        <f t="shared" si="3"/>
        <v>44312</v>
      </c>
    </row>
    <row r="126" spans="3:8" ht="13.5" customHeight="1" x14ac:dyDescent="0.2">
      <c r="C126" s="12" t="s">
        <v>72</v>
      </c>
      <c r="D126" s="57" t="s">
        <v>1775</v>
      </c>
      <c r="E126" s="60">
        <v>44312</v>
      </c>
      <c r="F126" s="58">
        <v>2200</v>
      </c>
      <c r="G126" s="12" t="s">
        <v>1688</v>
      </c>
      <c r="H126" s="61">
        <f t="shared" si="3"/>
        <v>44312</v>
      </c>
    </row>
    <row r="127" spans="3:8" ht="13.5" customHeight="1" x14ac:dyDescent="0.2">
      <c r="C127" s="12" t="s">
        <v>171</v>
      </c>
      <c r="D127" s="57" t="s">
        <v>754</v>
      </c>
      <c r="E127" s="60">
        <v>44312</v>
      </c>
      <c r="F127" s="58">
        <v>154.36000000000001</v>
      </c>
      <c r="G127" s="12" t="s">
        <v>1676</v>
      </c>
      <c r="H127" s="61">
        <f t="shared" si="3"/>
        <v>44312</v>
      </c>
    </row>
    <row r="128" spans="3:8" ht="13.5" customHeight="1" x14ac:dyDescent="0.2">
      <c r="C128" s="12" t="s">
        <v>74</v>
      </c>
      <c r="D128" s="57" t="s">
        <v>767</v>
      </c>
      <c r="E128" s="60">
        <v>44312</v>
      </c>
      <c r="F128" s="58">
        <v>12662.99</v>
      </c>
      <c r="G128" s="12" t="s">
        <v>1689</v>
      </c>
      <c r="H128" s="61">
        <f t="shared" si="3"/>
        <v>44312</v>
      </c>
    </row>
    <row r="129" spans="3:8" ht="13.5" customHeight="1" x14ac:dyDescent="0.2">
      <c r="C129" s="12" t="s">
        <v>163</v>
      </c>
      <c r="D129" s="57" t="s">
        <v>803</v>
      </c>
      <c r="E129" s="60">
        <v>44313</v>
      </c>
      <c r="F129" s="58">
        <v>6421</v>
      </c>
      <c r="G129" s="12" t="s">
        <v>1689</v>
      </c>
      <c r="H129" s="61">
        <f t="shared" si="3"/>
        <v>44313</v>
      </c>
    </row>
    <row r="130" spans="3:8" ht="13.5" customHeight="1" x14ac:dyDescent="0.2">
      <c r="C130" s="12" t="s">
        <v>187</v>
      </c>
      <c r="D130" s="57" t="s">
        <v>811</v>
      </c>
      <c r="E130" s="60">
        <v>44313</v>
      </c>
      <c r="F130" s="58">
        <v>80</v>
      </c>
      <c r="G130" s="12" t="s">
        <v>1689</v>
      </c>
      <c r="H130" s="61">
        <f t="shared" ref="H130:H161" si="4">VLOOKUP(E130,$E$2818:$H$2876,4,FALSE)</f>
        <v>44313</v>
      </c>
    </row>
    <row r="131" spans="3:8" ht="13.5" customHeight="1" x14ac:dyDescent="0.2">
      <c r="C131" s="12" t="s">
        <v>75</v>
      </c>
      <c r="D131" s="57" t="s">
        <v>104</v>
      </c>
      <c r="E131" s="60">
        <v>44313</v>
      </c>
      <c r="F131" s="58">
        <v>1750</v>
      </c>
      <c r="G131" s="12" t="s">
        <v>1676</v>
      </c>
      <c r="H131" s="61">
        <f t="shared" si="4"/>
        <v>44313</v>
      </c>
    </row>
    <row r="132" spans="3:8" ht="13.5" customHeight="1" x14ac:dyDescent="0.2">
      <c r="C132" s="12" t="s">
        <v>97</v>
      </c>
      <c r="D132" s="57" t="s">
        <v>755</v>
      </c>
      <c r="E132" s="60">
        <v>44313</v>
      </c>
      <c r="F132" s="58">
        <v>9650</v>
      </c>
      <c r="G132" s="12" t="s">
        <v>1676</v>
      </c>
      <c r="H132" s="61">
        <f t="shared" si="4"/>
        <v>44313</v>
      </c>
    </row>
    <row r="133" spans="3:8" ht="13.5" customHeight="1" x14ac:dyDescent="0.2">
      <c r="C133" s="12" t="s">
        <v>74</v>
      </c>
      <c r="D133" s="57" t="s">
        <v>590</v>
      </c>
      <c r="E133" s="60">
        <v>44313</v>
      </c>
      <c r="F133" s="58">
        <v>12158.6</v>
      </c>
      <c r="G133" s="12" t="s">
        <v>1689</v>
      </c>
      <c r="H133" s="61">
        <f t="shared" si="4"/>
        <v>44313</v>
      </c>
    </row>
    <row r="134" spans="3:8" ht="13.5" customHeight="1" x14ac:dyDescent="0.2">
      <c r="C134" s="12" t="s">
        <v>84</v>
      </c>
      <c r="D134" s="57" t="s">
        <v>764</v>
      </c>
      <c r="E134" s="60">
        <v>44313</v>
      </c>
      <c r="F134" s="58">
        <v>3000</v>
      </c>
      <c r="G134" s="12" t="s">
        <v>1689</v>
      </c>
      <c r="H134" s="61">
        <f t="shared" si="4"/>
        <v>44313</v>
      </c>
    </row>
    <row r="135" spans="3:8" ht="13.5" customHeight="1" x14ac:dyDescent="0.2">
      <c r="C135" s="12" t="s">
        <v>159</v>
      </c>
      <c r="D135" s="57" t="s">
        <v>817</v>
      </c>
      <c r="E135" s="60">
        <v>44313</v>
      </c>
      <c r="F135" s="58">
        <v>630.32000000000005</v>
      </c>
      <c r="G135" s="12" t="s">
        <v>1689</v>
      </c>
      <c r="H135" s="61">
        <f t="shared" si="4"/>
        <v>44313</v>
      </c>
    </row>
    <row r="136" spans="3:8" ht="13.5" customHeight="1" x14ac:dyDescent="0.2">
      <c r="C136" s="12" t="s">
        <v>159</v>
      </c>
      <c r="D136" s="57" t="s">
        <v>357</v>
      </c>
      <c r="E136" s="60">
        <v>44313</v>
      </c>
      <c r="F136" s="58">
        <v>297.58999999999997</v>
      </c>
      <c r="G136" s="12" t="s">
        <v>1689</v>
      </c>
      <c r="H136" s="61">
        <f t="shared" si="4"/>
        <v>44313</v>
      </c>
    </row>
    <row r="137" spans="3:8" ht="13.5" customHeight="1" x14ac:dyDescent="0.2">
      <c r="C137" s="12" t="s">
        <v>159</v>
      </c>
      <c r="D137" s="57" t="s">
        <v>357</v>
      </c>
      <c r="E137" s="60">
        <v>44313</v>
      </c>
      <c r="F137" s="58">
        <v>311.39999999999998</v>
      </c>
      <c r="G137" s="12" t="s">
        <v>1689</v>
      </c>
      <c r="H137" s="61">
        <f t="shared" si="4"/>
        <v>44313</v>
      </c>
    </row>
    <row r="138" spans="3:8" ht="13.5" customHeight="1" x14ac:dyDescent="0.2">
      <c r="C138" s="12" t="s">
        <v>135</v>
      </c>
      <c r="D138" s="57" t="s">
        <v>784</v>
      </c>
      <c r="E138" s="60">
        <v>44313</v>
      </c>
      <c r="F138" s="58">
        <v>2500</v>
      </c>
      <c r="G138" s="12" t="s">
        <v>1676</v>
      </c>
      <c r="H138" s="61">
        <f t="shared" si="4"/>
        <v>44313</v>
      </c>
    </row>
    <row r="139" spans="3:8" ht="13.5" customHeight="1" x14ac:dyDescent="0.2">
      <c r="C139" s="12" t="s">
        <v>89</v>
      </c>
      <c r="D139" s="57" t="s">
        <v>762</v>
      </c>
      <c r="E139" s="60">
        <v>44313</v>
      </c>
      <c r="F139" s="58">
        <v>2661.12</v>
      </c>
      <c r="G139" s="12" t="s">
        <v>1689</v>
      </c>
      <c r="H139" s="61">
        <f t="shared" si="4"/>
        <v>44313</v>
      </c>
    </row>
    <row r="140" spans="3:8" ht="13.5" customHeight="1" x14ac:dyDescent="0.2">
      <c r="C140" s="12" t="s">
        <v>80</v>
      </c>
      <c r="D140" s="57" t="s">
        <v>821</v>
      </c>
      <c r="E140" s="60">
        <v>44314</v>
      </c>
      <c r="F140" s="58">
        <v>50</v>
      </c>
      <c r="G140" s="12" t="s">
        <v>1689</v>
      </c>
      <c r="H140" s="61">
        <f t="shared" si="4"/>
        <v>44314</v>
      </c>
    </row>
    <row r="141" spans="3:8" ht="13.5" customHeight="1" x14ac:dyDescent="0.2">
      <c r="C141" s="12" t="s">
        <v>170</v>
      </c>
      <c r="D141" s="57" t="s">
        <v>822</v>
      </c>
      <c r="E141" s="60">
        <v>44314</v>
      </c>
      <c r="F141" s="58">
        <v>270</v>
      </c>
      <c r="G141" s="12" t="s">
        <v>1689</v>
      </c>
      <c r="H141" s="61">
        <f t="shared" si="4"/>
        <v>44314</v>
      </c>
    </row>
    <row r="142" spans="3:8" ht="13.5" customHeight="1" x14ac:dyDescent="0.2">
      <c r="C142" s="12" t="s">
        <v>170</v>
      </c>
      <c r="D142" s="57" t="s">
        <v>826</v>
      </c>
      <c r="E142" s="60">
        <v>44314</v>
      </c>
      <c r="F142" s="58">
        <v>300</v>
      </c>
      <c r="G142" s="12" t="s">
        <v>1689</v>
      </c>
      <c r="H142" s="61">
        <f t="shared" si="4"/>
        <v>44314</v>
      </c>
    </row>
    <row r="143" spans="3:8" ht="13.5" customHeight="1" x14ac:dyDescent="0.2">
      <c r="C143" s="12" t="s">
        <v>622</v>
      </c>
      <c r="D143" s="57" t="s">
        <v>798</v>
      </c>
      <c r="E143" s="60">
        <v>44314</v>
      </c>
      <c r="F143" s="58">
        <v>1800</v>
      </c>
      <c r="G143" s="12" t="s">
        <v>1689</v>
      </c>
      <c r="H143" s="61">
        <f t="shared" si="4"/>
        <v>44314</v>
      </c>
    </row>
    <row r="144" spans="3:8" ht="13.5" customHeight="1" x14ac:dyDescent="0.2">
      <c r="C144" s="12" t="s">
        <v>56</v>
      </c>
      <c r="D144" s="57" t="s">
        <v>728</v>
      </c>
      <c r="E144" s="60">
        <v>44314</v>
      </c>
      <c r="F144" s="58">
        <v>4612</v>
      </c>
      <c r="G144" s="12" t="s">
        <v>1689</v>
      </c>
      <c r="H144" s="61">
        <f t="shared" si="4"/>
        <v>44314</v>
      </c>
    </row>
    <row r="145" spans="3:8" ht="13.5" customHeight="1" x14ac:dyDescent="0.2">
      <c r="C145" s="12" t="s">
        <v>56</v>
      </c>
      <c r="D145" s="57" t="s">
        <v>329</v>
      </c>
      <c r="E145" s="60">
        <v>44314</v>
      </c>
      <c r="F145" s="58">
        <f>3890+1062+391</f>
        <v>5343</v>
      </c>
      <c r="G145" s="12" t="s">
        <v>1689</v>
      </c>
      <c r="H145" s="61">
        <f t="shared" si="4"/>
        <v>44314</v>
      </c>
    </row>
    <row r="146" spans="3:8" ht="13.5" customHeight="1" x14ac:dyDescent="0.2">
      <c r="C146" s="12" t="s">
        <v>56</v>
      </c>
      <c r="D146" s="57" t="s">
        <v>771</v>
      </c>
      <c r="E146" s="60">
        <v>44314</v>
      </c>
      <c r="F146" s="58">
        <v>2170</v>
      </c>
      <c r="G146" s="12" t="s">
        <v>1689</v>
      </c>
      <c r="H146" s="61">
        <f t="shared" si="4"/>
        <v>44314</v>
      </c>
    </row>
    <row r="147" spans="3:8" ht="13.5" customHeight="1" x14ac:dyDescent="0.2">
      <c r="C147" s="12" t="s">
        <v>56</v>
      </c>
      <c r="D147" s="57" t="s">
        <v>437</v>
      </c>
      <c r="E147" s="60">
        <v>44314</v>
      </c>
      <c r="F147" s="58">
        <v>11076</v>
      </c>
      <c r="G147" s="12" t="s">
        <v>1689</v>
      </c>
      <c r="H147" s="61">
        <f t="shared" si="4"/>
        <v>44314</v>
      </c>
    </row>
    <row r="148" spans="3:8" ht="13.5" customHeight="1" x14ac:dyDescent="0.2">
      <c r="C148" s="12" t="s">
        <v>159</v>
      </c>
      <c r="D148" s="57" t="s">
        <v>300</v>
      </c>
      <c r="E148" s="60">
        <v>44314</v>
      </c>
      <c r="F148" s="58">
        <f>89.9+89.61</f>
        <v>179.51</v>
      </c>
      <c r="G148" s="12" t="s">
        <v>1689</v>
      </c>
      <c r="H148" s="61">
        <f t="shared" si="4"/>
        <v>44314</v>
      </c>
    </row>
    <row r="149" spans="3:8" ht="13.5" customHeight="1" x14ac:dyDescent="0.2">
      <c r="C149" s="12" t="s">
        <v>84</v>
      </c>
      <c r="D149" s="57" t="s">
        <v>824</v>
      </c>
      <c r="E149" s="60">
        <v>44314</v>
      </c>
      <c r="F149" s="58">
        <v>2832</v>
      </c>
      <c r="G149" s="12" t="s">
        <v>1689</v>
      </c>
      <c r="H149" s="61">
        <f t="shared" si="4"/>
        <v>44314</v>
      </c>
    </row>
    <row r="150" spans="3:8" ht="13.5" customHeight="1" x14ac:dyDescent="0.2">
      <c r="C150" s="12" t="s">
        <v>187</v>
      </c>
      <c r="D150" s="57" t="s">
        <v>769</v>
      </c>
      <c r="E150" s="60">
        <v>44314</v>
      </c>
      <c r="F150" s="58">
        <v>47.19</v>
      </c>
      <c r="G150" s="12" t="s">
        <v>1689</v>
      </c>
      <c r="H150" s="61">
        <f t="shared" si="4"/>
        <v>44314</v>
      </c>
    </row>
    <row r="151" spans="3:8" ht="13.5" customHeight="1" x14ac:dyDescent="0.2">
      <c r="C151" s="12" t="s">
        <v>159</v>
      </c>
      <c r="D151" s="57" t="s">
        <v>794</v>
      </c>
      <c r="E151" s="60">
        <v>44314</v>
      </c>
      <c r="F151" s="58">
        <v>79.03</v>
      </c>
      <c r="G151" s="12" t="s">
        <v>1689</v>
      </c>
      <c r="H151" s="61">
        <f t="shared" si="4"/>
        <v>44314</v>
      </c>
    </row>
    <row r="152" spans="3:8" ht="13.5" customHeight="1" x14ac:dyDescent="0.2">
      <c r="C152" s="12" t="s">
        <v>243</v>
      </c>
      <c r="D152" s="57" t="s">
        <v>738</v>
      </c>
      <c r="E152" s="60">
        <v>44314</v>
      </c>
      <c r="F152" s="58">
        <v>1500</v>
      </c>
      <c r="G152" s="12" t="s">
        <v>1689</v>
      </c>
      <c r="H152" s="61">
        <f t="shared" si="4"/>
        <v>44314</v>
      </c>
    </row>
    <row r="153" spans="3:8" ht="13.5" customHeight="1" x14ac:dyDescent="0.2">
      <c r="C153" s="12" t="s">
        <v>88</v>
      </c>
      <c r="D153" s="57" t="s">
        <v>628</v>
      </c>
      <c r="E153" s="60">
        <v>44314</v>
      </c>
      <c r="F153" s="58">
        <v>2954</v>
      </c>
      <c r="G153" s="12" t="s">
        <v>1689</v>
      </c>
      <c r="H153" s="61">
        <f t="shared" si="4"/>
        <v>44314</v>
      </c>
    </row>
    <row r="154" spans="3:8" ht="13.5" customHeight="1" x14ac:dyDescent="0.2">
      <c r="C154" s="12" t="s">
        <v>192</v>
      </c>
      <c r="D154" s="57" t="s">
        <v>827</v>
      </c>
      <c r="E154" s="60">
        <v>44314</v>
      </c>
      <c r="F154" s="58">
        <v>503.74</v>
      </c>
      <c r="G154" s="12" t="s">
        <v>1689</v>
      </c>
      <c r="H154" s="61">
        <f t="shared" si="4"/>
        <v>44314</v>
      </c>
    </row>
    <row r="155" spans="3:8" ht="13.5" customHeight="1" x14ac:dyDescent="0.2">
      <c r="C155" s="12" t="s">
        <v>584</v>
      </c>
      <c r="D155" s="57" t="s">
        <v>819</v>
      </c>
      <c r="E155" s="60">
        <v>44314</v>
      </c>
      <c r="F155" s="58">
        <v>1960.78</v>
      </c>
      <c r="G155" s="12" t="s">
        <v>1689</v>
      </c>
      <c r="H155" s="61">
        <f t="shared" si="4"/>
        <v>44314</v>
      </c>
    </row>
    <row r="156" spans="3:8" ht="13.5" customHeight="1" x14ac:dyDescent="0.2">
      <c r="C156" s="12" t="s">
        <v>135</v>
      </c>
      <c r="D156" s="57" t="s">
        <v>739</v>
      </c>
      <c r="E156" s="60">
        <v>44314</v>
      </c>
      <c r="F156" s="58">
        <v>392.94</v>
      </c>
      <c r="G156" s="12" t="s">
        <v>1689</v>
      </c>
      <c r="H156" s="61">
        <f t="shared" si="4"/>
        <v>44314</v>
      </c>
    </row>
    <row r="157" spans="3:8" ht="13.5" customHeight="1" x14ac:dyDescent="0.2">
      <c r="C157" s="12" t="s">
        <v>135</v>
      </c>
      <c r="D157" s="57" t="s">
        <v>759</v>
      </c>
      <c r="E157" s="60">
        <v>44314</v>
      </c>
      <c r="F157" s="58">
        <v>1125.24</v>
      </c>
      <c r="G157" s="12" t="s">
        <v>1689</v>
      </c>
      <c r="H157" s="61">
        <f t="shared" si="4"/>
        <v>44314</v>
      </c>
    </row>
    <row r="158" spans="3:8" ht="13.5" customHeight="1" x14ac:dyDescent="0.2">
      <c r="C158" s="12" t="s">
        <v>96</v>
      </c>
      <c r="D158" s="57" t="s">
        <v>422</v>
      </c>
      <c r="E158" s="60">
        <v>44314</v>
      </c>
      <c r="F158" s="58">
        <v>444.18</v>
      </c>
      <c r="G158" s="12" t="s">
        <v>1676</v>
      </c>
      <c r="H158" s="61">
        <f t="shared" si="4"/>
        <v>44314</v>
      </c>
    </row>
    <row r="159" spans="3:8" ht="13.5" customHeight="1" x14ac:dyDescent="0.2">
      <c r="C159" s="12" t="s">
        <v>84</v>
      </c>
      <c r="D159" s="57" t="s">
        <v>814</v>
      </c>
      <c r="E159" s="60">
        <v>44314</v>
      </c>
      <c r="F159" s="58">
        <v>162.75</v>
      </c>
      <c r="G159" s="12" t="s">
        <v>1676</v>
      </c>
      <c r="H159" s="61">
        <f t="shared" si="4"/>
        <v>44314</v>
      </c>
    </row>
    <row r="160" spans="3:8" ht="13.5" customHeight="1" x14ac:dyDescent="0.2">
      <c r="C160" s="12" t="s">
        <v>187</v>
      </c>
      <c r="D160" s="57" t="s">
        <v>828</v>
      </c>
      <c r="E160" s="60">
        <v>44314</v>
      </c>
      <c r="F160" s="58">
        <v>102</v>
      </c>
      <c r="G160" s="12" t="s">
        <v>1676</v>
      </c>
      <c r="H160" s="61">
        <f t="shared" si="4"/>
        <v>44314</v>
      </c>
    </row>
    <row r="161" spans="3:8" ht="13.5" customHeight="1" x14ac:dyDescent="0.2">
      <c r="C161" s="12" t="s">
        <v>89</v>
      </c>
      <c r="D161" s="57" t="s">
        <v>832</v>
      </c>
      <c r="E161" s="60">
        <v>44315</v>
      </c>
      <c r="F161" s="58">
        <f>61.5+20+5+23.6</f>
        <v>110.1</v>
      </c>
      <c r="G161" s="12" t="s">
        <v>1689</v>
      </c>
      <c r="H161" s="61">
        <f t="shared" si="4"/>
        <v>44315</v>
      </c>
    </row>
    <row r="162" spans="3:8" ht="13.5" customHeight="1" x14ac:dyDescent="0.2">
      <c r="C162" s="12" t="s">
        <v>76</v>
      </c>
      <c r="D162" s="57" t="s">
        <v>760</v>
      </c>
      <c r="E162" s="60">
        <v>44315</v>
      </c>
      <c r="F162" s="58">
        <v>2833.48</v>
      </c>
      <c r="G162" s="12" t="s">
        <v>1689</v>
      </c>
      <c r="H162" s="61">
        <f t="shared" ref="H162:H193" si="5">VLOOKUP(E162,$E$2818:$H$2876,4,FALSE)</f>
        <v>44315</v>
      </c>
    </row>
    <row r="163" spans="3:8" ht="13.5" customHeight="1" x14ac:dyDescent="0.2">
      <c r="C163" s="12" t="s">
        <v>80</v>
      </c>
      <c r="D163" s="57" t="s">
        <v>235</v>
      </c>
      <c r="E163" s="60">
        <v>44315</v>
      </c>
      <c r="F163" s="58">
        <v>100</v>
      </c>
      <c r="G163" s="12" t="s">
        <v>1689</v>
      </c>
      <c r="H163" s="61">
        <f t="shared" si="5"/>
        <v>44315</v>
      </c>
    </row>
    <row r="164" spans="3:8" ht="13.5" customHeight="1" x14ac:dyDescent="0.2">
      <c r="C164" s="12" t="s">
        <v>80</v>
      </c>
      <c r="D164" s="57" t="s">
        <v>236</v>
      </c>
      <c r="E164" s="60">
        <v>44315</v>
      </c>
      <c r="F164" s="58">
        <v>100</v>
      </c>
      <c r="G164" s="12" t="s">
        <v>1689</v>
      </c>
      <c r="H164" s="61">
        <f t="shared" si="5"/>
        <v>44315</v>
      </c>
    </row>
    <row r="165" spans="3:8" ht="13.5" customHeight="1" x14ac:dyDescent="0.2">
      <c r="C165" s="12" t="s">
        <v>80</v>
      </c>
      <c r="D165" s="57" t="s">
        <v>321</v>
      </c>
      <c r="E165" s="60">
        <v>44315</v>
      </c>
      <c r="F165" s="58">
        <v>100</v>
      </c>
      <c r="G165" s="12" t="s">
        <v>1689</v>
      </c>
      <c r="H165" s="61">
        <f t="shared" si="5"/>
        <v>44315</v>
      </c>
    </row>
    <row r="166" spans="3:8" ht="13.5" customHeight="1" x14ac:dyDescent="0.2">
      <c r="C166" s="12" t="s">
        <v>72</v>
      </c>
      <c r="D166" s="57" t="s">
        <v>65</v>
      </c>
      <c r="E166" s="60">
        <v>44315</v>
      </c>
      <c r="F166" s="58">
        <v>3000</v>
      </c>
      <c r="G166" s="12" t="s">
        <v>1688</v>
      </c>
      <c r="H166" s="61">
        <f t="shared" si="5"/>
        <v>44315</v>
      </c>
    </row>
    <row r="167" spans="3:8" ht="13.5" customHeight="1" x14ac:dyDescent="0.2">
      <c r="C167" s="12" t="s">
        <v>72</v>
      </c>
      <c r="D167" s="57" t="s">
        <v>1707</v>
      </c>
      <c r="E167" s="60">
        <v>44315</v>
      </c>
      <c r="F167" s="58">
        <v>2500</v>
      </c>
      <c r="G167" s="12" t="s">
        <v>1688</v>
      </c>
      <c r="H167" s="61">
        <f t="shared" si="5"/>
        <v>44315</v>
      </c>
    </row>
    <row r="168" spans="3:8" ht="13.5" customHeight="1" x14ac:dyDescent="0.2">
      <c r="C168" s="12" t="s">
        <v>80</v>
      </c>
      <c r="D168" s="57" t="s">
        <v>637</v>
      </c>
      <c r="E168" s="60">
        <v>44315</v>
      </c>
      <c r="F168" s="58">
        <v>120</v>
      </c>
      <c r="G168" s="12" t="s">
        <v>1688</v>
      </c>
      <c r="H168" s="61">
        <f t="shared" si="5"/>
        <v>44315</v>
      </c>
    </row>
    <row r="169" spans="3:8" ht="13.5" customHeight="1" x14ac:dyDescent="0.2">
      <c r="C169" s="12" t="s">
        <v>72</v>
      </c>
      <c r="D169" s="57" t="s">
        <v>1723</v>
      </c>
      <c r="E169" s="60">
        <v>44315</v>
      </c>
      <c r="F169" s="58">
        <v>1480.47</v>
      </c>
      <c r="G169" s="12" t="s">
        <v>1688</v>
      </c>
      <c r="H169" s="61">
        <f t="shared" si="5"/>
        <v>44315</v>
      </c>
    </row>
    <row r="170" spans="3:8" ht="13.5" customHeight="1" x14ac:dyDescent="0.2">
      <c r="C170" s="12" t="s">
        <v>117</v>
      </c>
      <c r="D170" s="57" t="s">
        <v>569</v>
      </c>
      <c r="E170" s="60">
        <v>44315</v>
      </c>
      <c r="F170" s="58">
        <v>603.5</v>
      </c>
      <c r="G170" s="12" t="s">
        <v>1689</v>
      </c>
      <c r="H170" s="61">
        <f t="shared" si="5"/>
        <v>44315</v>
      </c>
    </row>
    <row r="171" spans="3:8" ht="13.5" customHeight="1" x14ac:dyDescent="0.2">
      <c r="C171" s="12" t="s">
        <v>72</v>
      </c>
      <c r="D171" s="57" t="s">
        <v>776</v>
      </c>
      <c r="E171" s="60">
        <v>44315</v>
      </c>
      <c r="F171" s="58">
        <v>236.8</v>
      </c>
      <c r="G171" s="12" t="s">
        <v>1689</v>
      </c>
      <c r="H171" s="61">
        <f t="shared" si="5"/>
        <v>44315</v>
      </c>
    </row>
    <row r="172" spans="3:8" ht="13.5" customHeight="1" x14ac:dyDescent="0.2">
      <c r="C172" s="12" t="s">
        <v>72</v>
      </c>
      <c r="D172" s="57" t="s">
        <v>795</v>
      </c>
      <c r="E172" s="60">
        <v>44315</v>
      </c>
      <c r="F172" s="58">
        <v>235.26</v>
      </c>
      <c r="G172" s="12" t="s">
        <v>1688</v>
      </c>
      <c r="H172" s="61">
        <f t="shared" si="5"/>
        <v>44315</v>
      </c>
    </row>
    <row r="173" spans="3:8" ht="13.5" customHeight="1" x14ac:dyDescent="0.2">
      <c r="C173" s="12" t="s">
        <v>164</v>
      </c>
      <c r="D173" s="57" t="s">
        <v>815</v>
      </c>
      <c r="E173" s="60">
        <v>44315</v>
      </c>
      <c r="F173" s="58">
        <v>90</v>
      </c>
      <c r="G173" s="12" t="s">
        <v>1676</v>
      </c>
      <c r="H173" s="61">
        <f t="shared" si="5"/>
        <v>44315</v>
      </c>
    </row>
    <row r="174" spans="3:8" ht="13.5" customHeight="1" x14ac:dyDescent="0.2">
      <c r="C174" s="12" t="s">
        <v>83</v>
      </c>
      <c r="D174" s="57" t="s">
        <v>328</v>
      </c>
      <c r="E174" s="60">
        <v>44315</v>
      </c>
      <c r="F174" s="58">
        <v>224</v>
      </c>
      <c r="G174" s="12" t="s">
        <v>1689</v>
      </c>
      <c r="H174" s="61">
        <f t="shared" si="5"/>
        <v>44315</v>
      </c>
    </row>
    <row r="175" spans="3:8" ht="13.5" customHeight="1" x14ac:dyDescent="0.2">
      <c r="C175" s="12" t="s">
        <v>149</v>
      </c>
      <c r="D175" s="57" t="s">
        <v>418</v>
      </c>
      <c r="E175" s="60">
        <v>44315</v>
      </c>
      <c r="F175" s="58">
        <v>1155</v>
      </c>
      <c r="G175" s="12" t="s">
        <v>1676</v>
      </c>
      <c r="H175" s="61">
        <f t="shared" si="5"/>
        <v>44315</v>
      </c>
    </row>
    <row r="176" spans="3:8" ht="13.5" customHeight="1" x14ac:dyDescent="0.2">
      <c r="C176" s="12" t="s">
        <v>88</v>
      </c>
      <c r="D176" s="57" t="s">
        <v>471</v>
      </c>
      <c r="E176" s="60">
        <v>44315</v>
      </c>
      <c r="F176" s="58">
        <v>1272</v>
      </c>
      <c r="G176" s="12" t="s">
        <v>1689</v>
      </c>
      <c r="H176" s="61">
        <f t="shared" si="5"/>
        <v>44315</v>
      </c>
    </row>
    <row r="177" spans="3:8" ht="13.5" customHeight="1" x14ac:dyDescent="0.2">
      <c r="C177" s="12" t="s">
        <v>187</v>
      </c>
      <c r="D177" s="57" t="s">
        <v>205</v>
      </c>
      <c r="E177" s="60">
        <v>44315</v>
      </c>
      <c r="F177" s="58">
        <v>159.35</v>
      </c>
      <c r="G177" s="12" t="s">
        <v>1689</v>
      </c>
      <c r="H177" s="61">
        <f t="shared" si="5"/>
        <v>44315</v>
      </c>
    </row>
    <row r="178" spans="3:8" ht="13.5" customHeight="1" x14ac:dyDescent="0.2">
      <c r="C178" s="12" t="s">
        <v>76</v>
      </c>
      <c r="D178" s="57" t="s">
        <v>567</v>
      </c>
      <c r="E178" s="60">
        <v>44315</v>
      </c>
      <c r="F178" s="58">
        <v>1937.6</v>
      </c>
      <c r="G178" s="12" t="s">
        <v>1689</v>
      </c>
      <c r="H178" s="61">
        <f t="shared" si="5"/>
        <v>44315</v>
      </c>
    </row>
    <row r="179" spans="3:8" ht="13.5" customHeight="1" x14ac:dyDescent="0.2">
      <c r="C179" s="12" t="s">
        <v>149</v>
      </c>
      <c r="D179" s="57" t="s">
        <v>205</v>
      </c>
      <c r="E179" s="60">
        <v>44315</v>
      </c>
      <c r="F179" s="58">
        <v>99.26</v>
      </c>
      <c r="G179" s="12" t="s">
        <v>1689</v>
      </c>
      <c r="H179" s="61">
        <f t="shared" si="5"/>
        <v>44315</v>
      </c>
    </row>
    <row r="180" spans="3:8" ht="13.5" customHeight="1" x14ac:dyDescent="0.2">
      <c r="C180" s="12" t="s">
        <v>164</v>
      </c>
      <c r="D180" s="57" t="s">
        <v>816</v>
      </c>
      <c r="E180" s="60">
        <v>44315</v>
      </c>
      <c r="F180" s="58">
        <v>1310</v>
      </c>
      <c r="G180" s="12" t="s">
        <v>1676</v>
      </c>
      <c r="H180" s="61">
        <f t="shared" si="5"/>
        <v>44315</v>
      </c>
    </row>
    <row r="181" spans="3:8" ht="13.5" customHeight="1" x14ac:dyDescent="0.2">
      <c r="C181" s="12" t="s">
        <v>83</v>
      </c>
      <c r="D181" s="57" t="s">
        <v>367</v>
      </c>
      <c r="E181" s="60">
        <v>44315</v>
      </c>
      <c r="F181" s="58">
        <f>2720-563</f>
        <v>2157</v>
      </c>
      <c r="G181" s="12" t="s">
        <v>1689</v>
      </c>
      <c r="H181" s="61">
        <f t="shared" si="5"/>
        <v>44315</v>
      </c>
    </row>
    <row r="182" spans="3:8" ht="13.5" customHeight="1" x14ac:dyDescent="0.2">
      <c r="C182" s="12" t="s">
        <v>97</v>
      </c>
      <c r="D182" s="57" t="s">
        <v>756</v>
      </c>
      <c r="E182" s="60">
        <v>44315</v>
      </c>
      <c r="F182" s="58">
        <v>4799.8999999999996</v>
      </c>
      <c r="G182" s="12" t="s">
        <v>1676</v>
      </c>
      <c r="H182" s="61">
        <f t="shared" si="5"/>
        <v>44315</v>
      </c>
    </row>
    <row r="183" spans="3:8" ht="13.5" customHeight="1" x14ac:dyDescent="0.2">
      <c r="C183" s="12" t="s">
        <v>97</v>
      </c>
      <c r="D183" s="57" t="s">
        <v>372</v>
      </c>
      <c r="E183" s="60">
        <v>44315</v>
      </c>
      <c r="F183" s="58">
        <v>10419.44</v>
      </c>
      <c r="G183" s="12" t="s">
        <v>1689</v>
      </c>
      <c r="H183" s="61">
        <f t="shared" si="5"/>
        <v>44315</v>
      </c>
    </row>
    <row r="184" spans="3:8" ht="13.5" customHeight="1" x14ac:dyDescent="0.2">
      <c r="C184" s="12" t="s">
        <v>97</v>
      </c>
      <c r="D184" s="57" t="s">
        <v>800</v>
      </c>
      <c r="E184" s="60">
        <v>44315</v>
      </c>
      <c r="F184" s="58">
        <v>1264.79</v>
      </c>
      <c r="G184" s="12" t="s">
        <v>1689</v>
      </c>
      <c r="H184" s="61">
        <f t="shared" si="5"/>
        <v>44315</v>
      </c>
    </row>
    <row r="185" spans="3:8" ht="13.5" customHeight="1" x14ac:dyDescent="0.2">
      <c r="C185" s="12" t="s">
        <v>97</v>
      </c>
      <c r="D185" s="57" t="s">
        <v>801</v>
      </c>
      <c r="E185" s="60">
        <v>44315</v>
      </c>
      <c r="F185" s="58">
        <v>612.87</v>
      </c>
      <c r="G185" s="12" t="s">
        <v>1689</v>
      </c>
      <c r="H185" s="61">
        <f t="shared" si="5"/>
        <v>44315</v>
      </c>
    </row>
    <row r="186" spans="3:8" ht="13.5" customHeight="1" x14ac:dyDescent="0.2">
      <c r="C186" s="12" t="s">
        <v>187</v>
      </c>
      <c r="D186" s="57" t="s">
        <v>1753</v>
      </c>
      <c r="E186" s="60">
        <v>44315</v>
      </c>
      <c r="F186" s="58">
        <v>235</v>
      </c>
      <c r="G186" s="12" t="s">
        <v>1676</v>
      </c>
      <c r="H186" s="61">
        <f t="shared" si="5"/>
        <v>44315</v>
      </c>
    </row>
    <row r="187" spans="3:8" ht="13.5" customHeight="1" x14ac:dyDescent="0.2">
      <c r="C187" s="12" t="s">
        <v>84</v>
      </c>
      <c r="D187" s="57" t="s">
        <v>833</v>
      </c>
      <c r="E187" s="60">
        <v>44315</v>
      </c>
      <c r="F187" s="58">
        <v>3000</v>
      </c>
      <c r="G187" s="12" t="s">
        <v>1689</v>
      </c>
      <c r="H187" s="61">
        <f t="shared" si="5"/>
        <v>44315</v>
      </c>
    </row>
    <row r="188" spans="3:8" ht="13.5" customHeight="1" x14ac:dyDescent="0.2">
      <c r="C188" s="12" t="s">
        <v>135</v>
      </c>
      <c r="D188" s="57" t="s">
        <v>830</v>
      </c>
      <c r="E188" s="60">
        <v>44315</v>
      </c>
      <c r="F188" s="58">
        <v>1600</v>
      </c>
      <c r="G188" s="12" t="s">
        <v>1676</v>
      </c>
      <c r="H188" s="61">
        <f t="shared" si="5"/>
        <v>44315</v>
      </c>
    </row>
    <row r="189" spans="3:8" ht="13.5" customHeight="1" x14ac:dyDescent="0.2">
      <c r="C189" s="12" t="s">
        <v>76</v>
      </c>
      <c r="D189" s="57" t="s">
        <v>854</v>
      </c>
      <c r="E189" s="60">
        <v>44315</v>
      </c>
      <c r="F189" s="58">
        <v>426</v>
      </c>
      <c r="G189" s="12" t="s">
        <v>1689</v>
      </c>
      <c r="H189" s="61">
        <f t="shared" si="5"/>
        <v>44315</v>
      </c>
    </row>
    <row r="190" spans="3:8" ht="13.5" customHeight="1" x14ac:dyDescent="0.2">
      <c r="C190" s="12" t="s">
        <v>96</v>
      </c>
      <c r="D190" s="57" t="s">
        <v>299</v>
      </c>
      <c r="E190" s="60">
        <v>44316</v>
      </c>
      <c r="F190" s="58">
        <v>2200</v>
      </c>
      <c r="G190" s="12" t="s">
        <v>1689</v>
      </c>
      <c r="H190" s="61">
        <f t="shared" si="5"/>
        <v>44316</v>
      </c>
    </row>
    <row r="191" spans="3:8" ht="13.5" customHeight="1" x14ac:dyDescent="0.2">
      <c r="C191" s="12" t="s">
        <v>75</v>
      </c>
      <c r="D191" s="57" t="s">
        <v>766</v>
      </c>
      <c r="E191" s="60">
        <v>44316</v>
      </c>
      <c r="F191" s="58">
        <v>8084</v>
      </c>
      <c r="G191" s="12" t="s">
        <v>1689</v>
      </c>
      <c r="H191" s="61">
        <f t="shared" si="5"/>
        <v>44316</v>
      </c>
    </row>
    <row r="192" spans="3:8" ht="13.5" customHeight="1" x14ac:dyDescent="0.2">
      <c r="C192" s="12" t="s">
        <v>75</v>
      </c>
      <c r="D192" s="57" t="s">
        <v>818</v>
      </c>
      <c r="E192" s="60">
        <v>44316</v>
      </c>
      <c r="F192" s="58">
        <v>2000</v>
      </c>
      <c r="G192" s="12" t="s">
        <v>1689</v>
      </c>
      <c r="H192" s="61">
        <f t="shared" si="5"/>
        <v>44316</v>
      </c>
    </row>
    <row r="193" spans="3:8" ht="13.5" customHeight="1" x14ac:dyDescent="0.2">
      <c r="C193" s="12" t="s">
        <v>135</v>
      </c>
      <c r="D193" s="57" t="s">
        <v>753</v>
      </c>
      <c r="E193" s="60">
        <v>44316</v>
      </c>
      <c r="F193" s="58">
        <v>2150</v>
      </c>
      <c r="G193" s="12" t="s">
        <v>1676</v>
      </c>
      <c r="H193" s="61">
        <f t="shared" si="5"/>
        <v>44316</v>
      </c>
    </row>
    <row r="194" spans="3:8" ht="12.75" customHeight="1" x14ac:dyDescent="0.2">
      <c r="C194" s="12" t="s">
        <v>117</v>
      </c>
      <c r="D194" s="57" t="s">
        <v>793</v>
      </c>
      <c r="E194" s="60">
        <v>44316</v>
      </c>
      <c r="F194" s="58">
        <v>180</v>
      </c>
      <c r="G194" s="12" t="s">
        <v>1689</v>
      </c>
      <c r="H194" s="61">
        <f t="shared" ref="H194:H203" si="6">VLOOKUP(E194,$E$2818:$H$2876,4,FALSE)</f>
        <v>44316</v>
      </c>
    </row>
    <row r="195" spans="3:8" ht="12.75" customHeight="1" x14ac:dyDescent="0.2">
      <c r="C195" s="12" t="s">
        <v>170</v>
      </c>
      <c r="D195" s="57" t="s">
        <v>725</v>
      </c>
      <c r="E195" s="60">
        <v>44316</v>
      </c>
      <c r="F195" s="58">
        <v>273.7</v>
      </c>
      <c r="G195" s="12" t="s">
        <v>1676</v>
      </c>
      <c r="H195" s="61">
        <f t="shared" si="6"/>
        <v>44316</v>
      </c>
    </row>
    <row r="196" spans="3:8" ht="13.5" customHeight="1" x14ac:dyDescent="0.2">
      <c r="C196" s="12" t="s">
        <v>149</v>
      </c>
      <c r="D196" s="57" t="s">
        <v>699</v>
      </c>
      <c r="E196" s="60">
        <v>44316</v>
      </c>
      <c r="F196" s="58">
        <v>729.12</v>
      </c>
      <c r="G196" s="12" t="s">
        <v>1676</v>
      </c>
      <c r="H196" s="61">
        <f t="shared" si="6"/>
        <v>44316</v>
      </c>
    </row>
    <row r="197" spans="3:8" ht="13.5" customHeight="1" x14ac:dyDescent="0.2">
      <c r="C197" s="12" t="s">
        <v>135</v>
      </c>
      <c r="D197" s="57" t="s">
        <v>768</v>
      </c>
      <c r="E197" s="60">
        <v>44316</v>
      </c>
      <c r="F197" s="58">
        <v>942.09</v>
      </c>
      <c r="G197" s="12" t="s">
        <v>1689</v>
      </c>
      <c r="H197" s="61">
        <f t="shared" si="6"/>
        <v>44316</v>
      </c>
    </row>
    <row r="198" spans="3:8" ht="13.5" customHeight="1" x14ac:dyDescent="0.2">
      <c r="C198" s="12" t="s">
        <v>149</v>
      </c>
      <c r="D198" s="57" t="s">
        <v>468</v>
      </c>
      <c r="E198" s="60">
        <v>44316</v>
      </c>
      <c r="F198" s="58">
        <v>250</v>
      </c>
      <c r="G198" s="12" t="s">
        <v>1676</v>
      </c>
      <c r="H198" s="61">
        <f t="shared" si="6"/>
        <v>44316</v>
      </c>
    </row>
    <row r="199" spans="3:8" ht="13.5" customHeight="1" x14ac:dyDescent="0.2">
      <c r="C199" s="12" t="s">
        <v>96</v>
      </c>
      <c r="D199" s="57" t="s">
        <v>540</v>
      </c>
      <c r="E199" s="60">
        <v>44316</v>
      </c>
      <c r="F199" s="58">
        <v>510.83</v>
      </c>
      <c r="G199" s="12" t="s">
        <v>68</v>
      </c>
      <c r="H199" s="61">
        <f t="shared" si="6"/>
        <v>44316</v>
      </c>
    </row>
    <row r="200" spans="3:8" ht="13.5" customHeight="1" x14ac:dyDescent="0.2">
      <c r="C200" s="12" t="s">
        <v>97</v>
      </c>
      <c r="D200" s="57" t="s">
        <v>761</v>
      </c>
      <c r="E200" s="60">
        <v>44316</v>
      </c>
      <c r="F200" s="58">
        <v>405.46</v>
      </c>
      <c r="G200" s="12" t="s">
        <v>1689</v>
      </c>
      <c r="H200" s="61">
        <f t="shared" si="6"/>
        <v>44316</v>
      </c>
    </row>
    <row r="201" spans="3:8" ht="13.5" customHeight="1" x14ac:dyDescent="0.2">
      <c r="C201" s="12" t="s">
        <v>97</v>
      </c>
      <c r="D201" s="57" t="s">
        <v>765</v>
      </c>
      <c r="E201" s="60">
        <v>44316</v>
      </c>
      <c r="F201" s="58">
        <v>705.31</v>
      </c>
      <c r="G201" s="12" t="s">
        <v>1689</v>
      </c>
      <c r="H201" s="61">
        <f t="shared" si="6"/>
        <v>44316</v>
      </c>
    </row>
    <row r="202" spans="3:8" ht="13.5" customHeight="1" x14ac:dyDescent="0.2">
      <c r="C202" s="12" t="s">
        <v>192</v>
      </c>
      <c r="D202" s="57" t="s">
        <v>751</v>
      </c>
      <c r="E202" s="60">
        <v>44316</v>
      </c>
      <c r="F202" s="58">
        <v>1665.66</v>
      </c>
      <c r="G202" s="12" t="s">
        <v>1689</v>
      </c>
      <c r="H202" s="61">
        <f t="shared" si="6"/>
        <v>44316</v>
      </c>
    </row>
    <row r="203" spans="3:8" ht="13.5" customHeight="1" x14ac:dyDescent="0.2">
      <c r="C203" s="12" t="s">
        <v>97</v>
      </c>
      <c r="D203" s="57" t="s">
        <v>348</v>
      </c>
      <c r="E203" s="60">
        <v>44316</v>
      </c>
      <c r="F203" s="58">
        <v>524.52</v>
      </c>
      <c r="G203" s="12" t="s">
        <v>1689</v>
      </c>
      <c r="H203" s="61">
        <f t="shared" si="6"/>
        <v>44316</v>
      </c>
    </row>
    <row r="204" spans="3:8" ht="13.5" customHeight="1" x14ac:dyDescent="0.2">
      <c r="E204" s="52"/>
      <c r="H204" s="61"/>
    </row>
    <row r="205" spans="3:8" ht="13.5" customHeight="1" x14ac:dyDescent="0.2">
      <c r="E205" s="52"/>
      <c r="H205" s="61"/>
    </row>
    <row r="206" spans="3:8" ht="13.5" customHeight="1" x14ac:dyDescent="0.2">
      <c r="E206" s="52"/>
      <c r="H206" s="61"/>
    </row>
    <row r="207" spans="3:8" ht="13.5" customHeight="1" x14ac:dyDescent="0.2">
      <c r="E207" s="52"/>
      <c r="H207" s="61"/>
    </row>
    <row r="208" spans="3:8" ht="13.5" customHeight="1" x14ac:dyDescent="0.2">
      <c r="E208" s="52"/>
      <c r="H208" s="61"/>
    </row>
    <row r="209" spans="5:11" ht="13.5" customHeight="1" x14ac:dyDescent="0.2">
      <c r="E209" s="52"/>
      <c r="H209" s="61"/>
    </row>
    <row r="210" spans="5:11" ht="13.5" customHeight="1" x14ac:dyDescent="0.2">
      <c r="E210" s="52"/>
      <c r="H210" s="61"/>
    </row>
    <row r="211" spans="5:11" ht="13.5" customHeight="1" x14ac:dyDescent="0.2">
      <c r="E211" s="52"/>
      <c r="H211" s="61"/>
    </row>
    <row r="212" spans="5:11" ht="13.5" customHeight="1" x14ac:dyDescent="0.2">
      <c r="E212" s="52"/>
      <c r="H212" s="61"/>
      <c r="K212"/>
    </row>
    <row r="213" spans="5:11" ht="13.5" customHeight="1" x14ac:dyDescent="0.2">
      <c r="E213" s="52"/>
      <c r="H213" s="61"/>
      <c r="K213"/>
    </row>
    <row r="214" spans="5:11" ht="13.5" customHeight="1" x14ac:dyDescent="0.2">
      <c r="E214" s="52"/>
      <c r="H214" s="61"/>
      <c r="K214"/>
    </row>
    <row r="215" spans="5:11" ht="13.5" customHeight="1" x14ac:dyDescent="0.2">
      <c r="E215" s="52"/>
      <c r="H215" s="61"/>
      <c r="K215"/>
    </row>
    <row r="216" spans="5:11" ht="13.5" customHeight="1" x14ac:dyDescent="0.2">
      <c r="E216" s="52"/>
      <c r="H216" s="61"/>
      <c r="K216"/>
    </row>
    <row r="217" spans="5:11" ht="13.5" customHeight="1" x14ac:dyDescent="0.2">
      <c r="E217" s="52"/>
      <c r="H217" s="61"/>
      <c r="K217"/>
    </row>
    <row r="218" spans="5:11" ht="13.5" customHeight="1" x14ac:dyDescent="0.2">
      <c r="E218" s="52"/>
      <c r="H218" s="61"/>
      <c r="K218"/>
    </row>
    <row r="219" spans="5:11" ht="13.5" customHeight="1" x14ac:dyDescent="0.2">
      <c r="E219" s="52"/>
      <c r="H219" s="61"/>
      <c r="K219"/>
    </row>
    <row r="220" spans="5:11" ht="13.5" customHeight="1" x14ac:dyDescent="0.2">
      <c r="E220" s="52"/>
      <c r="H220" s="61"/>
      <c r="K220"/>
    </row>
    <row r="221" spans="5:11" ht="13.5" customHeight="1" x14ac:dyDescent="0.2">
      <c r="E221" s="52"/>
      <c r="H221" s="61"/>
      <c r="K221"/>
    </row>
    <row r="222" spans="5:11" ht="13.5" customHeight="1" x14ac:dyDescent="0.2">
      <c r="E222" s="52"/>
      <c r="H222" s="61"/>
      <c r="K222"/>
    </row>
    <row r="223" spans="5:11" ht="13.5" customHeight="1" x14ac:dyDescent="0.2">
      <c r="E223" s="52"/>
      <c r="H223" s="61"/>
      <c r="K223"/>
    </row>
    <row r="224" spans="5:11" ht="13.5" customHeight="1" x14ac:dyDescent="0.2">
      <c r="E224" s="52"/>
      <c r="H224" s="61"/>
      <c r="K224"/>
    </row>
    <row r="225" spans="5:11" ht="13.5" customHeight="1" x14ac:dyDescent="0.2">
      <c r="E225" s="52"/>
      <c r="H225" s="61"/>
      <c r="K225"/>
    </row>
    <row r="226" spans="5:11" ht="13.5" customHeight="1" x14ac:dyDescent="0.2">
      <c r="E226" s="52"/>
      <c r="H226" s="61"/>
      <c r="K226"/>
    </row>
    <row r="227" spans="5:11" ht="13.5" customHeight="1" x14ac:dyDescent="0.2">
      <c r="E227" s="52"/>
      <c r="H227" s="61"/>
      <c r="K227"/>
    </row>
    <row r="228" spans="5:11" ht="13.5" customHeight="1" x14ac:dyDescent="0.2">
      <c r="E228" s="52"/>
      <c r="H228" s="61"/>
      <c r="K228"/>
    </row>
    <row r="229" spans="5:11" ht="13.5" customHeight="1" x14ac:dyDescent="0.2">
      <c r="E229" s="52"/>
      <c r="H229" s="61"/>
      <c r="K229"/>
    </row>
    <row r="230" spans="5:11" ht="13.5" customHeight="1" x14ac:dyDescent="0.2">
      <c r="E230" s="52"/>
      <c r="H230" s="61"/>
      <c r="K230"/>
    </row>
    <row r="231" spans="5:11" ht="13.5" customHeight="1" x14ac:dyDescent="0.2">
      <c r="E231" s="52"/>
      <c r="H231" s="61"/>
      <c r="K231"/>
    </row>
    <row r="232" spans="5:11" ht="13.5" customHeight="1" x14ac:dyDescent="0.2">
      <c r="E232" s="52"/>
      <c r="H232" s="61"/>
      <c r="K232"/>
    </row>
    <row r="233" spans="5:11" ht="13.5" customHeight="1" x14ac:dyDescent="0.2">
      <c r="E233" s="52"/>
      <c r="H233" s="61"/>
      <c r="K233"/>
    </row>
    <row r="234" spans="5:11" ht="13.5" customHeight="1" x14ac:dyDescent="0.2">
      <c r="E234" s="52"/>
      <c r="H234" s="61"/>
      <c r="K234"/>
    </row>
    <row r="235" spans="5:11" ht="13.5" customHeight="1" x14ac:dyDescent="0.2">
      <c r="E235" s="52"/>
      <c r="H235" s="61"/>
      <c r="K235"/>
    </row>
    <row r="236" spans="5:11" ht="13.5" customHeight="1" x14ac:dyDescent="0.2">
      <c r="E236" s="52"/>
      <c r="H236" s="61"/>
      <c r="K236"/>
    </row>
    <row r="237" spans="5:11" ht="13.5" customHeight="1" x14ac:dyDescent="0.2">
      <c r="E237" s="52"/>
      <c r="H237" s="61"/>
      <c r="K237"/>
    </row>
    <row r="238" spans="5:11" ht="13.5" customHeight="1" x14ac:dyDescent="0.2">
      <c r="E238" s="52"/>
      <c r="H238" s="61"/>
      <c r="K238"/>
    </row>
    <row r="239" spans="5:11" ht="13.5" customHeight="1" x14ac:dyDescent="0.2">
      <c r="E239" s="52"/>
      <c r="H239" s="61"/>
      <c r="K239"/>
    </row>
    <row r="240" spans="5:11" ht="13.5" customHeight="1" x14ac:dyDescent="0.2">
      <c r="E240" s="52"/>
      <c r="H240" s="61"/>
      <c r="K240"/>
    </row>
    <row r="241" spans="5:11" ht="13.5" customHeight="1" x14ac:dyDescent="0.2">
      <c r="E241" s="52"/>
      <c r="H241" s="61"/>
      <c r="K241"/>
    </row>
    <row r="242" spans="5:11" ht="13.5" customHeight="1" x14ac:dyDescent="0.2">
      <c r="E242" s="52"/>
      <c r="H242" s="61"/>
      <c r="K242"/>
    </row>
    <row r="243" spans="5:11" ht="13.5" customHeight="1" x14ac:dyDescent="0.2">
      <c r="E243" s="52"/>
      <c r="H243" s="61"/>
      <c r="K243"/>
    </row>
    <row r="244" spans="5:11" ht="13.5" customHeight="1" x14ac:dyDescent="0.2">
      <c r="E244" s="52"/>
      <c r="H244" s="61"/>
      <c r="K244"/>
    </row>
    <row r="245" spans="5:11" ht="13.5" customHeight="1" x14ac:dyDescent="0.2">
      <c r="E245" s="52"/>
      <c r="H245" s="61"/>
      <c r="K245"/>
    </row>
    <row r="246" spans="5:11" ht="13.5" customHeight="1" x14ac:dyDescent="0.2">
      <c r="E246" s="52"/>
      <c r="H246" s="61"/>
      <c r="K246"/>
    </row>
    <row r="247" spans="5:11" ht="13.5" customHeight="1" x14ac:dyDescent="0.2">
      <c r="E247" s="52"/>
      <c r="H247" s="61"/>
      <c r="K247"/>
    </row>
    <row r="248" spans="5:11" ht="13.5" customHeight="1" x14ac:dyDescent="0.2">
      <c r="E248" s="52"/>
      <c r="H248" s="61"/>
      <c r="K248"/>
    </row>
    <row r="249" spans="5:11" ht="13.5" customHeight="1" x14ac:dyDescent="0.2">
      <c r="E249" s="52"/>
      <c r="H249" s="61"/>
      <c r="K249"/>
    </row>
    <row r="250" spans="5:11" ht="13.5" customHeight="1" x14ac:dyDescent="0.2">
      <c r="E250" s="52"/>
      <c r="H250" s="61"/>
      <c r="K250"/>
    </row>
    <row r="251" spans="5:11" ht="13.5" customHeight="1" x14ac:dyDescent="0.2">
      <c r="E251" s="52"/>
      <c r="H251" s="61"/>
      <c r="K251"/>
    </row>
    <row r="252" spans="5:11" ht="13.5" customHeight="1" x14ac:dyDescent="0.2">
      <c r="E252" s="52"/>
      <c r="H252" s="61"/>
      <c r="K252"/>
    </row>
    <row r="253" spans="5:11" ht="13.5" customHeight="1" x14ac:dyDescent="0.2">
      <c r="E253" s="52"/>
      <c r="H253" s="61"/>
      <c r="K253"/>
    </row>
    <row r="254" spans="5:11" ht="13.5" customHeight="1" x14ac:dyDescent="0.2">
      <c r="E254" s="52"/>
      <c r="H254" s="61"/>
      <c r="K254"/>
    </row>
    <row r="255" spans="5:11" ht="13.5" customHeight="1" x14ac:dyDescent="0.2">
      <c r="E255" s="52"/>
      <c r="H255" s="61"/>
      <c r="K255"/>
    </row>
    <row r="256" spans="5:11" ht="13.5" customHeight="1" x14ac:dyDescent="0.2">
      <c r="E256" s="52"/>
      <c r="H256" s="61"/>
      <c r="K256"/>
    </row>
    <row r="257" spans="5:11" ht="13.5" customHeight="1" x14ac:dyDescent="0.2">
      <c r="E257" s="52"/>
      <c r="H257" s="61"/>
      <c r="K257"/>
    </row>
    <row r="258" spans="5:11" ht="13.5" customHeight="1" x14ac:dyDescent="0.2">
      <c r="E258" s="52"/>
      <c r="H258" s="61"/>
      <c r="K258"/>
    </row>
    <row r="259" spans="5:11" ht="13.5" customHeight="1" x14ac:dyDescent="0.2">
      <c r="E259" s="52"/>
      <c r="H259" s="61"/>
      <c r="K259"/>
    </row>
    <row r="260" spans="5:11" ht="13.5" customHeight="1" x14ac:dyDescent="0.2">
      <c r="E260" s="52"/>
      <c r="H260" s="61"/>
      <c r="K260"/>
    </row>
    <row r="261" spans="5:11" ht="13.5" customHeight="1" x14ac:dyDescent="0.2">
      <c r="E261" s="52"/>
      <c r="H261" s="61"/>
      <c r="K261"/>
    </row>
    <row r="262" spans="5:11" ht="13.5" customHeight="1" x14ac:dyDescent="0.2">
      <c r="E262" s="52"/>
      <c r="H262" s="61"/>
      <c r="K262"/>
    </row>
    <row r="263" spans="5:11" ht="13.5" customHeight="1" x14ac:dyDescent="0.2">
      <c r="E263" s="52"/>
      <c r="H263" s="61"/>
      <c r="K263"/>
    </row>
    <row r="264" spans="5:11" ht="13.5" customHeight="1" x14ac:dyDescent="0.2">
      <c r="E264" s="52"/>
      <c r="H264" s="61"/>
      <c r="K264"/>
    </row>
    <row r="265" spans="5:11" ht="13.5" customHeight="1" x14ac:dyDescent="0.2">
      <c r="E265" s="52"/>
      <c r="H265" s="61"/>
      <c r="K265"/>
    </row>
    <row r="266" spans="5:11" ht="13.5" customHeight="1" x14ac:dyDescent="0.2">
      <c r="E266" s="52"/>
      <c r="H266" s="61"/>
      <c r="K266"/>
    </row>
    <row r="267" spans="5:11" ht="13.5" customHeight="1" x14ac:dyDescent="0.2">
      <c r="E267" s="52"/>
      <c r="H267" s="61"/>
      <c r="K267"/>
    </row>
    <row r="268" spans="5:11" ht="13.5" customHeight="1" x14ac:dyDescent="0.2">
      <c r="E268" s="52"/>
      <c r="H268" s="61"/>
      <c r="K268"/>
    </row>
    <row r="269" spans="5:11" ht="13.5" customHeight="1" x14ac:dyDescent="0.2">
      <c r="E269" s="52"/>
      <c r="H269" s="61"/>
      <c r="K269"/>
    </row>
    <row r="270" spans="5:11" ht="13.5" customHeight="1" x14ac:dyDescent="0.2">
      <c r="E270" s="52"/>
      <c r="H270" s="61"/>
      <c r="K270"/>
    </row>
    <row r="271" spans="5:11" ht="13.5" customHeight="1" x14ac:dyDescent="0.2">
      <c r="E271" s="52"/>
      <c r="H271" s="61"/>
      <c r="K271"/>
    </row>
    <row r="272" spans="5:11" ht="13.5" customHeight="1" x14ac:dyDescent="0.2">
      <c r="E272" s="52"/>
      <c r="H272" s="61"/>
      <c r="K272"/>
    </row>
    <row r="273" spans="5:11" ht="13.5" customHeight="1" x14ac:dyDescent="0.2">
      <c r="E273" s="52"/>
      <c r="H273" s="61"/>
      <c r="K273"/>
    </row>
    <row r="274" spans="5:11" ht="13.5" customHeight="1" x14ac:dyDescent="0.2">
      <c r="E274" s="52"/>
      <c r="H274" s="61"/>
      <c r="K274"/>
    </row>
    <row r="275" spans="5:11" ht="13.5" customHeight="1" x14ac:dyDescent="0.2">
      <c r="E275" s="52"/>
      <c r="H275" s="61"/>
      <c r="K275"/>
    </row>
    <row r="276" spans="5:11" ht="13.5" customHeight="1" x14ac:dyDescent="0.2">
      <c r="E276" s="52"/>
      <c r="H276" s="61"/>
      <c r="K276"/>
    </row>
    <row r="277" spans="5:11" ht="13.5" customHeight="1" x14ac:dyDescent="0.2">
      <c r="E277" s="52"/>
      <c r="H277" s="61"/>
      <c r="K277"/>
    </row>
    <row r="278" spans="5:11" ht="13.5" customHeight="1" x14ac:dyDescent="0.2">
      <c r="E278" s="52"/>
      <c r="H278" s="61"/>
      <c r="K278"/>
    </row>
    <row r="279" spans="5:11" ht="13.5" customHeight="1" x14ac:dyDescent="0.2">
      <c r="E279" s="52"/>
      <c r="H279" s="61"/>
      <c r="K279"/>
    </row>
    <row r="280" spans="5:11" ht="13.5" customHeight="1" x14ac:dyDescent="0.2">
      <c r="E280" s="52"/>
      <c r="H280" s="61"/>
      <c r="K280"/>
    </row>
    <row r="281" spans="5:11" ht="13.5" customHeight="1" x14ac:dyDescent="0.2">
      <c r="E281" s="52"/>
      <c r="H281" s="61"/>
      <c r="K281"/>
    </row>
    <row r="282" spans="5:11" ht="13.5" customHeight="1" x14ac:dyDescent="0.2">
      <c r="E282" s="52"/>
      <c r="H282" s="61"/>
      <c r="K282"/>
    </row>
    <row r="283" spans="5:11" ht="13.5" customHeight="1" x14ac:dyDescent="0.2">
      <c r="E283" s="52"/>
      <c r="H283" s="61"/>
      <c r="K283"/>
    </row>
    <row r="284" spans="5:11" ht="13.5" customHeight="1" x14ac:dyDescent="0.2">
      <c r="E284" s="52"/>
      <c r="H284" s="61"/>
      <c r="K284"/>
    </row>
    <row r="285" spans="5:11" ht="13.5" customHeight="1" x14ac:dyDescent="0.2">
      <c r="E285" s="52"/>
      <c r="H285" s="61"/>
      <c r="K285"/>
    </row>
    <row r="286" spans="5:11" ht="13.5" customHeight="1" x14ac:dyDescent="0.2">
      <c r="E286" s="52"/>
      <c r="H286" s="61"/>
      <c r="K286"/>
    </row>
    <row r="287" spans="5:11" ht="13.5" customHeight="1" x14ac:dyDescent="0.2">
      <c r="E287" s="52"/>
      <c r="H287" s="61"/>
      <c r="K287"/>
    </row>
    <row r="288" spans="5:11" ht="13.5" customHeight="1" x14ac:dyDescent="0.2">
      <c r="E288" s="52"/>
      <c r="H288" s="61"/>
      <c r="K288"/>
    </row>
    <row r="289" spans="5:11" ht="13.5" customHeight="1" x14ac:dyDescent="0.2">
      <c r="E289" s="52"/>
      <c r="H289" s="61"/>
      <c r="K289"/>
    </row>
    <row r="290" spans="5:11" ht="13.5" customHeight="1" x14ac:dyDescent="0.2">
      <c r="E290" s="52"/>
      <c r="H290" s="61"/>
      <c r="K290"/>
    </row>
    <row r="291" spans="5:11" ht="13.5" customHeight="1" x14ac:dyDescent="0.2">
      <c r="E291" s="52"/>
      <c r="H291" s="61"/>
      <c r="K291"/>
    </row>
    <row r="292" spans="5:11" ht="13.5" customHeight="1" x14ac:dyDescent="0.2">
      <c r="E292" s="52"/>
      <c r="H292" s="61"/>
      <c r="K292"/>
    </row>
    <row r="293" spans="5:11" ht="13.5" customHeight="1" x14ac:dyDescent="0.2">
      <c r="E293" s="52"/>
      <c r="H293" s="61"/>
      <c r="K293"/>
    </row>
    <row r="294" spans="5:11" ht="13.5" customHeight="1" x14ac:dyDescent="0.2">
      <c r="E294" s="52"/>
      <c r="H294" s="61"/>
      <c r="K294"/>
    </row>
    <row r="295" spans="5:11" ht="13.5" customHeight="1" x14ac:dyDescent="0.2">
      <c r="E295" s="52"/>
      <c r="H295" s="61"/>
      <c r="K295"/>
    </row>
    <row r="296" spans="5:11" ht="13.5" customHeight="1" x14ac:dyDescent="0.2">
      <c r="E296" s="52"/>
      <c r="H296" s="61"/>
      <c r="K296"/>
    </row>
    <row r="297" spans="5:11" ht="13.5" customHeight="1" x14ac:dyDescent="0.2">
      <c r="E297" s="52"/>
      <c r="H297" s="61"/>
      <c r="K297"/>
    </row>
    <row r="298" spans="5:11" ht="13.5" customHeight="1" x14ac:dyDescent="0.2">
      <c r="E298" s="52"/>
      <c r="H298" s="61"/>
      <c r="K298"/>
    </row>
    <row r="299" spans="5:11" ht="13.5" customHeight="1" x14ac:dyDescent="0.2">
      <c r="E299" s="52"/>
      <c r="H299" s="61"/>
      <c r="K299"/>
    </row>
    <row r="300" spans="5:11" ht="13.5" customHeight="1" x14ac:dyDescent="0.2">
      <c r="E300" s="52"/>
      <c r="H300" s="61"/>
      <c r="K300"/>
    </row>
    <row r="301" spans="5:11" ht="13.5" customHeight="1" x14ac:dyDescent="0.2">
      <c r="E301" s="52"/>
      <c r="H301" s="61"/>
      <c r="K301"/>
    </row>
    <row r="302" spans="5:11" ht="13.5" customHeight="1" x14ac:dyDescent="0.2">
      <c r="E302" s="52"/>
      <c r="H302" s="61"/>
      <c r="K302"/>
    </row>
    <row r="303" spans="5:11" ht="13.5" customHeight="1" x14ac:dyDescent="0.2">
      <c r="E303" s="52"/>
      <c r="H303" s="61"/>
      <c r="K303"/>
    </row>
    <row r="304" spans="5:11" ht="13.5" customHeight="1" x14ac:dyDescent="0.2">
      <c r="E304" s="52"/>
      <c r="H304" s="61"/>
      <c r="K304"/>
    </row>
    <row r="305" spans="5:11" ht="13.5" customHeight="1" x14ac:dyDescent="0.2">
      <c r="E305" s="52"/>
      <c r="H305" s="61"/>
      <c r="K305"/>
    </row>
    <row r="306" spans="5:11" ht="13.5" customHeight="1" x14ac:dyDescent="0.2">
      <c r="E306" s="52"/>
      <c r="H306" s="61"/>
      <c r="K306"/>
    </row>
    <row r="307" spans="5:11" ht="13.5" customHeight="1" x14ac:dyDescent="0.2">
      <c r="E307" s="52"/>
      <c r="H307" s="61"/>
      <c r="K307"/>
    </row>
    <row r="308" spans="5:11" ht="13.5" customHeight="1" x14ac:dyDescent="0.2">
      <c r="E308" s="52"/>
      <c r="H308" s="61"/>
      <c r="K308"/>
    </row>
    <row r="309" spans="5:11" ht="13.5" customHeight="1" x14ac:dyDescent="0.2">
      <c r="E309" s="52"/>
      <c r="H309" s="61"/>
      <c r="K309"/>
    </row>
    <row r="310" spans="5:11" ht="13.5" customHeight="1" x14ac:dyDescent="0.2">
      <c r="E310" s="52"/>
      <c r="H310" s="61"/>
      <c r="K310"/>
    </row>
    <row r="311" spans="5:11" ht="13.5" customHeight="1" x14ac:dyDescent="0.2">
      <c r="E311" s="52"/>
      <c r="H311" s="61"/>
      <c r="K311"/>
    </row>
    <row r="312" spans="5:11" ht="13.5" customHeight="1" x14ac:dyDescent="0.2">
      <c r="E312" s="52"/>
      <c r="H312" s="61"/>
      <c r="K312"/>
    </row>
    <row r="313" spans="5:11" ht="13.5" customHeight="1" x14ac:dyDescent="0.2">
      <c r="E313" s="52"/>
      <c r="H313" s="61"/>
      <c r="K313"/>
    </row>
    <row r="314" spans="5:11" ht="13.5" customHeight="1" x14ac:dyDescent="0.2">
      <c r="E314" s="52"/>
      <c r="H314" s="61"/>
      <c r="K314"/>
    </row>
    <row r="315" spans="5:11" ht="13.5" customHeight="1" x14ac:dyDescent="0.2">
      <c r="E315" s="52"/>
      <c r="H315" s="61"/>
      <c r="K315"/>
    </row>
    <row r="316" spans="5:11" ht="13.5" customHeight="1" x14ac:dyDescent="0.2">
      <c r="E316" s="52"/>
      <c r="H316" s="61"/>
      <c r="K316"/>
    </row>
    <row r="317" spans="5:11" ht="13.5" customHeight="1" x14ac:dyDescent="0.2">
      <c r="E317" s="52"/>
      <c r="H317" s="61"/>
      <c r="K317"/>
    </row>
    <row r="318" spans="5:11" ht="13.5" customHeight="1" x14ac:dyDescent="0.2">
      <c r="E318" s="52"/>
      <c r="H318" s="61"/>
      <c r="K318"/>
    </row>
    <row r="319" spans="5:11" ht="14.25" customHeight="1" x14ac:dyDescent="0.2">
      <c r="E319" s="52"/>
      <c r="H319" s="61"/>
      <c r="K319"/>
    </row>
    <row r="320" spans="5:11" ht="14.25" customHeight="1" x14ac:dyDescent="0.2">
      <c r="E320" s="52"/>
      <c r="H320" s="61"/>
      <c r="K320"/>
    </row>
    <row r="321" spans="5:11" ht="14.25" customHeight="1" x14ac:dyDescent="0.2">
      <c r="E321" s="52"/>
      <c r="H321" s="61"/>
      <c r="K321"/>
    </row>
    <row r="322" spans="5:11" ht="14.25" customHeight="1" x14ac:dyDescent="0.2">
      <c r="E322" s="52"/>
      <c r="H322" s="61"/>
      <c r="K322"/>
    </row>
    <row r="323" spans="5:11" ht="14.25" customHeight="1" x14ac:dyDescent="0.2">
      <c r="E323" s="52"/>
      <c r="H323" s="61"/>
      <c r="K323"/>
    </row>
    <row r="324" spans="5:11" ht="14.25" customHeight="1" x14ac:dyDescent="0.2">
      <c r="E324" s="52"/>
      <c r="H324" s="61"/>
      <c r="K324"/>
    </row>
    <row r="325" spans="5:11" ht="14.25" customHeight="1" x14ac:dyDescent="0.2">
      <c r="E325" s="52"/>
      <c r="H325" s="61"/>
      <c r="K325"/>
    </row>
    <row r="326" spans="5:11" ht="14.25" customHeight="1" x14ac:dyDescent="0.2">
      <c r="E326" s="52"/>
      <c r="H326" s="61"/>
      <c r="K326"/>
    </row>
    <row r="327" spans="5:11" ht="14.25" customHeight="1" x14ac:dyDescent="0.2">
      <c r="E327" s="52"/>
      <c r="H327" s="61"/>
      <c r="K327"/>
    </row>
    <row r="328" spans="5:11" ht="14.25" customHeight="1" x14ac:dyDescent="0.2">
      <c r="E328" s="52"/>
      <c r="H328" s="61"/>
      <c r="K328"/>
    </row>
    <row r="329" spans="5:11" ht="14.25" customHeight="1" x14ac:dyDescent="0.2">
      <c r="E329" s="52"/>
      <c r="H329" s="61"/>
      <c r="K329"/>
    </row>
    <row r="330" spans="5:11" ht="14.25" customHeight="1" x14ac:dyDescent="0.2">
      <c r="E330" s="52"/>
      <c r="H330" s="61"/>
      <c r="K330"/>
    </row>
    <row r="331" spans="5:11" ht="14.25" customHeight="1" x14ac:dyDescent="0.2">
      <c r="E331" s="52"/>
      <c r="H331" s="61"/>
      <c r="K331"/>
    </row>
    <row r="332" spans="5:11" ht="14.25" customHeight="1" x14ac:dyDescent="0.2">
      <c r="E332" s="52"/>
      <c r="H332" s="61"/>
      <c r="K332"/>
    </row>
    <row r="333" spans="5:11" ht="14.25" customHeight="1" x14ac:dyDescent="0.2">
      <c r="E333" s="52"/>
      <c r="H333" s="61"/>
      <c r="K333"/>
    </row>
    <row r="334" spans="5:11" ht="14.25" customHeight="1" x14ac:dyDescent="0.2">
      <c r="E334" s="52"/>
      <c r="H334" s="61"/>
      <c r="K334"/>
    </row>
    <row r="335" spans="5:11" ht="14.25" customHeight="1" x14ac:dyDescent="0.2">
      <c r="E335" s="52"/>
      <c r="H335" s="61"/>
      <c r="K335"/>
    </row>
    <row r="336" spans="5:11" ht="14.25" customHeight="1" x14ac:dyDescent="0.2">
      <c r="E336" s="52"/>
      <c r="H336" s="61"/>
      <c r="K336"/>
    </row>
    <row r="337" spans="5:11" ht="14.25" customHeight="1" x14ac:dyDescent="0.2">
      <c r="E337" s="52"/>
      <c r="H337" s="61"/>
      <c r="K337"/>
    </row>
    <row r="338" spans="5:11" ht="14.25" customHeight="1" x14ac:dyDescent="0.2">
      <c r="E338" s="52"/>
      <c r="H338" s="61"/>
      <c r="K338"/>
    </row>
    <row r="339" spans="5:11" ht="14.25" customHeight="1" x14ac:dyDescent="0.2">
      <c r="E339" s="52"/>
      <c r="H339" s="61"/>
      <c r="K339"/>
    </row>
    <row r="340" spans="5:11" ht="14.25" customHeight="1" x14ac:dyDescent="0.2">
      <c r="E340" s="52"/>
      <c r="H340" s="61"/>
      <c r="K340"/>
    </row>
    <row r="341" spans="5:11" ht="14.25" customHeight="1" x14ac:dyDescent="0.2">
      <c r="E341" s="52"/>
      <c r="H341" s="61"/>
      <c r="K341"/>
    </row>
    <row r="342" spans="5:11" ht="14.25" customHeight="1" x14ac:dyDescent="0.2">
      <c r="E342" s="52"/>
      <c r="H342" s="61"/>
      <c r="K342"/>
    </row>
    <row r="343" spans="5:11" ht="14.25" customHeight="1" x14ac:dyDescent="0.2">
      <c r="E343" s="52"/>
      <c r="H343" s="61"/>
      <c r="K343"/>
    </row>
    <row r="344" spans="5:11" ht="14.25" customHeight="1" x14ac:dyDescent="0.2">
      <c r="E344" s="52"/>
      <c r="H344" s="61"/>
      <c r="K344"/>
    </row>
    <row r="345" spans="5:11" ht="14.25" customHeight="1" x14ac:dyDescent="0.2">
      <c r="E345" s="52"/>
      <c r="H345" s="61"/>
      <c r="K345"/>
    </row>
    <row r="346" spans="5:11" ht="14.25" customHeight="1" x14ac:dyDescent="0.2">
      <c r="E346" s="52"/>
      <c r="H346" s="61"/>
      <c r="K346"/>
    </row>
    <row r="347" spans="5:11" ht="14.25" customHeight="1" x14ac:dyDescent="0.2">
      <c r="E347" s="52"/>
      <c r="H347" s="61"/>
      <c r="K347"/>
    </row>
    <row r="348" spans="5:11" ht="14.25" customHeight="1" x14ac:dyDescent="0.2">
      <c r="E348" s="52"/>
      <c r="H348" s="61"/>
      <c r="K348"/>
    </row>
    <row r="349" spans="5:11" ht="14.25" customHeight="1" x14ac:dyDescent="0.2">
      <c r="E349" s="52"/>
      <c r="H349" s="61"/>
      <c r="K349"/>
    </row>
    <row r="350" spans="5:11" ht="14.25" customHeight="1" x14ac:dyDescent="0.2">
      <c r="E350" s="52"/>
      <c r="H350" s="61"/>
      <c r="K350"/>
    </row>
    <row r="351" spans="5:11" ht="14.25" customHeight="1" x14ac:dyDescent="0.2">
      <c r="E351" s="52"/>
      <c r="H351" s="61"/>
      <c r="K351"/>
    </row>
    <row r="352" spans="5:11" ht="14.25" customHeight="1" x14ac:dyDescent="0.2">
      <c r="E352" s="52"/>
      <c r="H352" s="61"/>
      <c r="K352"/>
    </row>
    <row r="353" spans="5:11" ht="14.25" customHeight="1" x14ac:dyDescent="0.2">
      <c r="E353" s="52"/>
      <c r="H353" s="61"/>
      <c r="K353"/>
    </row>
    <row r="354" spans="5:11" ht="14.25" customHeight="1" x14ac:dyDescent="0.2">
      <c r="E354" s="52"/>
      <c r="H354" s="61"/>
      <c r="K354"/>
    </row>
    <row r="355" spans="5:11" ht="14.25" customHeight="1" x14ac:dyDescent="0.2">
      <c r="E355" s="52"/>
      <c r="H355" s="61"/>
      <c r="K355"/>
    </row>
    <row r="356" spans="5:11" ht="14.25" customHeight="1" x14ac:dyDescent="0.2">
      <c r="E356" s="52"/>
      <c r="H356" s="61"/>
      <c r="K356"/>
    </row>
    <row r="357" spans="5:11" ht="14.25" customHeight="1" x14ac:dyDescent="0.2">
      <c r="E357" s="52"/>
      <c r="H357" s="61"/>
      <c r="K357"/>
    </row>
    <row r="358" spans="5:11" ht="14.25" customHeight="1" x14ac:dyDescent="0.2">
      <c r="E358" s="52"/>
      <c r="H358" s="61"/>
      <c r="K358"/>
    </row>
    <row r="359" spans="5:11" ht="14.25" customHeight="1" x14ac:dyDescent="0.2">
      <c r="E359" s="52"/>
      <c r="H359" s="61"/>
      <c r="K359"/>
    </row>
    <row r="360" spans="5:11" ht="14.25" customHeight="1" x14ac:dyDescent="0.2">
      <c r="E360" s="52"/>
      <c r="H360" s="61"/>
      <c r="K360"/>
    </row>
    <row r="361" spans="5:11" ht="14.25" customHeight="1" x14ac:dyDescent="0.2">
      <c r="E361" s="52"/>
      <c r="H361" s="61"/>
      <c r="K361"/>
    </row>
    <row r="362" spans="5:11" ht="14.25" customHeight="1" x14ac:dyDescent="0.2">
      <c r="E362" s="52"/>
      <c r="H362" s="61"/>
      <c r="K362"/>
    </row>
    <row r="363" spans="5:11" ht="14.25" customHeight="1" x14ac:dyDescent="0.2">
      <c r="E363" s="52"/>
      <c r="H363" s="61"/>
      <c r="K363"/>
    </row>
    <row r="364" spans="5:11" ht="14.25" customHeight="1" x14ac:dyDescent="0.2">
      <c r="E364" s="52"/>
      <c r="H364" s="61"/>
      <c r="K364"/>
    </row>
    <row r="365" spans="5:11" ht="14.25" customHeight="1" x14ac:dyDescent="0.2">
      <c r="E365" s="52"/>
      <c r="H365" s="61"/>
      <c r="K365"/>
    </row>
    <row r="366" spans="5:11" ht="14.25" customHeight="1" x14ac:dyDescent="0.2">
      <c r="E366" s="52"/>
      <c r="H366" s="61"/>
      <c r="K366"/>
    </row>
    <row r="367" spans="5:11" ht="14.25" customHeight="1" x14ac:dyDescent="0.2">
      <c r="E367" s="52"/>
      <c r="H367" s="61"/>
      <c r="K367"/>
    </row>
    <row r="368" spans="5:11" ht="14.25" customHeight="1" x14ac:dyDescent="0.2">
      <c r="E368" s="52"/>
      <c r="H368" s="61"/>
      <c r="K368"/>
    </row>
    <row r="369" spans="5:11" ht="14.25" customHeight="1" x14ac:dyDescent="0.2">
      <c r="E369" s="52"/>
      <c r="H369" s="61"/>
      <c r="K369"/>
    </row>
    <row r="370" spans="5:11" ht="14.25" customHeight="1" x14ac:dyDescent="0.2">
      <c r="E370" s="52"/>
      <c r="H370" s="61"/>
      <c r="K370"/>
    </row>
    <row r="371" spans="5:11" ht="14.25" customHeight="1" x14ac:dyDescent="0.2">
      <c r="E371" s="52"/>
      <c r="H371" s="61"/>
      <c r="K371"/>
    </row>
    <row r="372" spans="5:11" ht="14.25" customHeight="1" x14ac:dyDescent="0.2">
      <c r="E372" s="52"/>
      <c r="H372" s="61"/>
      <c r="K372"/>
    </row>
    <row r="373" spans="5:11" ht="14.25" customHeight="1" x14ac:dyDescent="0.2">
      <c r="E373" s="52"/>
      <c r="H373" s="61"/>
      <c r="K373"/>
    </row>
    <row r="374" spans="5:11" ht="14.25" customHeight="1" x14ac:dyDescent="0.2">
      <c r="E374" s="52"/>
      <c r="H374" s="61"/>
      <c r="K374"/>
    </row>
    <row r="375" spans="5:11" ht="14.25" customHeight="1" x14ac:dyDescent="0.2">
      <c r="E375" s="52"/>
      <c r="H375" s="61"/>
      <c r="K375"/>
    </row>
    <row r="376" spans="5:11" ht="14.25" customHeight="1" x14ac:dyDescent="0.2">
      <c r="E376" s="52"/>
      <c r="H376" s="61"/>
      <c r="K376"/>
    </row>
    <row r="377" spans="5:11" ht="14.25" customHeight="1" x14ac:dyDescent="0.2">
      <c r="E377" s="52"/>
      <c r="H377" s="61"/>
      <c r="K377"/>
    </row>
    <row r="378" spans="5:11" ht="14.25" customHeight="1" x14ac:dyDescent="0.2">
      <c r="E378" s="52"/>
      <c r="H378" s="61"/>
      <c r="K378"/>
    </row>
    <row r="379" spans="5:11" ht="14.25" customHeight="1" x14ac:dyDescent="0.2">
      <c r="E379" s="52"/>
      <c r="H379" s="61"/>
      <c r="K379"/>
    </row>
    <row r="380" spans="5:11" ht="14.25" customHeight="1" x14ac:dyDescent="0.2">
      <c r="E380" s="52"/>
      <c r="H380" s="61"/>
      <c r="K380"/>
    </row>
    <row r="381" spans="5:11" ht="14.25" customHeight="1" x14ac:dyDescent="0.2">
      <c r="E381" s="52"/>
      <c r="H381" s="61"/>
      <c r="K381"/>
    </row>
    <row r="382" spans="5:11" ht="14.25" customHeight="1" x14ac:dyDescent="0.2">
      <c r="E382" s="52"/>
      <c r="H382" s="61"/>
      <c r="K382"/>
    </row>
    <row r="383" spans="5:11" ht="14.25" customHeight="1" x14ac:dyDescent="0.2">
      <c r="E383" s="52"/>
      <c r="H383" s="61"/>
      <c r="K383"/>
    </row>
    <row r="384" spans="5:11" ht="14.25" customHeight="1" x14ac:dyDescent="0.2">
      <c r="E384" s="52"/>
      <c r="H384" s="61"/>
      <c r="K384"/>
    </row>
    <row r="385" spans="5:11" ht="14.25" customHeight="1" x14ac:dyDescent="0.2">
      <c r="E385" s="52"/>
      <c r="H385" s="61"/>
      <c r="K385"/>
    </row>
    <row r="386" spans="5:11" ht="14.25" customHeight="1" x14ac:dyDescent="0.2">
      <c r="E386" s="52"/>
      <c r="H386" s="61"/>
      <c r="K386"/>
    </row>
    <row r="387" spans="5:11" ht="14.25" customHeight="1" x14ac:dyDescent="0.2">
      <c r="E387" s="52"/>
      <c r="H387" s="61"/>
      <c r="K387"/>
    </row>
    <row r="388" spans="5:11" ht="14.25" customHeight="1" x14ac:dyDescent="0.2">
      <c r="E388" s="52"/>
      <c r="H388" s="61"/>
      <c r="K388"/>
    </row>
    <row r="389" spans="5:11" ht="14.25" customHeight="1" x14ac:dyDescent="0.2">
      <c r="E389" s="52"/>
      <c r="H389" s="61"/>
      <c r="K389"/>
    </row>
    <row r="390" spans="5:11" ht="14.25" customHeight="1" x14ac:dyDescent="0.2">
      <c r="E390" s="52"/>
      <c r="H390" s="61"/>
      <c r="K390"/>
    </row>
    <row r="391" spans="5:11" ht="14.25" customHeight="1" x14ac:dyDescent="0.2">
      <c r="E391" s="52"/>
      <c r="H391" s="61"/>
      <c r="K391"/>
    </row>
    <row r="392" spans="5:11" ht="14.25" customHeight="1" x14ac:dyDescent="0.2">
      <c r="E392" s="52"/>
      <c r="H392" s="61"/>
      <c r="K392"/>
    </row>
    <row r="393" spans="5:11" ht="14.25" customHeight="1" x14ac:dyDescent="0.2">
      <c r="E393" s="52"/>
      <c r="H393" s="61"/>
      <c r="K393"/>
    </row>
    <row r="394" spans="5:11" ht="14.25" customHeight="1" x14ac:dyDescent="0.2">
      <c r="E394" s="52"/>
      <c r="H394" s="61"/>
      <c r="K394"/>
    </row>
    <row r="395" spans="5:11" ht="14.25" customHeight="1" x14ac:dyDescent="0.2">
      <c r="E395" s="52"/>
      <c r="H395" s="61"/>
      <c r="K395"/>
    </row>
    <row r="396" spans="5:11" ht="14.25" customHeight="1" x14ac:dyDescent="0.2">
      <c r="E396" s="52"/>
      <c r="H396" s="61"/>
      <c r="K396"/>
    </row>
    <row r="397" spans="5:11" ht="14.25" customHeight="1" x14ac:dyDescent="0.2">
      <c r="E397" s="52"/>
      <c r="H397" s="61"/>
      <c r="K397"/>
    </row>
    <row r="398" spans="5:11" ht="14.25" customHeight="1" x14ac:dyDescent="0.2">
      <c r="E398" s="52"/>
      <c r="H398" s="61"/>
      <c r="K398"/>
    </row>
    <row r="399" spans="5:11" ht="14.25" customHeight="1" x14ac:dyDescent="0.2">
      <c r="E399" s="52"/>
      <c r="H399" s="61"/>
      <c r="K399"/>
    </row>
    <row r="400" spans="5:11" ht="14.25" customHeight="1" x14ac:dyDescent="0.2">
      <c r="E400" s="52"/>
      <c r="H400" s="61"/>
      <c r="K400"/>
    </row>
    <row r="401" spans="5:11" ht="14.25" customHeight="1" x14ac:dyDescent="0.2">
      <c r="E401" s="52"/>
      <c r="H401" s="61"/>
      <c r="K401"/>
    </row>
    <row r="402" spans="5:11" ht="14.25" customHeight="1" x14ac:dyDescent="0.2">
      <c r="E402" s="52"/>
      <c r="H402" s="61"/>
      <c r="K402"/>
    </row>
    <row r="403" spans="5:11" ht="14.25" customHeight="1" x14ac:dyDescent="0.2">
      <c r="E403" s="52"/>
      <c r="H403" s="61"/>
      <c r="K403"/>
    </row>
    <row r="404" spans="5:11" ht="14.25" customHeight="1" x14ac:dyDescent="0.2">
      <c r="E404" s="52"/>
      <c r="H404" s="61"/>
      <c r="K404"/>
    </row>
    <row r="405" spans="5:11" ht="14.25" customHeight="1" x14ac:dyDescent="0.2">
      <c r="E405" s="52"/>
      <c r="H405" s="61"/>
      <c r="K405"/>
    </row>
    <row r="406" spans="5:11" ht="14.25" customHeight="1" x14ac:dyDescent="0.2">
      <c r="E406" s="52"/>
      <c r="H406" s="61"/>
      <c r="K406"/>
    </row>
    <row r="407" spans="5:11" ht="14.25" customHeight="1" x14ac:dyDescent="0.2">
      <c r="E407" s="52"/>
      <c r="H407" s="61"/>
      <c r="K407"/>
    </row>
    <row r="408" spans="5:11" ht="14.25" customHeight="1" x14ac:dyDescent="0.2">
      <c r="E408" s="52"/>
      <c r="H408" s="61"/>
      <c r="K408"/>
    </row>
    <row r="409" spans="5:11" ht="14.25" customHeight="1" x14ac:dyDescent="0.2">
      <c r="E409" s="52"/>
      <c r="H409" s="61"/>
      <c r="K409"/>
    </row>
    <row r="410" spans="5:11" ht="14.25" customHeight="1" x14ac:dyDescent="0.2">
      <c r="E410" s="52"/>
      <c r="H410" s="61"/>
      <c r="K410"/>
    </row>
    <row r="411" spans="5:11" ht="14.25" customHeight="1" x14ac:dyDescent="0.2">
      <c r="E411" s="52"/>
      <c r="H411" s="61"/>
      <c r="K411"/>
    </row>
    <row r="412" spans="5:11" ht="14.25" customHeight="1" x14ac:dyDescent="0.2">
      <c r="E412" s="52"/>
      <c r="H412" s="61"/>
      <c r="K412"/>
    </row>
    <row r="413" spans="5:11" ht="14.25" customHeight="1" x14ac:dyDescent="0.2">
      <c r="E413" s="52"/>
      <c r="H413" s="61"/>
      <c r="K413"/>
    </row>
    <row r="414" spans="5:11" ht="14.25" customHeight="1" x14ac:dyDescent="0.2">
      <c r="E414" s="52"/>
      <c r="H414" s="61"/>
      <c r="K414"/>
    </row>
    <row r="415" spans="5:11" ht="14.25" customHeight="1" x14ac:dyDescent="0.2">
      <c r="E415" s="52"/>
      <c r="H415" s="61"/>
      <c r="K415"/>
    </row>
    <row r="416" spans="5:11" ht="14.25" customHeight="1" x14ac:dyDescent="0.2">
      <c r="E416" s="52"/>
      <c r="H416" s="61"/>
      <c r="K416"/>
    </row>
    <row r="417" spans="5:11" ht="14.25" customHeight="1" x14ac:dyDescent="0.2">
      <c r="E417" s="52"/>
      <c r="H417" s="61"/>
      <c r="K417"/>
    </row>
    <row r="418" spans="5:11" ht="14.25" customHeight="1" x14ac:dyDescent="0.2">
      <c r="E418" s="52"/>
      <c r="H418" s="61"/>
      <c r="K418"/>
    </row>
    <row r="419" spans="5:11" ht="14.25" customHeight="1" x14ac:dyDescent="0.2">
      <c r="E419" s="52"/>
      <c r="H419" s="61"/>
      <c r="K419"/>
    </row>
    <row r="420" spans="5:11" ht="14.25" customHeight="1" x14ac:dyDescent="0.2">
      <c r="E420" s="52"/>
      <c r="H420" s="61"/>
      <c r="K420"/>
    </row>
    <row r="421" spans="5:11" ht="14.25" customHeight="1" x14ac:dyDescent="0.2">
      <c r="E421" s="52"/>
      <c r="H421" s="61"/>
      <c r="K421"/>
    </row>
    <row r="422" spans="5:11" ht="14.25" customHeight="1" x14ac:dyDescent="0.2">
      <c r="E422" s="52"/>
      <c r="H422" s="61"/>
      <c r="K422"/>
    </row>
    <row r="423" spans="5:11" ht="14.25" customHeight="1" x14ac:dyDescent="0.2">
      <c r="E423" s="52"/>
      <c r="H423" s="61"/>
      <c r="K423"/>
    </row>
    <row r="424" spans="5:11" ht="14.25" customHeight="1" x14ac:dyDescent="0.2">
      <c r="E424" s="52"/>
      <c r="H424" s="61"/>
      <c r="K424"/>
    </row>
    <row r="425" spans="5:11" ht="14.25" customHeight="1" x14ac:dyDescent="0.2">
      <c r="E425" s="52"/>
      <c r="H425" s="61"/>
      <c r="K425"/>
    </row>
    <row r="426" spans="5:11" ht="14.25" customHeight="1" x14ac:dyDescent="0.2">
      <c r="E426" s="52"/>
      <c r="H426" s="61"/>
      <c r="K426"/>
    </row>
    <row r="427" spans="5:11" ht="14.25" customHeight="1" x14ac:dyDescent="0.2">
      <c r="E427" s="52"/>
      <c r="H427" s="61"/>
      <c r="K427"/>
    </row>
    <row r="428" spans="5:11" ht="14.25" customHeight="1" x14ac:dyDescent="0.2">
      <c r="E428" s="52"/>
      <c r="H428" s="61"/>
      <c r="K428"/>
    </row>
    <row r="429" spans="5:11" ht="14.25" customHeight="1" x14ac:dyDescent="0.2">
      <c r="E429" s="52"/>
      <c r="H429" s="61"/>
      <c r="K429"/>
    </row>
    <row r="430" spans="5:11" ht="14.25" customHeight="1" x14ac:dyDescent="0.2">
      <c r="E430" s="52"/>
      <c r="H430" s="61"/>
      <c r="K430"/>
    </row>
    <row r="431" spans="5:11" ht="14.25" customHeight="1" x14ac:dyDescent="0.2">
      <c r="E431" s="52"/>
      <c r="H431" s="61"/>
      <c r="K431"/>
    </row>
    <row r="432" spans="5:11" ht="14.25" customHeight="1" x14ac:dyDescent="0.2">
      <c r="E432" s="52"/>
      <c r="H432" s="61"/>
      <c r="K432"/>
    </row>
    <row r="433" spans="5:11" ht="14.25" customHeight="1" x14ac:dyDescent="0.2">
      <c r="E433" s="52"/>
      <c r="H433" s="61"/>
      <c r="K433"/>
    </row>
    <row r="434" spans="5:11" ht="14.25" customHeight="1" x14ac:dyDescent="0.2">
      <c r="E434" s="52"/>
      <c r="H434" s="61"/>
      <c r="K434"/>
    </row>
    <row r="435" spans="5:11" ht="14.25" customHeight="1" x14ac:dyDescent="0.2">
      <c r="E435" s="52"/>
      <c r="H435" s="61"/>
      <c r="K435"/>
    </row>
    <row r="436" spans="5:11" ht="14.25" customHeight="1" x14ac:dyDescent="0.2">
      <c r="E436" s="52"/>
      <c r="H436" s="61"/>
      <c r="K436"/>
    </row>
    <row r="437" spans="5:11" ht="14.25" customHeight="1" x14ac:dyDescent="0.2">
      <c r="E437" s="52"/>
      <c r="H437" s="61"/>
      <c r="K437"/>
    </row>
    <row r="438" spans="5:11" ht="14.25" customHeight="1" x14ac:dyDescent="0.2">
      <c r="E438" s="52"/>
      <c r="H438" s="61"/>
      <c r="K438"/>
    </row>
    <row r="439" spans="5:11" ht="14.25" customHeight="1" x14ac:dyDescent="0.2">
      <c r="E439" s="52"/>
      <c r="H439" s="61"/>
      <c r="K439"/>
    </row>
    <row r="440" spans="5:11" ht="14.25" customHeight="1" x14ac:dyDescent="0.2">
      <c r="E440" s="52"/>
      <c r="H440" s="61"/>
      <c r="K440"/>
    </row>
    <row r="441" spans="5:11" ht="14.25" customHeight="1" x14ac:dyDescent="0.2">
      <c r="E441" s="52"/>
      <c r="H441" s="61"/>
      <c r="K441"/>
    </row>
    <row r="442" spans="5:11" ht="14.25" customHeight="1" x14ac:dyDescent="0.2">
      <c r="E442" s="52"/>
      <c r="H442" s="61"/>
      <c r="K442"/>
    </row>
    <row r="443" spans="5:11" ht="14.25" customHeight="1" x14ac:dyDescent="0.2">
      <c r="E443" s="52"/>
      <c r="H443" s="61"/>
      <c r="K443"/>
    </row>
    <row r="444" spans="5:11" ht="14.25" customHeight="1" x14ac:dyDescent="0.2">
      <c r="E444" s="52"/>
      <c r="H444" s="61"/>
      <c r="K444"/>
    </row>
    <row r="445" spans="5:11" ht="14.25" customHeight="1" x14ac:dyDescent="0.2">
      <c r="E445" s="52"/>
      <c r="H445" s="61"/>
      <c r="K445"/>
    </row>
    <row r="446" spans="5:11" ht="14.25" customHeight="1" x14ac:dyDescent="0.2">
      <c r="E446" s="52"/>
      <c r="H446" s="61"/>
      <c r="K446"/>
    </row>
    <row r="447" spans="5:11" ht="14.25" customHeight="1" x14ac:dyDescent="0.2">
      <c r="E447" s="52"/>
      <c r="H447" s="61"/>
      <c r="K447"/>
    </row>
    <row r="448" spans="5:11" ht="14.25" customHeight="1" x14ac:dyDescent="0.2">
      <c r="E448" s="52"/>
      <c r="H448" s="61"/>
      <c r="K448"/>
    </row>
    <row r="449" spans="5:11" ht="14.25" customHeight="1" x14ac:dyDescent="0.2">
      <c r="E449" s="52"/>
      <c r="H449" s="61"/>
      <c r="K449"/>
    </row>
    <row r="450" spans="5:11" ht="14.25" customHeight="1" x14ac:dyDescent="0.2">
      <c r="E450" s="52"/>
      <c r="H450" s="61"/>
      <c r="K450"/>
    </row>
    <row r="451" spans="5:11" ht="14.25" customHeight="1" x14ac:dyDescent="0.2">
      <c r="E451" s="52"/>
      <c r="F451" s="41"/>
      <c r="H451" s="61"/>
      <c r="K451"/>
    </row>
    <row r="452" spans="5:11" ht="14.25" customHeight="1" x14ac:dyDescent="0.2">
      <c r="E452" s="52"/>
      <c r="F452" s="41"/>
      <c r="H452" s="61"/>
      <c r="K452"/>
    </row>
    <row r="453" spans="5:11" ht="14.25" customHeight="1" x14ac:dyDescent="0.2">
      <c r="E453" s="52"/>
      <c r="F453" s="41"/>
      <c r="H453" s="61"/>
      <c r="K453"/>
    </row>
    <row r="454" spans="5:11" ht="14.25" customHeight="1" x14ac:dyDescent="0.2">
      <c r="E454" s="52"/>
      <c r="F454" s="41"/>
      <c r="H454" s="61"/>
      <c r="K454"/>
    </row>
    <row r="455" spans="5:11" ht="14.25" customHeight="1" x14ac:dyDescent="0.2">
      <c r="E455" s="52"/>
      <c r="F455" s="41"/>
      <c r="H455" s="61"/>
      <c r="K455"/>
    </row>
    <row r="456" spans="5:11" ht="14.25" customHeight="1" x14ac:dyDescent="0.2">
      <c r="E456" s="52"/>
      <c r="F456" s="41"/>
      <c r="H456" s="61"/>
      <c r="K456"/>
    </row>
    <row r="457" spans="5:11" ht="14.25" customHeight="1" x14ac:dyDescent="0.2">
      <c r="E457" s="52"/>
      <c r="F457" s="41"/>
      <c r="H457" s="61"/>
      <c r="K457"/>
    </row>
    <row r="458" spans="5:11" ht="14.25" customHeight="1" x14ac:dyDescent="0.2">
      <c r="E458" s="52"/>
      <c r="F458" s="41"/>
      <c r="H458" s="61"/>
      <c r="K458"/>
    </row>
    <row r="459" spans="5:11" ht="14.25" customHeight="1" x14ac:dyDescent="0.2">
      <c r="E459" s="52"/>
      <c r="F459" s="41"/>
      <c r="H459" s="61"/>
      <c r="K459"/>
    </row>
    <row r="460" spans="5:11" ht="14.25" customHeight="1" x14ac:dyDescent="0.2">
      <c r="E460" s="52"/>
      <c r="F460" s="41"/>
      <c r="H460" s="61"/>
      <c r="K460"/>
    </row>
    <row r="461" spans="5:11" ht="14.25" customHeight="1" x14ac:dyDescent="0.2">
      <c r="E461" s="52"/>
      <c r="F461" s="41"/>
      <c r="H461" s="61"/>
      <c r="K461"/>
    </row>
    <row r="462" spans="5:11" ht="14.25" customHeight="1" x14ac:dyDescent="0.2">
      <c r="E462" s="52"/>
      <c r="F462" s="41"/>
      <c r="H462" s="61"/>
      <c r="K462"/>
    </row>
    <row r="463" spans="5:11" ht="13.5" customHeight="1" x14ac:dyDescent="0.2">
      <c r="E463" s="52"/>
      <c r="F463" s="41"/>
      <c r="H463" s="61"/>
      <c r="K463"/>
    </row>
    <row r="464" spans="5:11" ht="13.5" customHeight="1" x14ac:dyDescent="0.2">
      <c r="E464" s="52"/>
      <c r="F464" s="41"/>
      <c r="H464" s="61"/>
      <c r="K464"/>
    </row>
    <row r="465" spans="5:11" ht="13.5" customHeight="1" x14ac:dyDescent="0.2">
      <c r="E465" s="52"/>
      <c r="F465" s="41"/>
      <c r="H465" s="61"/>
      <c r="K465"/>
    </row>
    <row r="466" spans="5:11" ht="13.5" customHeight="1" x14ac:dyDescent="0.2">
      <c r="E466" s="52"/>
      <c r="F466" s="41"/>
      <c r="H466" s="61"/>
      <c r="K466"/>
    </row>
    <row r="467" spans="5:11" ht="13.5" customHeight="1" x14ac:dyDescent="0.2">
      <c r="E467" s="52"/>
      <c r="F467" s="41"/>
      <c r="H467" s="61"/>
      <c r="K467"/>
    </row>
    <row r="468" spans="5:11" ht="13.5" customHeight="1" x14ac:dyDescent="0.2">
      <c r="E468" s="52"/>
      <c r="F468" s="41"/>
      <c r="H468" s="61"/>
      <c r="K468"/>
    </row>
    <row r="469" spans="5:11" ht="13.5" customHeight="1" x14ac:dyDescent="0.2">
      <c r="E469" s="52"/>
      <c r="F469" s="41"/>
      <c r="H469" s="61"/>
      <c r="K469"/>
    </row>
    <row r="470" spans="5:11" ht="13.5" customHeight="1" x14ac:dyDescent="0.2">
      <c r="E470" s="52"/>
      <c r="F470" s="41"/>
      <c r="H470" s="61"/>
      <c r="K470"/>
    </row>
    <row r="471" spans="5:11" ht="13.5" customHeight="1" x14ac:dyDescent="0.2">
      <c r="E471" s="52"/>
      <c r="F471" s="41"/>
      <c r="H471" s="61"/>
      <c r="K471"/>
    </row>
    <row r="472" spans="5:11" ht="13.5" customHeight="1" x14ac:dyDescent="0.2">
      <c r="E472" s="52"/>
      <c r="F472" s="41"/>
      <c r="H472" s="61"/>
      <c r="K472"/>
    </row>
    <row r="473" spans="5:11" ht="13.5" customHeight="1" x14ac:dyDescent="0.2">
      <c r="E473" s="52"/>
      <c r="F473" s="41"/>
      <c r="H473" s="61"/>
      <c r="K473"/>
    </row>
    <row r="474" spans="5:11" ht="13.5" customHeight="1" x14ac:dyDescent="0.2">
      <c r="E474" s="52"/>
      <c r="F474" s="41"/>
      <c r="H474" s="61"/>
      <c r="K474"/>
    </row>
    <row r="475" spans="5:11" ht="13.5" customHeight="1" x14ac:dyDescent="0.2">
      <c r="E475" s="52"/>
      <c r="F475" s="41"/>
      <c r="H475" s="61"/>
      <c r="K475"/>
    </row>
    <row r="476" spans="5:11" ht="13.5" customHeight="1" x14ac:dyDescent="0.2">
      <c r="E476" s="52"/>
      <c r="F476" s="41"/>
      <c r="H476" s="61"/>
      <c r="K476"/>
    </row>
    <row r="477" spans="5:11" ht="13.5" customHeight="1" x14ac:dyDescent="0.2">
      <c r="E477" s="52"/>
      <c r="F477" s="41"/>
      <c r="H477" s="61"/>
      <c r="K477"/>
    </row>
    <row r="478" spans="5:11" ht="13.5" customHeight="1" x14ac:dyDescent="0.2">
      <c r="E478" s="52"/>
      <c r="F478" s="41"/>
      <c r="H478" s="61"/>
      <c r="K478"/>
    </row>
    <row r="479" spans="5:11" ht="13.5" customHeight="1" x14ac:dyDescent="0.2">
      <c r="E479" s="52"/>
      <c r="F479" s="41"/>
      <c r="H479" s="61"/>
      <c r="K479"/>
    </row>
    <row r="480" spans="5:11" ht="13.5" customHeight="1" x14ac:dyDescent="0.2">
      <c r="E480" s="52"/>
      <c r="F480" s="41"/>
      <c r="H480" s="61"/>
      <c r="K480"/>
    </row>
    <row r="481" spans="5:11" ht="13.5" customHeight="1" x14ac:dyDescent="0.2">
      <c r="E481" s="52"/>
      <c r="F481" s="41"/>
      <c r="H481" s="61"/>
      <c r="K481"/>
    </row>
    <row r="482" spans="5:11" ht="13.5" customHeight="1" x14ac:dyDescent="0.2">
      <c r="E482" s="52"/>
      <c r="F482" s="41"/>
      <c r="H482" s="61"/>
      <c r="K482"/>
    </row>
    <row r="483" spans="5:11" ht="13.5" customHeight="1" x14ac:dyDescent="0.2">
      <c r="E483" s="52"/>
      <c r="F483" s="41"/>
      <c r="H483" s="61"/>
      <c r="K483"/>
    </row>
    <row r="484" spans="5:11" ht="13.5" customHeight="1" x14ac:dyDescent="0.2">
      <c r="E484" s="52"/>
      <c r="F484" s="41"/>
      <c r="H484" s="61"/>
      <c r="K484"/>
    </row>
    <row r="485" spans="5:11" ht="13.5" customHeight="1" x14ac:dyDescent="0.2">
      <c r="E485" s="52"/>
      <c r="F485" s="41"/>
      <c r="H485" s="61"/>
      <c r="K485"/>
    </row>
    <row r="486" spans="5:11" ht="13.5" customHeight="1" x14ac:dyDescent="0.2">
      <c r="E486" s="52"/>
      <c r="F486" s="41"/>
      <c r="H486" s="61"/>
      <c r="K486"/>
    </row>
    <row r="487" spans="5:11" ht="13.5" customHeight="1" x14ac:dyDescent="0.2">
      <c r="E487" s="52"/>
      <c r="H487" s="61"/>
      <c r="K487"/>
    </row>
    <row r="488" spans="5:11" ht="13.5" customHeight="1" x14ac:dyDescent="0.2">
      <c r="E488" s="52"/>
      <c r="H488" s="61"/>
      <c r="K488"/>
    </row>
    <row r="489" spans="5:11" ht="13.5" customHeight="1" x14ac:dyDescent="0.2">
      <c r="E489" s="52"/>
      <c r="H489" s="61"/>
      <c r="K489"/>
    </row>
    <row r="490" spans="5:11" ht="13.5" customHeight="1" x14ac:dyDescent="0.2">
      <c r="E490" s="52"/>
      <c r="H490" s="61"/>
      <c r="K490"/>
    </row>
    <row r="491" spans="5:11" ht="13.5" customHeight="1" x14ac:dyDescent="0.2">
      <c r="E491" s="52"/>
      <c r="H491" s="61"/>
      <c r="K491"/>
    </row>
    <row r="492" spans="5:11" ht="13.5" customHeight="1" x14ac:dyDescent="0.2">
      <c r="E492" s="52"/>
      <c r="H492" s="61"/>
      <c r="K492"/>
    </row>
    <row r="493" spans="5:11" ht="13.5" customHeight="1" x14ac:dyDescent="0.2">
      <c r="E493" s="52"/>
      <c r="H493" s="61"/>
      <c r="K493"/>
    </row>
    <row r="494" spans="5:11" ht="13.5" customHeight="1" x14ac:dyDescent="0.2">
      <c r="E494" s="52"/>
      <c r="H494" s="61"/>
      <c r="K494"/>
    </row>
    <row r="495" spans="5:11" ht="13.5" customHeight="1" x14ac:dyDescent="0.2">
      <c r="E495" s="52"/>
      <c r="H495" s="61"/>
      <c r="K495"/>
    </row>
    <row r="496" spans="5:11" ht="13.5" customHeight="1" x14ac:dyDescent="0.2">
      <c r="E496" s="52"/>
      <c r="H496" s="61"/>
      <c r="K496"/>
    </row>
    <row r="497" spans="5:11" ht="13.5" customHeight="1" x14ac:dyDescent="0.2">
      <c r="E497" s="52"/>
      <c r="H497" s="61"/>
      <c r="K497"/>
    </row>
    <row r="498" spans="5:11" ht="13.5" customHeight="1" x14ac:dyDescent="0.2">
      <c r="E498" s="52"/>
      <c r="H498" s="61"/>
      <c r="K498"/>
    </row>
    <row r="499" spans="5:11" ht="13.5" customHeight="1" x14ac:dyDescent="0.2">
      <c r="E499" s="52"/>
      <c r="H499" s="61"/>
      <c r="K499"/>
    </row>
    <row r="500" spans="5:11" ht="13.5" customHeight="1" x14ac:dyDescent="0.2">
      <c r="E500" s="52"/>
      <c r="H500" s="61"/>
      <c r="K500"/>
    </row>
    <row r="501" spans="5:11" ht="13.5" customHeight="1" x14ac:dyDescent="0.2">
      <c r="E501" s="52"/>
      <c r="H501" s="61"/>
      <c r="K501"/>
    </row>
    <row r="502" spans="5:11" ht="13.5" customHeight="1" x14ac:dyDescent="0.2">
      <c r="E502" s="52"/>
      <c r="H502" s="61"/>
      <c r="K502"/>
    </row>
    <row r="503" spans="5:11" ht="13.5" customHeight="1" x14ac:dyDescent="0.2">
      <c r="E503" s="52"/>
      <c r="H503" s="61"/>
      <c r="K503"/>
    </row>
    <row r="504" spans="5:11" ht="13.5" customHeight="1" x14ac:dyDescent="0.2">
      <c r="E504" s="52"/>
      <c r="H504" s="61"/>
      <c r="K504"/>
    </row>
    <row r="505" spans="5:11" ht="13.5" customHeight="1" x14ac:dyDescent="0.2">
      <c r="E505" s="52"/>
      <c r="H505" s="61"/>
      <c r="K505"/>
    </row>
    <row r="506" spans="5:11" ht="13.5" customHeight="1" x14ac:dyDescent="0.2">
      <c r="E506" s="52"/>
      <c r="H506" s="61"/>
      <c r="K506"/>
    </row>
    <row r="507" spans="5:11" ht="13.5" customHeight="1" x14ac:dyDescent="0.2">
      <c r="E507" s="52"/>
      <c r="H507" s="61"/>
      <c r="K507"/>
    </row>
    <row r="508" spans="5:11" ht="13.5" customHeight="1" x14ac:dyDescent="0.2">
      <c r="E508" s="52"/>
      <c r="H508" s="61"/>
      <c r="K508"/>
    </row>
    <row r="509" spans="5:11" ht="13.5" customHeight="1" x14ac:dyDescent="0.2">
      <c r="E509" s="52"/>
      <c r="H509" s="61"/>
      <c r="K509"/>
    </row>
    <row r="510" spans="5:11" ht="13.5" customHeight="1" x14ac:dyDescent="0.2">
      <c r="E510" s="52"/>
      <c r="H510" s="61"/>
      <c r="K510"/>
    </row>
    <row r="511" spans="5:11" ht="13.5" customHeight="1" x14ac:dyDescent="0.2">
      <c r="E511" s="52"/>
      <c r="H511" s="61"/>
      <c r="K511"/>
    </row>
    <row r="512" spans="5:11" ht="13.5" customHeight="1" x14ac:dyDescent="0.2">
      <c r="E512" s="52"/>
      <c r="H512" s="61"/>
      <c r="K512"/>
    </row>
    <row r="513" spans="5:11" ht="13.5" customHeight="1" x14ac:dyDescent="0.2">
      <c r="E513" s="52"/>
      <c r="H513" s="61"/>
      <c r="K513"/>
    </row>
    <row r="514" spans="5:11" ht="13.5" customHeight="1" x14ac:dyDescent="0.2">
      <c r="E514" s="52"/>
      <c r="H514" s="61"/>
      <c r="K514"/>
    </row>
    <row r="515" spans="5:11" ht="13.5" customHeight="1" x14ac:dyDescent="0.2">
      <c r="E515" s="52"/>
      <c r="H515" s="61"/>
      <c r="K515"/>
    </row>
    <row r="516" spans="5:11" ht="13.5" customHeight="1" x14ac:dyDescent="0.2">
      <c r="E516" s="52"/>
      <c r="H516" s="61"/>
      <c r="K516"/>
    </row>
    <row r="517" spans="5:11" ht="13.5" customHeight="1" x14ac:dyDescent="0.2">
      <c r="E517" s="52"/>
      <c r="H517" s="61"/>
      <c r="K517"/>
    </row>
    <row r="518" spans="5:11" ht="13.5" customHeight="1" x14ac:dyDescent="0.2">
      <c r="E518" s="52"/>
      <c r="H518" s="61"/>
      <c r="K518"/>
    </row>
    <row r="519" spans="5:11" ht="13.5" customHeight="1" x14ac:dyDescent="0.2">
      <c r="E519" s="52"/>
      <c r="H519" s="61"/>
      <c r="K519"/>
    </row>
    <row r="520" spans="5:11" ht="13.5" customHeight="1" x14ac:dyDescent="0.2">
      <c r="E520" s="52"/>
      <c r="H520" s="61"/>
      <c r="K520"/>
    </row>
    <row r="521" spans="5:11" ht="13.5" customHeight="1" x14ac:dyDescent="0.2">
      <c r="E521" s="52"/>
      <c r="H521" s="61"/>
      <c r="K521"/>
    </row>
    <row r="522" spans="5:11" ht="13.5" customHeight="1" x14ac:dyDescent="0.2">
      <c r="E522" s="52"/>
      <c r="H522" s="61"/>
      <c r="K522"/>
    </row>
    <row r="523" spans="5:11" ht="13.5" customHeight="1" x14ac:dyDescent="0.2">
      <c r="E523" s="52"/>
      <c r="H523" s="61"/>
      <c r="K523"/>
    </row>
    <row r="524" spans="5:11" ht="13.5" customHeight="1" x14ac:dyDescent="0.2">
      <c r="E524" s="52"/>
      <c r="H524" s="61"/>
      <c r="K524"/>
    </row>
    <row r="525" spans="5:11" ht="13.5" customHeight="1" x14ac:dyDescent="0.2">
      <c r="E525" s="52"/>
      <c r="H525" s="61"/>
      <c r="K525"/>
    </row>
    <row r="526" spans="5:11" ht="13.5" customHeight="1" x14ac:dyDescent="0.2">
      <c r="E526" s="52"/>
      <c r="H526" s="61"/>
      <c r="K526"/>
    </row>
    <row r="527" spans="5:11" ht="13.5" customHeight="1" x14ac:dyDescent="0.2">
      <c r="E527" s="52"/>
      <c r="H527" s="61"/>
      <c r="K527"/>
    </row>
    <row r="528" spans="5:11" ht="13.5" customHeight="1" x14ac:dyDescent="0.2">
      <c r="E528" s="52"/>
      <c r="H528" s="61"/>
      <c r="K528"/>
    </row>
    <row r="529" spans="5:11" ht="13.5" customHeight="1" x14ac:dyDescent="0.2">
      <c r="E529" s="52"/>
      <c r="H529" s="61"/>
      <c r="K529"/>
    </row>
    <row r="530" spans="5:11" ht="13.5" customHeight="1" x14ac:dyDescent="0.2">
      <c r="E530" s="52"/>
      <c r="H530" s="61"/>
      <c r="K530"/>
    </row>
    <row r="531" spans="5:11" ht="13.5" customHeight="1" x14ac:dyDescent="0.2">
      <c r="E531" s="52"/>
      <c r="H531" s="61"/>
      <c r="K531"/>
    </row>
    <row r="532" spans="5:11" ht="13.5" customHeight="1" x14ac:dyDescent="0.2">
      <c r="E532" s="52"/>
      <c r="H532" s="61"/>
      <c r="K532"/>
    </row>
    <row r="533" spans="5:11" ht="13.5" customHeight="1" x14ac:dyDescent="0.2">
      <c r="E533" s="52"/>
      <c r="H533" s="61"/>
      <c r="K533"/>
    </row>
    <row r="534" spans="5:11" ht="13.5" customHeight="1" x14ac:dyDescent="0.2">
      <c r="E534" s="52"/>
      <c r="H534" s="61"/>
      <c r="K534"/>
    </row>
    <row r="535" spans="5:11" ht="13.5" customHeight="1" x14ac:dyDescent="0.2">
      <c r="E535" s="52"/>
      <c r="H535" s="61"/>
      <c r="K535"/>
    </row>
    <row r="536" spans="5:11" ht="13.5" customHeight="1" x14ac:dyDescent="0.2">
      <c r="E536" s="52"/>
      <c r="H536" s="61"/>
      <c r="K536"/>
    </row>
    <row r="537" spans="5:11" ht="13.5" customHeight="1" x14ac:dyDescent="0.2">
      <c r="E537" s="52"/>
      <c r="H537" s="61"/>
      <c r="K537"/>
    </row>
    <row r="538" spans="5:11" ht="13.5" customHeight="1" x14ac:dyDescent="0.2">
      <c r="E538" s="52"/>
      <c r="H538" s="61"/>
      <c r="K538"/>
    </row>
    <row r="539" spans="5:11" ht="13.5" customHeight="1" x14ac:dyDescent="0.2">
      <c r="E539" s="52"/>
      <c r="H539" s="61"/>
      <c r="K539"/>
    </row>
    <row r="540" spans="5:11" ht="13.5" customHeight="1" x14ac:dyDescent="0.2">
      <c r="E540" s="52"/>
      <c r="H540" s="61"/>
      <c r="K540"/>
    </row>
    <row r="541" spans="5:11" ht="13.5" customHeight="1" x14ac:dyDescent="0.2">
      <c r="E541" s="52"/>
      <c r="H541" s="61"/>
      <c r="K541"/>
    </row>
    <row r="542" spans="5:11" ht="13.5" customHeight="1" x14ac:dyDescent="0.2">
      <c r="E542" s="52"/>
      <c r="H542" s="61"/>
      <c r="K542"/>
    </row>
    <row r="543" spans="5:11" ht="13.5" customHeight="1" x14ac:dyDescent="0.2">
      <c r="E543" s="52"/>
      <c r="H543" s="61"/>
      <c r="K543"/>
    </row>
    <row r="544" spans="5:11" ht="13.5" customHeight="1" x14ac:dyDescent="0.2">
      <c r="E544" s="52"/>
      <c r="H544" s="61"/>
      <c r="K544"/>
    </row>
    <row r="545" spans="5:11" ht="13.5" customHeight="1" x14ac:dyDescent="0.2">
      <c r="E545" s="52"/>
      <c r="H545" s="61"/>
      <c r="K545"/>
    </row>
    <row r="546" spans="5:11" ht="13.5" customHeight="1" x14ac:dyDescent="0.2">
      <c r="E546" s="52"/>
      <c r="H546" s="61"/>
      <c r="K546"/>
    </row>
    <row r="547" spans="5:11" ht="13.5" customHeight="1" x14ac:dyDescent="0.2">
      <c r="E547" s="52"/>
      <c r="H547" s="61"/>
      <c r="K547"/>
    </row>
    <row r="548" spans="5:11" ht="13.5" customHeight="1" x14ac:dyDescent="0.2">
      <c r="E548" s="52"/>
      <c r="H548" s="61"/>
      <c r="K548"/>
    </row>
    <row r="549" spans="5:11" ht="13.5" customHeight="1" x14ac:dyDescent="0.2">
      <c r="E549" s="52"/>
      <c r="H549" s="61"/>
      <c r="K549"/>
    </row>
    <row r="550" spans="5:11" ht="13.5" customHeight="1" x14ac:dyDescent="0.2">
      <c r="E550" s="52"/>
      <c r="H550" s="61"/>
      <c r="K550"/>
    </row>
    <row r="551" spans="5:11" ht="13.5" customHeight="1" x14ac:dyDescent="0.2">
      <c r="E551" s="52"/>
      <c r="H551" s="61"/>
      <c r="K551"/>
    </row>
    <row r="552" spans="5:11" ht="13.5" customHeight="1" x14ac:dyDescent="0.2">
      <c r="E552" s="52"/>
      <c r="H552" s="61"/>
      <c r="K552"/>
    </row>
    <row r="553" spans="5:11" ht="13.5" customHeight="1" x14ac:dyDescent="0.2">
      <c r="E553" s="52"/>
      <c r="H553" s="61"/>
      <c r="K553"/>
    </row>
    <row r="554" spans="5:11" ht="13.5" customHeight="1" x14ac:dyDescent="0.2">
      <c r="E554" s="52"/>
      <c r="H554" s="61"/>
      <c r="K554"/>
    </row>
    <row r="555" spans="5:11" ht="13.5" customHeight="1" x14ac:dyDescent="0.2">
      <c r="E555" s="52"/>
      <c r="H555" s="61"/>
      <c r="K555"/>
    </row>
    <row r="556" spans="5:11" ht="13.5" customHeight="1" x14ac:dyDescent="0.2">
      <c r="E556" s="52"/>
      <c r="H556" s="61"/>
      <c r="K556"/>
    </row>
    <row r="557" spans="5:11" ht="13.5" customHeight="1" x14ac:dyDescent="0.2">
      <c r="E557" s="52"/>
      <c r="H557" s="61"/>
      <c r="K557"/>
    </row>
    <row r="558" spans="5:11" ht="13.5" customHeight="1" x14ac:dyDescent="0.2">
      <c r="E558" s="52"/>
      <c r="H558" s="61"/>
      <c r="K558"/>
    </row>
    <row r="559" spans="5:11" ht="13.5" customHeight="1" x14ac:dyDescent="0.2">
      <c r="E559" s="52"/>
      <c r="H559" s="61"/>
      <c r="K559"/>
    </row>
    <row r="560" spans="5:11" ht="13.5" customHeight="1" x14ac:dyDescent="0.2">
      <c r="E560" s="52"/>
      <c r="H560" s="61"/>
      <c r="K560"/>
    </row>
    <row r="561" spans="5:11" ht="13.5" customHeight="1" x14ac:dyDescent="0.2">
      <c r="E561" s="52"/>
      <c r="H561" s="61"/>
      <c r="K561"/>
    </row>
    <row r="562" spans="5:11" ht="13.5" customHeight="1" x14ac:dyDescent="0.2">
      <c r="E562" s="52"/>
      <c r="H562" s="61"/>
      <c r="K562"/>
    </row>
    <row r="563" spans="5:11" ht="13.5" customHeight="1" x14ac:dyDescent="0.2">
      <c r="E563" s="52"/>
      <c r="H563" s="61"/>
      <c r="K563"/>
    </row>
    <row r="564" spans="5:11" ht="13.5" customHeight="1" x14ac:dyDescent="0.2">
      <c r="E564" s="52"/>
      <c r="H564" s="61"/>
      <c r="K564"/>
    </row>
    <row r="565" spans="5:11" ht="13.5" customHeight="1" x14ac:dyDescent="0.2">
      <c r="E565" s="52"/>
      <c r="H565" s="61"/>
      <c r="K565"/>
    </row>
    <row r="566" spans="5:11" ht="13.5" customHeight="1" x14ac:dyDescent="0.2">
      <c r="E566" s="52"/>
      <c r="H566" s="61"/>
      <c r="K566"/>
    </row>
    <row r="567" spans="5:11" ht="13.5" customHeight="1" x14ac:dyDescent="0.2">
      <c r="E567" s="52"/>
      <c r="H567" s="61"/>
      <c r="K567"/>
    </row>
    <row r="568" spans="5:11" ht="13.5" customHeight="1" x14ac:dyDescent="0.2">
      <c r="E568" s="52"/>
      <c r="H568" s="61"/>
      <c r="K568"/>
    </row>
    <row r="569" spans="5:11" ht="13.5" customHeight="1" x14ac:dyDescent="0.2">
      <c r="E569" s="52"/>
      <c r="H569" s="61"/>
      <c r="K569"/>
    </row>
    <row r="570" spans="5:11" ht="13.5" customHeight="1" x14ac:dyDescent="0.2">
      <c r="E570" s="52"/>
      <c r="H570" s="61"/>
      <c r="K570"/>
    </row>
    <row r="571" spans="5:11" ht="13.5" customHeight="1" x14ac:dyDescent="0.2">
      <c r="E571" s="52"/>
      <c r="H571" s="61"/>
      <c r="K571"/>
    </row>
    <row r="572" spans="5:11" ht="13.5" customHeight="1" x14ac:dyDescent="0.2">
      <c r="E572" s="52"/>
      <c r="H572" s="61"/>
      <c r="K572"/>
    </row>
    <row r="573" spans="5:11" ht="13.5" customHeight="1" x14ac:dyDescent="0.2">
      <c r="E573" s="52"/>
      <c r="H573" s="61"/>
      <c r="K573"/>
    </row>
    <row r="574" spans="5:11" ht="13.5" customHeight="1" x14ac:dyDescent="0.2">
      <c r="E574" s="52"/>
      <c r="H574" s="61"/>
      <c r="K574"/>
    </row>
    <row r="575" spans="5:11" ht="13.5" customHeight="1" x14ac:dyDescent="0.2">
      <c r="E575" s="52"/>
      <c r="H575" s="61"/>
      <c r="K575"/>
    </row>
    <row r="576" spans="5:11" ht="13.5" customHeight="1" x14ac:dyDescent="0.2">
      <c r="E576" s="52"/>
      <c r="H576" s="61"/>
      <c r="K576"/>
    </row>
    <row r="577" spans="5:11" ht="13.5" customHeight="1" x14ac:dyDescent="0.2">
      <c r="E577" s="52"/>
      <c r="H577" s="61"/>
      <c r="K577"/>
    </row>
    <row r="578" spans="5:11" ht="13.5" customHeight="1" x14ac:dyDescent="0.2">
      <c r="E578" s="52"/>
      <c r="H578" s="61"/>
      <c r="K578"/>
    </row>
    <row r="579" spans="5:11" ht="13.5" customHeight="1" x14ac:dyDescent="0.2">
      <c r="E579" s="52"/>
      <c r="H579" s="61"/>
      <c r="K579"/>
    </row>
    <row r="580" spans="5:11" ht="13.5" customHeight="1" x14ac:dyDescent="0.2">
      <c r="E580" s="52"/>
      <c r="H580" s="61"/>
      <c r="K580"/>
    </row>
    <row r="581" spans="5:11" ht="13.5" customHeight="1" x14ac:dyDescent="0.2">
      <c r="E581" s="52"/>
      <c r="H581" s="61"/>
      <c r="K581"/>
    </row>
    <row r="582" spans="5:11" ht="13.5" customHeight="1" x14ac:dyDescent="0.2">
      <c r="E582" s="52"/>
      <c r="H582" s="61"/>
      <c r="K582"/>
    </row>
    <row r="583" spans="5:11" ht="13.5" customHeight="1" x14ac:dyDescent="0.2">
      <c r="E583" s="52"/>
      <c r="H583" s="61"/>
      <c r="K583"/>
    </row>
    <row r="584" spans="5:11" ht="13.5" customHeight="1" x14ac:dyDescent="0.2">
      <c r="E584" s="52"/>
      <c r="H584" s="61"/>
      <c r="K584"/>
    </row>
    <row r="585" spans="5:11" ht="13.5" customHeight="1" x14ac:dyDescent="0.2">
      <c r="E585" s="52"/>
      <c r="H585" s="61"/>
      <c r="K585"/>
    </row>
    <row r="586" spans="5:11" ht="13.5" customHeight="1" x14ac:dyDescent="0.2">
      <c r="E586" s="52"/>
      <c r="H586" s="61"/>
      <c r="K586"/>
    </row>
    <row r="587" spans="5:11" ht="13.5" customHeight="1" x14ac:dyDescent="0.2">
      <c r="E587" s="52"/>
      <c r="H587" s="61"/>
      <c r="K587"/>
    </row>
    <row r="588" spans="5:11" ht="13.5" customHeight="1" x14ac:dyDescent="0.2">
      <c r="E588" s="52"/>
      <c r="H588" s="61"/>
      <c r="K588"/>
    </row>
    <row r="589" spans="5:11" ht="13.5" customHeight="1" x14ac:dyDescent="0.2">
      <c r="E589" s="52"/>
      <c r="H589" s="61"/>
      <c r="K589"/>
    </row>
    <row r="590" spans="5:11" ht="13.5" customHeight="1" x14ac:dyDescent="0.2">
      <c r="E590" s="52"/>
      <c r="H590" s="61"/>
      <c r="K590"/>
    </row>
    <row r="591" spans="5:11" ht="13.5" customHeight="1" x14ac:dyDescent="0.2">
      <c r="E591" s="52"/>
      <c r="H591" s="61"/>
      <c r="K591"/>
    </row>
    <row r="592" spans="5:11" ht="13.5" customHeight="1" x14ac:dyDescent="0.2">
      <c r="E592" s="52"/>
      <c r="H592" s="61"/>
      <c r="K592"/>
    </row>
    <row r="593" spans="5:11" ht="13.5" customHeight="1" x14ac:dyDescent="0.2">
      <c r="E593" s="52"/>
      <c r="H593" s="61"/>
      <c r="K593"/>
    </row>
    <row r="594" spans="5:11" ht="13.5" customHeight="1" x14ac:dyDescent="0.2">
      <c r="E594" s="52"/>
      <c r="H594" s="61"/>
      <c r="K594"/>
    </row>
    <row r="595" spans="5:11" ht="13.5" customHeight="1" x14ac:dyDescent="0.2">
      <c r="E595" s="52"/>
      <c r="H595" s="61"/>
      <c r="K595"/>
    </row>
    <row r="596" spans="5:11" ht="13.5" customHeight="1" x14ac:dyDescent="0.2">
      <c r="E596" s="52"/>
      <c r="H596" s="61"/>
      <c r="K596"/>
    </row>
    <row r="597" spans="5:11" ht="13.5" customHeight="1" x14ac:dyDescent="0.2">
      <c r="E597" s="52"/>
      <c r="H597" s="61"/>
      <c r="K597"/>
    </row>
    <row r="598" spans="5:11" ht="13.5" customHeight="1" x14ac:dyDescent="0.2">
      <c r="E598" s="52"/>
      <c r="H598" s="61"/>
      <c r="K598"/>
    </row>
    <row r="599" spans="5:11" ht="13.5" customHeight="1" x14ac:dyDescent="0.2">
      <c r="E599" s="52"/>
      <c r="H599" s="61"/>
      <c r="K599"/>
    </row>
    <row r="600" spans="5:11" ht="13.5" customHeight="1" x14ac:dyDescent="0.2">
      <c r="E600" s="52"/>
      <c r="H600" s="61"/>
      <c r="K600"/>
    </row>
    <row r="601" spans="5:11" ht="13.5" customHeight="1" x14ac:dyDescent="0.2">
      <c r="E601" s="52"/>
      <c r="H601" s="61"/>
      <c r="K601"/>
    </row>
    <row r="602" spans="5:11" ht="13.5" customHeight="1" x14ac:dyDescent="0.2">
      <c r="E602" s="52"/>
      <c r="H602" s="61"/>
      <c r="K602"/>
    </row>
    <row r="603" spans="5:11" ht="13.5" customHeight="1" x14ac:dyDescent="0.2">
      <c r="E603" s="52"/>
      <c r="H603" s="61"/>
      <c r="K603"/>
    </row>
    <row r="604" spans="5:11" ht="13.5" customHeight="1" x14ac:dyDescent="0.2">
      <c r="E604" s="52"/>
      <c r="H604" s="61"/>
      <c r="K604"/>
    </row>
    <row r="605" spans="5:11" ht="13.5" customHeight="1" x14ac:dyDescent="0.2">
      <c r="E605" s="52"/>
      <c r="H605" s="61"/>
      <c r="K605"/>
    </row>
    <row r="606" spans="5:11" ht="13.5" customHeight="1" x14ac:dyDescent="0.2">
      <c r="E606" s="52"/>
      <c r="H606" s="61"/>
      <c r="K606"/>
    </row>
    <row r="607" spans="5:11" ht="13.5" customHeight="1" x14ac:dyDescent="0.2">
      <c r="E607" s="52"/>
      <c r="H607" s="61"/>
      <c r="K607"/>
    </row>
    <row r="608" spans="5:11" ht="13.5" customHeight="1" x14ac:dyDescent="0.2">
      <c r="E608" s="52"/>
      <c r="H608" s="61"/>
      <c r="K608"/>
    </row>
    <row r="609" spans="5:11" ht="13.5" customHeight="1" x14ac:dyDescent="0.2">
      <c r="E609" s="52"/>
      <c r="H609" s="61"/>
      <c r="K609"/>
    </row>
    <row r="610" spans="5:11" ht="13.5" customHeight="1" x14ac:dyDescent="0.2">
      <c r="E610" s="52"/>
      <c r="H610" s="61"/>
      <c r="K610"/>
    </row>
    <row r="611" spans="5:11" ht="13.5" customHeight="1" x14ac:dyDescent="0.2">
      <c r="E611" s="52"/>
      <c r="H611" s="61"/>
      <c r="K611"/>
    </row>
    <row r="612" spans="5:11" ht="13.5" customHeight="1" x14ac:dyDescent="0.2">
      <c r="E612" s="52"/>
      <c r="H612" s="61"/>
      <c r="K612"/>
    </row>
    <row r="613" spans="5:11" ht="13.5" customHeight="1" x14ac:dyDescent="0.2">
      <c r="E613" s="52"/>
      <c r="H613" s="61"/>
      <c r="K613"/>
    </row>
    <row r="614" spans="5:11" ht="13.5" customHeight="1" x14ac:dyDescent="0.2">
      <c r="E614" s="52"/>
      <c r="H614" s="61"/>
      <c r="K614"/>
    </row>
    <row r="615" spans="5:11" ht="13.5" customHeight="1" x14ac:dyDescent="0.2">
      <c r="E615" s="52"/>
      <c r="H615" s="61"/>
      <c r="K615"/>
    </row>
    <row r="616" spans="5:11" ht="13.5" customHeight="1" x14ac:dyDescent="0.2">
      <c r="E616" s="52"/>
      <c r="H616" s="61"/>
      <c r="K616"/>
    </row>
    <row r="617" spans="5:11" ht="13.5" customHeight="1" x14ac:dyDescent="0.2">
      <c r="E617" s="52"/>
      <c r="H617" s="61"/>
      <c r="K617"/>
    </row>
    <row r="618" spans="5:11" ht="13.5" customHeight="1" x14ac:dyDescent="0.2">
      <c r="E618" s="52"/>
      <c r="H618" s="61"/>
      <c r="K618"/>
    </row>
    <row r="619" spans="5:11" ht="13.5" customHeight="1" x14ac:dyDescent="0.2">
      <c r="E619" s="52"/>
      <c r="H619" s="61"/>
      <c r="K619"/>
    </row>
    <row r="620" spans="5:11" ht="13.5" customHeight="1" x14ac:dyDescent="0.2">
      <c r="E620" s="52"/>
      <c r="H620" s="61"/>
      <c r="K620"/>
    </row>
    <row r="621" spans="5:11" ht="13.5" customHeight="1" x14ac:dyDescent="0.2">
      <c r="E621" s="52"/>
      <c r="H621" s="61"/>
      <c r="K621"/>
    </row>
    <row r="622" spans="5:11" ht="13.5" customHeight="1" x14ac:dyDescent="0.2">
      <c r="E622" s="52"/>
      <c r="H622" s="61"/>
      <c r="K622"/>
    </row>
    <row r="623" spans="5:11" ht="13.5" customHeight="1" x14ac:dyDescent="0.2">
      <c r="E623" s="52"/>
      <c r="H623" s="61"/>
      <c r="K623"/>
    </row>
    <row r="624" spans="5:11" ht="13.5" customHeight="1" x14ac:dyDescent="0.2">
      <c r="E624" s="52"/>
      <c r="H624" s="61"/>
      <c r="K624"/>
    </row>
    <row r="625" spans="5:11" ht="13.5" customHeight="1" x14ac:dyDescent="0.2">
      <c r="E625" s="52"/>
      <c r="H625" s="61"/>
      <c r="K625"/>
    </row>
    <row r="626" spans="5:11" ht="13.5" customHeight="1" x14ac:dyDescent="0.2">
      <c r="E626" s="52"/>
      <c r="H626" s="61"/>
      <c r="K626"/>
    </row>
    <row r="627" spans="5:11" ht="13.5" customHeight="1" x14ac:dyDescent="0.2">
      <c r="E627" s="52"/>
      <c r="H627" s="61"/>
      <c r="K627"/>
    </row>
    <row r="628" spans="5:11" ht="13.5" customHeight="1" x14ac:dyDescent="0.2">
      <c r="E628" s="52"/>
      <c r="H628" s="61"/>
      <c r="K628"/>
    </row>
    <row r="629" spans="5:11" ht="13.5" customHeight="1" x14ac:dyDescent="0.2">
      <c r="E629" s="52"/>
      <c r="H629" s="61"/>
      <c r="K629"/>
    </row>
    <row r="630" spans="5:11" ht="13.5" customHeight="1" x14ac:dyDescent="0.2">
      <c r="E630" s="52"/>
      <c r="H630" s="61"/>
      <c r="K630"/>
    </row>
    <row r="631" spans="5:11" ht="13.5" customHeight="1" x14ac:dyDescent="0.2">
      <c r="E631" s="52"/>
      <c r="H631" s="61"/>
      <c r="K631"/>
    </row>
    <row r="632" spans="5:11" ht="13.5" customHeight="1" x14ac:dyDescent="0.2">
      <c r="E632" s="52"/>
      <c r="H632" s="61"/>
      <c r="K632"/>
    </row>
    <row r="633" spans="5:11" ht="13.5" customHeight="1" x14ac:dyDescent="0.2">
      <c r="E633" s="52"/>
      <c r="H633" s="61"/>
      <c r="K633"/>
    </row>
    <row r="634" spans="5:11" ht="13.5" customHeight="1" x14ac:dyDescent="0.2">
      <c r="E634" s="52"/>
      <c r="H634" s="61"/>
      <c r="K634"/>
    </row>
    <row r="635" spans="5:11" ht="13.5" customHeight="1" x14ac:dyDescent="0.2">
      <c r="E635" s="52"/>
      <c r="H635" s="61"/>
      <c r="K635"/>
    </row>
    <row r="636" spans="5:11" ht="13.5" customHeight="1" x14ac:dyDescent="0.2">
      <c r="E636" s="52"/>
      <c r="H636" s="61"/>
      <c r="K636"/>
    </row>
    <row r="637" spans="5:11" ht="13.5" customHeight="1" x14ac:dyDescent="0.2">
      <c r="E637" s="52"/>
      <c r="H637" s="61"/>
      <c r="K637"/>
    </row>
    <row r="638" spans="5:11" ht="13.5" customHeight="1" x14ac:dyDescent="0.2">
      <c r="E638" s="52"/>
      <c r="H638" s="61"/>
      <c r="K638"/>
    </row>
    <row r="639" spans="5:11" ht="13.5" customHeight="1" x14ac:dyDescent="0.2">
      <c r="E639" s="52"/>
      <c r="H639" s="61"/>
      <c r="K639"/>
    </row>
    <row r="640" spans="5:11" ht="13.5" customHeight="1" x14ac:dyDescent="0.2">
      <c r="E640" s="52"/>
      <c r="H640" s="61"/>
      <c r="K640"/>
    </row>
    <row r="641" spans="5:11" ht="13.5" customHeight="1" x14ac:dyDescent="0.2">
      <c r="E641" s="52"/>
      <c r="H641" s="61"/>
      <c r="K641"/>
    </row>
    <row r="642" spans="5:11" ht="13.5" customHeight="1" x14ac:dyDescent="0.2">
      <c r="E642" s="52"/>
      <c r="H642" s="61"/>
      <c r="K642"/>
    </row>
    <row r="643" spans="5:11" ht="13.5" customHeight="1" x14ac:dyDescent="0.2">
      <c r="E643" s="52"/>
      <c r="H643" s="61"/>
      <c r="K643"/>
    </row>
    <row r="644" spans="5:11" ht="13.5" customHeight="1" x14ac:dyDescent="0.2">
      <c r="E644" s="52"/>
      <c r="H644" s="61"/>
      <c r="K644"/>
    </row>
    <row r="645" spans="5:11" ht="13.5" customHeight="1" x14ac:dyDescent="0.2">
      <c r="E645" s="52"/>
      <c r="H645" s="61"/>
      <c r="K645"/>
    </row>
    <row r="646" spans="5:11" ht="13.5" customHeight="1" x14ac:dyDescent="0.2">
      <c r="E646" s="52"/>
      <c r="H646" s="61"/>
      <c r="K646"/>
    </row>
    <row r="647" spans="5:11" ht="13.5" customHeight="1" x14ac:dyDescent="0.2">
      <c r="E647" s="52"/>
      <c r="H647" s="61"/>
      <c r="K647"/>
    </row>
    <row r="648" spans="5:11" ht="13.5" customHeight="1" x14ac:dyDescent="0.2">
      <c r="E648" s="52"/>
      <c r="H648" s="61"/>
      <c r="K648"/>
    </row>
    <row r="649" spans="5:11" ht="13.5" customHeight="1" x14ac:dyDescent="0.2">
      <c r="E649" s="52"/>
      <c r="H649" s="61"/>
      <c r="K649"/>
    </row>
    <row r="650" spans="5:11" ht="13.5" customHeight="1" x14ac:dyDescent="0.2">
      <c r="E650" s="52"/>
      <c r="H650" s="61"/>
      <c r="K650"/>
    </row>
    <row r="651" spans="5:11" ht="13.5" customHeight="1" x14ac:dyDescent="0.2">
      <c r="E651" s="52"/>
      <c r="H651" s="61"/>
      <c r="K651"/>
    </row>
    <row r="652" spans="5:11" ht="13.5" customHeight="1" x14ac:dyDescent="0.2">
      <c r="E652" s="52"/>
      <c r="H652" s="61"/>
      <c r="K652"/>
    </row>
    <row r="653" spans="5:11" ht="13.5" customHeight="1" x14ac:dyDescent="0.2">
      <c r="E653" s="52"/>
      <c r="H653" s="61"/>
      <c r="K653"/>
    </row>
    <row r="654" spans="5:11" ht="13.5" customHeight="1" x14ac:dyDescent="0.2">
      <c r="E654" s="52"/>
      <c r="H654" s="61"/>
      <c r="K654"/>
    </row>
    <row r="655" spans="5:11" ht="13.5" customHeight="1" x14ac:dyDescent="0.2">
      <c r="E655" s="52"/>
      <c r="H655" s="61"/>
      <c r="K655"/>
    </row>
    <row r="656" spans="5:11" ht="13.5" customHeight="1" x14ac:dyDescent="0.2">
      <c r="E656" s="52"/>
      <c r="H656" s="61"/>
      <c r="K656"/>
    </row>
    <row r="657" spans="5:11" ht="13.5" customHeight="1" x14ac:dyDescent="0.2">
      <c r="E657" s="52"/>
      <c r="H657" s="61"/>
      <c r="K657"/>
    </row>
    <row r="658" spans="5:11" ht="13.5" customHeight="1" x14ac:dyDescent="0.2">
      <c r="E658" s="52"/>
      <c r="H658" s="61"/>
      <c r="K658"/>
    </row>
    <row r="659" spans="5:11" ht="13.5" customHeight="1" x14ac:dyDescent="0.2">
      <c r="E659" s="52"/>
      <c r="H659" s="61"/>
      <c r="K659"/>
    </row>
    <row r="660" spans="5:11" ht="13.5" customHeight="1" x14ac:dyDescent="0.2">
      <c r="E660" s="52"/>
      <c r="H660" s="61"/>
      <c r="K660"/>
    </row>
    <row r="661" spans="5:11" ht="13.5" customHeight="1" x14ac:dyDescent="0.2">
      <c r="E661" s="52"/>
      <c r="H661" s="61"/>
      <c r="K661"/>
    </row>
    <row r="662" spans="5:11" ht="13.5" customHeight="1" x14ac:dyDescent="0.2">
      <c r="E662" s="52"/>
      <c r="H662" s="61"/>
      <c r="K662"/>
    </row>
    <row r="663" spans="5:11" ht="13.5" customHeight="1" x14ac:dyDescent="0.2">
      <c r="E663" s="52"/>
      <c r="H663" s="61"/>
      <c r="K663"/>
    </row>
    <row r="664" spans="5:11" ht="13.5" customHeight="1" x14ac:dyDescent="0.2">
      <c r="E664" s="52"/>
      <c r="H664" s="61"/>
      <c r="K664"/>
    </row>
    <row r="665" spans="5:11" ht="13.5" customHeight="1" x14ac:dyDescent="0.2">
      <c r="E665" s="52"/>
      <c r="H665" s="61"/>
      <c r="K665"/>
    </row>
    <row r="666" spans="5:11" ht="13.5" customHeight="1" x14ac:dyDescent="0.2">
      <c r="E666" s="52"/>
      <c r="H666" s="61"/>
      <c r="K666"/>
    </row>
    <row r="667" spans="5:11" ht="13.5" customHeight="1" x14ac:dyDescent="0.2">
      <c r="E667" s="52"/>
      <c r="H667" s="61"/>
      <c r="K667"/>
    </row>
    <row r="668" spans="5:11" ht="13.5" customHeight="1" x14ac:dyDescent="0.2">
      <c r="E668" s="52"/>
      <c r="H668" s="61"/>
      <c r="K668"/>
    </row>
    <row r="669" spans="5:11" ht="13.5" customHeight="1" x14ac:dyDescent="0.2">
      <c r="E669" s="52"/>
      <c r="H669" s="61"/>
      <c r="K669"/>
    </row>
    <row r="670" spans="5:11" ht="13.5" customHeight="1" x14ac:dyDescent="0.2">
      <c r="E670" s="52"/>
      <c r="H670" s="61"/>
      <c r="K670"/>
    </row>
    <row r="671" spans="5:11" ht="13.5" customHeight="1" x14ac:dyDescent="0.2">
      <c r="E671" s="52"/>
      <c r="H671" s="61"/>
      <c r="K671"/>
    </row>
    <row r="672" spans="5:11" ht="13.5" customHeight="1" x14ac:dyDescent="0.2">
      <c r="E672" s="52"/>
      <c r="H672" s="61"/>
      <c r="K672"/>
    </row>
    <row r="673" spans="5:11" ht="13.5" customHeight="1" x14ac:dyDescent="0.2">
      <c r="E673" s="52"/>
      <c r="H673" s="61"/>
      <c r="K673"/>
    </row>
    <row r="674" spans="5:11" ht="13.5" customHeight="1" x14ac:dyDescent="0.2">
      <c r="E674" s="52"/>
      <c r="H674" s="61"/>
      <c r="K674"/>
    </row>
    <row r="675" spans="5:11" ht="13.5" customHeight="1" x14ac:dyDescent="0.2">
      <c r="E675" s="52"/>
      <c r="H675" s="61"/>
      <c r="K675"/>
    </row>
    <row r="676" spans="5:11" ht="13.5" customHeight="1" x14ac:dyDescent="0.2">
      <c r="E676" s="52"/>
      <c r="H676" s="61"/>
      <c r="K676"/>
    </row>
    <row r="677" spans="5:11" ht="13.5" customHeight="1" x14ac:dyDescent="0.2">
      <c r="E677" s="52"/>
      <c r="H677" s="61"/>
      <c r="K677"/>
    </row>
    <row r="678" spans="5:11" ht="13.5" customHeight="1" x14ac:dyDescent="0.2">
      <c r="E678" s="52"/>
      <c r="H678" s="61"/>
      <c r="K678"/>
    </row>
    <row r="679" spans="5:11" ht="13.5" customHeight="1" x14ac:dyDescent="0.2">
      <c r="E679" s="52"/>
      <c r="H679" s="61"/>
      <c r="K679"/>
    </row>
    <row r="680" spans="5:11" ht="13.5" customHeight="1" x14ac:dyDescent="0.2">
      <c r="E680" s="52"/>
      <c r="H680" s="61"/>
      <c r="K680"/>
    </row>
    <row r="681" spans="5:11" ht="13.5" customHeight="1" x14ac:dyDescent="0.2">
      <c r="E681" s="52"/>
      <c r="H681" s="61"/>
      <c r="K681"/>
    </row>
    <row r="682" spans="5:11" ht="13.5" customHeight="1" x14ac:dyDescent="0.2">
      <c r="E682" s="52"/>
      <c r="H682" s="61"/>
      <c r="K682"/>
    </row>
    <row r="683" spans="5:11" ht="13.5" customHeight="1" x14ac:dyDescent="0.2">
      <c r="E683" s="52"/>
      <c r="H683" s="61"/>
      <c r="K683"/>
    </row>
    <row r="684" spans="5:11" ht="13.5" customHeight="1" x14ac:dyDescent="0.2">
      <c r="E684" s="52"/>
      <c r="H684" s="61"/>
      <c r="K684"/>
    </row>
    <row r="685" spans="5:11" ht="13.5" customHeight="1" x14ac:dyDescent="0.2">
      <c r="E685" s="52"/>
      <c r="H685" s="61"/>
      <c r="K685"/>
    </row>
    <row r="686" spans="5:11" ht="13.5" customHeight="1" x14ac:dyDescent="0.2">
      <c r="E686" s="52"/>
      <c r="H686" s="61"/>
      <c r="K686"/>
    </row>
    <row r="687" spans="5:11" ht="13.5" customHeight="1" x14ac:dyDescent="0.2">
      <c r="E687" s="52"/>
      <c r="H687" s="61"/>
      <c r="K687"/>
    </row>
    <row r="688" spans="5:11" ht="13.5" customHeight="1" x14ac:dyDescent="0.2">
      <c r="E688" s="52"/>
      <c r="H688" s="61"/>
      <c r="K688"/>
    </row>
    <row r="689" spans="5:11" ht="13.5" customHeight="1" x14ac:dyDescent="0.2">
      <c r="E689" s="52"/>
      <c r="H689" s="61"/>
      <c r="K689"/>
    </row>
    <row r="690" spans="5:11" ht="13.5" customHeight="1" x14ac:dyDescent="0.2">
      <c r="E690" s="52"/>
      <c r="H690" s="61"/>
      <c r="K690"/>
    </row>
    <row r="691" spans="5:11" ht="13.5" customHeight="1" x14ac:dyDescent="0.2">
      <c r="E691" s="52"/>
      <c r="H691" s="61"/>
      <c r="K691"/>
    </row>
    <row r="692" spans="5:11" ht="13.5" customHeight="1" x14ac:dyDescent="0.2">
      <c r="E692" s="52"/>
      <c r="H692" s="61"/>
      <c r="K692"/>
    </row>
    <row r="693" spans="5:11" ht="13.5" customHeight="1" x14ac:dyDescent="0.2">
      <c r="E693" s="52"/>
      <c r="H693" s="61"/>
      <c r="K693"/>
    </row>
    <row r="694" spans="5:11" ht="13.5" customHeight="1" x14ac:dyDescent="0.2">
      <c r="E694" s="52"/>
      <c r="H694" s="61"/>
      <c r="K694"/>
    </row>
    <row r="695" spans="5:11" ht="13.5" customHeight="1" x14ac:dyDescent="0.2">
      <c r="E695" s="52"/>
      <c r="H695" s="61"/>
      <c r="K695"/>
    </row>
    <row r="696" spans="5:11" ht="13.5" customHeight="1" x14ac:dyDescent="0.2">
      <c r="E696" s="52"/>
      <c r="H696" s="61"/>
      <c r="K696"/>
    </row>
    <row r="697" spans="5:11" ht="13.5" customHeight="1" x14ac:dyDescent="0.2">
      <c r="E697" s="52"/>
      <c r="H697" s="61"/>
      <c r="K697"/>
    </row>
    <row r="698" spans="5:11" ht="13.5" customHeight="1" x14ac:dyDescent="0.2">
      <c r="E698" s="52"/>
      <c r="H698" s="61"/>
      <c r="K698"/>
    </row>
    <row r="699" spans="5:11" ht="13.5" customHeight="1" x14ac:dyDescent="0.2">
      <c r="E699" s="52"/>
      <c r="H699" s="61"/>
      <c r="K699"/>
    </row>
    <row r="700" spans="5:11" ht="13.5" customHeight="1" x14ac:dyDescent="0.2">
      <c r="E700" s="52"/>
      <c r="H700" s="61"/>
      <c r="K700"/>
    </row>
    <row r="701" spans="5:11" ht="13.5" customHeight="1" x14ac:dyDescent="0.2">
      <c r="E701" s="52"/>
      <c r="H701" s="61"/>
      <c r="K701"/>
    </row>
    <row r="702" spans="5:11" ht="13.5" customHeight="1" x14ac:dyDescent="0.2">
      <c r="E702" s="52"/>
      <c r="H702" s="61"/>
      <c r="K702"/>
    </row>
    <row r="703" spans="5:11" ht="13.5" customHeight="1" x14ac:dyDescent="0.2">
      <c r="E703" s="52"/>
      <c r="H703" s="61"/>
      <c r="K703"/>
    </row>
    <row r="704" spans="5:11" ht="13.5" customHeight="1" x14ac:dyDescent="0.2">
      <c r="E704" s="52"/>
      <c r="H704" s="61"/>
      <c r="K704"/>
    </row>
    <row r="705" spans="5:11" ht="13.5" customHeight="1" x14ac:dyDescent="0.2">
      <c r="E705" s="52"/>
      <c r="H705" s="61"/>
      <c r="K705"/>
    </row>
    <row r="706" spans="5:11" ht="13.5" customHeight="1" x14ac:dyDescent="0.2">
      <c r="E706" s="52"/>
      <c r="H706" s="61"/>
      <c r="K706"/>
    </row>
    <row r="707" spans="5:11" ht="13.5" customHeight="1" x14ac:dyDescent="0.2">
      <c r="E707" s="52"/>
      <c r="H707" s="61"/>
      <c r="K707"/>
    </row>
    <row r="708" spans="5:11" ht="13.5" customHeight="1" x14ac:dyDescent="0.2">
      <c r="E708" s="52"/>
      <c r="H708" s="61"/>
      <c r="K708"/>
    </row>
    <row r="709" spans="5:11" ht="13.5" customHeight="1" x14ac:dyDescent="0.2">
      <c r="E709" s="52"/>
      <c r="H709" s="61"/>
      <c r="K709"/>
    </row>
    <row r="710" spans="5:11" ht="13.5" customHeight="1" x14ac:dyDescent="0.2">
      <c r="E710" s="52"/>
      <c r="H710" s="61"/>
      <c r="K710"/>
    </row>
    <row r="711" spans="5:11" ht="13.5" customHeight="1" x14ac:dyDescent="0.2">
      <c r="E711" s="52"/>
      <c r="H711" s="61"/>
      <c r="K711"/>
    </row>
    <row r="712" spans="5:11" ht="13.5" customHeight="1" x14ac:dyDescent="0.2">
      <c r="E712" s="52"/>
      <c r="H712" s="61"/>
      <c r="K712"/>
    </row>
    <row r="713" spans="5:11" ht="13.5" customHeight="1" x14ac:dyDescent="0.2">
      <c r="E713" s="52"/>
      <c r="H713" s="61"/>
      <c r="K713"/>
    </row>
    <row r="714" spans="5:11" ht="13.5" customHeight="1" x14ac:dyDescent="0.2">
      <c r="E714" s="52"/>
      <c r="H714" s="61"/>
      <c r="K714"/>
    </row>
    <row r="715" spans="5:11" ht="13.5" customHeight="1" x14ac:dyDescent="0.2">
      <c r="E715" s="52"/>
      <c r="H715" s="61"/>
      <c r="K715"/>
    </row>
    <row r="716" spans="5:11" ht="13.5" customHeight="1" x14ac:dyDescent="0.2">
      <c r="E716" s="52"/>
      <c r="H716" s="61"/>
      <c r="K716"/>
    </row>
    <row r="717" spans="5:11" ht="13.5" customHeight="1" x14ac:dyDescent="0.2">
      <c r="E717" s="52"/>
      <c r="H717" s="61"/>
      <c r="K717"/>
    </row>
    <row r="718" spans="5:11" ht="13.5" customHeight="1" x14ac:dyDescent="0.2">
      <c r="E718" s="52"/>
      <c r="H718" s="61"/>
      <c r="K718"/>
    </row>
    <row r="719" spans="5:11" ht="13.5" customHeight="1" x14ac:dyDescent="0.2">
      <c r="E719" s="52"/>
      <c r="H719" s="61"/>
      <c r="K719"/>
    </row>
    <row r="720" spans="5:11" ht="13.5" customHeight="1" x14ac:dyDescent="0.2">
      <c r="E720" s="52"/>
      <c r="H720" s="61"/>
      <c r="K720"/>
    </row>
    <row r="721" spans="5:11" ht="13.5" customHeight="1" x14ac:dyDescent="0.2">
      <c r="E721" s="52"/>
      <c r="H721" s="61"/>
      <c r="K721"/>
    </row>
    <row r="722" spans="5:11" ht="13.5" customHeight="1" x14ac:dyDescent="0.2">
      <c r="E722" s="52"/>
      <c r="H722" s="61"/>
      <c r="K722"/>
    </row>
    <row r="723" spans="5:11" ht="13.5" customHeight="1" x14ac:dyDescent="0.2">
      <c r="E723" s="52"/>
      <c r="H723" s="61"/>
      <c r="K723"/>
    </row>
    <row r="724" spans="5:11" ht="13.5" customHeight="1" x14ac:dyDescent="0.2">
      <c r="E724" s="52"/>
      <c r="H724" s="61"/>
      <c r="K724"/>
    </row>
    <row r="725" spans="5:11" ht="13.5" customHeight="1" x14ac:dyDescent="0.2">
      <c r="E725" s="52"/>
      <c r="H725" s="61"/>
      <c r="K725"/>
    </row>
    <row r="726" spans="5:11" ht="13.5" customHeight="1" x14ac:dyDescent="0.2">
      <c r="E726" s="52"/>
      <c r="H726" s="61"/>
      <c r="K726"/>
    </row>
    <row r="727" spans="5:11" ht="13.5" customHeight="1" x14ac:dyDescent="0.2">
      <c r="E727" s="52"/>
      <c r="H727" s="61"/>
      <c r="K727"/>
    </row>
    <row r="728" spans="5:11" ht="13.5" customHeight="1" x14ac:dyDescent="0.2">
      <c r="E728" s="52"/>
      <c r="H728" s="61"/>
      <c r="K728"/>
    </row>
    <row r="729" spans="5:11" ht="13.5" customHeight="1" x14ac:dyDescent="0.2">
      <c r="E729" s="52"/>
      <c r="H729" s="61"/>
      <c r="K729"/>
    </row>
    <row r="730" spans="5:11" ht="13.5" customHeight="1" x14ac:dyDescent="0.2">
      <c r="E730" s="52"/>
      <c r="H730" s="61"/>
      <c r="K730"/>
    </row>
    <row r="731" spans="5:11" ht="13.5" customHeight="1" x14ac:dyDescent="0.2">
      <c r="E731" s="52"/>
      <c r="H731" s="61"/>
      <c r="K731"/>
    </row>
    <row r="732" spans="5:11" ht="13.5" customHeight="1" x14ac:dyDescent="0.2">
      <c r="E732" s="52"/>
      <c r="H732" s="61"/>
      <c r="K732"/>
    </row>
    <row r="733" spans="5:11" ht="13.5" customHeight="1" x14ac:dyDescent="0.2">
      <c r="E733" s="52"/>
      <c r="H733" s="61"/>
      <c r="K733"/>
    </row>
    <row r="734" spans="5:11" ht="13.5" customHeight="1" x14ac:dyDescent="0.2">
      <c r="E734" s="52"/>
      <c r="H734" s="61"/>
      <c r="K734"/>
    </row>
    <row r="735" spans="5:11" ht="13.5" customHeight="1" x14ac:dyDescent="0.2">
      <c r="E735" s="52"/>
      <c r="H735" s="61"/>
      <c r="K735"/>
    </row>
    <row r="736" spans="5:11" ht="13.5" customHeight="1" x14ac:dyDescent="0.2">
      <c r="E736" s="52"/>
      <c r="H736" s="61"/>
      <c r="K736"/>
    </row>
    <row r="737" spans="5:11" ht="13.5" customHeight="1" x14ac:dyDescent="0.2">
      <c r="E737" s="52"/>
      <c r="H737" s="61"/>
      <c r="K737"/>
    </row>
    <row r="738" spans="5:11" ht="13.5" customHeight="1" x14ac:dyDescent="0.2">
      <c r="E738" s="52"/>
      <c r="H738" s="61"/>
      <c r="K738"/>
    </row>
    <row r="739" spans="5:11" ht="13.5" customHeight="1" x14ac:dyDescent="0.2">
      <c r="E739" s="52"/>
      <c r="H739" s="61"/>
      <c r="K739"/>
    </row>
    <row r="740" spans="5:11" ht="13.5" customHeight="1" x14ac:dyDescent="0.2">
      <c r="E740" s="52"/>
      <c r="H740" s="61"/>
    </row>
    <row r="741" spans="5:11" ht="13.5" customHeight="1" x14ac:dyDescent="0.2">
      <c r="E741" s="52"/>
      <c r="H741" s="61"/>
    </row>
    <row r="742" spans="5:11" ht="13.5" customHeight="1" x14ac:dyDescent="0.2">
      <c r="E742" s="52"/>
      <c r="H742" s="61"/>
    </row>
    <row r="743" spans="5:11" ht="13.5" customHeight="1" x14ac:dyDescent="0.2">
      <c r="E743" s="52"/>
      <c r="H743" s="61"/>
    </row>
    <row r="744" spans="5:11" ht="13.5" customHeight="1" x14ac:dyDescent="0.2">
      <c r="E744" s="52"/>
      <c r="H744" s="61"/>
    </row>
    <row r="745" spans="5:11" ht="13.5" customHeight="1" x14ac:dyDescent="0.2">
      <c r="E745" s="52"/>
      <c r="H745" s="61"/>
    </row>
    <row r="746" spans="5:11" ht="13.5" customHeight="1" x14ac:dyDescent="0.2">
      <c r="E746" s="52"/>
      <c r="H746" s="61"/>
    </row>
    <row r="747" spans="5:11" ht="13.5" customHeight="1" x14ac:dyDescent="0.2">
      <c r="E747" s="52"/>
      <c r="H747" s="61"/>
    </row>
    <row r="748" spans="5:11" ht="13.5" customHeight="1" x14ac:dyDescent="0.2">
      <c r="E748" s="52"/>
      <c r="H748" s="61"/>
    </row>
    <row r="749" spans="5:11" ht="13.5" customHeight="1" x14ac:dyDescent="0.2">
      <c r="E749" s="52"/>
      <c r="H749" s="61"/>
    </row>
    <row r="750" spans="5:11" ht="13.5" customHeight="1" x14ac:dyDescent="0.2">
      <c r="E750" s="52"/>
      <c r="H750" s="61"/>
    </row>
    <row r="751" spans="5:11" ht="13.5" customHeight="1" x14ac:dyDescent="0.2">
      <c r="E751" s="52"/>
      <c r="H751" s="61"/>
    </row>
    <row r="752" spans="5:11" ht="13.5" customHeight="1" x14ac:dyDescent="0.2">
      <c r="E752" s="52"/>
      <c r="H752" s="61"/>
      <c r="K752"/>
    </row>
    <row r="753" spans="5:11" ht="13.5" customHeight="1" x14ac:dyDescent="0.2">
      <c r="E753" s="52"/>
      <c r="H753" s="61"/>
      <c r="K753"/>
    </row>
    <row r="754" spans="5:11" ht="13.5" customHeight="1" x14ac:dyDescent="0.2">
      <c r="E754" s="52"/>
      <c r="H754" s="61"/>
      <c r="K754"/>
    </row>
    <row r="755" spans="5:11" ht="13.5" customHeight="1" x14ac:dyDescent="0.2">
      <c r="E755" s="52"/>
      <c r="H755" s="61"/>
      <c r="K755"/>
    </row>
    <row r="756" spans="5:11" ht="13.5" customHeight="1" x14ac:dyDescent="0.2">
      <c r="E756" s="52"/>
      <c r="H756" s="61"/>
      <c r="K756"/>
    </row>
    <row r="757" spans="5:11" ht="13.5" customHeight="1" x14ac:dyDescent="0.2">
      <c r="E757" s="52"/>
      <c r="H757" s="61"/>
      <c r="K757"/>
    </row>
    <row r="758" spans="5:11" ht="13.5" customHeight="1" x14ac:dyDescent="0.2">
      <c r="E758" s="52"/>
      <c r="H758" s="61"/>
      <c r="K758"/>
    </row>
    <row r="759" spans="5:11" ht="13.5" customHeight="1" x14ac:dyDescent="0.2">
      <c r="E759" s="52"/>
      <c r="H759" s="61"/>
      <c r="K759"/>
    </row>
    <row r="760" spans="5:11" ht="13.5" customHeight="1" x14ac:dyDescent="0.2">
      <c r="E760" s="52"/>
      <c r="H760" s="61"/>
      <c r="K760"/>
    </row>
    <row r="761" spans="5:11" ht="13.5" customHeight="1" x14ac:dyDescent="0.2">
      <c r="E761" s="52"/>
      <c r="H761" s="61"/>
      <c r="K761"/>
    </row>
    <row r="762" spans="5:11" ht="13.5" customHeight="1" x14ac:dyDescent="0.2">
      <c r="E762" s="52"/>
      <c r="H762" s="61"/>
      <c r="K762"/>
    </row>
    <row r="763" spans="5:11" ht="13.5" customHeight="1" x14ac:dyDescent="0.2">
      <c r="E763" s="52"/>
      <c r="H763" s="61"/>
      <c r="K763"/>
    </row>
    <row r="764" spans="5:11" ht="13.5" customHeight="1" x14ac:dyDescent="0.2">
      <c r="E764" s="52"/>
      <c r="H764" s="61"/>
      <c r="K764"/>
    </row>
    <row r="765" spans="5:11" ht="13.5" customHeight="1" x14ac:dyDescent="0.2">
      <c r="E765" s="52"/>
      <c r="H765" s="61"/>
      <c r="K765"/>
    </row>
    <row r="766" spans="5:11" ht="13.5" customHeight="1" x14ac:dyDescent="0.2">
      <c r="E766" s="52"/>
      <c r="H766" s="61"/>
      <c r="K766"/>
    </row>
    <row r="767" spans="5:11" ht="13.5" customHeight="1" x14ac:dyDescent="0.2">
      <c r="E767" s="52"/>
      <c r="H767" s="61"/>
      <c r="K767"/>
    </row>
    <row r="768" spans="5:11" ht="13.5" customHeight="1" x14ac:dyDescent="0.2">
      <c r="E768" s="52"/>
      <c r="H768" s="61"/>
      <c r="K768"/>
    </row>
    <row r="769" spans="5:11" ht="13.5" customHeight="1" x14ac:dyDescent="0.2">
      <c r="E769" s="50"/>
      <c r="H769" s="61"/>
      <c r="K769"/>
    </row>
    <row r="770" spans="5:11" ht="13.5" customHeight="1" x14ac:dyDescent="0.2">
      <c r="E770" s="50"/>
      <c r="H770" s="61"/>
      <c r="K770"/>
    </row>
    <row r="771" spans="5:11" ht="13.5" customHeight="1" x14ac:dyDescent="0.2">
      <c r="E771" s="50"/>
      <c r="H771" s="61"/>
      <c r="K771"/>
    </row>
    <row r="772" spans="5:11" ht="13.5" customHeight="1" x14ac:dyDescent="0.2">
      <c r="E772" s="50"/>
      <c r="H772" s="61"/>
      <c r="K772"/>
    </row>
    <row r="773" spans="5:11" ht="13.5" customHeight="1" x14ac:dyDescent="0.2">
      <c r="E773" s="50"/>
      <c r="H773" s="61"/>
      <c r="K773"/>
    </row>
    <row r="774" spans="5:11" ht="13.5" customHeight="1" x14ac:dyDescent="0.2">
      <c r="E774" s="50"/>
      <c r="H774" s="61"/>
      <c r="K774"/>
    </row>
    <row r="775" spans="5:11" ht="13.5" customHeight="1" x14ac:dyDescent="0.2">
      <c r="E775" s="50"/>
      <c r="H775" s="61"/>
      <c r="K775"/>
    </row>
    <row r="776" spans="5:11" ht="13.5" customHeight="1" x14ac:dyDescent="0.2">
      <c r="E776" s="50"/>
      <c r="H776" s="61"/>
      <c r="K776"/>
    </row>
    <row r="777" spans="5:11" ht="13.5" customHeight="1" x14ac:dyDescent="0.2">
      <c r="E777" s="50"/>
      <c r="H777" s="61"/>
      <c r="K777"/>
    </row>
    <row r="778" spans="5:11" ht="13.5" customHeight="1" x14ac:dyDescent="0.2">
      <c r="E778" s="50"/>
      <c r="H778" s="61"/>
      <c r="K778"/>
    </row>
    <row r="779" spans="5:11" ht="13.5" customHeight="1" x14ac:dyDescent="0.2">
      <c r="E779" s="50"/>
      <c r="H779" s="61"/>
      <c r="K779"/>
    </row>
    <row r="780" spans="5:11" ht="13.5" customHeight="1" x14ac:dyDescent="0.2">
      <c r="E780" s="50"/>
      <c r="H780" s="61"/>
      <c r="K780"/>
    </row>
    <row r="781" spans="5:11" ht="13.5" customHeight="1" x14ac:dyDescent="0.2">
      <c r="E781" s="50"/>
      <c r="H781" s="61"/>
      <c r="K781"/>
    </row>
    <row r="782" spans="5:11" ht="13.5" customHeight="1" x14ac:dyDescent="0.2">
      <c r="E782" s="50"/>
      <c r="H782" s="61"/>
      <c r="K782"/>
    </row>
    <row r="783" spans="5:11" ht="13.5" customHeight="1" x14ac:dyDescent="0.2">
      <c r="E783" s="50"/>
      <c r="H783" s="61"/>
      <c r="K783"/>
    </row>
    <row r="784" spans="5:11" ht="13.5" customHeight="1" x14ac:dyDescent="0.2">
      <c r="E784" s="50"/>
      <c r="H784" s="61"/>
      <c r="K784"/>
    </row>
    <row r="785" spans="5:11" ht="13.5" customHeight="1" x14ac:dyDescent="0.2">
      <c r="E785" s="50"/>
      <c r="H785" s="61"/>
      <c r="K785"/>
    </row>
    <row r="786" spans="5:11" ht="13.5" customHeight="1" x14ac:dyDescent="0.2">
      <c r="E786" s="50"/>
      <c r="H786" s="61"/>
      <c r="K786"/>
    </row>
    <row r="787" spans="5:11" ht="13.5" customHeight="1" x14ac:dyDescent="0.2">
      <c r="E787" s="50"/>
      <c r="H787" s="61"/>
      <c r="K787"/>
    </row>
    <row r="788" spans="5:11" ht="13.5" customHeight="1" x14ac:dyDescent="0.2">
      <c r="E788" s="50"/>
      <c r="H788" s="61"/>
      <c r="K788"/>
    </row>
    <row r="789" spans="5:11" ht="13.5" customHeight="1" x14ac:dyDescent="0.2">
      <c r="E789" s="50"/>
      <c r="H789" s="61"/>
      <c r="K789"/>
    </row>
    <row r="790" spans="5:11" ht="13.5" customHeight="1" x14ac:dyDescent="0.2">
      <c r="E790" s="50"/>
      <c r="H790" s="61"/>
      <c r="K790"/>
    </row>
    <row r="791" spans="5:11" ht="13.5" customHeight="1" x14ac:dyDescent="0.2">
      <c r="E791" s="50"/>
      <c r="H791" s="61"/>
      <c r="K791"/>
    </row>
    <row r="792" spans="5:11" ht="13.5" customHeight="1" x14ac:dyDescent="0.2">
      <c r="E792" s="50"/>
      <c r="H792" s="61"/>
      <c r="K792"/>
    </row>
    <row r="793" spans="5:11" ht="13.5" customHeight="1" x14ac:dyDescent="0.2">
      <c r="E793" s="50"/>
      <c r="H793" s="61"/>
      <c r="K793"/>
    </row>
    <row r="794" spans="5:11" ht="13.5" customHeight="1" x14ac:dyDescent="0.2">
      <c r="E794" s="50"/>
      <c r="H794" s="61"/>
      <c r="K794"/>
    </row>
    <row r="795" spans="5:11" ht="13.5" customHeight="1" x14ac:dyDescent="0.2">
      <c r="E795" s="50"/>
      <c r="H795" s="61"/>
      <c r="K795"/>
    </row>
    <row r="796" spans="5:11" ht="13.5" customHeight="1" x14ac:dyDescent="0.2">
      <c r="E796" s="50"/>
      <c r="H796" s="61"/>
      <c r="K796"/>
    </row>
    <row r="797" spans="5:11" ht="13.5" customHeight="1" x14ac:dyDescent="0.2">
      <c r="E797" s="50"/>
      <c r="H797" s="61"/>
      <c r="K797"/>
    </row>
    <row r="798" spans="5:11" ht="13.5" customHeight="1" x14ac:dyDescent="0.2">
      <c r="E798" s="50"/>
      <c r="H798" s="61"/>
      <c r="K798"/>
    </row>
    <row r="799" spans="5:11" ht="13.5" customHeight="1" x14ac:dyDescent="0.2">
      <c r="E799" s="50"/>
      <c r="H799" s="61"/>
      <c r="K799"/>
    </row>
    <row r="800" spans="5:11" ht="13.5" customHeight="1" x14ac:dyDescent="0.2">
      <c r="E800" s="50"/>
      <c r="H800" s="61"/>
      <c r="K800"/>
    </row>
    <row r="801" spans="5:11" ht="13.5" customHeight="1" x14ac:dyDescent="0.2">
      <c r="E801" s="50"/>
      <c r="H801" s="61"/>
      <c r="K801"/>
    </row>
    <row r="802" spans="5:11" ht="13.5" customHeight="1" x14ac:dyDescent="0.2">
      <c r="E802" s="50"/>
      <c r="H802" s="61"/>
      <c r="K802"/>
    </row>
    <row r="803" spans="5:11" ht="13.5" customHeight="1" x14ac:dyDescent="0.2">
      <c r="E803" s="50"/>
      <c r="H803" s="61"/>
      <c r="K803"/>
    </row>
    <row r="804" spans="5:11" ht="13.5" customHeight="1" x14ac:dyDescent="0.2">
      <c r="E804" s="50"/>
      <c r="H804" s="61"/>
      <c r="K804"/>
    </row>
    <row r="805" spans="5:11" ht="13.5" customHeight="1" x14ac:dyDescent="0.2">
      <c r="E805" s="50"/>
      <c r="H805" s="61"/>
      <c r="K805"/>
    </row>
    <row r="806" spans="5:11" ht="13.5" customHeight="1" x14ac:dyDescent="0.2">
      <c r="E806" s="50"/>
      <c r="H806" s="61"/>
      <c r="K806"/>
    </row>
    <row r="807" spans="5:11" ht="13.5" customHeight="1" x14ac:dyDescent="0.2">
      <c r="E807" s="50"/>
      <c r="H807" s="61"/>
      <c r="K807"/>
    </row>
    <row r="808" spans="5:11" ht="13.5" customHeight="1" x14ac:dyDescent="0.2">
      <c r="E808" s="50"/>
      <c r="H808" s="61"/>
      <c r="K808"/>
    </row>
    <row r="809" spans="5:11" ht="13.5" customHeight="1" x14ac:dyDescent="0.2">
      <c r="E809" s="50"/>
      <c r="H809" s="61"/>
      <c r="K809"/>
    </row>
    <row r="810" spans="5:11" ht="13.5" customHeight="1" x14ac:dyDescent="0.2">
      <c r="E810" s="50"/>
      <c r="H810" s="61"/>
      <c r="K810"/>
    </row>
    <row r="811" spans="5:11" ht="13.5" customHeight="1" x14ac:dyDescent="0.2">
      <c r="E811" s="50"/>
      <c r="H811" s="61"/>
      <c r="K811"/>
    </row>
    <row r="812" spans="5:11" ht="13.5" customHeight="1" x14ac:dyDescent="0.2">
      <c r="E812" s="50"/>
      <c r="H812" s="61"/>
      <c r="K812"/>
    </row>
    <row r="813" spans="5:11" ht="13.5" customHeight="1" x14ac:dyDescent="0.2">
      <c r="E813" s="50"/>
      <c r="H813" s="61"/>
      <c r="K813"/>
    </row>
    <row r="814" spans="5:11" ht="13.5" customHeight="1" x14ac:dyDescent="0.2">
      <c r="E814" s="50"/>
      <c r="H814" s="61"/>
      <c r="K814"/>
    </row>
    <row r="815" spans="5:11" ht="13.5" customHeight="1" x14ac:dyDescent="0.2">
      <c r="E815" s="50"/>
      <c r="H815" s="61"/>
      <c r="K815"/>
    </row>
    <row r="816" spans="5:11" ht="13.5" customHeight="1" x14ac:dyDescent="0.2">
      <c r="E816" s="50"/>
      <c r="H816" s="61"/>
      <c r="K816"/>
    </row>
    <row r="817" spans="5:11" ht="13.5" customHeight="1" x14ac:dyDescent="0.2">
      <c r="E817" s="50"/>
      <c r="H817" s="61"/>
      <c r="K817"/>
    </row>
    <row r="818" spans="5:11" ht="13.5" customHeight="1" x14ac:dyDescent="0.2">
      <c r="E818" s="50"/>
      <c r="H818" s="61"/>
      <c r="K818"/>
    </row>
    <row r="819" spans="5:11" ht="13.5" customHeight="1" x14ac:dyDescent="0.2">
      <c r="E819" s="50"/>
      <c r="H819" s="61"/>
      <c r="K819"/>
    </row>
    <row r="820" spans="5:11" ht="13.5" customHeight="1" x14ac:dyDescent="0.2">
      <c r="E820" s="50"/>
      <c r="H820" s="61"/>
      <c r="K820"/>
    </row>
    <row r="821" spans="5:11" ht="13.5" customHeight="1" x14ac:dyDescent="0.2">
      <c r="E821" s="50"/>
      <c r="H821" s="61"/>
      <c r="K821"/>
    </row>
    <row r="822" spans="5:11" ht="13.5" customHeight="1" x14ac:dyDescent="0.2">
      <c r="E822" s="50"/>
      <c r="H822" s="61"/>
      <c r="K822"/>
    </row>
    <row r="823" spans="5:11" ht="13.5" customHeight="1" x14ac:dyDescent="0.2">
      <c r="E823" s="50"/>
      <c r="H823" s="12"/>
      <c r="K823"/>
    </row>
    <row r="824" spans="5:11" ht="13.5" customHeight="1" x14ac:dyDescent="0.2">
      <c r="E824" s="50"/>
      <c r="H824" s="12"/>
      <c r="K824"/>
    </row>
    <row r="825" spans="5:11" ht="13.5" customHeight="1" x14ac:dyDescent="0.2">
      <c r="E825" s="50"/>
      <c r="H825" s="12"/>
      <c r="K825"/>
    </row>
    <row r="826" spans="5:11" ht="13.5" customHeight="1" x14ac:dyDescent="0.2">
      <c r="E826" s="50"/>
      <c r="H826" s="12"/>
      <c r="K826"/>
    </row>
    <row r="827" spans="5:11" ht="13.5" customHeight="1" x14ac:dyDescent="0.2">
      <c r="E827" s="50"/>
      <c r="H827" s="12"/>
      <c r="K827"/>
    </row>
    <row r="828" spans="5:11" ht="13.5" customHeight="1" x14ac:dyDescent="0.2">
      <c r="E828" s="50"/>
      <c r="H828" s="12"/>
      <c r="K828"/>
    </row>
    <row r="829" spans="5:11" ht="13.5" customHeight="1" x14ac:dyDescent="0.2">
      <c r="E829" s="50"/>
      <c r="H829" s="12"/>
      <c r="K829"/>
    </row>
    <row r="830" spans="5:11" ht="13.5" customHeight="1" x14ac:dyDescent="0.2">
      <c r="E830" s="50"/>
      <c r="H830" s="12"/>
      <c r="K830"/>
    </row>
    <row r="831" spans="5:11" ht="13.5" customHeight="1" x14ac:dyDescent="0.2">
      <c r="E831" s="50"/>
      <c r="H831" s="12"/>
      <c r="K831"/>
    </row>
    <row r="832" spans="5:11" ht="13.5" customHeight="1" x14ac:dyDescent="0.2">
      <c r="E832" s="50"/>
      <c r="H832" s="12"/>
      <c r="K832"/>
    </row>
    <row r="833" spans="5:11" ht="13.5" customHeight="1" x14ac:dyDescent="0.2">
      <c r="E833" s="50"/>
      <c r="H833" s="12"/>
      <c r="K833"/>
    </row>
    <row r="834" spans="5:11" ht="13.5" customHeight="1" x14ac:dyDescent="0.2">
      <c r="E834" s="50"/>
      <c r="H834" s="12"/>
      <c r="K834"/>
    </row>
    <row r="835" spans="5:11" ht="13.5" customHeight="1" x14ac:dyDescent="0.2">
      <c r="E835" s="50"/>
      <c r="H835" s="12"/>
      <c r="K835"/>
    </row>
    <row r="836" spans="5:11" ht="13.5" customHeight="1" x14ac:dyDescent="0.2">
      <c r="E836" s="50"/>
      <c r="H836" s="12"/>
      <c r="K836"/>
    </row>
    <row r="837" spans="5:11" ht="13.5" customHeight="1" x14ac:dyDescent="0.2">
      <c r="E837" s="50"/>
      <c r="H837" s="12"/>
      <c r="K837"/>
    </row>
    <row r="838" spans="5:11" ht="13.5" customHeight="1" x14ac:dyDescent="0.2">
      <c r="E838" s="50"/>
      <c r="H838" s="12"/>
      <c r="K838"/>
    </row>
    <row r="839" spans="5:11" ht="13.5" customHeight="1" x14ac:dyDescent="0.2">
      <c r="E839" s="50"/>
      <c r="H839" s="12"/>
      <c r="K839"/>
    </row>
    <row r="840" spans="5:11" ht="13.5" customHeight="1" x14ac:dyDescent="0.2">
      <c r="E840" s="50"/>
      <c r="H840" s="12"/>
      <c r="K840"/>
    </row>
    <row r="841" spans="5:11" ht="13.5" customHeight="1" x14ac:dyDescent="0.2">
      <c r="E841" s="50"/>
      <c r="H841" s="12"/>
      <c r="K841"/>
    </row>
    <row r="842" spans="5:11" ht="13.5" customHeight="1" x14ac:dyDescent="0.2">
      <c r="E842" s="50"/>
      <c r="H842" s="12"/>
      <c r="K842"/>
    </row>
    <row r="843" spans="5:11" ht="13.5" customHeight="1" x14ac:dyDescent="0.2">
      <c r="E843" s="50"/>
      <c r="H843" s="12"/>
      <c r="K843"/>
    </row>
    <row r="844" spans="5:11" ht="13.5" customHeight="1" x14ac:dyDescent="0.2">
      <c r="E844" s="50"/>
      <c r="H844" s="12"/>
      <c r="K844"/>
    </row>
    <row r="845" spans="5:11" ht="13.5" customHeight="1" x14ac:dyDescent="0.2">
      <c r="E845" s="50"/>
      <c r="H845" s="12"/>
      <c r="K845"/>
    </row>
    <row r="846" spans="5:11" ht="13.5" customHeight="1" x14ac:dyDescent="0.2">
      <c r="E846" s="50"/>
      <c r="H846" s="12"/>
      <c r="K846"/>
    </row>
    <row r="847" spans="5:11" ht="13.5" customHeight="1" x14ac:dyDescent="0.2">
      <c r="E847" s="50"/>
      <c r="H847" s="12"/>
      <c r="K847"/>
    </row>
    <row r="848" spans="5:11" ht="13.5" customHeight="1" x14ac:dyDescent="0.2">
      <c r="E848" s="50"/>
      <c r="H848" s="12"/>
      <c r="K848"/>
    </row>
    <row r="849" spans="5:11" ht="13.5" customHeight="1" x14ac:dyDescent="0.2">
      <c r="E849" s="50"/>
      <c r="H849" s="12"/>
      <c r="K849"/>
    </row>
    <row r="850" spans="5:11" ht="13.5" customHeight="1" x14ac:dyDescent="0.2">
      <c r="E850" s="50"/>
      <c r="H850" s="12"/>
      <c r="K850"/>
    </row>
    <row r="851" spans="5:11" ht="13.5" customHeight="1" x14ac:dyDescent="0.2">
      <c r="E851" s="50"/>
      <c r="H851" s="12"/>
      <c r="K851"/>
    </row>
    <row r="852" spans="5:11" ht="13.5" customHeight="1" x14ac:dyDescent="0.2">
      <c r="E852" s="50"/>
      <c r="H852" s="12"/>
      <c r="K852"/>
    </row>
    <row r="853" spans="5:11" ht="13.5" customHeight="1" x14ac:dyDescent="0.2">
      <c r="E853" s="50"/>
      <c r="H853" s="12"/>
      <c r="K853"/>
    </row>
    <row r="854" spans="5:11" ht="13.5" customHeight="1" x14ac:dyDescent="0.2">
      <c r="E854" s="50"/>
      <c r="H854" s="12"/>
      <c r="K854"/>
    </row>
    <row r="855" spans="5:11" ht="13.5" customHeight="1" x14ac:dyDescent="0.2">
      <c r="E855" s="50"/>
      <c r="H855" s="12"/>
      <c r="K855"/>
    </row>
    <row r="856" spans="5:11" ht="13.5" customHeight="1" x14ac:dyDescent="0.2">
      <c r="E856" s="50"/>
      <c r="H856" s="12"/>
      <c r="K856"/>
    </row>
    <row r="857" spans="5:11" ht="13.5" customHeight="1" x14ac:dyDescent="0.2">
      <c r="E857" s="50"/>
      <c r="H857" s="12"/>
      <c r="K857"/>
    </row>
    <row r="858" spans="5:11" ht="13.5" customHeight="1" x14ac:dyDescent="0.2">
      <c r="E858" s="50"/>
      <c r="H858" s="12"/>
      <c r="K858"/>
    </row>
    <row r="859" spans="5:11" ht="13.5" customHeight="1" x14ac:dyDescent="0.2">
      <c r="E859" s="50"/>
      <c r="H859" s="12"/>
      <c r="K859"/>
    </row>
    <row r="860" spans="5:11" ht="13.5" customHeight="1" x14ac:dyDescent="0.2">
      <c r="E860" s="50"/>
      <c r="H860" s="12"/>
      <c r="K860"/>
    </row>
    <row r="861" spans="5:11" ht="13.5" customHeight="1" x14ac:dyDescent="0.2">
      <c r="E861" s="50"/>
      <c r="H861" s="12"/>
      <c r="K861"/>
    </row>
    <row r="862" spans="5:11" ht="13.5" customHeight="1" x14ac:dyDescent="0.2">
      <c r="E862" s="50"/>
      <c r="H862" s="12"/>
      <c r="K862"/>
    </row>
    <row r="863" spans="5:11" ht="13.5" customHeight="1" x14ac:dyDescent="0.2">
      <c r="E863" s="50"/>
      <c r="H863" s="12"/>
      <c r="K863"/>
    </row>
    <row r="864" spans="5:11" ht="13.5" customHeight="1" x14ac:dyDescent="0.2">
      <c r="E864" s="50"/>
      <c r="H864" s="12"/>
      <c r="K864"/>
    </row>
    <row r="865" spans="5:11" ht="13.5" customHeight="1" x14ac:dyDescent="0.2">
      <c r="E865" s="50"/>
      <c r="H865" s="12"/>
      <c r="K865"/>
    </row>
    <row r="866" spans="5:11" ht="13.5" customHeight="1" x14ac:dyDescent="0.2">
      <c r="E866" s="50"/>
      <c r="H866" s="12"/>
      <c r="K866"/>
    </row>
    <row r="867" spans="5:11" ht="13.5" customHeight="1" x14ac:dyDescent="0.2">
      <c r="E867" s="50"/>
      <c r="H867" s="12"/>
      <c r="K867"/>
    </row>
    <row r="868" spans="5:11" ht="13.5" customHeight="1" x14ac:dyDescent="0.2">
      <c r="E868" s="50"/>
      <c r="H868" s="12"/>
      <c r="K868"/>
    </row>
    <row r="869" spans="5:11" ht="13.5" customHeight="1" x14ac:dyDescent="0.2">
      <c r="E869" s="50"/>
      <c r="H869" s="12"/>
      <c r="K869"/>
    </row>
    <row r="870" spans="5:11" ht="13.5" customHeight="1" x14ac:dyDescent="0.2">
      <c r="E870" s="50"/>
      <c r="H870" s="12"/>
      <c r="K870"/>
    </row>
    <row r="871" spans="5:11" ht="13.5" customHeight="1" x14ac:dyDescent="0.2">
      <c r="E871" s="50"/>
      <c r="H871" s="12"/>
      <c r="K871"/>
    </row>
    <row r="872" spans="5:11" ht="13.5" customHeight="1" x14ac:dyDescent="0.2">
      <c r="E872" s="50"/>
      <c r="H872" s="12"/>
      <c r="K872"/>
    </row>
    <row r="873" spans="5:11" ht="13.5" customHeight="1" x14ac:dyDescent="0.2">
      <c r="E873" s="50"/>
      <c r="H873" s="12"/>
      <c r="K873"/>
    </row>
    <row r="874" spans="5:11" ht="13.5" customHeight="1" x14ac:dyDescent="0.2">
      <c r="E874" s="50"/>
      <c r="H874" s="12"/>
      <c r="K874"/>
    </row>
    <row r="875" spans="5:11" ht="13.5" customHeight="1" x14ac:dyDescent="0.2">
      <c r="E875" s="50"/>
      <c r="H875" s="12"/>
      <c r="K875"/>
    </row>
    <row r="876" spans="5:11" ht="13.5" customHeight="1" x14ac:dyDescent="0.2">
      <c r="E876" s="50"/>
      <c r="H876" s="12"/>
      <c r="K876"/>
    </row>
    <row r="877" spans="5:11" ht="13.5" customHeight="1" x14ac:dyDescent="0.2">
      <c r="E877" s="50"/>
      <c r="H877" s="12"/>
      <c r="K877"/>
    </row>
    <row r="878" spans="5:11" ht="13.5" customHeight="1" x14ac:dyDescent="0.2">
      <c r="E878" s="50"/>
      <c r="H878" s="12"/>
      <c r="K878"/>
    </row>
    <row r="879" spans="5:11" ht="13.5" customHeight="1" x14ac:dyDescent="0.2">
      <c r="E879" s="50"/>
      <c r="H879" s="12"/>
      <c r="K879"/>
    </row>
    <row r="880" spans="5:11" ht="13.5" customHeight="1" x14ac:dyDescent="0.2">
      <c r="E880" s="50"/>
      <c r="H880" s="12"/>
      <c r="K880"/>
    </row>
    <row r="881" spans="5:11" ht="13.5" customHeight="1" x14ac:dyDescent="0.2">
      <c r="E881" s="50"/>
      <c r="H881" s="12"/>
      <c r="K881"/>
    </row>
    <row r="882" spans="5:11" ht="13.5" customHeight="1" x14ac:dyDescent="0.2">
      <c r="E882" s="50"/>
      <c r="H882" s="12"/>
      <c r="K882"/>
    </row>
    <row r="883" spans="5:11" ht="13.5" customHeight="1" x14ac:dyDescent="0.2">
      <c r="E883" s="50"/>
      <c r="H883" s="12"/>
      <c r="K883"/>
    </row>
    <row r="884" spans="5:11" ht="13.5" customHeight="1" x14ac:dyDescent="0.2">
      <c r="E884" s="50"/>
      <c r="H884" s="12"/>
      <c r="K884"/>
    </row>
    <row r="885" spans="5:11" ht="13.5" customHeight="1" x14ac:dyDescent="0.2">
      <c r="E885" s="50"/>
      <c r="H885" s="12"/>
      <c r="K885"/>
    </row>
    <row r="886" spans="5:11" ht="13.5" customHeight="1" x14ac:dyDescent="0.2">
      <c r="E886" s="50"/>
      <c r="H886" s="12"/>
      <c r="K886"/>
    </row>
    <row r="887" spans="5:11" ht="13.5" customHeight="1" x14ac:dyDescent="0.2">
      <c r="E887" s="50"/>
      <c r="H887" s="12"/>
      <c r="K887"/>
    </row>
    <row r="888" spans="5:11" ht="13.5" customHeight="1" x14ac:dyDescent="0.2">
      <c r="E888" s="50"/>
      <c r="H888" s="12"/>
      <c r="K888"/>
    </row>
    <row r="889" spans="5:11" ht="13.5" customHeight="1" x14ac:dyDescent="0.2">
      <c r="E889" s="50"/>
      <c r="H889" s="12"/>
      <c r="K889"/>
    </row>
    <row r="890" spans="5:11" ht="13.5" customHeight="1" x14ac:dyDescent="0.2">
      <c r="E890" s="50"/>
      <c r="H890" s="12"/>
      <c r="K890"/>
    </row>
    <row r="891" spans="5:11" ht="13.5" customHeight="1" x14ac:dyDescent="0.2">
      <c r="E891" s="50"/>
      <c r="H891" s="12"/>
      <c r="K891"/>
    </row>
    <row r="892" spans="5:11" ht="13.5" customHeight="1" x14ac:dyDescent="0.2">
      <c r="E892" s="50"/>
      <c r="H892" s="12"/>
      <c r="K892"/>
    </row>
    <row r="893" spans="5:11" ht="13.5" customHeight="1" x14ac:dyDescent="0.2">
      <c r="E893" s="50"/>
      <c r="H893" s="12"/>
      <c r="K893"/>
    </row>
    <row r="894" spans="5:11" ht="13.5" customHeight="1" x14ac:dyDescent="0.2">
      <c r="E894" s="50"/>
      <c r="H894" s="12"/>
      <c r="K894"/>
    </row>
    <row r="895" spans="5:11" ht="13.5" customHeight="1" x14ac:dyDescent="0.2">
      <c r="E895" s="50"/>
      <c r="H895" s="12"/>
      <c r="K895"/>
    </row>
    <row r="896" spans="5:11" ht="13.5" customHeight="1" x14ac:dyDescent="0.2">
      <c r="E896" s="50"/>
      <c r="H896" s="12"/>
      <c r="K896"/>
    </row>
    <row r="897" spans="5:11" ht="13.5" customHeight="1" x14ac:dyDescent="0.2">
      <c r="E897" s="50"/>
      <c r="H897" s="12"/>
      <c r="K897"/>
    </row>
    <row r="898" spans="5:11" ht="13.5" customHeight="1" x14ac:dyDescent="0.2">
      <c r="E898" s="50"/>
      <c r="H898" s="12"/>
      <c r="K898"/>
    </row>
    <row r="899" spans="5:11" ht="13.5" customHeight="1" x14ac:dyDescent="0.2">
      <c r="E899" s="50"/>
      <c r="H899" s="12"/>
      <c r="K899"/>
    </row>
    <row r="900" spans="5:11" ht="13.5" customHeight="1" x14ac:dyDescent="0.2">
      <c r="E900" s="50"/>
      <c r="H900" s="12"/>
      <c r="K900"/>
    </row>
    <row r="901" spans="5:11" ht="13.5" customHeight="1" x14ac:dyDescent="0.2">
      <c r="E901" s="50"/>
      <c r="H901" s="12"/>
      <c r="K901"/>
    </row>
    <row r="902" spans="5:11" ht="13.5" customHeight="1" x14ac:dyDescent="0.2">
      <c r="E902" s="50"/>
      <c r="H902" s="12"/>
      <c r="K902"/>
    </row>
    <row r="903" spans="5:11" ht="13.5" customHeight="1" x14ac:dyDescent="0.2">
      <c r="E903" s="50"/>
      <c r="H903" s="12"/>
      <c r="K903"/>
    </row>
    <row r="904" spans="5:11" ht="13.5" customHeight="1" x14ac:dyDescent="0.2">
      <c r="E904" s="50"/>
      <c r="H904" s="12"/>
      <c r="K904"/>
    </row>
    <row r="905" spans="5:11" ht="13.5" customHeight="1" x14ac:dyDescent="0.2">
      <c r="E905" s="50"/>
      <c r="H905" s="12"/>
      <c r="K905"/>
    </row>
    <row r="906" spans="5:11" ht="13.5" customHeight="1" x14ac:dyDescent="0.2">
      <c r="E906" s="50"/>
      <c r="H906" s="12"/>
      <c r="K906"/>
    </row>
    <row r="907" spans="5:11" ht="13.5" customHeight="1" x14ac:dyDescent="0.2">
      <c r="E907" s="50"/>
      <c r="H907" s="12"/>
      <c r="K907"/>
    </row>
    <row r="908" spans="5:11" ht="13.5" customHeight="1" x14ac:dyDescent="0.2">
      <c r="E908" s="50"/>
      <c r="H908" s="12"/>
      <c r="K908"/>
    </row>
    <row r="909" spans="5:11" ht="13.5" customHeight="1" x14ac:dyDescent="0.2">
      <c r="E909" s="50"/>
      <c r="H909" s="12"/>
      <c r="K909"/>
    </row>
    <row r="910" spans="5:11" ht="13.5" customHeight="1" x14ac:dyDescent="0.2">
      <c r="E910" s="50"/>
      <c r="H910" s="12"/>
      <c r="K910"/>
    </row>
    <row r="911" spans="5:11" ht="13.5" customHeight="1" x14ac:dyDescent="0.2">
      <c r="E911" s="50"/>
      <c r="H911" s="12"/>
      <c r="K911"/>
    </row>
    <row r="912" spans="5:11" ht="13.5" customHeight="1" x14ac:dyDescent="0.2">
      <c r="E912" s="50"/>
      <c r="H912" s="12"/>
      <c r="K912"/>
    </row>
    <row r="913" spans="5:11" ht="13.5" customHeight="1" x14ac:dyDescent="0.2">
      <c r="E913" s="50"/>
      <c r="H913" s="12"/>
      <c r="K913"/>
    </row>
    <row r="914" spans="5:11" ht="13.5" customHeight="1" x14ac:dyDescent="0.2">
      <c r="E914" s="50"/>
      <c r="H914" s="12"/>
      <c r="K914"/>
    </row>
    <row r="915" spans="5:11" ht="13.5" customHeight="1" x14ac:dyDescent="0.2">
      <c r="E915" s="50"/>
      <c r="H915" s="12"/>
      <c r="K915"/>
    </row>
    <row r="916" spans="5:11" ht="13.5" customHeight="1" x14ac:dyDescent="0.2">
      <c r="E916" s="50"/>
      <c r="H916" s="12"/>
      <c r="K916"/>
    </row>
    <row r="917" spans="5:11" ht="13.5" customHeight="1" x14ac:dyDescent="0.2">
      <c r="E917" s="50"/>
      <c r="H917" s="12"/>
      <c r="K917"/>
    </row>
    <row r="918" spans="5:11" ht="13.5" customHeight="1" x14ac:dyDescent="0.2">
      <c r="E918" s="50"/>
      <c r="H918" s="12"/>
      <c r="K918"/>
    </row>
    <row r="919" spans="5:11" ht="13.5" customHeight="1" x14ac:dyDescent="0.2">
      <c r="E919" s="50"/>
      <c r="H919" s="12"/>
      <c r="K919"/>
    </row>
    <row r="920" spans="5:11" ht="13.5" customHeight="1" x14ac:dyDescent="0.2">
      <c r="E920" s="50"/>
      <c r="H920" s="12"/>
      <c r="K920"/>
    </row>
    <row r="921" spans="5:11" ht="13.5" customHeight="1" x14ac:dyDescent="0.2">
      <c r="E921" s="50"/>
      <c r="H921" s="12"/>
      <c r="K921"/>
    </row>
    <row r="922" spans="5:11" ht="13.5" customHeight="1" x14ac:dyDescent="0.2">
      <c r="E922" s="50"/>
      <c r="H922" s="12"/>
      <c r="K922"/>
    </row>
    <row r="923" spans="5:11" ht="13.5" customHeight="1" x14ac:dyDescent="0.2">
      <c r="E923" s="50"/>
      <c r="H923" s="12"/>
      <c r="K923"/>
    </row>
    <row r="924" spans="5:11" ht="14.25" customHeight="1" x14ac:dyDescent="0.2">
      <c r="E924" s="50"/>
      <c r="H924" s="12"/>
      <c r="K924"/>
    </row>
    <row r="925" spans="5:11" ht="13.5" customHeight="1" x14ac:dyDescent="0.2">
      <c r="E925" s="50"/>
      <c r="H925" s="12"/>
      <c r="K925"/>
    </row>
    <row r="926" spans="5:11" ht="13.5" customHeight="1" x14ac:dyDescent="0.2">
      <c r="E926" s="50"/>
      <c r="H926" s="12"/>
      <c r="K926"/>
    </row>
    <row r="927" spans="5:11" ht="13.5" customHeight="1" x14ac:dyDescent="0.2">
      <c r="E927" s="50"/>
      <c r="H927" s="12"/>
      <c r="K927"/>
    </row>
    <row r="928" spans="5:11" ht="13.5" customHeight="1" x14ac:dyDescent="0.2">
      <c r="E928" s="50"/>
      <c r="H928" s="12"/>
      <c r="K928"/>
    </row>
    <row r="929" spans="5:11" ht="13.5" customHeight="1" x14ac:dyDescent="0.2">
      <c r="E929" s="50"/>
      <c r="H929" s="12"/>
      <c r="K929"/>
    </row>
    <row r="930" spans="5:11" ht="13.5" customHeight="1" x14ac:dyDescent="0.2">
      <c r="E930" s="50"/>
      <c r="H930" s="12"/>
      <c r="K930"/>
    </row>
    <row r="931" spans="5:11" ht="13.5" customHeight="1" x14ac:dyDescent="0.2">
      <c r="E931" s="50"/>
      <c r="H931" s="12"/>
      <c r="K931"/>
    </row>
    <row r="932" spans="5:11" ht="13.5" customHeight="1" x14ac:dyDescent="0.2">
      <c r="E932" s="50"/>
      <c r="H932" s="12"/>
      <c r="K932"/>
    </row>
    <row r="933" spans="5:11" ht="13.5" customHeight="1" x14ac:dyDescent="0.2">
      <c r="E933" s="50"/>
      <c r="H933" s="12"/>
      <c r="K933"/>
    </row>
    <row r="934" spans="5:11" ht="13.5" customHeight="1" x14ac:dyDescent="0.2">
      <c r="E934" s="50"/>
      <c r="H934" s="12"/>
      <c r="K934"/>
    </row>
    <row r="935" spans="5:11" ht="13.5" customHeight="1" x14ac:dyDescent="0.2">
      <c r="E935" s="50"/>
      <c r="H935" s="12"/>
      <c r="K935"/>
    </row>
    <row r="936" spans="5:11" ht="13.5" customHeight="1" x14ac:dyDescent="0.2">
      <c r="E936" s="50"/>
      <c r="H936" s="12"/>
      <c r="K936"/>
    </row>
    <row r="937" spans="5:11" ht="13.5" customHeight="1" x14ac:dyDescent="0.2">
      <c r="E937" s="50"/>
      <c r="H937" s="12"/>
      <c r="K937"/>
    </row>
    <row r="938" spans="5:11" ht="13.5" customHeight="1" x14ac:dyDescent="0.2">
      <c r="E938" s="50"/>
      <c r="H938" s="12"/>
      <c r="K938"/>
    </row>
    <row r="939" spans="5:11" ht="13.5" customHeight="1" x14ac:dyDescent="0.2">
      <c r="E939" s="50"/>
      <c r="H939" s="12"/>
      <c r="K939"/>
    </row>
    <row r="940" spans="5:11" ht="13.5" customHeight="1" x14ac:dyDescent="0.2">
      <c r="E940" s="50"/>
      <c r="H940" s="12"/>
      <c r="K940"/>
    </row>
    <row r="941" spans="5:11" ht="13.5" customHeight="1" x14ac:dyDescent="0.2">
      <c r="E941" s="50"/>
      <c r="H941" s="12"/>
      <c r="K941"/>
    </row>
    <row r="942" spans="5:11" ht="13.5" customHeight="1" x14ac:dyDescent="0.2">
      <c r="E942" s="50"/>
      <c r="H942" s="12"/>
      <c r="K942"/>
    </row>
    <row r="943" spans="5:11" ht="13.5" customHeight="1" x14ac:dyDescent="0.2">
      <c r="E943" s="50"/>
      <c r="H943" s="12"/>
      <c r="K943"/>
    </row>
    <row r="944" spans="5:11" ht="13.5" customHeight="1" x14ac:dyDescent="0.2">
      <c r="E944" s="50"/>
      <c r="H944" s="12"/>
      <c r="K944"/>
    </row>
    <row r="945" spans="5:11" ht="13.5" customHeight="1" x14ac:dyDescent="0.2">
      <c r="E945" s="50"/>
      <c r="H945" s="12"/>
      <c r="K945"/>
    </row>
    <row r="946" spans="5:11" ht="13.5" customHeight="1" x14ac:dyDescent="0.2">
      <c r="E946" s="50"/>
      <c r="H946" s="12"/>
      <c r="K946"/>
    </row>
    <row r="947" spans="5:11" ht="13.5" customHeight="1" x14ac:dyDescent="0.2">
      <c r="E947" s="50"/>
      <c r="H947" s="12"/>
      <c r="K947"/>
    </row>
    <row r="948" spans="5:11" ht="13.5" customHeight="1" x14ac:dyDescent="0.2">
      <c r="E948" s="50"/>
      <c r="H948" s="12"/>
      <c r="K948"/>
    </row>
    <row r="949" spans="5:11" ht="13.5" customHeight="1" x14ac:dyDescent="0.2">
      <c r="E949" s="50"/>
      <c r="H949" s="12"/>
      <c r="K949"/>
    </row>
    <row r="950" spans="5:11" ht="13.5" customHeight="1" x14ac:dyDescent="0.2">
      <c r="E950" s="50"/>
      <c r="H950" s="12"/>
      <c r="K950"/>
    </row>
    <row r="951" spans="5:11" ht="13.5" customHeight="1" x14ac:dyDescent="0.2">
      <c r="E951" s="50"/>
      <c r="H951" s="12"/>
      <c r="K951"/>
    </row>
    <row r="952" spans="5:11" ht="13.5" customHeight="1" x14ac:dyDescent="0.2">
      <c r="E952" s="50"/>
      <c r="H952" s="12"/>
      <c r="K952"/>
    </row>
    <row r="953" spans="5:11" ht="13.5" customHeight="1" x14ac:dyDescent="0.2">
      <c r="E953" s="50"/>
      <c r="H953" s="12"/>
      <c r="K953"/>
    </row>
    <row r="954" spans="5:11" ht="13.5" customHeight="1" x14ac:dyDescent="0.2">
      <c r="E954" s="50"/>
      <c r="H954" s="12"/>
      <c r="K954"/>
    </row>
    <row r="955" spans="5:11" ht="13.5" customHeight="1" x14ac:dyDescent="0.2">
      <c r="E955" s="50"/>
      <c r="H955" s="12"/>
      <c r="K955"/>
    </row>
    <row r="956" spans="5:11" ht="13.5" customHeight="1" x14ac:dyDescent="0.2">
      <c r="E956" s="50"/>
      <c r="H956" s="12"/>
      <c r="K956"/>
    </row>
    <row r="957" spans="5:11" ht="13.5" customHeight="1" x14ac:dyDescent="0.2">
      <c r="E957" s="50"/>
      <c r="H957" s="12"/>
      <c r="K957"/>
    </row>
    <row r="958" spans="5:11" ht="13.5" customHeight="1" x14ac:dyDescent="0.2">
      <c r="E958" s="50"/>
      <c r="H958" s="12"/>
      <c r="K958"/>
    </row>
    <row r="959" spans="5:11" ht="13.5" customHeight="1" x14ac:dyDescent="0.2">
      <c r="E959" s="50"/>
      <c r="H959" s="12"/>
      <c r="K959"/>
    </row>
    <row r="960" spans="5:11" ht="13.5" customHeight="1" x14ac:dyDescent="0.2">
      <c r="E960" s="50"/>
      <c r="H960" s="12"/>
      <c r="K960"/>
    </row>
    <row r="961" spans="5:11" ht="13.5" customHeight="1" x14ac:dyDescent="0.2">
      <c r="E961" s="50"/>
      <c r="H961" s="12"/>
      <c r="K961"/>
    </row>
    <row r="962" spans="5:11" ht="13.5" customHeight="1" x14ac:dyDescent="0.2">
      <c r="E962" s="50"/>
      <c r="H962" s="12"/>
      <c r="K962"/>
    </row>
    <row r="963" spans="5:11" ht="13.5" customHeight="1" x14ac:dyDescent="0.2">
      <c r="E963" s="50"/>
      <c r="H963" s="12"/>
      <c r="K963"/>
    </row>
    <row r="964" spans="5:11" ht="13.5" customHeight="1" x14ac:dyDescent="0.2">
      <c r="E964" s="50"/>
      <c r="H964" s="12"/>
      <c r="K964"/>
    </row>
    <row r="965" spans="5:11" ht="13.5" customHeight="1" x14ac:dyDescent="0.2">
      <c r="E965" s="50"/>
      <c r="H965" s="12"/>
      <c r="K965"/>
    </row>
    <row r="966" spans="5:11" ht="13.5" customHeight="1" x14ac:dyDescent="0.2">
      <c r="E966" s="50"/>
      <c r="H966" s="12"/>
      <c r="K966"/>
    </row>
    <row r="967" spans="5:11" ht="13.5" customHeight="1" x14ac:dyDescent="0.2">
      <c r="E967" s="50"/>
      <c r="H967" s="12"/>
      <c r="K967"/>
    </row>
    <row r="968" spans="5:11" ht="13.5" customHeight="1" x14ac:dyDescent="0.2">
      <c r="E968" s="50"/>
      <c r="H968" s="12"/>
      <c r="K968"/>
    </row>
    <row r="969" spans="5:11" ht="13.5" customHeight="1" x14ac:dyDescent="0.2">
      <c r="E969" s="50"/>
      <c r="H969" s="12"/>
      <c r="K969"/>
    </row>
    <row r="970" spans="5:11" ht="13.5" customHeight="1" x14ac:dyDescent="0.2">
      <c r="E970" s="50"/>
      <c r="H970" s="12"/>
      <c r="K970"/>
    </row>
    <row r="971" spans="5:11" ht="13.5" customHeight="1" x14ac:dyDescent="0.2">
      <c r="E971" s="50"/>
      <c r="H971" s="12"/>
      <c r="K971"/>
    </row>
    <row r="972" spans="5:11" ht="13.5" customHeight="1" x14ac:dyDescent="0.2">
      <c r="E972" s="50"/>
      <c r="H972" s="12"/>
      <c r="K972"/>
    </row>
    <row r="973" spans="5:11" ht="13.5" customHeight="1" x14ac:dyDescent="0.2">
      <c r="E973" s="50"/>
      <c r="H973" s="12"/>
      <c r="K973"/>
    </row>
    <row r="974" spans="5:11" ht="13.5" customHeight="1" x14ac:dyDescent="0.2">
      <c r="E974" s="50"/>
      <c r="H974" s="12"/>
      <c r="K974"/>
    </row>
    <row r="975" spans="5:11" ht="13.5" customHeight="1" x14ac:dyDescent="0.2">
      <c r="E975" s="50"/>
      <c r="H975" s="12"/>
      <c r="K975"/>
    </row>
    <row r="976" spans="5:11" ht="13.5" customHeight="1" x14ac:dyDescent="0.2">
      <c r="E976" s="50"/>
      <c r="H976" s="12"/>
      <c r="K976"/>
    </row>
    <row r="977" spans="5:11" ht="13.5" customHeight="1" x14ac:dyDescent="0.2">
      <c r="E977" s="50"/>
      <c r="H977" s="12"/>
      <c r="K977"/>
    </row>
    <row r="978" spans="5:11" ht="13.5" customHeight="1" x14ac:dyDescent="0.2">
      <c r="E978" s="50"/>
      <c r="H978" s="12"/>
      <c r="K978"/>
    </row>
    <row r="979" spans="5:11" ht="13.5" customHeight="1" x14ac:dyDescent="0.2">
      <c r="E979" s="50"/>
      <c r="H979" s="12"/>
      <c r="K979"/>
    </row>
    <row r="980" spans="5:11" ht="13.5" customHeight="1" x14ac:dyDescent="0.2">
      <c r="E980" s="50"/>
      <c r="H980" s="12"/>
      <c r="K980"/>
    </row>
    <row r="981" spans="5:11" ht="13.5" customHeight="1" x14ac:dyDescent="0.2">
      <c r="E981" s="50"/>
      <c r="H981" s="12"/>
      <c r="K981"/>
    </row>
    <row r="982" spans="5:11" ht="13.5" customHeight="1" x14ac:dyDescent="0.2">
      <c r="E982" s="50"/>
      <c r="H982" s="12"/>
      <c r="K982"/>
    </row>
    <row r="983" spans="5:11" ht="13.5" customHeight="1" x14ac:dyDescent="0.2">
      <c r="E983" s="50"/>
      <c r="H983" s="12"/>
      <c r="K983"/>
    </row>
    <row r="984" spans="5:11" ht="13.5" customHeight="1" x14ac:dyDescent="0.2">
      <c r="E984" s="50"/>
      <c r="H984" s="12"/>
      <c r="K984"/>
    </row>
    <row r="985" spans="5:11" ht="13.5" customHeight="1" x14ac:dyDescent="0.2">
      <c r="E985" s="50"/>
      <c r="H985" s="12"/>
      <c r="K985"/>
    </row>
    <row r="986" spans="5:11" ht="13.5" customHeight="1" x14ac:dyDescent="0.2">
      <c r="E986" s="50"/>
      <c r="H986" s="12"/>
      <c r="K986"/>
    </row>
    <row r="987" spans="5:11" ht="13.5" customHeight="1" x14ac:dyDescent="0.2">
      <c r="E987" s="50"/>
      <c r="H987" s="12"/>
      <c r="K987"/>
    </row>
    <row r="988" spans="5:11" ht="13.5" customHeight="1" x14ac:dyDescent="0.2">
      <c r="E988" s="50"/>
      <c r="H988" s="12"/>
      <c r="K988"/>
    </row>
    <row r="989" spans="5:11" ht="13.5" customHeight="1" x14ac:dyDescent="0.2">
      <c r="E989" s="50"/>
      <c r="H989" s="12"/>
      <c r="K989"/>
    </row>
    <row r="990" spans="5:11" ht="13.5" customHeight="1" x14ac:dyDescent="0.2">
      <c r="E990" s="50"/>
      <c r="H990" s="12"/>
      <c r="K990"/>
    </row>
    <row r="991" spans="5:11" ht="13.5" customHeight="1" x14ac:dyDescent="0.2">
      <c r="E991" s="50"/>
      <c r="H991" s="12"/>
      <c r="K991"/>
    </row>
    <row r="992" spans="5:11" ht="13.5" customHeight="1" x14ac:dyDescent="0.2">
      <c r="E992" s="50"/>
      <c r="H992" s="12"/>
      <c r="K992"/>
    </row>
    <row r="993" spans="5:11" ht="13.5" customHeight="1" x14ac:dyDescent="0.2">
      <c r="E993" s="50"/>
      <c r="H993" s="12"/>
      <c r="K993"/>
    </row>
    <row r="994" spans="5:11" ht="12.75" customHeight="1" x14ac:dyDescent="0.2">
      <c r="E994" s="50"/>
      <c r="H994" s="12"/>
      <c r="K994"/>
    </row>
    <row r="995" spans="5:11" ht="12.75" customHeight="1" x14ac:dyDescent="0.2">
      <c r="E995" s="50"/>
      <c r="H995" s="12"/>
      <c r="K995"/>
    </row>
    <row r="996" spans="5:11" ht="12.75" customHeight="1" x14ac:dyDescent="0.2">
      <c r="E996" s="50"/>
      <c r="H996" s="12"/>
      <c r="K996"/>
    </row>
    <row r="997" spans="5:11" ht="12.75" customHeight="1" x14ac:dyDescent="0.2">
      <c r="E997" s="50"/>
      <c r="H997" s="12"/>
      <c r="K997"/>
    </row>
    <row r="998" spans="5:11" ht="12.75" customHeight="1" x14ac:dyDescent="0.2">
      <c r="E998" s="50"/>
      <c r="H998" s="12"/>
      <c r="K998"/>
    </row>
    <row r="999" spans="5:11" ht="12.75" customHeight="1" x14ac:dyDescent="0.2">
      <c r="E999" s="50"/>
      <c r="H999" s="12"/>
      <c r="K999"/>
    </row>
    <row r="1000" spans="5:11" ht="12.75" customHeight="1" x14ac:dyDescent="0.2">
      <c r="E1000" s="50"/>
      <c r="H1000" s="12"/>
      <c r="K1000"/>
    </row>
    <row r="1001" spans="5:11" ht="12.75" customHeight="1" x14ac:dyDescent="0.2">
      <c r="E1001" s="50"/>
      <c r="H1001" s="12"/>
      <c r="K1001"/>
    </row>
    <row r="1002" spans="5:11" ht="12.75" customHeight="1" x14ac:dyDescent="0.2">
      <c r="E1002" s="50"/>
      <c r="H1002" s="12"/>
      <c r="K1002"/>
    </row>
    <row r="1003" spans="5:11" ht="12.75" customHeight="1" x14ac:dyDescent="0.2">
      <c r="E1003" s="50"/>
      <c r="H1003" s="12"/>
      <c r="K1003"/>
    </row>
    <row r="1004" spans="5:11" ht="12.75" customHeight="1" x14ac:dyDescent="0.2">
      <c r="E1004" s="50"/>
      <c r="H1004" s="12"/>
      <c r="K1004"/>
    </row>
    <row r="1005" spans="5:11" ht="12.75" customHeight="1" x14ac:dyDescent="0.2">
      <c r="E1005" s="50"/>
      <c r="H1005" s="12"/>
      <c r="K1005"/>
    </row>
    <row r="1006" spans="5:11" ht="12.75" customHeight="1" x14ac:dyDescent="0.2">
      <c r="E1006" s="50"/>
      <c r="H1006" s="12"/>
      <c r="K1006"/>
    </row>
    <row r="1007" spans="5:11" ht="12.75" customHeight="1" x14ac:dyDescent="0.2">
      <c r="E1007" s="50"/>
      <c r="H1007" s="12"/>
      <c r="K1007"/>
    </row>
    <row r="1008" spans="5:11" ht="12.75" customHeight="1" x14ac:dyDescent="0.2">
      <c r="E1008" s="50"/>
      <c r="H1008" s="12"/>
      <c r="K1008"/>
    </row>
    <row r="1009" spans="5:11" ht="12.75" customHeight="1" x14ac:dyDescent="0.2">
      <c r="E1009" s="50"/>
      <c r="H1009" s="12"/>
      <c r="K1009"/>
    </row>
    <row r="1010" spans="5:11" ht="12.75" customHeight="1" x14ac:dyDescent="0.2">
      <c r="E1010" s="50"/>
      <c r="H1010" s="12"/>
      <c r="K1010"/>
    </row>
    <row r="1011" spans="5:11" ht="12.75" customHeight="1" x14ac:dyDescent="0.2">
      <c r="E1011" s="50"/>
      <c r="H1011" s="12"/>
      <c r="K1011"/>
    </row>
    <row r="1012" spans="5:11" ht="12.75" customHeight="1" x14ac:dyDescent="0.2">
      <c r="E1012" s="50"/>
      <c r="H1012" s="12"/>
      <c r="K1012"/>
    </row>
    <row r="1013" spans="5:11" ht="12.75" customHeight="1" x14ac:dyDescent="0.2">
      <c r="E1013" s="50"/>
      <c r="H1013" s="12"/>
      <c r="K1013"/>
    </row>
    <row r="1014" spans="5:11" ht="12.75" customHeight="1" x14ac:dyDescent="0.2">
      <c r="E1014" s="50"/>
      <c r="H1014" s="12"/>
      <c r="K1014"/>
    </row>
    <row r="1015" spans="5:11" ht="12.75" customHeight="1" x14ac:dyDescent="0.2">
      <c r="E1015" s="50"/>
      <c r="H1015" s="12"/>
      <c r="K1015"/>
    </row>
    <row r="1016" spans="5:11" ht="12.75" customHeight="1" x14ac:dyDescent="0.2">
      <c r="E1016" s="50"/>
      <c r="H1016" s="12"/>
      <c r="K1016"/>
    </row>
    <row r="1017" spans="5:11" ht="12.75" customHeight="1" x14ac:dyDescent="0.2">
      <c r="E1017" s="50"/>
      <c r="H1017" s="12"/>
      <c r="K1017"/>
    </row>
    <row r="1018" spans="5:11" ht="12.75" customHeight="1" x14ac:dyDescent="0.2">
      <c r="E1018" s="50"/>
      <c r="H1018" s="12"/>
      <c r="K1018"/>
    </row>
    <row r="1019" spans="5:11" ht="12.75" customHeight="1" x14ac:dyDescent="0.2">
      <c r="E1019" s="50"/>
      <c r="H1019" s="12"/>
      <c r="K1019"/>
    </row>
    <row r="1020" spans="5:11" ht="12.75" customHeight="1" x14ac:dyDescent="0.2">
      <c r="E1020" s="50"/>
      <c r="H1020" s="12"/>
      <c r="K1020"/>
    </row>
    <row r="1021" spans="5:11" ht="12.75" customHeight="1" x14ac:dyDescent="0.2">
      <c r="E1021" s="50"/>
      <c r="H1021" s="12"/>
      <c r="K1021"/>
    </row>
    <row r="1022" spans="5:11" ht="12.75" customHeight="1" x14ac:dyDescent="0.2">
      <c r="E1022" s="50"/>
      <c r="H1022" s="12"/>
      <c r="K1022"/>
    </row>
    <row r="1023" spans="5:11" ht="12.75" customHeight="1" x14ac:dyDescent="0.2">
      <c r="E1023" s="50"/>
      <c r="H1023" s="12"/>
      <c r="K1023"/>
    </row>
    <row r="1024" spans="5:11" ht="12.75" customHeight="1" x14ac:dyDescent="0.2">
      <c r="E1024" s="50"/>
      <c r="H1024" s="12"/>
      <c r="K1024"/>
    </row>
    <row r="1025" spans="5:11" ht="12.75" customHeight="1" x14ac:dyDescent="0.2">
      <c r="E1025" s="50"/>
      <c r="H1025" s="12"/>
      <c r="K1025"/>
    </row>
    <row r="1026" spans="5:11" ht="12.75" customHeight="1" x14ac:dyDescent="0.2">
      <c r="E1026" s="50"/>
      <c r="H1026" s="12"/>
      <c r="K1026"/>
    </row>
    <row r="1027" spans="5:11" ht="12.75" customHeight="1" x14ac:dyDescent="0.2">
      <c r="E1027" s="50"/>
      <c r="H1027" s="12"/>
      <c r="K1027"/>
    </row>
    <row r="1028" spans="5:11" ht="12.75" customHeight="1" x14ac:dyDescent="0.2">
      <c r="E1028" s="50"/>
      <c r="H1028" s="12"/>
      <c r="K1028"/>
    </row>
    <row r="1029" spans="5:11" ht="12.75" customHeight="1" x14ac:dyDescent="0.2">
      <c r="E1029" s="50"/>
      <c r="H1029" s="12"/>
      <c r="K1029"/>
    </row>
    <row r="1030" spans="5:11" ht="12.75" customHeight="1" x14ac:dyDescent="0.2">
      <c r="E1030" s="50"/>
      <c r="H1030" s="12"/>
      <c r="K1030"/>
    </row>
    <row r="1031" spans="5:11" ht="12.75" customHeight="1" x14ac:dyDescent="0.2">
      <c r="E1031" s="50"/>
      <c r="H1031" s="12"/>
      <c r="K1031"/>
    </row>
    <row r="1032" spans="5:11" ht="12.75" customHeight="1" x14ac:dyDescent="0.2">
      <c r="E1032" s="50"/>
      <c r="H1032" s="12"/>
      <c r="K1032"/>
    </row>
    <row r="1033" spans="5:11" ht="12.75" customHeight="1" x14ac:dyDescent="0.2">
      <c r="E1033" s="50"/>
      <c r="H1033" s="12"/>
      <c r="K1033"/>
    </row>
    <row r="1034" spans="5:11" ht="12.75" customHeight="1" x14ac:dyDescent="0.2">
      <c r="E1034" s="50"/>
      <c r="H1034" s="12"/>
      <c r="K1034"/>
    </row>
    <row r="1035" spans="5:11" ht="12.75" customHeight="1" x14ac:dyDescent="0.2">
      <c r="E1035" s="50"/>
      <c r="H1035" s="12"/>
      <c r="K1035"/>
    </row>
    <row r="1036" spans="5:11" ht="12.75" customHeight="1" x14ac:dyDescent="0.2">
      <c r="E1036" s="50"/>
      <c r="H1036" s="12"/>
      <c r="K1036"/>
    </row>
    <row r="1037" spans="5:11" ht="12.75" customHeight="1" x14ac:dyDescent="0.2">
      <c r="E1037" s="50"/>
      <c r="H1037" s="12"/>
      <c r="K1037"/>
    </row>
    <row r="1038" spans="5:11" ht="12.75" customHeight="1" x14ac:dyDescent="0.2">
      <c r="E1038" s="50"/>
      <c r="H1038" s="12"/>
      <c r="K1038"/>
    </row>
    <row r="1039" spans="5:11" ht="12.75" customHeight="1" x14ac:dyDescent="0.2">
      <c r="E1039" s="50"/>
      <c r="H1039" s="12"/>
      <c r="K1039"/>
    </row>
    <row r="1040" spans="5:11" ht="12.75" customHeight="1" x14ac:dyDescent="0.2">
      <c r="E1040" s="50"/>
      <c r="H1040" s="12"/>
      <c r="K1040"/>
    </row>
    <row r="1041" spans="5:11" ht="12.75" customHeight="1" x14ac:dyDescent="0.2">
      <c r="E1041" s="50"/>
      <c r="H1041" s="12"/>
      <c r="K1041"/>
    </row>
    <row r="1042" spans="5:11" ht="12.75" customHeight="1" x14ac:dyDescent="0.2">
      <c r="E1042" s="50"/>
      <c r="H1042" s="12"/>
      <c r="K1042"/>
    </row>
    <row r="1043" spans="5:11" ht="12.75" customHeight="1" x14ac:dyDescent="0.2">
      <c r="E1043" s="50"/>
      <c r="H1043" s="12"/>
      <c r="K1043"/>
    </row>
    <row r="1044" spans="5:11" ht="12.75" customHeight="1" x14ac:dyDescent="0.2">
      <c r="E1044" s="50"/>
      <c r="H1044" s="12"/>
      <c r="K1044"/>
    </row>
    <row r="1045" spans="5:11" ht="12.75" customHeight="1" x14ac:dyDescent="0.2">
      <c r="E1045" s="50"/>
      <c r="H1045" s="12"/>
      <c r="K1045"/>
    </row>
    <row r="1046" spans="5:11" ht="12.75" customHeight="1" x14ac:dyDescent="0.2">
      <c r="E1046" s="50"/>
      <c r="H1046" s="12"/>
      <c r="K1046"/>
    </row>
    <row r="1047" spans="5:11" ht="12.75" customHeight="1" x14ac:dyDescent="0.2">
      <c r="E1047" s="50"/>
      <c r="H1047" s="12"/>
      <c r="K1047"/>
    </row>
    <row r="1048" spans="5:11" ht="12.75" customHeight="1" x14ac:dyDescent="0.2">
      <c r="E1048" s="50"/>
      <c r="H1048" s="12"/>
      <c r="K1048"/>
    </row>
    <row r="1049" spans="5:11" ht="12.75" customHeight="1" x14ac:dyDescent="0.2">
      <c r="E1049" s="50"/>
      <c r="H1049" s="12"/>
      <c r="K1049"/>
    </row>
    <row r="1050" spans="5:11" ht="12.75" customHeight="1" x14ac:dyDescent="0.2">
      <c r="E1050" s="50"/>
      <c r="H1050" s="12"/>
      <c r="K1050"/>
    </row>
    <row r="1051" spans="5:11" ht="12.75" customHeight="1" x14ac:dyDescent="0.2">
      <c r="E1051" s="50"/>
      <c r="H1051" s="12"/>
      <c r="K1051"/>
    </row>
    <row r="1052" spans="5:11" ht="12.75" customHeight="1" x14ac:dyDescent="0.2">
      <c r="E1052" s="50"/>
      <c r="H1052" s="12"/>
      <c r="K1052"/>
    </row>
    <row r="1053" spans="5:11" ht="12.75" customHeight="1" x14ac:dyDescent="0.2">
      <c r="E1053" s="50"/>
      <c r="H1053" s="12"/>
      <c r="K1053"/>
    </row>
    <row r="1054" spans="5:11" ht="12.75" customHeight="1" x14ac:dyDescent="0.2">
      <c r="E1054" s="50"/>
      <c r="H1054" s="12"/>
      <c r="K1054"/>
    </row>
    <row r="1055" spans="5:11" ht="12.75" customHeight="1" x14ac:dyDescent="0.2">
      <c r="E1055" s="50"/>
      <c r="H1055" s="12"/>
      <c r="K1055"/>
    </row>
    <row r="1056" spans="5:11" ht="12.75" customHeight="1" x14ac:dyDescent="0.2">
      <c r="E1056" s="50"/>
      <c r="H1056" s="12"/>
      <c r="K1056"/>
    </row>
    <row r="1057" spans="5:11" ht="12.75" customHeight="1" x14ac:dyDescent="0.2">
      <c r="E1057" s="50"/>
      <c r="H1057" s="12"/>
      <c r="K1057"/>
    </row>
    <row r="1058" spans="5:11" ht="12.75" customHeight="1" x14ac:dyDescent="0.2">
      <c r="E1058" s="50"/>
      <c r="H1058" s="12"/>
      <c r="K1058"/>
    </row>
    <row r="1059" spans="5:11" ht="12.75" customHeight="1" x14ac:dyDescent="0.2">
      <c r="E1059" s="50"/>
      <c r="H1059" s="12"/>
      <c r="K1059"/>
    </row>
    <row r="1060" spans="5:11" ht="12.75" customHeight="1" x14ac:dyDescent="0.2">
      <c r="E1060" s="50"/>
      <c r="H1060" s="12"/>
      <c r="K1060"/>
    </row>
    <row r="1061" spans="5:11" ht="12.75" customHeight="1" x14ac:dyDescent="0.2">
      <c r="E1061" s="50"/>
      <c r="H1061" s="12"/>
      <c r="K1061"/>
    </row>
    <row r="1062" spans="5:11" ht="12.75" customHeight="1" x14ac:dyDescent="0.2">
      <c r="E1062" s="50"/>
      <c r="H1062" s="12"/>
      <c r="K1062"/>
    </row>
    <row r="1063" spans="5:11" ht="12.75" customHeight="1" x14ac:dyDescent="0.2">
      <c r="E1063" s="50"/>
      <c r="H1063" s="12"/>
      <c r="K1063"/>
    </row>
    <row r="1064" spans="5:11" ht="12.75" customHeight="1" x14ac:dyDescent="0.2">
      <c r="E1064" s="50"/>
      <c r="H1064" s="12"/>
      <c r="K1064"/>
    </row>
    <row r="1065" spans="5:11" ht="12.75" customHeight="1" x14ac:dyDescent="0.2">
      <c r="E1065" s="50"/>
      <c r="H1065" s="12"/>
      <c r="K1065"/>
    </row>
    <row r="1066" spans="5:11" ht="12.75" customHeight="1" x14ac:dyDescent="0.2">
      <c r="E1066" s="50"/>
      <c r="H1066" s="12"/>
      <c r="K1066"/>
    </row>
    <row r="1067" spans="5:11" ht="12.75" customHeight="1" x14ac:dyDescent="0.2">
      <c r="E1067" s="50"/>
      <c r="H1067" s="12"/>
      <c r="K1067"/>
    </row>
    <row r="1068" spans="5:11" ht="12.75" customHeight="1" x14ac:dyDescent="0.2">
      <c r="E1068" s="50"/>
      <c r="H1068" s="12"/>
      <c r="K1068"/>
    </row>
    <row r="1069" spans="5:11" ht="12.75" customHeight="1" x14ac:dyDescent="0.2">
      <c r="E1069" s="50"/>
      <c r="H1069" s="12"/>
      <c r="K1069"/>
    </row>
    <row r="1070" spans="5:11" ht="12.75" customHeight="1" x14ac:dyDescent="0.2">
      <c r="E1070" s="50"/>
      <c r="H1070" s="12"/>
      <c r="K1070"/>
    </row>
    <row r="1071" spans="5:11" ht="12.75" customHeight="1" x14ac:dyDescent="0.2">
      <c r="E1071" s="50"/>
      <c r="H1071" s="12"/>
      <c r="K1071"/>
    </row>
    <row r="1072" spans="5:11" ht="12.75" customHeight="1" x14ac:dyDescent="0.2">
      <c r="E1072" s="50"/>
      <c r="H1072" s="12"/>
      <c r="K1072"/>
    </row>
    <row r="1073" spans="5:11" ht="12.75" customHeight="1" x14ac:dyDescent="0.2">
      <c r="E1073" s="50"/>
      <c r="H1073" s="12"/>
      <c r="K1073"/>
    </row>
    <row r="1074" spans="5:11" ht="12.75" customHeight="1" x14ac:dyDescent="0.2">
      <c r="E1074" s="50"/>
      <c r="H1074" s="12"/>
      <c r="K1074"/>
    </row>
    <row r="1075" spans="5:11" ht="12.75" customHeight="1" x14ac:dyDescent="0.2">
      <c r="E1075" s="50"/>
      <c r="H1075" s="12"/>
      <c r="K1075"/>
    </row>
    <row r="1076" spans="5:11" ht="12.75" customHeight="1" x14ac:dyDescent="0.2">
      <c r="E1076" s="50"/>
      <c r="H1076" s="12"/>
      <c r="K1076"/>
    </row>
    <row r="1077" spans="5:11" ht="12.75" customHeight="1" x14ac:dyDescent="0.2">
      <c r="E1077" s="50"/>
      <c r="H1077" s="12"/>
      <c r="K1077"/>
    </row>
    <row r="1078" spans="5:11" ht="12.75" customHeight="1" x14ac:dyDescent="0.2">
      <c r="E1078" s="50"/>
      <c r="H1078" s="12"/>
      <c r="K1078"/>
    </row>
    <row r="1079" spans="5:11" ht="12.75" customHeight="1" x14ac:dyDescent="0.2">
      <c r="E1079" s="50"/>
      <c r="H1079" s="12"/>
      <c r="K1079"/>
    </row>
    <row r="1080" spans="5:11" ht="12.75" customHeight="1" x14ac:dyDescent="0.2">
      <c r="E1080" s="50"/>
      <c r="H1080" s="12"/>
      <c r="K1080"/>
    </row>
    <row r="1081" spans="5:11" ht="12.75" customHeight="1" x14ac:dyDescent="0.2">
      <c r="E1081" s="50"/>
      <c r="H1081" s="12"/>
      <c r="K1081"/>
    </row>
    <row r="1082" spans="5:11" ht="12.75" customHeight="1" x14ac:dyDescent="0.2">
      <c r="E1082" s="50"/>
      <c r="H1082" s="12"/>
      <c r="K1082"/>
    </row>
    <row r="1083" spans="5:11" ht="12.75" customHeight="1" x14ac:dyDescent="0.2">
      <c r="E1083" s="50"/>
      <c r="H1083" s="12"/>
      <c r="K1083"/>
    </row>
    <row r="1084" spans="5:11" ht="12.75" customHeight="1" x14ac:dyDescent="0.2">
      <c r="E1084" s="50"/>
      <c r="H1084" s="12"/>
      <c r="K1084"/>
    </row>
    <row r="1085" spans="5:11" ht="12.75" customHeight="1" x14ac:dyDescent="0.2">
      <c r="E1085" s="50"/>
      <c r="H1085" s="12"/>
      <c r="K1085"/>
    </row>
    <row r="1086" spans="5:11" ht="12.75" customHeight="1" x14ac:dyDescent="0.2">
      <c r="E1086" s="50"/>
      <c r="H1086" s="12"/>
      <c r="K1086"/>
    </row>
    <row r="1087" spans="5:11" ht="12.75" customHeight="1" x14ac:dyDescent="0.2">
      <c r="E1087" s="50"/>
      <c r="H1087" s="12"/>
      <c r="K1087"/>
    </row>
    <row r="1088" spans="5:11" ht="12.75" customHeight="1" x14ac:dyDescent="0.2">
      <c r="E1088" s="50"/>
      <c r="H1088" s="12"/>
      <c r="K1088"/>
    </row>
    <row r="1089" spans="5:11" ht="12.75" customHeight="1" x14ac:dyDescent="0.2">
      <c r="E1089" s="50"/>
      <c r="H1089" s="12"/>
      <c r="K1089"/>
    </row>
    <row r="1090" spans="5:11" ht="12.75" customHeight="1" x14ac:dyDescent="0.2">
      <c r="E1090" s="50"/>
      <c r="H1090" s="12"/>
      <c r="K1090"/>
    </row>
    <row r="1091" spans="5:11" ht="12.75" customHeight="1" x14ac:dyDescent="0.2">
      <c r="E1091" s="50"/>
      <c r="H1091" s="12"/>
      <c r="K1091"/>
    </row>
    <row r="1092" spans="5:11" ht="12.75" customHeight="1" x14ac:dyDescent="0.2">
      <c r="E1092" s="50"/>
      <c r="H1092" s="12"/>
      <c r="K1092"/>
    </row>
    <row r="1093" spans="5:11" ht="12.75" customHeight="1" x14ac:dyDescent="0.2">
      <c r="E1093" s="50"/>
      <c r="H1093" s="12"/>
      <c r="K1093"/>
    </row>
    <row r="1094" spans="5:11" ht="12.75" customHeight="1" x14ac:dyDescent="0.2">
      <c r="E1094" s="50"/>
      <c r="H1094" s="12"/>
      <c r="K1094"/>
    </row>
    <row r="1095" spans="5:11" ht="12.75" customHeight="1" x14ac:dyDescent="0.2">
      <c r="E1095" s="50"/>
      <c r="H1095" s="12"/>
      <c r="K1095"/>
    </row>
    <row r="1096" spans="5:11" ht="12.75" customHeight="1" x14ac:dyDescent="0.2">
      <c r="E1096" s="50"/>
      <c r="H1096" s="12"/>
      <c r="K1096"/>
    </row>
    <row r="1097" spans="5:11" ht="12.75" customHeight="1" x14ac:dyDescent="0.2">
      <c r="E1097" s="50"/>
      <c r="H1097" s="12"/>
      <c r="K1097"/>
    </row>
    <row r="1098" spans="5:11" ht="12.75" customHeight="1" x14ac:dyDescent="0.2">
      <c r="E1098" s="50"/>
      <c r="H1098" s="12"/>
      <c r="K1098"/>
    </row>
    <row r="1099" spans="5:11" ht="12.75" customHeight="1" x14ac:dyDescent="0.2">
      <c r="E1099" s="50"/>
      <c r="H1099" s="12"/>
      <c r="K1099"/>
    </row>
    <row r="1100" spans="5:11" ht="12.75" customHeight="1" x14ac:dyDescent="0.2">
      <c r="E1100" s="50"/>
      <c r="H1100" s="12"/>
      <c r="K1100"/>
    </row>
    <row r="1101" spans="5:11" ht="12.75" customHeight="1" x14ac:dyDescent="0.2">
      <c r="E1101" s="50"/>
      <c r="H1101" s="12"/>
      <c r="K1101"/>
    </row>
    <row r="1102" spans="5:11" ht="12.75" customHeight="1" x14ac:dyDescent="0.2">
      <c r="E1102" s="50"/>
      <c r="H1102" s="12"/>
      <c r="K1102"/>
    </row>
    <row r="1103" spans="5:11" ht="12.75" customHeight="1" x14ac:dyDescent="0.2">
      <c r="E1103" s="50"/>
      <c r="H1103" s="12"/>
      <c r="K1103"/>
    </row>
    <row r="1104" spans="5:11" ht="12.75" customHeight="1" x14ac:dyDescent="0.2">
      <c r="E1104" s="50"/>
      <c r="H1104" s="12"/>
      <c r="K1104"/>
    </row>
    <row r="1105" spans="5:11" ht="12.75" customHeight="1" x14ac:dyDescent="0.2">
      <c r="E1105" s="50"/>
      <c r="H1105" s="12"/>
      <c r="K1105"/>
    </row>
    <row r="1106" spans="5:11" ht="12.75" customHeight="1" x14ac:dyDescent="0.2">
      <c r="E1106" s="50"/>
      <c r="H1106" s="12"/>
      <c r="K1106"/>
    </row>
    <row r="1107" spans="5:11" ht="12.75" customHeight="1" x14ac:dyDescent="0.2">
      <c r="E1107" s="50"/>
      <c r="H1107" s="12"/>
      <c r="K1107"/>
    </row>
    <row r="1108" spans="5:11" ht="12.75" customHeight="1" x14ac:dyDescent="0.2">
      <c r="E1108" s="50"/>
      <c r="H1108" s="12"/>
      <c r="K1108"/>
    </row>
    <row r="1109" spans="5:11" ht="12.75" customHeight="1" x14ac:dyDescent="0.2">
      <c r="E1109" s="50"/>
      <c r="H1109" s="12"/>
      <c r="K1109"/>
    </row>
    <row r="1110" spans="5:11" ht="12.75" customHeight="1" x14ac:dyDescent="0.2">
      <c r="E1110" s="50"/>
      <c r="H1110" s="12"/>
      <c r="K1110"/>
    </row>
    <row r="1111" spans="5:11" ht="12.75" customHeight="1" x14ac:dyDescent="0.2">
      <c r="E1111" s="50"/>
      <c r="H1111" s="12"/>
      <c r="K1111"/>
    </row>
    <row r="1112" spans="5:11" ht="12.75" customHeight="1" x14ac:dyDescent="0.2">
      <c r="E1112" s="50"/>
      <c r="H1112" s="12"/>
      <c r="K1112"/>
    </row>
    <row r="1113" spans="5:11" ht="12.75" customHeight="1" x14ac:dyDescent="0.2">
      <c r="E1113" s="50"/>
      <c r="H1113" s="12"/>
      <c r="K1113"/>
    </row>
    <row r="1114" spans="5:11" ht="12.75" customHeight="1" x14ac:dyDescent="0.2">
      <c r="E1114" s="50"/>
      <c r="H1114" s="12"/>
      <c r="K1114"/>
    </row>
    <row r="1115" spans="5:11" ht="12.75" customHeight="1" x14ac:dyDescent="0.2">
      <c r="E1115" s="50"/>
      <c r="H1115" s="12"/>
      <c r="K1115"/>
    </row>
    <row r="1116" spans="5:11" ht="12.75" customHeight="1" x14ac:dyDescent="0.2">
      <c r="E1116" s="50"/>
      <c r="H1116" s="12"/>
      <c r="K1116"/>
    </row>
    <row r="1117" spans="5:11" ht="12.75" customHeight="1" x14ac:dyDescent="0.2">
      <c r="E1117" s="50"/>
      <c r="H1117" s="12"/>
      <c r="K1117"/>
    </row>
    <row r="1118" spans="5:11" ht="12.75" customHeight="1" x14ac:dyDescent="0.2">
      <c r="E1118" s="50"/>
      <c r="H1118" s="12"/>
      <c r="K1118"/>
    </row>
    <row r="1119" spans="5:11" ht="12.75" customHeight="1" x14ac:dyDescent="0.2">
      <c r="E1119" s="50"/>
      <c r="H1119" s="12"/>
      <c r="K1119"/>
    </row>
    <row r="1120" spans="5:11" ht="12.75" customHeight="1" x14ac:dyDescent="0.2">
      <c r="E1120" s="50"/>
      <c r="H1120" s="12"/>
      <c r="K1120"/>
    </row>
    <row r="1121" spans="5:11" ht="12.75" customHeight="1" x14ac:dyDescent="0.2">
      <c r="E1121" s="50"/>
      <c r="H1121" s="12"/>
      <c r="K1121"/>
    </row>
    <row r="1122" spans="5:11" ht="12.75" customHeight="1" x14ac:dyDescent="0.2">
      <c r="E1122" s="50"/>
      <c r="H1122" s="12"/>
      <c r="K1122"/>
    </row>
    <row r="1123" spans="5:11" ht="12.75" customHeight="1" x14ac:dyDescent="0.2">
      <c r="E1123" s="50"/>
      <c r="H1123" s="12"/>
      <c r="K1123"/>
    </row>
    <row r="1124" spans="5:11" ht="12.75" customHeight="1" x14ac:dyDescent="0.2">
      <c r="E1124" s="50"/>
      <c r="H1124" s="12"/>
      <c r="K1124"/>
    </row>
    <row r="1125" spans="5:11" ht="12.75" customHeight="1" x14ac:dyDescent="0.2">
      <c r="E1125" s="50"/>
      <c r="H1125" s="12"/>
      <c r="K1125"/>
    </row>
    <row r="1126" spans="5:11" ht="12.75" customHeight="1" x14ac:dyDescent="0.2">
      <c r="E1126" s="50"/>
      <c r="H1126" s="12"/>
      <c r="K1126"/>
    </row>
    <row r="1127" spans="5:11" ht="12.75" customHeight="1" x14ac:dyDescent="0.2">
      <c r="E1127" s="50"/>
      <c r="H1127" s="12"/>
      <c r="K1127"/>
    </row>
    <row r="1128" spans="5:11" ht="12.75" customHeight="1" x14ac:dyDescent="0.2">
      <c r="E1128" s="50"/>
      <c r="H1128" s="12"/>
      <c r="K1128"/>
    </row>
    <row r="1129" spans="5:11" ht="12.75" customHeight="1" x14ac:dyDescent="0.2">
      <c r="E1129" s="50"/>
      <c r="H1129" s="12"/>
      <c r="K1129"/>
    </row>
    <row r="1130" spans="5:11" ht="12.75" customHeight="1" x14ac:dyDescent="0.2">
      <c r="E1130" s="50"/>
      <c r="H1130" s="12"/>
      <c r="K1130"/>
    </row>
    <row r="1131" spans="5:11" ht="12.75" customHeight="1" x14ac:dyDescent="0.2">
      <c r="E1131" s="50"/>
      <c r="H1131" s="12"/>
      <c r="K1131"/>
    </row>
    <row r="1132" spans="5:11" ht="12.75" customHeight="1" x14ac:dyDescent="0.2">
      <c r="E1132" s="50"/>
      <c r="H1132" s="12"/>
      <c r="K1132"/>
    </row>
    <row r="1133" spans="5:11" ht="12.75" customHeight="1" x14ac:dyDescent="0.2">
      <c r="E1133" s="50"/>
      <c r="H1133" s="12"/>
      <c r="K1133"/>
    </row>
    <row r="1134" spans="5:11" ht="12.75" customHeight="1" x14ac:dyDescent="0.2">
      <c r="E1134" s="50"/>
      <c r="H1134" s="12"/>
      <c r="K1134"/>
    </row>
    <row r="1135" spans="5:11" ht="12.75" customHeight="1" x14ac:dyDescent="0.2">
      <c r="E1135" s="50"/>
      <c r="H1135" s="12"/>
      <c r="K1135"/>
    </row>
    <row r="1136" spans="5:11" ht="12.75" customHeight="1" x14ac:dyDescent="0.2">
      <c r="E1136" s="50"/>
      <c r="H1136" s="12"/>
      <c r="K1136"/>
    </row>
    <row r="1137" spans="5:11" ht="12.75" customHeight="1" x14ac:dyDescent="0.2">
      <c r="E1137" s="50"/>
      <c r="H1137" s="12"/>
      <c r="K1137"/>
    </row>
    <row r="1138" spans="5:11" ht="12.75" customHeight="1" x14ac:dyDescent="0.2">
      <c r="E1138" s="50"/>
      <c r="H1138" s="12"/>
      <c r="K1138"/>
    </row>
    <row r="1139" spans="5:11" ht="12.75" customHeight="1" x14ac:dyDescent="0.2">
      <c r="E1139" s="50"/>
      <c r="H1139" s="12"/>
      <c r="K1139"/>
    </row>
    <row r="1140" spans="5:11" ht="12.75" customHeight="1" x14ac:dyDescent="0.2">
      <c r="E1140" s="50"/>
      <c r="H1140" s="12"/>
      <c r="K1140"/>
    </row>
    <row r="1141" spans="5:11" ht="12.75" customHeight="1" x14ac:dyDescent="0.2">
      <c r="E1141" s="50"/>
      <c r="H1141" s="12"/>
      <c r="K1141"/>
    </row>
    <row r="1142" spans="5:11" ht="12.75" customHeight="1" x14ac:dyDescent="0.2">
      <c r="E1142" s="50"/>
      <c r="H1142" s="12"/>
      <c r="K1142"/>
    </row>
    <row r="1143" spans="5:11" ht="12.75" customHeight="1" x14ac:dyDescent="0.2">
      <c r="E1143" s="50"/>
      <c r="H1143" s="12"/>
      <c r="K1143"/>
    </row>
    <row r="1144" spans="5:11" ht="12.75" customHeight="1" x14ac:dyDescent="0.2">
      <c r="E1144" s="50"/>
      <c r="H1144" s="12"/>
      <c r="K1144"/>
    </row>
    <row r="1145" spans="5:11" ht="12.75" customHeight="1" x14ac:dyDescent="0.2">
      <c r="E1145" s="50"/>
      <c r="H1145" s="12"/>
      <c r="K1145"/>
    </row>
    <row r="1146" spans="5:11" ht="12.75" customHeight="1" x14ac:dyDescent="0.2">
      <c r="E1146" s="50"/>
      <c r="H1146" s="12"/>
      <c r="K1146"/>
    </row>
    <row r="1147" spans="5:11" ht="12.75" customHeight="1" x14ac:dyDescent="0.2">
      <c r="E1147" s="50"/>
      <c r="H1147" s="12"/>
      <c r="K1147"/>
    </row>
    <row r="1148" spans="5:11" ht="12.75" customHeight="1" x14ac:dyDescent="0.2">
      <c r="E1148" s="50"/>
      <c r="H1148" s="12"/>
      <c r="K1148"/>
    </row>
    <row r="1149" spans="5:11" ht="12.75" customHeight="1" x14ac:dyDescent="0.2">
      <c r="E1149" s="50"/>
      <c r="H1149" s="12"/>
      <c r="K1149"/>
    </row>
    <row r="1150" spans="5:11" ht="12.75" customHeight="1" x14ac:dyDescent="0.2">
      <c r="E1150" s="50"/>
      <c r="H1150" s="12"/>
      <c r="K1150"/>
    </row>
    <row r="1151" spans="5:11" ht="12.75" customHeight="1" x14ac:dyDescent="0.2">
      <c r="E1151" s="50"/>
      <c r="H1151" s="12"/>
      <c r="K1151"/>
    </row>
    <row r="1152" spans="5:11" ht="12.75" customHeight="1" x14ac:dyDescent="0.2">
      <c r="E1152" s="50"/>
      <c r="H1152" s="12"/>
      <c r="K1152"/>
    </row>
    <row r="1153" spans="5:11" ht="12.75" customHeight="1" x14ac:dyDescent="0.2">
      <c r="E1153" s="50"/>
      <c r="H1153" s="12"/>
      <c r="K1153"/>
    </row>
    <row r="1154" spans="5:11" ht="12.75" customHeight="1" x14ac:dyDescent="0.2">
      <c r="E1154" s="50"/>
      <c r="H1154" s="12"/>
      <c r="K1154"/>
    </row>
    <row r="1155" spans="5:11" ht="12.75" customHeight="1" x14ac:dyDescent="0.2">
      <c r="E1155" s="50"/>
      <c r="H1155" s="12"/>
      <c r="K1155"/>
    </row>
    <row r="1156" spans="5:11" ht="12.75" customHeight="1" x14ac:dyDescent="0.2">
      <c r="E1156" s="50"/>
      <c r="H1156" s="12"/>
      <c r="K1156"/>
    </row>
    <row r="1157" spans="5:11" ht="12.75" customHeight="1" x14ac:dyDescent="0.2">
      <c r="E1157" s="50"/>
      <c r="H1157" s="12"/>
      <c r="K1157"/>
    </row>
    <row r="1158" spans="5:11" ht="12.75" customHeight="1" x14ac:dyDescent="0.2">
      <c r="E1158" s="50"/>
      <c r="H1158" s="12"/>
      <c r="K1158"/>
    </row>
    <row r="1159" spans="5:11" ht="12.75" customHeight="1" x14ac:dyDescent="0.2">
      <c r="E1159" s="50"/>
      <c r="H1159" s="12"/>
      <c r="K1159"/>
    </row>
    <row r="1160" spans="5:11" ht="12.75" customHeight="1" x14ac:dyDescent="0.2">
      <c r="E1160" s="50"/>
      <c r="H1160" s="12"/>
      <c r="K1160"/>
    </row>
    <row r="1161" spans="5:11" ht="12.75" customHeight="1" x14ac:dyDescent="0.2">
      <c r="E1161" s="50"/>
      <c r="H1161" s="12"/>
      <c r="K1161"/>
    </row>
    <row r="1162" spans="5:11" ht="12.75" customHeight="1" x14ac:dyDescent="0.2">
      <c r="E1162" s="50"/>
      <c r="H1162" s="12"/>
      <c r="K1162"/>
    </row>
    <row r="1163" spans="5:11" ht="12.75" customHeight="1" x14ac:dyDescent="0.2">
      <c r="E1163" s="50"/>
      <c r="H1163" s="12"/>
      <c r="K1163"/>
    </row>
    <row r="1164" spans="5:11" ht="12.75" customHeight="1" x14ac:dyDescent="0.2">
      <c r="E1164" s="50"/>
      <c r="H1164" s="12"/>
      <c r="K1164"/>
    </row>
    <row r="1165" spans="5:11" ht="12.75" customHeight="1" x14ac:dyDescent="0.2">
      <c r="E1165" s="50"/>
      <c r="H1165" s="12"/>
      <c r="K1165"/>
    </row>
    <row r="1166" spans="5:11" ht="12.75" customHeight="1" x14ac:dyDescent="0.2">
      <c r="E1166" s="50"/>
      <c r="H1166" s="12"/>
      <c r="K1166"/>
    </row>
    <row r="1167" spans="5:11" ht="12.75" customHeight="1" x14ac:dyDescent="0.2">
      <c r="E1167" s="50"/>
      <c r="H1167" s="12"/>
      <c r="K1167"/>
    </row>
    <row r="1168" spans="5:11" ht="12.75" customHeight="1" x14ac:dyDescent="0.2">
      <c r="E1168" s="50"/>
      <c r="H1168" s="12"/>
      <c r="K1168"/>
    </row>
    <row r="1169" spans="5:11" ht="12.75" customHeight="1" x14ac:dyDescent="0.2">
      <c r="E1169" s="50"/>
      <c r="H1169" s="12"/>
      <c r="K1169"/>
    </row>
    <row r="1170" spans="5:11" ht="12.75" customHeight="1" x14ac:dyDescent="0.2">
      <c r="E1170" s="50"/>
      <c r="H1170" s="12"/>
      <c r="K1170"/>
    </row>
    <row r="1171" spans="5:11" ht="12.75" customHeight="1" x14ac:dyDescent="0.2">
      <c r="E1171" s="50"/>
      <c r="H1171" s="12"/>
      <c r="K1171"/>
    </row>
    <row r="1172" spans="5:11" ht="12.75" customHeight="1" x14ac:dyDescent="0.2">
      <c r="E1172" s="50"/>
      <c r="H1172" s="12"/>
      <c r="K1172"/>
    </row>
    <row r="1173" spans="5:11" ht="12.75" customHeight="1" x14ac:dyDescent="0.2">
      <c r="E1173" s="50"/>
      <c r="H1173" s="12"/>
      <c r="K1173"/>
    </row>
    <row r="1174" spans="5:11" ht="12.75" customHeight="1" x14ac:dyDescent="0.2">
      <c r="E1174" s="50"/>
      <c r="H1174" s="12"/>
      <c r="K1174"/>
    </row>
    <row r="1175" spans="5:11" ht="12.75" customHeight="1" x14ac:dyDescent="0.2">
      <c r="E1175" s="50"/>
      <c r="H1175" s="12"/>
      <c r="K1175"/>
    </row>
    <row r="1176" spans="5:11" ht="12.75" customHeight="1" x14ac:dyDescent="0.2">
      <c r="E1176" s="50"/>
      <c r="H1176" s="12"/>
      <c r="K1176"/>
    </row>
    <row r="1177" spans="5:11" ht="12.75" customHeight="1" x14ac:dyDescent="0.2">
      <c r="E1177" s="50"/>
      <c r="H1177" s="12"/>
      <c r="K1177"/>
    </row>
    <row r="1178" spans="5:11" ht="12.75" customHeight="1" x14ac:dyDescent="0.2">
      <c r="E1178" s="50"/>
      <c r="H1178" s="12"/>
      <c r="K1178"/>
    </row>
    <row r="1179" spans="5:11" ht="12.75" customHeight="1" x14ac:dyDescent="0.2">
      <c r="E1179" s="50"/>
      <c r="H1179" s="12"/>
      <c r="K1179"/>
    </row>
    <row r="1180" spans="5:11" ht="12.75" customHeight="1" x14ac:dyDescent="0.2">
      <c r="E1180" s="50"/>
      <c r="H1180" s="12"/>
      <c r="K1180"/>
    </row>
    <row r="1181" spans="5:11" ht="12.75" customHeight="1" x14ac:dyDescent="0.2">
      <c r="E1181" s="50"/>
      <c r="H1181" s="12"/>
      <c r="K1181"/>
    </row>
    <row r="1182" spans="5:11" ht="12.75" customHeight="1" x14ac:dyDescent="0.2">
      <c r="E1182" s="50"/>
      <c r="H1182" s="12"/>
      <c r="K1182"/>
    </row>
    <row r="1183" spans="5:11" ht="12.75" customHeight="1" x14ac:dyDescent="0.2">
      <c r="E1183" s="50"/>
      <c r="H1183" s="12"/>
      <c r="K1183"/>
    </row>
    <row r="1184" spans="5:11" ht="12.75" customHeight="1" x14ac:dyDescent="0.2">
      <c r="E1184" s="50"/>
      <c r="H1184" s="12"/>
      <c r="K1184"/>
    </row>
    <row r="1185" spans="5:11" ht="12.75" customHeight="1" x14ac:dyDescent="0.2">
      <c r="E1185" s="50"/>
      <c r="H1185" s="12"/>
      <c r="K1185"/>
    </row>
    <row r="1186" spans="5:11" ht="12.75" customHeight="1" x14ac:dyDescent="0.2">
      <c r="E1186" s="50"/>
      <c r="H1186" s="12"/>
      <c r="K1186"/>
    </row>
    <row r="1187" spans="5:11" ht="12.75" customHeight="1" x14ac:dyDescent="0.2">
      <c r="E1187" s="50"/>
      <c r="H1187" s="12"/>
      <c r="K1187"/>
    </row>
    <row r="1188" spans="5:11" ht="12.75" customHeight="1" x14ac:dyDescent="0.2">
      <c r="E1188" s="50"/>
      <c r="H1188" s="12"/>
      <c r="K1188"/>
    </row>
    <row r="1189" spans="5:11" ht="12.75" customHeight="1" x14ac:dyDescent="0.2">
      <c r="E1189" s="50"/>
      <c r="H1189" s="12"/>
      <c r="K1189"/>
    </row>
    <row r="1190" spans="5:11" ht="12.75" customHeight="1" x14ac:dyDescent="0.2">
      <c r="E1190" s="50"/>
      <c r="H1190" s="12"/>
      <c r="K1190"/>
    </row>
    <row r="1191" spans="5:11" ht="12.75" customHeight="1" x14ac:dyDescent="0.2">
      <c r="E1191" s="50"/>
      <c r="H1191" s="12"/>
      <c r="K1191"/>
    </row>
    <row r="1192" spans="5:11" ht="12.75" customHeight="1" x14ac:dyDescent="0.2">
      <c r="E1192" s="50"/>
      <c r="H1192" s="12"/>
      <c r="K1192"/>
    </row>
    <row r="1193" spans="5:11" ht="12.75" customHeight="1" x14ac:dyDescent="0.2">
      <c r="E1193" s="50"/>
      <c r="H1193" s="12"/>
      <c r="K1193"/>
    </row>
    <row r="1194" spans="5:11" ht="12.75" customHeight="1" x14ac:dyDescent="0.2">
      <c r="E1194" s="50"/>
      <c r="H1194" s="12"/>
      <c r="K1194"/>
    </row>
    <row r="1195" spans="5:11" ht="12.75" customHeight="1" x14ac:dyDescent="0.2">
      <c r="E1195" s="50"/>
      <c r="H1195" s="12"/>
      <c r="K1195"/>
    </row>
    <row r="1196" spans="5:11" ht="12.75" customHeight="1" x14ac:dyDescent="0.2">
      <c r="E1196" s="50"/>
      <c r="H1196" s="12"/>
      <c r="K1196"/>
    </row>
    <row r="1197" spans="5:11" ht="12.75" customHeight="1" x14ac:dyDescent="0.2">
      <c r="E1197" s="50"/>
      <c r="H1197" s="12"/>
      <c r="K1197"/>
    </row>
    <row r="1198" spans="5:11" ht="12.75" customHeight="1" x14ac:dyDescent="0.2">
      <c r="E1198" s="50"/>
      <c r="H1198" s="12"/>
      <c r="K1198"/>
    </row>
    <row r="1199" spans="5:11" ht="12.75" customHeight="1" x14ac:dyDescent="0.2">
      <c r="E1199" s="50"/>
      <c r="H1199" s="12"/>
      <c r="K1199"/>
    </row>
    <row r="1200" spans="5:11" ht="12.75" customHeight="1" x14ac:dyDescent="0.2">
      <c r="E1200" s="50"/>
      <c r="H1200" s="12"/>
      <c r="K1200"/>
    </row>
    <row r="1201" spans="5:11" ht="12.75" customHeight="1" x14ac:dyDescent="0.2">
      <c r="E1201" s="50"/>
      <c r="H1201" s="12"/>
      <c r="K1201"/>
    </row>
    <row r="1202" spans="5:11" ht="12.75" customHeight="1" x14ac:dyDescent="0.2">
      <c r="E1202" s="50"/>
      <c r="H1202" s="12"/>
      <c r="K1202"/>
    </row>
    <row r="1203" spans="5:11" ht="12.75" customHeight="1" x14ac:dyDescent="0.2">
      <c r="E1203" s="50"/>
      <c r="H1203" s="12"/>
      <c r="K1203"/>
    </row>
    <row r="1204" spans="5:11" ht="12.75" customHeight="1" x14ac:dyDescent="0.2">
      <c r="E1204" s="50"/>
      <c r="H1204" s="12"/>
      <c r="K1204"/>
    </row>
    <row r="1205" spans="5:11" ht="12.75" customHeight="1" x14ac:dyDescent="0.2">
      <c r="E1205" s="50"/>
      <c r="H1205" s="12"/>
      <c r="K1205"/>
    </row>
    <row r="1206" spans="5:11" ht="12.75" customHeight="1" x14ac:dyDescent="0.2">
      <c r="E1206" s="50"/>
      <c r="H1206" s="12"/>
      <c r="K1206"/>
    </row>
    <row r="1207" spans="5:11" ht="12.75" customHeight="1" x14ac:dyDescent="0.2">
      <c r="E1207" s="50"/>
      <c r="H1207" s="12"/>
      <c r="K1207"/>
    </row>
    <row r="1208" spans="5:11" ht="12.75" customHeight="1" x14ac:dyDescent="0.2">
      <c r="E1208" s="50"/>
      <c r="H1208" s="12"/>
      <c r="K1208"/>
    </row>
    <row r="1209" spans="5:11" ht="12.75" customHeight="1" x14ac:dyDescent="0.2">
      <c r="E1209" s="50"/>
      <c r="H1209" s="12"/>
      <c r="K1209"/>
    </row>
    <row r="1210" spans="5:11" ht="12.75" customHeight="1" x14ac:dyDescent="0.2">
      <c r="E1210" s="50"/>
      <c r="H1210" s="12"/>
      <c r="K1210"/>
    </row>
    <row r="1211" spans="5:11" ht="12.75" customHeight="1" x14ac:dyDescent="0.2">
      <c r="E1211" s="50"/>
      <c r="H1211" s="12"/>
      <c r="K1211"/>
    </row>
    <row r="1212" spans="5:11" ht="12.75" customHeight="1" x14ac:dyDescent="0.2">
      <c r="E1212" s="50"/>
      <c r="H1212" s="12"/>
      <c r="K1212"/>
    </row>
    <row r="1213" spans="5:11" ht="12.75" customHeight="1" x14ac:dyDescent="0.2">
      <c r="E1213" s="50"/>
      <c r="H1213" s="12"/>
      <c r="K1213"/>
    </row>
    <row r="1214" spans="5:11" ht="12.75" customHeight="1" x14ac:dyDescent="0.2">
      <c r="E1214" s="50"/>
      <c r="H1214" s="12"/>
      <c r="K1214"/>
    </row>
    <row r="1215" spans="5:11" ht="12.75" customHeight="1" x14ac:dyDescent="0.2">
      <c r="E1215" s="50"/>
      <c r="H1215" s="12"/>
      <c r="K1215"/>
    </row>
    <row r="1216" spans="5:11" ht="12.75" customHeight="1" x14ac:dyDescent="0.2">
      <c r="E1216" s="50"/>
      <c r="H1216" s="12"/>
      <c r="K1216"/>
    </row>
    <row r="1217" spans="5:11" ht="12.75" customHeight="1" x14ac:dyDescent="0.2">
      <c r="E1217" s="50"/>
      <c r="H1217" s="12"/>
      <c r="K1217"/>
    </row>
    <row r="1218" spans="5:11" ht="12.75" customHeight="1" x14ac:dyDescent="0.2">
      <c r="E1218" s="50"/>
      <c r="H1218" s="12"/>
      <c r="K1218"/>
    </row>
    <row r="1219" spans="5:11" ht="12.75" customHeight="1" x14ac:dyDescent="0.2">
      <c r="E1219" s="50"/>
      <c r="H1219" s="12"/>
      <c r="K1219"/>
    </row>
    <row r="1220" spans="5:11" ht="12.75" customHeight="1" x14ac:dyDescent="0.2">
      <c r="E1220" s="50"/>
      <c r="H1220" s="12"/>
      <c r="K1220"/>
    </row>
    <row r="1221" spans="5:11" ht="12.75" customHeight="1" x14ac:dyDescent="0.2">
      <c r="E1221" s="50"/>
      <c r="H1221" s="12"/>
      <c r="K1221"/>
    </row>
    <row r="1222" spans="5:11" ht="12.75" customHeight="1" x14ac:dyDescent="0.2">
      <c r="E1222" s="50"/>
      <c r="H1222" s="12"/>
      <c r="K1222"/>
    </row>
    <row r="1223" spans="5:11" ht="12.75" customHeight="1" x14ac:dyDescent="0.2">
      <c r="E1223" s="50"/>
      <c r="H1223" s="12"/>
      <c r="K1223"/>
    </row>
    <row r="1224" spans="5:11" ht="12.75" customHeight="1" x14ac:dyDescent="0.2">
      <c r="E1224" s="50"/>
      <c r="H1224" s="12"/>
      <c r="K1224"/>
    </row>
    <row r="1225" spans="5:11" ht="12.75" customHeight="1" x14ac:dyDescent="0.2">
      <c r="E1225" s="50"/>
      <c r="H1225" s="12"/>
      <c r="K1225"/>
    </row>
    <row r="1226" spans="5:11" ht="12.75" customHeight="1" x14ac:dyDescent="0.2">
      <c r="E1226" s="50"/>
      <c r="H1226" s="12"/>
      <c r="K1226"/>
    </row>
    <row r="1227" spans="5:11" ht="12.75" customHeight="1" x14ac:dyDescent="0.2">
      <c r="E1227" s="50"/>
      <c r="H1227" s="12"/>
      <c r="K1227"/>
    </row>
    <row r="1228" spans="5:11" ht="12.75" customHeight="1" x14ac:dyDescent="0.2">
      <c r="E1228" s="50"/>
      <c r="H1228" s="12"/>
      <c r="K1228"/>
    </row>
    <row r="1229" spans="5:11" ht="12.75" customHeight="1" x14ac:dyDescent="0.2">
      <c r="E1229" s="50"/>
      <c r="H1229" s="12"/>
      <c r="K1229"/>
    </row>
    <row r="1230" spans="5:11" ht="12.75" customHeight="1" x14ac:dyDescent="0.2">
      <c r="E1230" s="50"/>
      <c r="H1230" s="12"/>
      <c r="K1230"/>
    </row>
    <row r="1231" spans="5:11" ht="12.75" customHeight="1" x14ac:dyDescent="0.2">
      <c r="E1231" s="50"/>
      <c r="H1231" s="12"/>
      <c r="K1231"/>
    </row>
    <row r="1232" spans="5:11" ht="12.75" customHeight="1" x14ac:dyDescent="0.2">
      <c r="E1232" s="50"/>
      <c r="H1232" s="12"/>
      <c r="K1232"/>
    </row>
    <row r="1233" spans="5:11" ht="12.75" customHeight="1" x14ac:dyDescent="0.2">
      <c r="E1233" s="50"/>
      <c r="H1233" s="12"/>
      <c r="K1233"/>
    </row>
    <row r="1234" spans="5:11" ht="12.75" customHeight="1" x14ac:dyDescent="0.2">
      <c r="E1234" s="50"/>
      <c r="H1234" s="12"/>
      <c r="K1234"/>
    </row>
    <row r="1235" spans="5:11" ht="12.75" customHeight="1" x14ac:dyDescent="0.2">
      <c r="E1235" s="50"/>
      <c r="H1235" s="12"/>
      <c r="K1235"/>
    </row>
    <row r="1236" spans="5:11" ht="12.75" customHeight="1" x14ac:dyDescent="0.2">
      <c r="E1236" s="50"/>
      <c r="H1236" s="12"/>
      <c r="K1236"/>
    </row>
    <row r="1237" spans="5:11" ht="12.75" customHeight="1" x14ac:dyDescent="0.2">
      <c r="E1237" s="50"/>
      <c r="H1237" s="12"/>
      <c r="K1237"/>
    </row>
    <row r="1238" spans="5:11" ht="12.75" customHeight="1" x14ac:dyDescent="0.2">
      <c r="E1238" s="50"/>
      <c r="H1238" s="12"/>
      <c r="K1238"/>
    </row>
    <row r="1239" spans="5:11" ht="12.75" customHeight="1" x14ac:dyDescent="0.2">
      <c r="E1239" s="50"/>
      <c r="H1239" s="12"/>
      <c r="K1239"/>
    </row>
    <row r="1240" spans="5:11" ht="12.75" customHeight="1" x14ac:dyDescent="0.2">
      <c r="E1240" s="50"/>
      <c r="H1240" s="12"/>
      <c r="K1240"/>
    </row>
    <row r="1241" spans="5:11" ht="12.75" customHeight="1" x14ac:dyDescent="0.2">
      <c r="E1241" s="50"/>
      <c r="H1241" s="12"/>
      <c r="K1241"/>
    </row>
    <row r="1242" spans="5:11" ht="12.75" customHeight="1" x14ac:dyDescent="0.2">
      <c r="E1242" s="50"/>
      <c r="H1242" s="12"/>
      <c r="K1242"/>
    </row>
    <row r="1243" spans="5:11" ht="12.75" customHeight="1" x14ac:dyDescent="0.2">
      <c r="E1243" s="50"/>
      <c r="H1243" s="12"/>
      <c r="K1243"/>
    </row>
    <row r="1244" spans="5:11" ht="12.75" customHeight="1" x14ac:dyDescent="0.2">
      <c r="E1244" s="50"/>
      <c r="H1244" s="12"/>
      <c r="K1244"/>
    </row>
    <row r="1245" spans="5:11" ht="12.75" customHeight="1" x14ac:dyDescent="0.2">
      <c r="E1245" s="50"/>
      <c r="H1245" s="12"/>
      <c r="K1245"/>
    </row>
    <row r="1246" spans="5:11" ht="12.75" customHeight="1" x14ac:dyDescent="0.2">
      <c r="E1246" s="50"/>
      <c r="H1246" s="12"/>
      <c r="K1246"/>
    </row>
    <row r="1247" spans="5:11" ht="12.75" customHeight="1" x14ac:dyDescent="0.2">
      <c r="E1247" s="50"/>
      <c r="H1247" s="12"/>
      <c r="K1247"/>
    </row>
    <row r="1248" spans="5:11" ht="12.75" customHeight="1" x14ac:dyDescent="0.2">
      <c r="E1248" s="50"/>
      <c r="H1248" s="12"/>
      <c r="K1248"/>
    </row>
    <row r="1249" spans="5:11" ht="12.75" customHeight="1" x14ac:dyDescent="0.2">
      <c r="E1249" s="50"/>
      <c r="H1249" s="12"/>
      <c r="K1249"/>
    </row>
    <row r="1250" spans="5:11" ht="12.75" customHeight="1" x14ac:dyDescent="0.2">
      <c r="E1250" s="50"/>
      <c r="H1250" s="12"/>
      <c r="K1250"/>
    </row>
    <row r="1251" spans="5:11" ht="12.75" customHeight="1" x14ac:dyDescent="0.2">
      <c r="E1251" s="50"/>
      <c r="H1251" s="12"/>
      <c r="K1251"/>
    </row>
    <row r="1252" spans="5:11" ht="12.75" customHeight="1" x14ac:dyDescent="0.2">
      <c r="E1252" s="50"/>
      <c r="H1252" s="12"/>
      <c r="K1252"/>
    </row>
    <row r="1253" spans="5:11" ht="12.75" customHeight="1" x14ac:dyDescent="0.2">
      <c r="E1253" s="50"/>
      <c r="H1253" s="12"/>
      <c r="K1253"/>
    </row>
    <row r="1254" spans="5:11" ht="12.75" customHeight="1" x14ac:dyDescent="0.2">
      <c r="E1254" s="50"/>
      <c r="H1254" s="12"/>
      <c r="K1254"/>
    </row>
    <row r="1255" spans="5:11" ht="12.75" customHeight="1" x14ac:dyDescent="0.2">
      <c r="E1255" s="50"/>
      <c r="H1255" s="12"/>
      <c r="K1255"/>
    </row>
    <row r="1256" spans="5:11" ht="12.75" customHeight="1" x14ac:dyDescent="0.2">
      <c r="E1256" s="50"/>
      <c r="H1256" s="12"/>
      <c r="K1256"/>
    </row>
    <row r="1257" spans="5:11" ht="12.75" customHeight="1" x14ac:dyDescent="0.2">
      <c r="E1257" s="50"/>
      <c r="H1257" s="12"/>
      <c r="K1257"/>
    </row>
    <row r="1258" spans="5:11" ht="12.75" customHeight="1" x14ac:dyDescent="0.2">
      <c r="E1258" s="50"/>
      <c r="H1258" s="12"/>
      <c r="K1258"/>
    </row>
    <row r="1259" spans="5:11" ht="12.75" customHeight="1" x14ac:dyDescent="0.2">
      <c r="E1259" s="50"/>
      <c r="H1259" s="12"/>
      <c r="K1259"/>
    </row>
    <row r="1260" spans="5:11" ht="12.75" customHeight="1" x14ac:dyDescent="0.2">
      <c r="E1260" s="50"/>
      <c r="H1260" s="12"/>
      <c r="K1260"/>
    </row>
    <row r="1261" spans="5:11" ht="12.75" customHeight="1" x14ac:dyDescent="0.2">
      <c r="E1261" s="50"/>
      <c r="H1261" s="12"/>
      <c r="K1261"/>
    </row>
    <row r="1262" spans="5:11" ht="12.75" customHeight="1" x14ac:dyDescent="0.2">
      <c r="E1262" s="50"/>
      <c r="H1262" s="12"/>
      <c r="K1262"/>
    </row>
    <row r="1263" spans="5:11" ht="12.75" customHeight="1" x14ac:dyDescent="0.2">
      <c r="E1263" s="50"/>
      <c r="H1263" s="12"/>
      <c r="K1263"/>
    </row>
    <row r="1264" spans="5:11" ht="12.75" customHeight="1" x14ac:dyDescent="0.2">
      <c r="E1264" s="50"/>
      <c r="H1264" s="12"/>
      <c r="K1264"/>
    </row>
    <row r="1265" spans="5:11" ht="12.75" customHeight="1" x14ac:dyDescent="0.2">
      <c r="E1265" s="50"/>
      <c r="H1265" s="12"/>
      <c r="K1265"/>
    </row>
    <row r="1266" spans="5:11" ht="12.75" customHeight="1" x14ac:dyDescent="0.2">
      <c r="E1266" s="50"/>
      <c r="H1266" s="12"/>
      <c r="K1266"/>
    </row>
    <row r="1267" spans="5:11" ht="12.75" customHeight="1" x14ac:dyDescent="0.2">
      <c r="E1267" s="50"/>
      <c r="H1267" s="12"/>
      <c r="K1267"/>
    </row>
    <row r="1268" spans="5:11" ht="12.75" customHeight="1" x14ac:dyDescent="0.2">
      <c r="E1268" s="50"/>
      <c r="H1268" s="12"/>
      <c r="K1268"/>
    </row>
    <row r="1269" spans="5:11" ht="12.75" customHeight="1" x14ac:dyDescent="0.2">
      <c r="E1269" s="50"/>
      <c r="H1269" s="12"/>
      <c r="K1269"/>
    </row>
    <row r="1270" spans="5:11" ht="14.25" customHeight="1" x14ac:dyDescent="0.2">
      <c r="E1270" s="50"/>
      <c r="H1270" s="12"/>
      <c r="K1270"/>
    </row>
    <row r="1271" spans="5:11" ht="13.5" customHeight="1" x14ac:dyDescent="0.2">
      <c r="E1271" s="50"/>
      <c r="H1271" s="12"/>
      <c r="K1271"/>
    </row>
    <row r="1272" spans="5:11" ht="13.5" customHeight="1" x14ac:dyDescent="0.2">
      <c r="E1272" s="50"/>
      <c r="H1272" s="12"/>
      <c r="K1272"/>
    </row>
    <row r="1273" spans="5:11" ht="13.5" customHeight="1" x14ac:dyDescent="0.2">
      <c r="E1273" s="50"/>
      <c r="H1273" s="12"/>
      <c r="K1273"/>
    </row>
    <row r="1274" spans="5:11" ht="13.5" customHeight="1" x14ac:dyDescent="0.2">
      <c r="E1274" s="50"/>
      <c r="H1274" s="12"/>
      <c r="K1274"/>
    </row>
    <row r="1275" spans="5:11" ht="13.5" customHeight="1" x14ac:dyDescent="0.2">
      <c r="E1275" s="50"/>
      <c r="H1275" s="12"/>
      <c r="K1275"/>
    </row>
    <row r="1276" spans="5:11" ht="13.5" customHeight="1" x14ac:dyDescent="0.2">
      <c r="E1276" s="50"/>
      <c r="H1276" s="12"/>
      <c r="K1276"/>
    </row>
    <row r="1277" spans="5:11" ht="13.5" customHeight="1" x14ac:dyDescent="0.2">
      <c r="E1277" s="50"/>
      <c r="H1277" s="12"/>
      <c r="K1277"/>
    </row>
    <row r="1278" spans="5:11" ht="13.5" customHeight="1" x14ac:dyDescent="0.2">
      <c r="E1278" s="50"/>
      <c r="H1278" s="12"/>
      <c r="K1278"/>
    </row>
    <row r="1279" spans="5:11" ht="13.5" customHeight="1" x14ac:dyDescent="0.2">
      <c r="E1279" s="50"/>
      <c r="H1279" s="12"/>
      <c r="K1279"/>
    </row>
    <row r="1280" spans="5:11" ht="13.5" customHeight="1" x14ac:dyDescent="0.2">
      <c r="E1280" s="50"/>
      <c r="H1280" s="12"/>
      <c r="K1280"/>
    </row>
    <row r="1281" spans="5:11" ht="13.5" customHeight="1" x14ac:dyDescent="0.2">
      <c r="E1281" s="50"/>
      <c r="H1281" s="12"/>
      <c r="K1281"/>
    </row>
    <row r="1282" spans="5:11" ht="13.5" customHeight="1" x14ac:dyDescent="0.2">
      <c r="E1282" s="50"/>
      <c r="H1282" s="12"/>
      <c r="K1282"/>
    </row>
    <row r="1283" spans="5:11" ht="13.5" customHeight="1" x14ac:dyDescent="0.2">
      <c r="E1283" s="50"/>
      <c r="H1283" s="12"/>
      <c r="K1283"/>
    </row>
    <row r="1284" spans="5:11" ht="13.5" customHeight="1" x14ac:dyDescent="0.2">
      <c r="E1284" s="50"/>
      <c r="H1284" s="12"/>
      <c r="K1284"/>
    </row>
    <row r="1285" spans="5:11" ht="13.5" customHeight="1" x14ac:dyDescent="0.2">
      <c r="E1285" s="50"/>
      <c r="H1285" s="12"/>
      <c r="K1285"/>
    </row>
    <row r="1286" spans="5:11" ht="13.5" customHeight="1" x14ac:dyDescent="0.2">
      <c r="E1286" s="50"/>
      <c r="H1286" s="12"/>
      <c r="K1286"/>
    </row>
    <row r="1287" spans="5:11" ht="13.5" customHeight="1" x14ac:dyDescent="0.2">
      <c r="E1287" s="50"/>
      <c r="H1287" s="12"/>
      <c r="K1287"/>
    </row>
    <row r="1288" spans="5:11" ht="13.5" customHeight="1" x14ac:dyDescent="0.2">
      <c r="E1288" s="50"/>
      <c r="H1288" s="12"/>
      <c r="K1288"/>
    </row>
    <row r="1289" spans="5:11" ht="13.5" customHeight="1" x14ac:dyDescent="0.2">
      <c r="E1289" s="50"/>
      <c r="H1289" s="12"/>
      <c r="K1289"/>
    </row>
    <row r="1290" spans="5:11" ht="13.5" customHeight="1" x14ac:dyDescent="0.2">
      <c r="E1290" s="50"/>
      <c r="H1290" s="12"/>
      <c r="K1290"/>
    </row>
    <row r="1291" spans="5:11" ht="13.5" customHeight="1" x14ac:dyDescent="0.2">
      <c r="E1291" s="50"/>
      <c r="H1291" s="12"/>
      <c r="K1291"/>
    </row>
    <row r="1292" spans="5:11" ht="13.5" customHeight="1" x14ac:dyDescent="0.2">
      <c r="E1292" s="50"/>
      <c r="H1292" s="12"/>
      <c r="K1292"/>
    </row>
    <row r="1293" spans="5:11" ht="13.5" customHeight="1" x14ac:dyDescent="0.2">
      <c r="E1293" s="50"/>
      <c r="H1293" s="12"/>
      <c r="K1293"/>
    </row>
    <row r="1294" spans="5:11" ht="13.5" customHeight="1" x14ac:dyDescent="0.2">
      <c r="E1294" s="50"/>
      <c r="H1294" s="12"/>
      <c r="K1294"/>
    </row>
    <row r="1295" spans="5:11" ht="13.5" customHeight="1" x14ac:dyDescent="0.2">
      <c r="E1295" s="50"/>
      <c r="H1295" s="12"/>
      <c r="K1295"/>
    </row>
    <row r="1296" spans="5:11" ht="13.5" customHeight="1" x14ac:dyDescent="0.2">
      <c r="E1296" s="50"/>
      <c r="H1296" s="12"/>
      <c r="K1296"/>
    </row>
    <row r="1297" spans="5:11" ht="13.5" customHeight="1" x14ac:dyDescent="0.2">
      <c r="E1297" s="50"/>
      <c r="H1297" s="12"/>
      <c r="K1297"/>
    </row>
    <row r="1298" spans="5:11" ht="13.5" customHeight="1" x14ac:dyDescent="0.2">
      <c r="E1298" s="50"/>
      <c r="H1298" s="12"/>
      <c r="K1298"/>
    </row>
    <row r="1299" spans="5:11" ht="13.5" customHeight="1" x14ac:dyDescent="0.2">
      <c r="E1299" s="50"/>
      <c r="H1299" s="12"/>
      <c r="K1299"/>
    </row>
    <row r="1300" spans="5:11" ht="13.5" customHeight="1" x14ac:dyDescent="0.2">
      <c r="E1300" s="50"/>
      <c r="H1300" s="12"/>
      <c r="K1300"/>
    </row>
    <row r="1301" spans="5:11" ht="13.5" customHeight="1" x14ac:dyDescent="0.2">
      <c r="E1301" s="50"/>
      <c r="H1301" s="12"/>
      <c r="K1301"/>
    </row>
    <row r="1302" spans="5:11" ht="13.5" customHeight="1" x14ac:dyDescent="0.2">
      <c r="E1302" s="50"/>
      <c r="H1302" s="12"/>
      <c r="K1302"/>
    </row>
    <row r="1303" spans="5:11" ht="13.5" customHeight="1" x14ac:dyDescent="0.2">
      <c r="E1303" s="50"/>
      <c r="H1303" s="12"/>
      <c r="K1303"/>
    </row>
    <row r="1304" spans="5:11" ht="13.5" customHeight="1" x14ac:dyDescent="0.2">
      <c r="E1304" s="50"/>
      <c r="H1304" s="12"/>
      <c r="K1304"/>
    </row>
    <row r="1305" spans="5:11" ht="13.5" customHeight="1" x14ac:dyDescent="0.2">
      <c r="E1305" s="50"/>
      <c r="H1305" s="12"/>
      <c r="K1305"/>
    </row>
    <row r="1306" spans="5:11" ht="13.5" customHeight="1" x14ac:dyDescent="0.2">
      <c r="E1306" s="50"/>
      <c r="H1306" s="12"/>
      <c r="K1306"/>
    </row>
    <row r="1307" spans="5:11" ht="13.5" customHeight="1" x14ac:dyDescent="0.2">
      <c r="E1307" s="50"/>
      <c r="H1307" s="12"/>
      <c r="K1307"/>
    </row>
    <row r="1308" spans="5:11" ht="13.5" customHeight="1" x14ac:dyDescent="0.2">
      <c r="E1308" s="50"/>
      <c r="H1308" s="12"/>
      <c r="K1308"/>
    </row>
    <row r="1309" spans="5:11" ht="13.5" customHeight="1" x14ac:dyDescent="0.2">
      <c r="E1309" s="50"/>
      <c r="H1309" s="12"/>
      <c r="K1309"/>
    </row>
    <row r="1310" spans="5:11" ht="13.5" customHeight="1" x14ac:dyDescent="0.2">
      <c r="E1310" s="50"/>
      <c r="H1310" s="12"/>
      <c r="K1310"/>
    </row>
    <row r="1311" spans="5:11" ht="13.5" customHeight="1" x14ac:dyDescent="0.2">
      <c r="E1311" s="50"/>
      <c r="H1311" s="12"/>
      <c r="K1311"/>
    </row>
    <row r="1312" spans="5:11" ht="13.5" customHeight="1" x14ac:dyDescent="0.2">
      <c r="E1312" s="50"/>
      <c r="H1312" s="12"/>
      <c r="K1312"/>
    </row>
    <row r="1313" spans="5:11" ht="13.5" customHeight="1" x14ac:dyDescent="0.2">
      <c r="E1313" s="50"/>
      <c r="H1313" s="12"/>
      <c r="K1313"/>
    </row>
    <row r="1314" spans="5:11" ht="13.5" customHeight="1" x14ac:dyDescent="0.2">
      <c r="E1314" s="50"/>
      <c r="H1314" s="12"/>
      <c r="K1314"/>
    </row>
    <row r="1315" spans="5:11" ht="13.5" customHeight="1" x14ac:dyDescent="0.2">
      <c r="E1315" s="50"/>
      <c r="H1315" s="12"/>
      <c r="K1315"/>
    </row>
    <row r="1316" spans="5:11" ht="13.5" customHeight="1" x14ac:dyDescent="0.2">
      <c r="E1316" s="50"/>
      <c r="H1316" s="12"/>
      <c r="K1316"/>
    </row>
    <row r="1317" spans="5:11" ht="13.5" customHeight="1" x14ac:dyDescent="0.2">
      <c r="E1317" s="50"/>
      <c r="H1317" s="12"/>
      <c r="K1317"/>
    </row>
    <row r="1318" spans="5:11" ht="13.5" customHeight="1" x14ac:dyDescent="0.2">
      <c r="E1318" s="50"/>
      <c r="H1318" s="12"/>
      <c r="K1318"/>
    </row>
    <row r="1319" spans="5:11" ht="13.5" customHeight="1" x14ac:dyDescent="0.2">
      <c r="E1319" s="50"/>
      <c r="H1319" s="12"/>
      <c r="K1319"/>
    </row>
    <row r="1320" spans="5:11" ht="13.5" customHeight="1" x14ac:dyDescent="0.2">
      <c r="E1320" s="50"/>
      <c r="H1320" s="12"/>
      <c r="K1320"/>
    </row>
    <row r="1321" spans="5:11" ht="13.5" customHeight="1" x14ac:dyDescent="0.2">
      <c r="E1321" s="50"/>
      <c r="H1321" s="12"/>
      <c r="K1321"/>
    </row>
    <row r="1322" spans="5:11" ht="13.5" customHeight="1" x14ac:dyDescent="0.2">
      <c r="E1322" s="50"/>
      <c r="H1322" s="12"/>
      <c r="K1322"/>
    </row>
    <row r="1323" spans="5:11" ht="13.5" customHeight="1" x14ac:dyDescent="0.2">
      <c r="E1323" s="50"/>
      <c r="H1323" s="12"/>
      <c r="K1323"/>
    </row>
    <row r="1324" spans="5:11" ht="13.5" customHeight="1" x14ac:dyDescent="0.2">
      <c r="E1324" s="50"/>
      <c r="H1324" s="12"/>
      <c r="K1324"/>
    </row>
    <row r="1325" spans="5:11" ht="13.5" customHeight="1" x14ac:dyDescent="0.2">
      <c r="E1325" s="50"/>
      <c r="H1325" s="12"/>
      <c r="K1325"/>
    </row>
    <row r="1326" spans="5:11" ht="13.5" customHeight="1" x14ac:dyDescent="0.2">
      <c r="E1326" s="50"/>
      <c r="H1326" s="12"/>
      <c r="K1326"/>
    </row>
    <row r="1327" spans="5:11" ht="13.5" customHeight="1" x14ac:dyDescent="0.2">
      <c r="E1327" s="50"/>
      <c r="H1327" s="12"/>
      <c r="K1327"/>
    </row>
    <row r="1328" spans="5:11" x14ac:dyDescent="0.2">
      <c r="E1328" s="50"/>
      <c r="H1328" s="12"/>
      <c r="K1328"/>
    </row>
    <row r="1329" spans="5:11" x14ac:dyDescent="0.2">
      <c r="E1329" s="50"/>
      <c r="H1329" s="12"/>
      <c r="K1329"/>
    </row>
    <row r="1330" spans="5:11" x14ac:dyDescent="0.2">
      <c r="E1330" s="50"/>
      <c r="H1330" s="12"/>
      <c r="K1330"/>
    </row>
    <row r="1331" spans="5:11" x14ac:dyDescent="0.2">
      <c r="E1331" s="50"/>
      <c r="H1331" s="12"/>
      <c r="K1331"/>
    </row>
    <row r="1332" spans="5:11" x14ac:dyDescent="0.2">
      <c r="E1332" s="50"/>
      <c r="H1332" s="12"/>
      <c r="K1332"/>
    </row>
    <row r="1333" spans="5:11" x14ac:dyDescent="0.2">
      <c r="E1333" s="50"/>
      <c r="H1333" s="12"/>
      <c r="K1333"/>
    </row>
    <row r="1334" spans="5:11" x14ac:dyDescent="0.2">
      <c r="E1334" s="50"/>
      <c r="H1334" s="12"/>
      <c r="K1334"/>
    </row>
    <row r="1335" spans="5:11" x14ac:dyDescent="0.2">
      <c r="E1335" s="50"/>
      <c r="H1335" s="12"/>
      <c r="K1335"/>
    </row>
    <row r="1336" spans="5:11" x14ac:dyDescent="0.2">
      <c r="E1336" s="50"/>
      <c r="H1336" s="12"/>
      <c r="K1336"/>
    </row>
    <row r="1337" spans="5:11" x14ac:dyDescent="0.2">
      <c r="E1337" s="50"/>
      <c r="H1337" s="12"/>
      <c r="K1337"/>
    </row>
    <row r="1338" spans="5:11" x14ac:dyDescent="0.2">
      <c r="E1338" s="50"/>
      <c r="H1338" s="12"/>
      <c r="K1338"/>
    </row>
    <row r="1339" spans="5:11" x14ac:dyDescent="0.2">
      <c r="E1339" s="50"/>
      <c r="H1339" s="12"/>
      <c r="K1339"/>
    </row>
    <row r="1340" spans="5:11" x14ac:dyDescent="0.2">
      <c r="E1340" s="50"/>
      <c r="H1340" s="12"/>
      <c r="K1340"/>
    </row>
    <row r="1341" spans="5:11" x14ac:dyDescent="0.2">
      <c r="E1341" s="50"/>
      <c r="H1341" s="12"/>
      <c r="K1341"/>
    </row>
    <row r="1342" spans="5:11" x14ac:dyDescent="0.2">
      <c r="E1342" s="50"/>
      <c r="H1342" s="12"/>
      <c r="K1342"/>
    </row>
    <row r="1343" spans="5:11" x14ac:dyDescent="0.2">
      <c r="E1343" s="50"/>
      <c r="H1343" s="12"/>
      <c r="K1343"/>
    </row>
    <row r="1344" spans="5:11" x14ac:dyDescent="0.2">
      <c r="E1344" s="50"/>
      <c r="H1344" s="12"/>
      <c r="K1344"/>
    </row>
    <row r="1345" spans="5:11" x14ac:dyDescent="0.2">
      <c r="E1345" s="50"/>
      <c r="H1345" s="12"/>
      <c r="K1345"/>
    </row>
    <row r="1346" spans="5:11" x14ac:dyDescent="0.2">
      <c r="E1346" s="50"/>
      <c r="H1346" s="12"/>
      <c r="K1346"/>
    </row>
    <row r="1347" spans="5:11" x14ac:dyDescent="0.2">
      <c r="E1347" s="50"/>
      <c r="H1347" s="12"/>
      <c r="K1347"/>
    </row>
    <row r="1348" spans="5:11" x14ac:dyDescent="0.2">
      <c r="E1348" s="50"/>
      <c r="H1348" s="12"/>
      <c r="K1348"/>
    </row>
    <row r="1349" spans="5:11" x14ac:dyDescent="0.2">
      <c r="E1349" s="50"/>
      <c r="H1349" s="12"/>
      <c r="K1349"/>
    </row>
    <row r="1350" spans="5:11" x14ac:dyDescent="0.2">
      <c r="E1350" s="50"/>
      <c r="H1350" s="12"/>
      <c r="K1350"/>
    </row>
    <row r="1351" spans="5:11" x14ac:dyDescent="0.2">
      <c r="E1351" s="50"/>
      <c r="H1351" s="12"/>
      <c r="K1351"/>
    </row>
    <row r="1352" spans="5:11" x14ac:dyDescent="0.2">
      <c r="E1352" s="50"/>
      <c r="H1352" s="12"/>
      <c r="K1352"/>
    </row>
    <row r="1353" spans="5:11" x14ac:dyDescent="0.2">
      <c r="E1353" s="50"/>
      <c r="H1353" s="12"/>
      <c r="K1353"/>
    </row>
    <row r="1354" spans="5:11" x14ac:dyDescent="0.2">
      <c r="E1354" s="50"/>
      <c r="H1354" s="12"/>
      <c r="K1354"/>
    </row>
    <row r="1355" spans="5:11" x14ac:dyDescent="0.2">
      <c r="E1355" s="50"/>
      <c r="H1355" s="12"/>
      <c r="K1355"/>
    </row>
    <row r="1356" spans="5:11" x14ac:dyDescent="0.2">
      <c r="E1356" s="50"/>
      <c r="H1356" s="12"/>
      <c r="K1356"/>
    </row>
    <row r="1357" spans="5:11" x14ac:dyDescent="0.2">
      <c r="E1357" s="50"/>
      <c r="H1357" s="12"/>
      <c r="K1357"/>
    </row>
    <row r="1358" spans="5:11" x14ac:dyDescent="0.2">
      <c r="E1358" s="50"/>
      <c r="H1358" s="12"/>
      <c r="K1358"/>
    </row>
    <row r="1359" spans="5:11" x14ac:dyDescent="0.2">
      <c r="E1359" s="50"/>
      <c r="H1359" s="12"/>
      <c r="K1359"/>
    </row>
    <row r="1360" spans="5:11" x14ac:dyDescent="0.2">
      <c r="E1360" s="50"/>
      <c r="H1360" s="12"/>
      <c r="K1360"/>
    </row>
    <row r="1361" spans="5:11" x14ac:dyDescent="0.2">
      <c r="E1361" s="50"/>
      <c r="H1361" s="12"/>
      <c r="K1361"/>
    </row>
    <row r="1362" spans="5:11" x14ac:dyDescent="0.2">
      <c r="E1362" s="50"/>
      <c r="H1362" s="12"/>
      <c r="K1362"/>
    </row>
    <row r="1363" spans="5:11" x14ac:dyDescent="0.2">
      <c r="E1363" s="50"/>
      <c r="H1363" s="12"/>
      <c r="K1363"/>
    </row>
    <row r="1364" spans="5:11" x14ac:dyDescent="0.2">
      <c r="E1364" s="50"/>
      <c r="H1364" s="12"/>
      <c r="K1364"/>
    </row>
    <row r="1365" spans="5:11" x14ac:dyDescent="0.2">
      <c r="E1365" s="50"/>
      <c r="H1365" s="12"/>
      <c r="K1365"/>
    </row>
    <row r="1366" spans="5:11" x14ac:dyDescent="0.2">
      <c r="E1366" s="50"/>
      <c r="H1366" s="12"/>
      <c r="K1366"/>
    </row>
    <row r="1367" spans="5:11" x14ac:dyDescent="0.2">
      <c r="E1367" s="50"/>
      <c r="H1367" s="12"/>
      <c r="K1367"/>
    </row>
    <row r="1368" spans="5:11" x14ac:dyDescent="0.2">
      <c r="E1368" s="50"/>
      <c r="H1368" s="12"/>
      <c r="K1368"/>
    </row>
    <row r="1369" spans="5:11" x14ac:dyDescent="0.2">
      <c r="E1369" s="50"/>
      <c r="H1369" s="12"/>
      <c r="K1369"/>
    </row>
    <row r="1370" spans="5:11" x14ac:dyDescent="0.2">
      <c r="E1370" s="50"/>
      <c r="H1370" s="12"/>
      <c r="K1370"/>
    </row>
    <row r="1371" spans="5:11" x14ac:dyDescent="0.2">
      <c r="E1371" s="50"/>
      <c r="H1371" s="12"/>
      <c r="K1371"/>
    </row>
    <row r="1372" spans="5:11" x14ac:dyDescent="0.2">
      <c r="E1372" s="50"/>
      <c r="H1372" s="12"/>
      <c r="K1372"/>
    </row>
    <row r="1373" spans="5:11" x14ac:dyDescent="0.2">
      <c r="E1373" s="50"/>
      <c r="H1373" s="12"/>
      <c r="K1373"/>
    </row>
    <row r="1374" spans="5:11" x14ac:dyDescent="0.2">
      <c r="E1374" s="50"/>
      <c r="H1374" s="12"/>
      <c r="K1374"/>
    </row>
    <row r="1375" spans="5:11" x14ac:dyDescent="0.2">
      <c r="E1375" s="50"/>
      <c r="H1375" s="12"/>
      <c r="K1375"/>
    </row>
    <row r="1376" spans="5:11" x14ac:dyDescent="0.2">
      <c r="E1376" s="50"/>
      <c r="H1376" s="12"/>
      <c r="K1376"/>
    </row>
    <row r="1377" spans="5:11" x14ac:dyDescent="0.2">
      <c r="E1377" s="50"/>
      <c r="H1377" s="12"/>
      <c r="K1377"/>
    </row>
    <row r="1378" spans="5:11" x14ac:dyDescent="0.2">
      <c r="E1378" s="50"/>
      <c r="H1378" s="12"/>
      <c r="K1378"/>
    </row>
    <row r="1379" spans="5:11" x14ac:dyDescent="0.2">
      <c r="E1379" s="50"/>
      <c r="H1379" s="12"/>
      <c r="K1379"/>
    </row>
    <row r="1380" spans="5:11" x14ac:dyDescent="0.2">
      <c r="E1380" s="50"/>
      <c r="H1380" s="12"/>
      <c r="K1380"/>
    </row>
    <row r="1381" spans="5:11" x14ac:dyDescent="0.2">
      <c r="E1381" s="50"/>
      <c r="H1381" s="12"/>
      <c r="K1381"/>
    </row>
    <row r="1382" spans="5:11" x14ac:dyDescent="0.2">
      <c r="E1382" s="50"/>
      <c r="H1382" s="12"/>
      <c r="K1382"/>
    </row>
    <row r="1383" spans="5:11" x14ac:dyDescent="0.2">
      <c r="E1383" s="50"/>
      <c r="H1383" s="12"/>
      <c r="K1383"/>
    </row>
    <row r="1384" spans="5:11" x14ac:dyDescent="0.2">
      <c r="E1384" s="50"/>
      <c r="H1384" s="12"/>
      <c r="K1384"/>
    </row>
    <row r="1385" spans="5:11" x14ac:dyDescent="0.2">
      <c r="E1385" s="50"/>
      <c r="H1385" s="12"/>
      <c r="K1385"/>
    </row>
    <row r="1386" spans="5:11" x14ac:dyDescent="0.2">
      <c r="E1386" s="50"/>
      <c r="H1386" s="12"/>
      <c r="K1386"/>
    </row>
    <row r="1387" spans="5:11" x14ac:dyDescent="0.2">
      <c r="E1387" s="50"/>
      <c r="H1387" s="12"/>
      <c r="K1387"/>
    </row>
    <row r="1388" spans="5:11" x14ac:dyDescent="0.2">
      <c r="E1388" s="50"/>
      <c r="H1388" s="12"/>
      <c r="K1388"/>
    </row>
    <row r="1389" spans="5:11" x14ac:dyDescent="0.2">
      <c r="E1389" s="50"/>
      <c r="H1389" s="12"/>
      <c r="K1389"/>
    </row>
    <row r="1390" spans="5:11" x14ac:dyDescent="0.2">
      <c r="E1390" s="50"/>
      <c r="H1390" s="12"/>
      <c r="K1390"/>
    </row>
    <row r="1391" spans="5:11" x14ac:dyDescent="0.2">
      <c r="E1391" s="50"/>
      <c r="H1391" s="12"/>
      <c r="K1391"/>
    </row>
    <row r="1392" spans="5:11" x14ac:dyDescent="0.2">
      <c r="E1392" s="50"/>
      <c r="H1392" s="12"/>
      <c r="K1392"/>
    </row>
    <row r="1393" spans="5:11" x14ac:dyDescent="0.2">
      <c r="E1393" s="50"/>
      <c r="H1393" s="12"/>
      <c r="K1393"/>
    </row>
    <row r="1394" spans="5:11" x14ac:dyDescent="0.2">
      <c r="E1394" s="50"/>
      <c r="H1394" s="12"/>
      <c r="K1394"/>
    </row>
    <row r="1395" spans="5:11" x14ac:dyDescent="0.2">
      <c r="E1395" s="50"/>
      <c r="H1395" s="12"/>
      <c r="K1395"/>
    </row>
    <row r="1396" spans="5:11" x14ac:dyDescent="0.2">
      <c r="E1396" s="50"/>
      <c r="H1396" s="12"/>
      <c r="K1396"/>
    </row>
    <row r="1397" spans="5:11" x14ac:dyDescent="0.2">
      <c r="E1397" s="50"/>
      <c r="H1397" s="12"/>
      <c r="K1397"/>
    </row>
    <row r="1398" spans="5:11" x14ac:dyDescent="0.2">
      <c r="E1398" s="50"/>
      <c r="H1398" s="12"/>
      <c r="K1398"/>
    </row>
    <row r="1399" spans="5:11" x14ac:dyDescent="0.2">
      <c r="E1399" s="50"/>
      <c r="H1399" s="12"/>
      <c r="K1399"/>
    </row>
    <row r="1400" spans="5:11" x14ac:dyDescent="0.2">
      <c r="E1400" s="50"/>
      <c r="H1400" s="12"/>
      <c r="K1400"/>
    </row>
    <row r="1401" spans="5:11" x14ac:dyDescent="0.2">
      <c r="E1401" s="50"/>
      <c r="H1401" s="12"/>
      <c r="K1401"/>
    </row>
    <row r="1402" spans="5:11" x14ac:dyDescent="0.2">
      <c r="E1402" s="50"/>
      <c r="H1402" s="12"/>
      <c r="K1402"/>
    </row>
    <row r="1403" spans="5:11" x14ac:dyDescent="0.2">
      <c r="E1403" s="50"/>
      <c r="H1403" s="12"/>
      <c r="K1403"/>
    </row>
    <row r="1404" spans="5:11" x14ac:dyDescent="0.2">
      <c r="E1404" s="50"/>
      <c r="H1404" s="12"/>
      <c r="K1404"/>
    </row>
    <row r="1405" spans="5:11" x14ac:dyDescent="0.2">
      <c r="E1405" s="50"/>
      <c r="H1405" s="12"/>
      <c r="K1405"/>
    </row>
    <row r="1406" spans="5:11" x14ac:dyDescent="0.2">
      <c r="E1406" s="50"/>
      <c r="H1406" s="12"/>
      <c r="K1406"/>
    </row>
    <row r="1407" spans="5:11" x14ac:dyDescent="0.2">
      <c r="E1407" s="50"/>
      <c r="H1407" s="12"/>
      <c r="K1407"/>
    </row>
    <row r="1408" spans="5:11" x14ac:dyDescent="0.2">
      <c r="E1408" s="50"/>
      <c r="H1408" s="12"/>
      <c r="K1408"/>
    </row>
    <row r="1409" spans="5:11" x14ac:dyDescent="0.2">
      <c r="E1409" s="50"/>
      <c r="H1409" s="12"/>
      <c r="K1409"/>
    </row>
    <row r="1410" spans="5:11" x14ac:dyDescent="0.2">
      <c r="E1410" s="50"/>
      <c r="H1410" s="12"/>
      <c r="K1410"/>
    </row>
    <row r="1411" spans="5:11" x14ac:dyDescent="0.2">
      <c r="E1411" s="50"/>
      <c r="H1411" s="12"/>
      <c r="K1411"/>
    </row>
    <row r="1412" spans="5:11" x14ac:dyDescent="0.2">
      <c r="E1412" s="50"/>
      <c r="H1412" s="12"/>
      <c r="K1412"/>
    </row>
    <row r="1413" spans="5:11" x14ac:dyDescent="0.2">
      <c r="E1413" s="50"/>
      <c r="H1413" s="12"/>
      <c r="K1413"/>
    </row>
    <row r="1414" spans="5:11" x14ac:dyDescent="0.2">
      <c r="E1414" s="50"/>
      <c r="H1414" s="12"/>
      <c r="K1414"/>
    </row>
    <row r="1415" spans="5:11" x14ac:dyDescent="0.2">
      <c r="E1415" s="50"/>
      <c r="H1415" s="12"/>
      <c r="K1415"/>
    </row>
    <row r="1416" spans="5:11" x14ac:dyDescent="0.2">
      <c r="E1416" s="50"/>
      <c r="H1416" s="12"/>
      <c r="K1416"/>
    </row>
    <row r="1417" spans="5:11" x14ac:dyDescent="0.2">
      <c r="E1417" s="50"/>
      <c r="H1417" s="12"/>
      <c r="K1417"/>
    </row>
    <row r="1418" spans="5:11" x14ac:dyDescent="0.2">
      <c r="E1418" s="50"/>
      <c r="H1418" s="12"/>
      <c r="K1418"/>
    </row>
    <row r="1419" spans="5:11" x14ac:dyDescent="0.2">
      <c r="E1419" s="50"/>
      <c r="H1419" s="12"/>
      <c r="K1419"/>
    </row>
    <row r="1420" spans="5:11" x14ac:dyDescent="0.2">
      <c r="E1420" s="50"/>
      <c r="H1420" s="12"/>
      <c r="K1420"/>
    </row>
    <row r="1421" spans="5:11" x14ac:dyDescent="0.2">
      <c r="E1421" s="50"/>
      <c r="H1421" s="12"/>
      <c r="K1421"/>
    </row>
    <row r="1422" spans="5:11" x14ac:dyDescent="0.2">
      <c r="E1422" s="50"/>
      <c r="H1422" s="12"/>
      <c r="K1422"/>
    </row>
    <row r="1423" spans="5:11" x14ac:dyDescent="0.2">
      <c r="E1423" s="50"/>
      <c r="H1423" s="12"/>
      <c r="K1423"/>
    </row>
    <row r="1424" spans="5:11" x14ac:dyDescent="0.2">
      <c r="E1424" s="50"/>
      <c r="H1424" s="12"/>
      <c r="K1424"/>
    </row>
    <row r="1425" spans="5:11" x14ac:dyDescent="0.2">
      <c r="E1425" s="50"/>
      <c r="H1425" s="12"/>
      <c r="K1425"/>
    </row>
    <row r="1426" spans="5:11" x14ac:dyDescent="0.2">
      <c r="E1426" s="50"/>
      <c r="H1426" s="12"/>
      <c r="K1426"/>
    </row>
    <row r="1427" spans="5:11" x14ac:dyDescent="0.2">
      <c r="E1427" s="50"/>
      <c r="H1427" s="12"/>
      <c r="K1427"/>
    </row>
    <row r="1428" spans="5:11" x14ac:dyDescent="0.2">
      <c r="E1428" s="50"/>
      <c r="H1428" s="12"/>
      <c r="K1428"/>
    </row>
    <row r="1429" spans="5:11" x14ac:dyDescent="0.2">
      <c r="E1429" s="50"/>
      <c r="H1429" s="12"/>
      <c r="K1429"/>
    </row>
    <row r="1430" spans="5:11" x14ac:dyDescent="0.2">
      <c r="E1430" s="50"/>
      <c r="H1430" s="12"/>
      <c r="K1430"/>
    </row>
    <row r="1431" spans="5:11" x14ac:dyDescent="0.2">
      <c r="E1431" s="50"/>
      <c r="H1431" s="12"/>
      <c r="K1431"/>
    </row>
    <row r="1432" spans="5:11" x14ac:dyDescent="0.2">
      <c r="E1432" s="50"/>
      <c r="H1432" s="12"/>
      <c r="K1432"/>
    </row>
    <row r="1433" spans="5:11" x14ac:dyDescent="0.2">
      <c r="E1433" s="50"/>
      <c r="H1433" s="12"/>
      <c r="K1433"/>
    </row>
    <row r="1434" spans="5:11" x14ac:dyDescent="0.2">
      <c r="E1434" s="50"/>
      <c r="H1434" s="12"/>
      <c r="K1434"/>
    </row>
    <row r="1435" spans="5:11" x14ac:dyDescent="0.2">
      <c r="E1435" s="50"/>
      <c r="H1435" s="12"/>
      <c r="K1435"/>
    </row>
    <row r="1436" spans="5:11" x14ac:dyDescent="0.2">
      <c r="E1436" s="50"/>
      <c r="H1436" s="12"/>
      <c r="K1436"/>
    </row>
    <row r="1437" spans="5:11" x14ac:dyDescent="0.2">
      <c r="E1437" s="50"/>
      <c r="H1437" s="12"/>
      <c r="K1437"/>
    </row>
    <row r="1438" spans="5:11" x14ac:dyDescent="0.2">
      <c r="E1438" s="50"/>
      <c r="H1438" s="12"/>
      <c r="K1438"/>
    </row>
    <row r="1439" spans="5:11" x14ac:dyDescent="0.2">
      <c r="E1439" s="50"/>
      <c r="H1439" s="12"/>
      <c r="K1439"/>
    </row>
    <row r="1440" spans="5:11" x14ac:dyDescent="0.2">
      <c r="E1440" s="50"/>
      <c r="H1440" s="12"/>
      <c r="K1440"/>
    </row>
    <row r="1441" spans="5:11" x14ac:dyDescent="0.2">
      <c r="E1441" s="50"/>
      <c r="H1441" s="12"/>
      <c r="K1441"/>
    </row>
    <row r="1442" spans="5:11" x14ac:dyDescent="0.2">
      <c r="E1442" s="50"/>
      <c r="H1442" s="12"/>
      <c r="K1442"/>
    </row>
    <row r="1443" spans="5:11" x14ac:dyDescent="0.2">
      <c r="E1443" s="50"/>
      <c r="H1443" s="12"/>
      <c r="K1443"/>
    </row>
    <row r="1444" spans="5:11" x14ac:dyDescent="0.2">
      <c r="E1444" s="50"/>
      <c r="H1444" s="12"/>
      <c r="K1444"/>
    </row>
    <row r="1445" spans="5:11" x14ac:dyDescent="0.2">
      <c r="E1445" s="50"/>
      <c r="H1445" s="12"/>
      <c r="K1445"/>
    </row>
    <row r="1446" spans="5:11" x14ac:dyDescent="0.2">
      <c r="E1446" s="50"/>
      <c r="H1446" s="12"/>
      <c r="K1446"/>
    </row>
    <row r="1447" spans="5:11" x14ac:dyDescent="0.2">
      <c r="E1447" s="50"/>
      <c r="H1447" s="12"/>
      <c r="K1447"/>
    </row>
    <row r="1448" spans="5:11" x14ac:dyDescent="0.2">
      <c r="E1448" s="50"/>
      <c r="H1448" s="12"/>
      <c r="K1448"/>
    </row>
    <row r="1449" spans="5:11" x14ac:dyDescent="0.2">
      <c r="E1449" s="50"/>
      <c r="H1449" s="12"/>
      <c r="K1449"/>
    </row>
    <row r="1450" spans="5:11" x14ac:dyDescent="0.2">
      <c r="E1450" s="50"/>
      <c r="H1450" s="12"/>
      <c r="K1450"/>
    </row>
    <row r="1451" spans="5:11" x14ac:dyDescent="0.2">
      <c r="E1451" s="50"/>
      <c r="H1451" s="12"/>
      <c r="K1451"/>
    </row>
    <row r="1452" spans="5:11" x14ac:dyDescent="0.2">
      <c r="E1452" s="50"/>
      <c r="H1452" s="12"/>
      <c r="K1452"/>
    </row>
    <row r="1453" spans="5:11" x14ac:dyDescent="0.2">
      <c r="E1453" s="50"/>
      <c r="H1453" s="12"/>
      <c r="K1453"/>
    </row>
    <row r="1454" spans="5:11" x14ac:dyDescent="0.2">
      <c r="E1454" s="50"/>
      <c r="H1454" s="12"/>
      <c r="K1454"/>
    </row>
    <row r="1455" spans="5:11" x14ac:dyDescent="0.2">
      <c r="E1455" s="50"/>
      <c r="H1455" s="12"/>
      <c r="K1455"/>
    </row>
    <row r="1456" spans="5:11" x14ac:dyDescent="0.2">
      <c r="E1456" s="50"/>
      <c r="H1456" s="12"/>
      <c r="K1456"/>
    </row>
    <row r="1457" spans="5:11" x14ac:dyDescent="0.2">
      <c r="E1457" s="50"/>
      <c r="H1457" s="12"/>
      <c r="K1457"/>
    </row>
    <row r="1458" spans="5:11" x14ac:dyDescent="0.2">
      <c r="E1458" s="50"/>
      <c r="H1458" s="12"/>
      <c r="K1458"/>
    </row>
    <row r="1459" spans="5:11" x14ac:dyDescent="0.2">
      <c r="E1459" s="50"/>
      <c r="H1459" s="12"/>
      <c r="K1459"/>
    </row>
    <row r="1460" spans="5:11" x14ac:dyDescent="0.2">
      <c r="E1460" s="50"/>
      <c r="H1460" s="12"/>
      <c r="K1460"/>
    </row>
    <row r="1461" spans="5:11" x14ac:dyDescent="0.2">
      <c r="E1461" s="50"/>
      <c r="H1461" s="12"/>
      <c r="K1461"/>
    </row>
    <row r="1462" spans="5:11" x14ac:dyDescent="0.2">
      <c r="E1462" s="50"/>
      <c r="H1462" s="12"/>
      <c r="K1462"/>
    </row>
    <row r="1463" spans="5:11" x14ac:dyDescent="0.2">
      <c r="E1463" s="50"/>
      <c r="H1463" s="12"/>
      <c r="K1463"/>
    </row>
    <row r="1464" spans="5:11" x14ac:dyDescent="0.2">
      <c r="E1464" s="50"/>
      <c r="H1464" s="12"/>
      <c r="K1464"/>
    </row>
    <row r="1465" spans="5:11" x14ac:dyDescent="0.2">
      <c r="E1465" s="50"/>
      <c r="H1465" s="12"/>
      <c r="K1465"/>
    </row>
    <row r="1466" spans="5:11" x14ac:dyDescent="0.2">
      <c r="E1466" s="50"/>
      <c r="H1466" s="12"/>
      <c r="K1466"/>
    </row>
    <row r="1467" spans="5:11" x14ac:dyDescent="0.2">
      <c r="E1467" s="50"/>
      <c r="H1467" s="12"/>
      <c r="K1467"/>
    </row>
    <row r="1468" spans="5:11" x14ac:dyDescent="0.2">
      <c r="E1468" s="50"/>
      <c r="H1468" s="12"/>
      <c r="K1468"/>
    </row>
    <row r="1469" spans="5:11" x14ac:dyDescent="0.2">
      <c r="E1469" s="50"/>
      <c r="H1469" s="12"/>
      <c r="K1469"/>
    </row>
    <row r="1470" spans="5:11" x14ac:dyDescent="0.2">
      <c r="E1470" s="50"/>
      <c r="H1470" s="12"/>
      <c r="K1470"/>
    </row>
    <row r="1471" spans="5:11" x14ac:dyDescent="0.2">
      <c r="E1471" s="50"/>
      <c r="H1471" s="12"/>
      <c r="K1471"/>
    </row>
    <row r="1472" spans="5:11" x14ac:dyDescent="0.2">
      <c r="E1472" s="50"/>
      <c r="H1472" s="12"/>
      <c r="K1472"/>
    </row>
    <row r="1473" spans="5:11" x14ac:dyDescent="0.2">
      <c r="E1473" s="50"/>
      <c r="H1473" s="12"/>
      <c r="K1473"/>
    </row>
    <row r="1474" spans="5:11" x14ac:dyDescent="0.2">
      <c r="E1474" s="50"/>
      <c r="H1474" s="12"/>
      <c r="K1474"/>
    </row>
    <row r="1475" spans="5:11" x14ac:dyDescent="0.2">
      <c r="E1475" s="50"/>
      <c r="H1475" s="12"/>
      <c r="K1475"/>
    </row>
    <row r="1476" spans="5:11" x14ac:dyDescent="0.2">
      <c r="E1476" s="50"/>
      <c r="H1476" s="12"/>
      <c r="K1476"/>
    </row>
    <row r="1477" spans="5:11" x14ac:dyDescent="0.2">
      <c r="E1477" s="50"/>
      <c r="H1477" s="12"/>
      <c r="K1477"/>
    </row>
    <row r="1478" spans="5:11" x14ac:dyDescent="0.2">
      <c r="E1478" s="50"/>
      <c r="H1478" s="12"/>
      <c r="K1478"/>
    </row>
    <row r="1479" spans="5:11" x14ac:dyDescent="0.2">
      <c r="E1479" s="50"/>
      <c r="H1479" s="12"/>
      <c r="K1479"/>
    </row>
    <row r="1480" spans="5:11" x14ac:dyDescent="0.2">
      <c r="E1480" s="50"/>
      <c r="H1480" s="12"/>
      <c r="K1480"/>
    </row>
    <row r="1481" spans="5:11" x14ac:dyDescent="0.2">
      <c r="E1481" s="50"/>
      <c r="H1481" s="12"/>
      <c r="K1481"/>
    </row>
    <row r="1482" spans="5:11" x14ac:dyDescent="0.2">
      <c r="E1482" s="50"/>
      <c r="H1482" s="12"/>
      <c r="K1482"/>
    </row>
    <row r="1483" spans="5:11" x14ac:dyDescent="0.2">
      <c r="E1483" s="50"/>
      <c r="H1483" s="12"/>
      <c r="K1483"/>
    </row>
    <row r="1484" spans="5:11" x14ac:dyDescent="0.2">
      <c r="E1484" s="50"/>
      <c r="H1484" s="12"/>
      <c r="K1484"/>
    </row>
    <row r="1485" spans="5:11" x14ac:dyDescent="0.2">
      <c r="E1485" s="50"/>
      <c r="H1485" s="12"/>
      <c r="K1485"/>
    </row>
    <row r="1486" spans="5:11" x14ac:dyDescent="0.2">
      <c r="E1486" s="50"/>
      <c r="H1486" s="12"/>
      <c r="K1486"/>
    </row>
    <row r="1487" spans="5:11" x14ac:dyDescent="0.2">
      <c r="E1487" s="50"/>
      <c r="H1487" s="12"/>
      <c r="K1487"/>
    </row>
    <row r="1488" spans="5:11" x14ac:dyDescent="0.2">
      <c r="E1488" s="50"/>
      <c r="H1488" s="12"/>
      <c r="K1488"/>
    </row>
    <row r="1489" spans="5:11" x14ac:dyDescent="0.2">
      <c r="E1489" s="50"/>
      <c r="H1489" s="12"/>
      <c r="K1489"/>
    </row>
    <row r="1490" spans="5:11" x14ac:dyDescent="0.2">
      <c r="E1490" s="50"/>
      <c r="H1490" s="12"/>
      <c r="K1490"/>
    </row>
    <row r="1491" spans="5:11" x14ac:dyDescent="0.2">
      <c r="E1491" s="50"/>
      <c r="H1491" s="12"/>
      <c r="K1491"/>
    </row>
    <row r="1492" spans="5:11" x14ac:dyDescent="0.2">
      <c r="E1492" s="50"/>
      <c r="H1492" s="12"/>
      <c r="K1492"/>
    </row>
    <row r="1493" spans="5:11" x14ac:dyDescent="0.2">
      <c r="E1493" s="50"/>
      <c r="H1493" s="12"/>
      <c r="K1493"/>
    </row>
    <row r="1494" spans="5:11" x14ac:dyDescent="0.2">
      <c r="E1494" s="50"/>
      <c r="H1494" s="12"/>
      <c r="K1494"/>
    </row>
    <row r="1495" spans="5:11" x14ac:dyDescent="0.2">
      <c r="E1495" s="50"/>
      <c r="H1495" s="12"/>
      <c r="K1495"/>
    </row>
    <row r="1496" spans="5:11" x14ac:dyDescent="0.2">
      <c r="E1496" s="50"/>
      <c r="H1496" s="12"/>
      <c r="K1496"/>
    </row>
    <row r="1497" spans="5:11" x14ac:dyDescent="0.2">
      <c r="E1497" s="50"/>
      <c r="H1497" s="12"/>
      <c r="K1497"/>
    </row>
    <row r="1498" spans="5:11" x14ac:dyDescent="0.2">
      <c r="E1498" s="50"/>
      <c r="H1498" s="12"/>
      <c r="K1498"/>
    </row>
    <row r="1499" spans="5:11" x14ac:dyDescent="0.2">
      <c r="E1499" s="50"/>
      <c r="H1499" s="12"/>
      <c r="K1499"/>
    </row>
    <row r="1500" spans="5:11" x14ac:dyDescent="0.2">
      <c r="E1500" s="50"/>
      <c r="H1500" s="12"/>
      <c r="K1500"/>
    </row>
    <row r="1501" spans="5:11" x14ac:dyDescent="0.2">
      <c r="E1501" s="50"/>
      <c r="H1501" s="12"/>
      <c r="K1501"/>
    </row>
    <row r="1502" spans="5:11" x14ac:dyDescent="0.2">
      <c r="E1502" s="50"/>
      <c r="H1502" s="12"/>
      <c r="K1502"/>
    </row>
    <row r="1503" spans="5:11" x14ac:dyDescent="0.2">
      <c r="E1503" s="50"/>
      <c r="H1503" s="12"/>
      <c r="K1503"/>
    </row>
    <row r="1504" spans="5:11" x14ac:dyDescent="0.2">
      <c r="E1504" s="50"/>
      <c r="H1504" s="12"/>
      <c r="K1504"/>
    </row>
    <row r="1505" spans="5:11" x14ac:dyDescent="0.2">
      <c r="E1505" s="50"/>
      <c r="H1505" s="12"/>
      <c r="K1505"/>
    </row>
    <row r="1506" spans="5:11" x14ac:dyDescent="0.2">
      <c r="E1506" s="50"/>
      <c r="H1506" s="12"/>
      <c r="K1506"/>
    </row>
    <row r="1507" spans="5:11" x14ac:dyDescent="0.2">
      <c r="E1507" s="50"/>
      <c r="H1507" s="12"/>
      <c r="K1507"/>
    </row>
    <row r="1508" spans="5:11" x14ac:dyDescent="0.2">
      <c r="E1508" s="50"/>
      <c r="H1508" s="12"/>
      <c r="K1508"/>
    </row>
    <row r="1509" spans="5:11" x14ac:dyDescent="0.2">
      <c r="E1509" s="50"/>
      <c r="H1509" s="12"/>
      <c r="K1509"/>
    </row>
    <row r="1510" spans="5:11" x14ac:dyDescent="0.2">
      <c r="E1510" s="50"/>
      <c r="H1510" s="12"/>
      <c r="K1510"/>
    </row>
    <row r="1511" spans="5:11" x14ac:dyDescent="0.2">
      <c r="E1511" s="50"/>
      <c r="H1511" s="12"/>
      <c r="K1511"/>
    </row>
    <row r="1512" spans="5:11" x14ac:dyDescent="0.2">
      <c r="E1512" s="50"/>
      <c r="H1512" s="12"/>
      <c r="K1512"/>
    </row>
    <row r="1513" spans="5:11" x14ac:dyDescent="0.2">
      <c r="E1513" s="50"/>
      <c r="H1513" s="12"/>
      <c r="K1513"/>
    </row>
    <row r="1514" spans="5:11" x14ac:dyDescent="0.2">
      <c r="E1514" s="50"/>
      <c r="H1514" s="12"/>
      <c r="K1514"/>
    </row>
    <row r="1515" spans="5:11" x14ac:dyDescent="0.2">
      <c r="E1515" s="50"/>
      <c r="H1515" s="12"/>
      <c r="K1515"/>
    </row>
    <row r="1516" spans="5:11" x14ac:dyDescent="0.2">
      <c r="E1516" s="50"/>
      <c r="H1516" s="12"/>
      <c r="K1516"/>
    </row>
    <row r="1517" spans="5:11" x14ac:dyDescent="0.2">
      <c r="E1517" s="50"/>
      <c r="H1517" s="12"/>
      <c r="K1517"/>
    </row>
    <row r="1518" spans="5:11" x14ac:dyDescent="0.2">
      <c r="E1518" s="50"/>
      <c r="H1518" s="12"/>
      <c r="K1518"/>
    </row>
    <row r="1519" spans="5:11" x14ac:dyDescent="0.2">
      <c r="E1519" s="50"/>
      <c r="H1519" s="12"/>
      <c r="K1519"/>
    </row>
    <row r="1520" spans="5:11" x14ac:dyDescent="0.2">
      <c r="E1520" s="50"/>
      <c r="H1520" s="12"/>
      <c r="K1520"/>
    </row>
    <row r="1521" spans="5:11" x14ac:dyDescent="0.2">
      <c r="E1521" s="50"/>
      <c r="H1521" s="12"/>
      <c r="K1521"/>
    </row>
    <row r="1522" spans="5:11" x14ac:dyDescent="0.2">
      <c r="E1522" s="50"/>
      <c r="H1522" s="12"/>
      <c r="K1522"/>
    </row>
    <row r="1523" spans="5:11" x14ac:dyDescent="0.2">
      <c r="E1523" s="50"/>
      <c r="H1523" s="12"/>
      <c r="K1523"/>
    </row>
    <row r="1524" spans="5:11" x14ac:dyDescent="0.2">
      <c r="E1524" s="50"/>
      <c r="H1524" s="12"/>
      <c r="K1524"/>
    </row>
    <row r="1525" spans="5:11" x14ac:dyDescent="0.2">
      <c r="E1525" s="50"/>
      <c r="H1525" s="12"/>
      <c r="K1525"/>
    </row>
    <row r="1526" spans="5:11" x14ac:dyDescent="0.2">
      <c r="E1526" s="50"/>
      <c r="H1526" s="12"/>
      <c r="K1526"/>
    </row>
    <row r="1527" spans="5:11" x14ac:dyDescent="0.2">
      <c r="E1527" s="50"/>
      <c r="H1527" s="12"/>
      <c r="K1527"/>
    </row>
    <row r="1528" spans="5:11" x14ac:dyDescent="0.2">
      <c r="E1528" s="50"/>
      <c r="H1528" s="12"/>
      <c r="K1528"/>
    </row>
    <row r="1529" spans="5:11" x14ac:dyDescent="0.2">
      <c r="E1529" s="50"/>
      <c r="H1529" s="12"/>
      <c r="K1529"/>
    </row>
    <row r="1530" spans="5:11" x14ac:dyDescent="0.2">
      <c r="E1530" s="50"/>
      <c r="H1530" s="12"/>
      <c r="K1530"/>
    </row>
    <row r="1531" spans="5:11" x14ac:dyDescent="0.2">
      <c r="E1531" s="50"/>
      <c r="H1531" s="12"/>
      <c r="K1531"/>
    </row>
    <row r="1532" spans="5:11" x14ac:dyDescent="0.2">
      <c r="E1532" s="50"/>
      <c r="H1532" s="12"/>
      <c r="K1532"/>
    </row>
    <row r="1533" spans="5:11" x14ac:dyDescent="0.2">
      <c r="E1533" s="50"/>
      <c r="H1533" s="12"/>
      <c r="K1533"/>
    </row>
    <row r="1534" spans="5:11" x14ac:dyDescent="0.2">
      <c r="E1534" s="50"/>
      <c r="H1534" s="12"/>
      <c r="K1534"/>
    </row>
    <row r="1535" spans="5:11" x14ac:dyDescent="0.2">
      <c r="E1535" s="50"/>
      <c r="H1535" s="12"/>
      <c r="K1535"/>
    </row>
    <row r="1536" spans="5:11" x14ac:dyDescent="0.2">
      <c r="E1536" s="50"/>
      <c r="H1536" s="12"/>
      <c r="K1536"/>
    </row>
    <row r="1537" spans="5:11" x14ac:dyDescent="0.2">
      <c r="E1537" s="50"/>
      <c r="H1537" s="12"/>
      <c r="K1537"/>
    </row>
    <row r="1538" spans="5:11" x14ac:dyDescent="0.2">
      <c r="E1538" s="50"/>
      <c r="H1538" s="12"/>
      <c r="K1538"/>
    </row>
    <row r="1539" spans="5:11" x14ac:dyDescent="0.2">
      <c r="E1539" s="50"/>
      <c r="H1539" s="12"/>
      <c r="K1539"/>
    </row>
    <row r="1540" spans="5:11" x14ac:dyDescent="0.2">
      <c r="E1540" s="50"/>
      <c r="H1540" s="12"/>
      <c r="K1540"/>
    </row>
    <row r="1541" spans="5:11" x14ac:dyDescent="0.2">
      <c r="E1541" s="50"/>
      <c r="H1541" s="12"/>
      <c r="K1541"/>
    </row>
    <row r="1542" spans="5:11" x14ac:dyDescent="0.2">
      <c r="E1542" s="50"/>
      <c r="H1542" s="12"/>
      <c r="K1542"/>
    </row>
    <row r="1543" spans="5:11" x14ac:dyDescent="0.2">
      <c r="E1543" s="50"/>
      <c r="H1543" s="12"/>
      <c r="K1543"/>
    </row>
    <row r="1544" spans="5:11" x14ac:dyDescent="0.2">
      <c r="E1544" s="50"/>
      <c r="H1544" s="12"/>
      <c r="K1544"/>
    </row>
    <row r="1545" spans="5:11" x14ac:dyDescent="0.2">
      <c r="E1545" s="50"/>
      <c r="H1545" s="12"/>
      <c r="K1545"/>
    </row>
    <row r="1546" spans="5:11" x14ac:dyDescent="0.2">
      <c r="E1546" s="50"/>
      <c r="H1546" s="12"/>
      <c r="K1546"/>
    </row>
    <row r="1547" spans="5:11" x14ac:dyDescent="0.2">
      <c r="E1547" s="50"/>
      <c r="H1547" s="12"/>
      <c r="K1547"/>
    </row>
    <row r="1548" spans="5:11" x14ac:dyDescent="0.2">
      <c r="E1548" s="50"/>
      <c r="H1548" s="12"/>
      <c r="K1548"/>
    </row>
    <row r="1549" spans="5:11" x14ac:dyDescent="0.2">
      <c r="E1549" s="50"/>
      <c r="H1549" s="12"/>
      <c r="K1549"/>
    </row>
    <row r="1550" spans="5:11" x14ac:dyDescent="0.2">
      <c r="E1550" s="50"/>
      <c r="H1550" s="12"/>
      <c r="K1550"/>
    </row>
    <row r="1551" spans="5:11" x14ac:dyDescent="0.2">
      <c r="E1551" s="50"/>
      <c r="H1551" s="12"/>
      <c r="K1551"/>
    </row>
    <row r="1552" spans="5:11" x14ac:dyDescent="0.2">
      <c r="E1552" s="50"/>
      <c r="H1552" s="12"/>
      <c r="K1552"/>
    </row>
    <row r="1553" spans="5:11" x14ac:dyDescent="0.2">
      <c r="E1553" s="50"/>
      <c r="H1553" s="12"/>
      <c r="K1553"/>
    </row>
    <row r="1554" spans="5:11" x14ac:dyDescent="0.2">
      <c r="E1554" s="50"/>
      <c r="H1554" s="12"/>
      <c r="K1554"/>
    </row>
    <row r="1555" spans="5:11" x14ac:dyDescent="0.2">
      <c r="E1555" s="50"/>
      <c r="H1555" s="12"/>
      <c r="K1555"/>
    </row>
    <row r="1556" spans="5:11" x14ac:dyDescent="0.2">
      <c r="E1556" s="50"/>
      <c r="H1556" s="12"/>
      <c r="K1556"/>
    </row>
    <row r="1557" spans="5:11" x14ac:dyDescent="0.2">
      <c r="E1557" s="50"/>
      <c r="H1557" s="12"/>
      <c r="K1557"/>
    </row>
    <row r="1558" spans="5:11" x14ac:dyDescent="0.2">
      <c r="E1558" s="50"/>
      <c r="H1558" s="12"/>
      <c r="K1558"/>
    </row>
    <row r="1559" spans="5:11" x14ac:dyDescent="0.2">
      <c r="E1559" s="50"/>
      <c r="H1559" s="12"/>
      <c r="K1559"/>
    </row>
    <row r="1560" spans="5:11" x14ac:dyDescent="0.2">
      <c r="E1560" s="50"/>
      <c r="H1560" s="12"/>
      <c r="K1560"/>
    </row>
    <row r="1561" spans="5:11" x14ac:dyDescent="0.2">
      <c r="E1561" s="50"/>
      <c r="H1561" s="12"/>
      <c r="K1561"/>
    </row>
    <row r="1562" spans="5:11" x14ac:dyDescent="0.2">
      <c r="E1562" s="50"/>
      <c r="H1562" s="12"/>
      <c r="K1562"/>
    </row>
    <row r="1563" spans="5:11" x14ac:dyDescent="0.2">
      <c r="E1563" s="50"/>
      <c r="H1563" s="12"/>
      <c r="K1563"/>
    </row>
    <row r="1564" spans="5:11" x14ac:dyDescent="0.2">
      <c r="E1564" s="50"/>
      <c r="H1564" s="12"/>
      <c r="K1564"/>
    </row>
    <row r="1565" spans="5:11" x14ac:dyDescent="0.2">
      <c r="E1565" s="50"/>
      <c r="H1565" s="12"/>
      <c r="K1565"/>
    </row>
    <row r="1566" spans="5:11" x14ac:dyDescent="0.2">
      <c r="E1566" s="50"/>
      <c r="H1566" s="12"/>
      <c r="K1566"/>
    </row>
    <row r="1567" spans="5:11" x14ac:dyDescent="0.2">
      <c r="E1567" s="50"/>
      <c r="H1567" s="12"/>
      <c r="K1567"/>
    </row>
    <row r="1568" spans="5:11" x14ac:dyDescent="0.2">
      <c r="E1568" s="50"/>
      <c r="H1568" s="12"/>
      <c r="K1568"/>
    </row>
    <row r="1569" spans="5:11" x14ac:dyDescent="0.2">
      <c r="E1569" s="50"/>
      <c r="H1569" s="12"/>
      <c r="K1569"/>
    </row>
    <row r="1570" spans="5:11" x14ac:dyDescent="0.2">
      <c r="E1570" s="50"/>
      <c r="H1570" s="12"/>
      <c r="K1570"/>
    </row>
    <row r="1571" spans="5:11" x14ac:dyDescent="0.2">
      <c r="E1571" s="50"/>
      <c r="H1571" s="12"/>
      <c r="K1571"/>
    </row>
    <row r="1572" spans="5:11" x14ac:dyDescent="0.2">
      <c r="E1572" s="50"/>
      <c r="H1572" s="12"/>
      <c r="K1572"/>
    </row>
    <row r="1573" spans="5:11" x14ac:dyDescent="0.2">
      <c r="E1573" s="50"/>
      <c r="H1573" s="12"/>
      <c r="K1573"/>
    </row>
    <row r="1574" spans="5:11" x14ac:dyDescent="0.2">
      <c r="E1574" s="50"/>
      <c r="H1574" s="12"/>
      <c r="K1574"/>
    </row>
    <row r="1575" spans="5:11" x14ac:dyDescent="0.2">
      <c r="E1575" s="50"/>
      <c r="H1575" s="12"/>
      <c r="K1575"/>
    </row>
    <row r="1576" spans="5:11" x14ac:dyDescent="0.2">
      <c r="E1576" s="50"/>
      <c r="H1576" s="12"/>
      <c r="K1576"/>
    </row>
    <row r="1577" spans="5:11" x14ac:dyDescent="0.2">
      <c r="E1577" s="50"/>
      <c r="H1577" s="12"/>
      <c r="K1577"/>
    </row>
    <row r="1578" spans="5:11" x14ac:dyDescent="0.2">
      <c r="E1578" s="50"/>
      <c r="H1578" s="12"/>
      <c r="K1578"/>
    </row>
    <row r="1579" spans="5:11" x14ac:dyDescent="0.2">
      <c r="E1579" s="50"/>
      <c r="H1579" s="12"/>
      <c r="K1579"/>
    </row>
    <row r="1580" spans="5:11" x14ac:dyDescent="0.2">
      <c r="E1580" s="50"/>
      <c r="H1580" s="12"/>
      <c r="K1580"/>
    </row>
    <row r="1581" spans="5:11" x14ac:dyDescent="0.2">
      <c r="E1581" s="50"/>
      <c r="H1581" s="12"/>
      <c r="K1581"/>
    </row>
    <row r="1582" spans="5:11" x14ac:dyDescent="0.2">
      <c r="E1582" s="50"/>
      <c r="H1582" s="12"/>
      <c r="K1582"/>
    </row>
    <row r="1583" spans="5:11" x14ac:dyDescent="0.2">
      <c r="E1583" s="50"/>
      <c r="H1583" s="12"/>
      <c r="K1583"/>
    </row>
    <row r="1584" spans="5:11" x14ac:dyDescent="0.2">
      <c r="E1584" s="50"/>
      <c r="H1584" s="12"/>
      <c r="K1584"/>
    </row>
    <row r="1585" spans="5:11" x14ac:dyDescent="0.2">
      <c r="E1585" s="50"/>
      <c r="H1585" s="12"/>
      <c r="K1585"/>
    </row>
    <row r="1586" spans="5:11" x14ac:dyDescent="0.2">
      <c r="E1586" s="50"/>
      <c r="H1586" s="12"/>
      <c r="K1586"/>
    </row>
    <row r="1587" spans="5:11" x14ac:dyDescent="0.2">
      <c r="E1587" s="50"/>
      <c r="H1587" s="12"/>
      <c r="K1587"/>
    </row>
    <row r="1588" spans="5:11" x14ac:dyDescent="0.2">
      <c r="E1588" s="50"/>
      <c r="H1588" s="12"/>
      <c r="K1588"/>
    </row>
    <row r="1589" spans="5:11" x14ac:dyDescent="0.2">
      <c r="E1589" s="50"/>
      <c r="H1589" s="12"/>
      <c r="K1589"/>
    </row>
    <row r="1590" spans="5:11" x14ac:dyDescent="0.2">
      <c r="E1590" s="50"/>
      <c r="H1590" s="12"/>
      <c r="K1590"/>
    </row>
    <row r="1591" spans="5:11" x14ac:dyDescent="0.2">
      <c r="E1591" s="50"/>
      <c r="H1591" s="12"/>
      <c r="K1591"/>
    </row>
    <row r="1592" spans="5:11" x14ac:dyDescent="0.2">
      <c r="E1592" s="50"/>
      <c r="H1592" s="12"/>
      <c r="K1592"/>
    </row>
    <row r="1593" spans="5:11" x14ac:dyDescent="0.2">
      <c r="E1593" s="50"/>
      <c r="H1593" s="12"/>
      <c r="K1593"/>
    </row>
    <row r="1594" spans="5:11" x14ac:dyDescent="0.2">
      <c r="E1594" s="50"/>
      <c r="H1594" s="12"/>
      <c r="K1594"/>
    </row>
    <row r="1595" spans="5:11" x14ac:dyDescent="0.2">
      <c r="E1595" s="50"/>
      <c r="H1595" s="12"/>
      <c r="K1595"/>
    </row>
    <row r="1596" spans="5:11" x14ac:dyDescent="0.2">
      <c r="E1596" s="50"/>
      <c r="H1596" s="12"/>
      <c r="K1596"/>
    </row>
    <row r="1597" spans="5:11" x14ac:dyDescent="0.2">
      <c r="E1597" s="50"/>
      <c r="H1597" s="12"/>
      <c r="K1597"/>
    </row>
    <row r="1598" spans="5:11" x14ac:dyDescent="0.2">
      <c r="E1598" s="50"/>
      <c r="H1598" s="12"/>
      <c r="K1598"/>
    </row>
    <row r="1599" spans="5:11" x14ac:dyDescent="0.2">
      <c r="E1599" s="50"/>
      <c r="H1599" s="12"/>
      <c r="K1599"/>
    </row>
    <row r="1600" spans="5:11" x14ac:dyDescent="0.2">
      <c r="E1600" s="50"/>
      <c r="H1600" s="12"/>
      <c r="K1600"/>
    </row>
    <row r="1601" spans="5:11" x14ac:dyDescent="0.2">
      <c r="E1601" s="50"/>
      <c r="H1601" s="12"/>
      <c r="K1601"/>
    </row>
    <row r="1602" spans="5:11" x14ac:dyDescent="0.2">
      <c r="E1602" s="50"/>
      <c r="H1602" s="12"/>
      <c r="K1602"/>
    </row>
    <row r="1603" spans="5:11" x14ac:dyDescent="0.2">
      <c r="E1603" s="50"/>
      <c r="H1603" s="12"/>
      <c r="K1603"/>
    </row>
    <row r="1604" spans="5:11" x14ac:dyDescent="0.2">
      <c r="E1604" s="50"/>
      <c r="H1604" s="12"/>
      <c r="K1604"/>
    </row>
    <row r="1605" spans="5:11" x14ac:dyDescent="0.2">
      <c r="E1605" s="50"/>
      <c r="H1605" s="12"/>
      <c r="K1605"/>
    </row>
    <row r="1606" spans="5:11" x14ac:dyDescent="0.2">
      <c r="E1606" s="50"/>
      <c r="H1606" s="12"/>
      <c r="K1606"/>
    </row>
    <row r="1607" spans="5:11" x14ac:dyDescent="0.2">
      <c r="E1607" s="50"/>
      <c r="H1607" s="12"/>
      <c r="K1607"/>
    </row>
    <row r="1608" spans="5:11" x14ac:dyDescent="0.2">
      <c r="E1608" s="50"/>
      <c r="H1608" s="12"/>
      <c r="K1608"/>
    </row>
    <row r="1609" spans="5:11" x14ac:dyDescent="0.2">
      <c r="E1609" s="50"/>
      <c r="H1609" s="12"/>
      <c r="K1609"/>
    </row>
    <row r="1610" spans="5:11" x14ac:dyDescent="0.2">
      <c r="E1610" s="50"/>
      <c r="H1610" s="12"/>
      <c r="K1610"/>
    </row>
    <row r="1611" spans="5:11" x14ac:dyDescent="0.2">
      <c r="E1611" s="50"/>
      <c r="H1611" s="12"/>
      <c r="K1611"/>
    </row>
    <row r="1612" spans="5:11" x14ac:dyDescent="0.2">
      <c r="E1612" s="50"/>
      <c r="H1612" s="12"/>
      <c r="K1612"/>
    </row>
    <row r="1613" spans="5:11" x14ac:dyDescent="0.2">
      <c r="E1613" s="50"/>
      <c r="H1613" s="12"/>
      <c r="K1613"/>
    </row>
    <row r="1614" spans="5:11" x14ac:dyDescent="0.2">
      <c r="E1614" s="50"/>
      <c r="H1614" s="12"/>
      <c r="K1614"/>
    </row>
    <row r="1615" spans="5:11" x14ac:dyDescent="0.2">
      <c r="E1615" s="50"/>
      <c r="H1615" s="12"/>
      <c r="K1615"/>
    </row>
    <row r="1616" spans="5:11" x14ac:dyDescent="0.2">
      <c r="E1616" s="50"/>
      <c r="H1616" s="12"/>
      <c r="K1616"/>
    </row>
    <row r="1617" spans="5:11" x14ac:dyDescent="0.2">
      <c r="E1617" s="50"/>
      <c r="H1617" s="12"/>
      <c r="K1617"/>
    </row>
    <row r="1618" spans="5:11" x14ac:dyDescent="0.2">
      <c r="E1618" s="50"/>
      <c r="H1618" s="12"/>
      <c r="K1618"/>
    </row>
    <row r="1619" spans="5:11" x14ac:dyDescent="0.2">
      <c r="E1619" s="50"/>
      <c r="H1619" s="12"/>
      <c r="K1619"/>
    </row>
    <row r="1620" spans="5:11" x14ac:dyDescent="0.2">
      <c r="E1620" s="50"/>
      <c r="H1620" s="12"/>
      <c r="K1620"/>
    </row>
    <row r="1621" spans="5:11" x14ac:dyDescent="0.2">
      <c r="E1621" s="50"/>
      <c r="H1621" s="12"/>
      <c r="K1621"/>
    </row>
    <row r="1622" spans="5:11" x14ac:dyDescent="0.2">
      <c r="E1622" s="50"/>
      <c r="H1622" s="12"/>
      <c r="K1622"/>
    </row>
    <row r="1623" spans="5:11" x14ac:dyDescent="0.2">
      <c r="E1623" s="50"/>
      <c r="H1623" s="12"/>
      <c r="K1623"/>
    </row>
    <row r="1624" spans="5:11" x14ac:dyDescent="0.2">
      <c r="E1624" s="50"/>
      <c r="H1624" s="12"/>
      <c r="K1624"/>
    </row>
    <row r="1625" spans="5:11" x14ac:dyDescent="0.2">
      <c r="E1625" s="50"/>
      <c r="H1625" s="12"/>
      <c r="K1625"/>
    </row>
    <row r="1626" spans="5:11" x14ac:dyDescent="0.2">
      <c r="E1626" s="50"/>
      <c r="H1626" s="12"/>
      <c r="K1626"/>
    </row>
    <row r="1627" spans="5:11" x14ac:dyDescent="0.2">
      <c r="E1627" s="50"/>
      <c r="H1627" s="12"/>
      <c r="K1627"/>
    </row>
    <row r="1628" spans="5:11" x14ac:dyDescent="0.2">
      <c r="E1628" s="50"/>
      <c r="H1628" s="12"/>
      <c r="K1628"/>
    </row>
    <row r="1629" spans="5:11" x14ac:dyDescent="0.2">
      <c r="E1629" s="50"/>
      <c r="H1629" s="12"/>
      <c r="K1629"/>
    </row>
    <row r="1630" spans="5:11" x14ac:dyDescent="0.2">
      <c r="E1630" s="50"/>
      <c r="H1630" s="12"/>
      <c r="K1630"/>
    </row>
    <row r="1631" spans="5:11" x14ac:dyDescent="0.2">
      <c r="E1631" s="50"/>
      <c r="H1631" s="12"/>
      <c r="K1631"/>
    </row>
    <row r="1632" spans="5:11" x14ac:dyDescent="0.2">
      <c r="E1632" s="50"/>
      <c r="H1632" s="12"/>
      <c r="K1632"/>
    </row>
    <row r="1633" spans="5:11" x14ac:dyDescent="0.2">
      <c r="E1633" s="50"/>
      <c r="H1633" s="12"/>
      <c r="K1633"/>
    </row>
    <row r="1634" spans="5:11" x14ac:dyDescent="0.2">
      <c r="E1634" s="50"/>
      <c r="H1634" s="12"/>
      <c r="K1634"/>
    </row>
    <row r="1635" spans="5:11" x14ac:dyDescent="0.2">
      <c r="E1635" s="50"/>
      <c r="H1635" s="12"/>
      <c r="K1635"/>
    </row>
    <row r="1636" spans="5:11" x14ac:dyDescent="0.2">
      <c r="E1636" s="50"/>
      <c r="H1636" s="12"/>
      <c r="K1636"/>
    </row>
    <row r="1637" spans="5:11" x14ac:dyDescent="0.2">
      <c r="E1637" s="50"/>
      <c r="H1637" s="12"/>
      <c r="K1637"/>
    </row>
    <row r="1638" spans="5:11" x14ac:dyDescent="0.2">
      <c r="E1638" s="50"/>
      <c r="H1638" s="12"/>
      <c r="K1638"/>
    </row>
    <row r="1639" spans="5:11" x14ac:dyDescent="0.2">
      <c r="E1639" s="50"/>
      <c r="H1639" s="12"/>
      <c r="K1639"/>
    </row>
    <row r="1640" spans="5:11" x14ac:dyDescent="0.2">
      <c r="E1640" s="50"/>
      <c r="H1640" s="12"/>
      <c r="K1640"/>
    </row>
    <row r="1641" spans="5:11" x14ac:dyDescent="0.2">
      <c r="E1641" s="50"/>
      <c r="H1641" s="12"/>
      <c r="K1641"/>
    </row>
    <row r="1642" spans="5:11" x14ac:dyDescent="0.2">
      <c r="E1642" s="50"/>
      <c r="H1642" s="12"/>
      <c r="K1642"/>
    </row>
    <row r="1643" spans="5:11" x14ac:dyDescent="0.2">
      <c r="E1643" s="50"/>
      <c r="H1643" s="12"/>
      <c r="K1643"/>
    </row>
    <row r="1644" spans="5:11" x14ac:dyDescent="0.2">
      <c r="E1644" s="50"/>
      <c r="H1644" s="12"/>
      <c r="K1644"/>
    </row>
    <row r="1645" spans="5:11" x14ac:dyDescent="0.2">
      <c r="E1645" s="50"/>
      <c r="H1645" s="12"/>
      <c r="K1645"/>
    </row>
    <row r="1646" spans="5:11" x14ac:dyDescent="0.2">
      <c r="E1646" s="50"/>
      <c r="H1646" s="12"/>
      <c r="K1646"/>
    </row>
    <row r="1647" spans="5:11" x14ac:dyDescent="0.2">
      <c r="E1647" s="50"/>
      <c r="H1647" s="12"/>
      <c r="K1647"/>
    </row>
    <row r="1648" spans="5:11" x14ac:dyDescent="0.2">
      <c r="E1648" s="50"/>
      <c r="H1648" s="12"/>
      <c r="K1648"/>
    </row>
    <row r="1649" spans="5:11" x14ac:dyDescent="0.2">
      <c r="E1649" s="50"/>
      <c r="H1649" s="12"/>
      <c r="K1649"/>
    </row>
    <row r="1650" spans="5:11" x14ac:dyDescent="0.2">
      <c r="E1650" s="50"/>
      <c r="H1650" s="12"/>
      <c r="K1650"/>
    </row>
    <row r="1651" spans="5:11" x14ac:dyDescent="0.2">
      <c r="E1651" s="50"/>
      <c r="H1651" s="12"/>
      <c r="K1651"/>
    </row>
    <row r="1652" spans="5:11" x14ac:dyDescent="0.2">
      <c r="E1652" s="50"/>
      <c r="H1652" s="12"/>
      <c r="K1652"/>
    </row>
    <row r="1653" spans="5:11" x14ac:dyDescent="0.2">
      <c r="E1653" s="50"/>
      <c r="H1653" s="12"/>
      <c r="K1653"/>
    </row>
    <row r="1654" spans="5:11" x14ac:dyDescent="0.2">
      <c r="E1654" s="50"/>
      <c r="H1654" s="12"/>
      <c r="K1654"/>
    </row>
    <row r="1655" spans="5:11" x14ac:dyDescent="0.2">
      <c r="E1655" s="50"/>
      <c r="H1655" s="12"/>
      <c r="K1655"/>
    </row>
    <row r="1656" spans="5:11" x14ac:dyDescent="0.2">
      <c r="E1656" s="50"/>
      <c r="H1656" s="12"/>
      <c r="K1656"/>
    </row>
    <row r="1657" spans="5:11" x14ac:dyDescent="0.2">
      <c r="E1657" s="50"/>
      <c r="H1657" s="12"/>
      <c r="K1657"/>
    </row>
    <row r="1658" spans="5:11" x14ac:dyDescent="0.2">
      <c r="E1658" s="50"/>
      <c r="H1658" s="12"/>
      <c r="K1658"/>
    </row>
    <row r="1659" spans="5:11" x14ac:dyDescent="0.2">
      <c r="E1659" s="50"/>
      <c r="H1659" s="12"/>
      <c r="K1659"/>
    </row>
    <row r="1660" spans="5:11" x14ac:dyDescent="0.2">
      <c r="E1660" s="50"/>
      <c r="H1660" s="12"/>
      <c r="K1660"/>
    </row>
    <row r="1661" spans="5:11" x14ac:dyDescent="0.2">
      <c r="E1661" s="50"/>
      <c r="H1661" s="12"/>
      <c r="K1661"/>
    </row>
    <row r="1662" spans="5:11" x14ac:dyDescent="0.2">
      <c r="E1662" s="50"/>
      <c r="H1662" s="12"/>
      <c r="K1662"/>
    </row>
    <row r="1663" spans="5:11" x14ac:dyDescent="0.2">
      <c r="E1663" s="50"/>
      <c r="H1663" s="12"/>
      <c r="K1663"/>
    </row>
    <row r="1664" spans="5:11" x14ac:dyDescent="0.2">
      <c r="E1664" s="50"/>
      <c r="H1664" s="12"/>
      <c r="K1664"/>
    </row>
    <row r="1665" spans="5:11" x14ac:dyDescent="0.2">
      <c r="E1665" s="50"/>
      <c r="H1665" s="12"/>
      <c r="K1665"/>
    </row>
    <row r="1666" spans="5:11" x14ac:dyDescent="0.2">
      <c r="E1666" s="50"/>
      <c r="H1666" s="12"/>
      <c r="K1666"/>
    </row>
    <row r="1667" spans="5:11" x14ac:dyDescent="0.2">
      <c r="E1667" s="50"/>
      <c r="H1667" s="12"/>
      <c r="K1667"/>
    </row>
    <row r="1668" spans="5:11" x14ac:dyDescent="0.2">
      <c r="E1668" s="50"/>
      <c r="H1668" s="12"/>
      <c r="K1668"/>
    </row>
    <row r="1669" spans="5:11" x14ac:dyDescent="0.2">
      <c r="E1669" s="50"/>
      <c r="H1669" s="12"/>
      <c r="K1669"/>
    </row>
    <row r="1670" spans="5:11" x14ac:dyDescent="0.2">
      <c r="E1670" s="50"/>
      <c r="H1670" s="12"/>
      <c r="K1670"/>
    </row>
    <row r="1671" spans="5:11" x14ac:dyDescent="0.2">
      <c r="E1671" s="50"/>
      <c r="H1671" s="12"/>
      <c r="K1671"/>
    </row>
    <row r="1672" spans="5:11" x14ac:dyDescent="0.2">
      <c r="E1672" s="50"/>
      <c r="H1672" s="12"/>
      <c r="K1672"/>
    </row>
    <row r="1673" spans="5:11" x14ac:dyDescent="0.2">
      <c r="E1673" s="50"/>
      <c r="H1673" s="12"/>
      <c r="K1673"/>
    </row>
    <row r="1674" spans="5:11" x14ac:dyDescent="0.2">
      <c r="E1674" s="50"/>
      <c r="H1674" s="12"/>
      <c r="K1674"/>
    </row>
    <row r="1675" spans="5:11" x14ac:dyDescent="0.2">
      <c r="E1675" s="50"/>
      <c r="H1675" s="12"/>
      <c r="K1675"/>
    </row>
    <row r="1676" spans="5:11" x14ac:dyDescent="0.2">
      <c r="E1676" s="50"/>
      <c r="H1676" s="12"/>
      <c r="K1676"/>
    </row>
    <row r="1677" spans="5:11" x14ac:dyDescent="0.2">
      <c r="E1677" s="50"/>
      <c r="H1677" s="12"/>
      <c r="K1677"/>
    </row>
    <row r="1678" spans="5:11" x14ac:dyDescent="0.2">
      <c r="E1678" s="50"/>
      <c r="H1678" s="12"/>
      <c r="K1678"/>
    </row>
    <row r="1679" spans="5:11" x14ac:dyDescent="0.2">
      <c r="E1679" s="50"/>
      <c r="H1679" s="12"/>
      <c r="K1679"/>
    </row>
    <row r="1680" spans="5:11" x14ac:dyDescent="0.2">
      <c r="E1680" s="50"/>
      <c r="H1680" s="12"/>
      <c r="K1680"/>
    </row>
    <row r="1681" spans="5:11" x14ac:dyDescent="0.2">
      <c r="E1681" s="50"/>
      <c r="H1681" s="12"/>
      <c r="K1681"/>
    </row>
    <row r="1682" spans="5:11" x14ac:dyDescent="0.2">
      <c r="E1682" s="50"/>
      <c r="H1682" s="12"/>
      <c r="K1682"/>
    </row>
    <row r="1683" spans="5:11" x14ac:dyDescent="0.2">
      <c r="E1683" s="50"/>
      <c r="H1683" s="12"/>
      <c r="K1683"/>
    </row>
    <row r="1684" spans="5:11" x14ac:dyDescent="0.2">
      <c r="E1684" s="50"/>
      <c r="H1684" s="12"/>
      <c r="K1684"/>
    </row>
    <row r="1685" spans="5:11" x14ac:dyDescent="0.2">
      <c r="E1685" s="50"/>
      <c r="H1685" s="12"/>
      <c r="K1685"/>
    </row>
    <row r="1686" spans="5:11" x14ac:dyDescent="0.2">
      <c r="E1686" s="50"/>
      <c r="H1686" s="12"/>
      <c r="K1686"/>
    </row>
    <row r="1687" spans="5:11" x14ac:dyDescent="0.2">
      <c r="E1687" s="50"/>
      <c r="H1687" s="12"/>
      <c r="K1687"/>
    </row>
    <row r="1688" spans="5:11" x14ac:dyDescent="0.2">
      <c r="E1688" s="50"/>
      <c r="H1688" s="12"/>
      <c r="K1688"/>
    </row>
    <row r="1689" spans="5:11" x14ac:dyDescent="0.2">
      <c r="E1689" s="50"/>
      <c r="H1689" s="12"/>
      <c r="K1689"/>
    </row>
    <row r="1690" spans="5:11" x14ac:dyDescent="0.2">
      <c r="E1690" s="50"/>
      <c r="H1690" s="12"/>
      <c r="K1690"/>
    </row>
    <row r="1691" spans="5:11" x14ac:dyDescent="0.2">
      <c r="E1691" s="50"/>
      <c r="H1691" s="12"/>
      <c r="K1691"/>
    </row>
    <row r="1692" spans="5:11" x14ac:dyDescent="0.2">
      <c r="E1692" s="50"/>
      <c r="H1692" s="12"/>
      <c r="K1692"/>
    </row>
    <row r="1693" spans="5:11" x14ac:dyDescent="0.2">
      <c r="E1693" s="50"/>
      <c r="H1693" s="12"/>
      <c r="K1693"/>
    </row>
    <row r="1694" spans="5:11" x14ac:dyDescent="0.2">
      <c r="E1694" s="50"/>
      <c r="H1694" s="12"/>
      <c r="K1694"/>
    </row>
    <row r="1695" spans="5:11" x14ac:dyDescent="0.2">
      <c r="E1695" s="50"/>
      <c r="H1695" s="12"/>
      <c r="K1695"/>
    </row>
    <row r="1696" spans="5:11" x14ac:dyDescent="0.2">
      <c r="E1696" s="50"/>
      <c r="H1696" s="12"/>
      <c r="K1696"/>
    </row>
    <row r="1697" spans="5:11" x14ac:dyDescent="0.2">
      <c r="E1697" s="50"/>
      <c r="H1697" s="12"/>
      <c r="K1697"/>
    </row>
    <row r="1698" spans="5:11" x14ac:dyDescent="0.2">
      <c r="E1698" s="50"/>
      <c r="H1698" s="12"/>
      <c r="K1698"/>
    </row>
    <row r="1699" spans="5:11" x14ac:dyDescent="0.2">
      <c r="E1699" s="50"/>
      <c r="H1699" s="12"/>
      <c r="K1699"/>
    </row>
    <row r="1700" spans="5:11" x14ac:dyDescent="0.2">
      <c r="E1700" s="50"/>
      <c r="H1700" s="12"/>
      <c r="K1700"/>
    </row>
    <row r="1701" spans="5:11" x14ac:dyDescent="0.2">
      <c r="E1701" s="50"/>
      <c r="H1701" s="12"/>
      <c r="K1701"/>
    </row>
    <row r="1702" spans="5:11" x14ac:dyDescent="0.2">
      <c r="E1702" s="50"/>
      <c r="H1702" s="12"/>
      <c r="K1702"/>
    </row>
    <row r="1703" spans="5:11" x14ac:dyDescent="0.2">
      <c r="E1703" s="50"/>
      <c r="H1703" s="12"/>
      <c r="K1703"/>
    </row>
    <row r="1704" spans="5:11" x14ac:dyDescent="0.2">
      <c r="E1704" s="50"/>
      <c r="H1704" s="12"/>
      <c r="K1704"/>
    </row>
    <row r="1705" spans="5:11" x14ac:dyDescent="0.2">
      <c r="E1705" s="50"/>
      <c r="H1705" s="12"/>
      <c r="K1705"/>
    </row>
    <row r="1706" spans="5:11" x14ac:dyDescent="0.2">
      <c r="E1706" s="50"/>
      <c r="H1706" s="12"/>
      <c r="K1706"/>
    </row>
    <row r="1707" spans="5:11" x14ac:dyDescent="0.2">
      <c r="E1707" s="50"/>
      <c r="H1707" s="12"/>
      <c r="K1707"/>
    </row>
    <row r="1708" spans="5:11" x14ac:dyDescent="0.2">
      <c r="E1708" s="50"/>
      <c r="H1708" s="12"/>
      <c r="K1708"/>
    </row>
    <row r="1709" spans="5:11" x14ac:dyDescent="0.2">
      <c r="E1709" s="50"/>
      <c r="H1709" s="12"/>
      <c r="K1709"/>
    </row>
    <row r="1710" spans="5:11" x14ac:dyDescent="0.2">
      <c r="E1710" s="50"/>
      <c r="H1710" s="12"/>
      <c r="K1710"/>
    </row>
    <row r="1711" spans="5:11" x14ac:dyDescent="0.2">
      <c r="E1711" s="50"/>
      <c r="H1711" s="12"/>
      <c r="K1711"/>
    </row>
    <row r="1712" spans="5:11" x14ac:dyDescent="0.2">
      <c r="E1712" s="50"/>
      <c r="H1712" s="12"/>
      <c r="K1712"/>
    </row>
    <row r="1713" spans="5:11" x14ac:dyDescent="0.2">
      <c r="E1713" s="50"/>
      <c r="H1713" s="12"/>
      <c r="K1713"/>
    </row>
    <row r="1714" spans="5:11" x14ac:dyDescent="0.2">
      <c r="E1714" s="50"/>
      <c r="H1714" s="12"/>
      <c r="K1714"/>
    </row>
    <row r="1715" spans="5:11" x14ac:dyDescent="0.2">
      <c r="E1715" s="50"/>
      <c r="H1715" s="12"/>
      <c r="K1715"/>
    </row>
    <row r="1716" spans="5:11" x14ac:dyDescent="0.2">
      <c r="E1716" s="50"/>
      <c r="H1716" s="12"/>
      <c r="K1716"/>
    </row>
    <row r="1717" spans="5:11" x14ac:dyDescent="0.2">
      <c r="E1717" s="50"/>
      <c r="H1717" s="12"/>
      <c r="K1717"/>
    </row>
    <row r="1718" spans="5:11" x14ac:dyDescent="0.2">
      <c r="E1718" s="50"/>
      <c r="H1718" s="12"/>
      <c r="K1718"/>
    </row>
    <row r="1719" spans="5:11" x14ac:dyDescent="0.2">
      <c r="E1719" s="50"/>
      <c r="H1719" s="12"/>
      <c r="K1719"/>
    </row>
    <row r="1720" spans="5:11" x14ac:dyDescent="0.2">
      <c r="E1720" s="50"/>
      <c r="H1720" s="12"/>
      <c r="K1720"/>
    </row>
    <row r="1721" spans="5:11" x14ac:dyDescent="0.2">
      <c r="E1721" s="50"/>
      <c r="H1721" s="12"/>
      <c r="K1721"/>
    </row>
    <row r="1722" spans="5:11" x14ac:dyDescent="0.2">
      <c r="E1722" s="50"/>
      <c r="H1722" s="12"/>
      <c r="K1722"/>
    </row>
    <row r="1723" spans="5:11" x14ac:dyDescent="0.2">
      <c r="E1723" s="50"/>
      <c r="H1723" s="12"/>
      <c r="K1723"/>
    </row>
    <row r="1724" spans="5:11" x14ac:dyDescent="0.2">
      <c r="E1724" s="50"/>
      <c r="H1724" s="12"/>
      <c r="K1724"/>
    </row>
    <row r="1725" spans="5:11" x14ac:dyDescent="0.2">
      <c r="E1725" s="50"/>
      <c r="H1725" s="12"/>
      <c r="K1725"/>
    </row>
    <row r="1726" spans="5:11" x14ac:dyDescent="0.2">
      <c r="E1726" s="50"/>
      <c r="H1726" s="12"/>
      <c r="K1726"/>
    </row>
    <row r="1727" spans="5:11" x14ac:dyDescent="0.2">
      <c r="E1727" s="50"/>
      <c r="H1727" s="12"/>
      <c r="K1727"/>
    </row>
    <row r="1728" spans="5:11" x14ac:dyDescent="0.2">
      <c r="E1728" s="50"/>
      <c r="H1728" s="12"/>
      <c r="K1728"/>
    </row>
    <row r="1729" spans="5:11" x14ac:dyDescent="0.2">
      <c r="E1729" s="50"/>
      <c r="H1729" s="12"/>
      <c r="K1729"/>
    </row>
    <row r="1730" spans="5:11" x14ac:dyDescent="0.2">
      <c r="E1730" s="50"/>
      <c r="H1730" s="12"/>
      <c r="K1730"/>
    </row>
    <row r="1731" spans="5:11" x14ac:dyDescent="0.2">
      <c r="E1731" s="50"/>
      <c r="H1731" s="12"/>
      <c r="K1731"/>
    </row>
    <row r="1732" spans="5:11" x14ac:dyDescent="0.2">
      <c r="E1732" s="50"/>
      <c r="H1732" s="12"/>
      <c r="K1732"/>
    </row>
    <row r="1733" spans="5:11" x14ac:dyDescent="0.2">
      <c r="E1733" s="50"/>
      <c r="H1733" s="12"/>
      <c r="K1733"/>
    </row>
    <row r="1734" spans="5:11" x14ac:dyDescent="0.2">
      <c r="E1734" s="50"/>
      <c r="H1734" s="12"/>
      <c r="K1734"/>
    </row>
    <row r="1735" spans="5:11" x14ac:dyDescent="0.2">
      <c r="E1735" s="50"/>
      <c r="H1735" s="12"/>
      <c r="K1735"/>
    </row>
    <row r="1736" spans="5:11" x14ac:dyDescent="0.2">
      <c r="E1736" s="50"/>
      <c r="H1736" s="12"/>
      <c r="K1736"/>
    </row>
    <row r="1737" spans="5:11" x14ac:dyDescent="0.2">
      <c r="E1737" s="50"/>
      <c r="H1737" s="12"/>
      <c r="K1737"/>
    </row>
    <row r="1738" spans="5:11" x14ac:dyDescent="0.2">
      <c r="E1738" s="50"/>
      <c r="H1738" s="12"/>
      <c r="K1738"/>
    </row>
    <row r="1739" spans="5:11" x14ac:dyDescent="0.2">
      <c r="E1739" s="50"/>
      <c r="H1739" s="12"/>
      <c r="K1739"/>
    </row>
    <row r="1740" spans="5:11" x14ac:dyDescent="0.2">
      <c r="E1740" s="50"/>
      <c r="H1740" s="12"/>
      <c r="K1740"/>
    </row>
    <row r="1741" spans="5:11" x14ac:dyDescent="0.2">
      <c r="E1741" s="50"/>
      <c r="H1741" s="12"/>
      <c r="K1741"/>
    </row>
    <row r="1742" spans="5:11" x14ac:dyDescent="0.2">
      <c r="E1742" s="50"/>
      <c r="H1742" s="12"/>
      <c r="K1742"/>
    </row>
    <row r="1743" spans="5:11" x14ac:dyDescent="0.2">
      <c r="E1743" s="50"/>
      <c r="H1743" s="12"/>
      <c r="K1743"/>
    </row>
    <row r="1744" spans="5:11" x14ac:dyDescent="0.2">
      <c r="E1744" s="50"/>
      <c r="H1744" s="12"/>
      <c r="K1744"/>
    </row>
    <row r="1745" spans="5:11" x14ac:dyDescent="0.2">
      <c r="E1745" s="50"/>
      <c r="H1745" s="12"/>
      <c r="K1745"/>
    </row>
    <row r="1746" spans="5:11" x14ac:dyDescent="0.2">
      <c r="E1746" s="50"/>
      <c r="H1746" s="12"/>
      <c r="K1746"/>
    </row>
    <row r="1747" spans="5:11" x14ac:dyDescent="0.2">
      <c r="E1747" s="50"/>
      <c r="H1747" s="12"/>
      <c r="K1747"/>
    </row>
    <row r="1748" spans="5:11" x14ac:dyDescent="0.2">
      <c r="E1748" s="50"/>
      <c r="H1748" s="12"/>
      <c r="K1748"/>
    </row>
    <row r="1749" spans="5:11" x14ac:dyDescent="0.2">
      <c r="E1749" s="50"/>
      <c r="H1749" s="12"/>
      <c r="K1749"/>
    </row>
    <row r="1750" spans="5:11" x14ac:dyDescent="0.2">
      <c r="E1750" s="50"/>
      <c r="H1750" s="12"/>
      <c r="K1750"/>
    </row>
    <row r="1751" spans="5:11" x14ac:dyDescent="0.2">
      <c r="E1751" s="50"/>
      <c r="H1751" s="12"/>
      <c r="K1751"/>
    </row>
    <row r="1752" spans="5:11" x14ac:dyDescent="0.2">
      <c r="E1752" s="50"/>
      <c r="H1752" s="12"/>
      <c r="K1752"/>
    </row>
    <row r="1753" spans="5:11" x14ac:dyDescent="0.2">
      <c r="E1753" s="50"/>
      <c r="H1753" s="12"/>
      <c r="K1753"/>
    </row>
    <row r="1754" spans="5:11" x14ac:dyDescent="0.2">
      <c r="E1754" s="50"/>
      <c r="H1754" s="12"/>
      <c r="K1754"/>
    </row>
    <row r="1755" spans="5:11" x14ac:dyDescent="0.2">
      <c r="E1755" s="50"/>
      <c r="H1755" s="12"/>
      <c r="K1755"/>
    </row>
    <row r="1756" spans="5:11" x14ac:dyDescent="0.2">
      <c r="E1756" s="50"/>
      <c r="H1756" s="12"/>
      <c r="K1756"/>
    </row>
    <row r="1757" spans="5:11" x14ac:dyDescent="0.2">
      <c r="E1757" s="50"/>
      <c r="H1757" s="12"/>
      <c r="K1757"/>
    </row>
    <row r="1758" spans="5:11" x14ac:dyDescent="0.2">
      <c r="E1758" s="50"/>
      <c r="H1758" s="12"/>
      <c r="K1758"/>
    </row>
    <row r="1759" spans="5:11" x14ac:dyDescent="0.2">
      <c r="E1759" s="50"/>
      <c r="H1759" s="12"/>
      <c r="K1759"/>
    </row>
    <row r="1760" spans="5:11" x14ac:dyDescent="0.2">
      <c r="E1760" s="50"/>
      <c r="H1760" s="12"/>
      <c r="K1760"/>
    </row>
    <row r="1761" spans="5:11" x14ac:dyDescent="0.2">
      <c r="E1761" s="50"/>
      <c r="H1761" s="12"/>
      <c r="K1761"/>
    </row>
    <row r="1762" spans="5:11" x14ac:dyDescent="0.2">
      <c r="E1762" s="50"/>
      <c r="H1762" s="12"/>
      <c r="K1762"/>
    </row>
    <row r="1763" spans="5:11" x14ac:dyDescent="0.2">
      <c r="E1763" s="50"/>
      <c r="H1763" s="12"/>
      <c r="K1763"/>
    </row>
    <row r="1764" spans="5:11" x14ac:dyDescent="0.2">
      <c r="E1764" s="50"/>
      <c r="H1764" s="12"/>
      <c r="K1764"/>
    </row>
    <row r="1765" spans="5:11" x14ac:dyDescent="0.2">
      <c r="E1765" s="50"/>
      <c r="H1765" s="12"/>
      <c r="K1765"/>
    </row>
    <row r="1766" spans="5:11" x14ac:dyDescent="0.2">
      <c r="E1766" s="50"/>
      <c r="H1766" s="12"/>
      <c r="K1766"/>
    </row>
    <row r="1767" spans="5:11" x14ac:dyDescent="0.2">
      <c r="E1767" s="50"/>
      <c r="H1767" s="12"/>
      <c r="K1767"/>
    </row>
    <row r="1768" spans="5:11" x14ac:dyDescent="0.2">
      <c r="E1768" s="50"/>
      <c r="H1768" s="12"/>
      <c r="K1768"/>
    </row>
    <row r="1769" spans="5:11" x14ac:dyDescent="0.2">
      <c r="E1769" s="50"/>
      <c r="H1769" s="12"/>
      <c r="K1769"/>
    </row>
    <row r="1770" spans="5:11" x14ac:dyDescent="0.2">
      <c r="E1770" s="50"/>
      <c r="H1770" s="12"/>
      <c r="K1770"/>
    </row>
    <row r="1771" spans="5:11" x14ac:dyDescent="0.2">
      <c r="E1771" s="50"/>
      <c r="H1771" s="12"/>
      <c r="K1771"/>
    </row>
    <row r="1772" spans="5:11" x14ac:dyDescent="0.2">
      <c r="E1772" s="50"/>
      <c r="H1772" s="12"/>
      <c r="K1772"/>
    </row>
    <row r="1773" spans="5:11" x14ac:dyDescent="0.2">
      <c r="E1773" s="50"/>
      <c r="H1773" s="12"/>
      <c r="K1773"/>
    </row>
    <row r="1774" spans="5:11" x14ac:dyDescent="0.2">
      <c r="E1774" s="50"/>
      <c r="H1774" s="12"/>
      <c r="K1774"/>
    </row>
    <row r="1775" spans="5:11" x14ac:dyDescent="0.2">
      <c r="E1775" s="50"/>
      <c r="H1775" s="12"/>
      <c r="K1775"/>
    </row>
    <row r="1776" spans="5:11" x14ac:dyDescent="0.2">
      <c r="E1776" s="50"/>
      <c r="H1776" s="12"/>
      <c r="K1776"/>
    </row>
    <row r="1777" spans="5:11" x14ac:dyDescent="0.2">
      <c r="E1777" s="50"/>
      <c r="H1777" s="12"/>
      <c r="K1777"/>
    </row>
    <row r="1778" spans="5:11" x14ac:dyDescent="0.2">
      <c r="E1778" s="50"/>
      <c r="H1778" s="12"/>
      <c r="K1778"/>
    </row>
    <row r="1779" spans="5:11" x14ac:dyDescent="0.2">
      <c r="E1779" s="50"/>
      <c r="H1779" s="12"/>
      <c r="K1779"/>
    </row>
    <row r="1780" spans="5:11" x14ac:dyDescent="0.2">
      <c r="E1780" s="50"/>
      <c r="H1780" s="12"/>
      <c r="K1780"/>
    </row>
    <row r="1781" spans="5:11" x14ac:dyDescent="0.2">
      <c r="E1781" s="50"/>
      <c r="H1781" s="12"/>
      <c r="K1781"/>
    </row>
    <row r="1782" spans="5:11" x14ac:dyDescent="0.2">
      <c r="E1782" s="50"/>
      <c r="H1782" s="12"/>
      <c r="K1782"/>
    </row>
    <row r="1783" spans="5:11" x14ac:dyDescent="0.2">
      <c r="E1783" s="50"/>
      <c r="H1783" s="12"/>
      <c r="K1783"/>
    </row>
    <row r="1784" spans="5:11" x14ac:dyDescent="0.2">
      <c r="E1784" s="50"/>
      <c r="H1784" s="12"/>
      <c r="K1784"/>
    </row>
    <row r="1785" spans="5:11" x14ac:dyDescent="0.2">
      <c r="E1785" s="50"/>
      <c r="H1785" s="12"/>
      <c r="K1785"/>
    </row>
    <row r="1786" spans="5:11" x14ac:dyDescent="0.2">
      <c r="E1786" s="50"/>
      <c r="H1786" s="12"/>
      <c r="K1786"/>
    </row>
    <row r="1787" spans="5:11" x14ac:dyDescent="0.2">
      <c r="E1787" s="50"/>
      <c r="H1787" s="12"/>
      <c r="K1787"/>
    </row>
    <row r="1788" spans="5:11" x14ac:dyDescent="0.2">
      <c r="E1788" s="50"/>
      <c r="H1788" s="12"/>
      <c r="K1788"/>
    </row>
    <row r="1789" spans="5:11" x14ac:dyDescent="0.2">
      <c r="E1789" s="50"/>
      <c r="H1789" s="12"/>
      <c r="K1789"/>
    </row>
    <row r="1790" spans="5:11" x14ac:dyDescent="0.2">
      <c r="E1790" s="50"/>
      <c r="H1790" s="12"/>
      <c r="K1790"/>
    </row>
    <row r="1791" spans="5:11" x14ac:dyDescent="0.2">
      <c r="E1791" s="50"/>
      <c r="H1791" s="12"/>
      <c r="K1791"/>
    </row>
    <row r="1792" spans="5:11" x14ac:dyDescent="0.2">
      <c r="E1792" s="50"/>
      <c r="H1792" s="12"/>
      <c r="K1792"/>
    </row>
    <row r="1793" spans="5:11" x14ac:dyDescent="0.2">
      <c r="E1793" s="50"/>
      <c r="H1793" s="12"/>
      <c r="K1793"/>
    </row>
    <row r="1794" spans="5:11" x14ac:dyDescent="0.2">
      <c r="E1794" s="50"/>
      <c r="H1794" s="12"/>
      <c r="K1794"/>
    </row>
    <row r="1795" spans="5:11" x14ac:dyDescent="0.2">
      <c r="E1795" s="50"/>
      <c r="H1795" s="12"/>
      <c r="K1795"/>
    </row>
    <row r="1796" spans="5:11" x14ac:dyDescent="0.2">
      <c r="E1796" s="50"/>
      <c r="H1796" s="12"/>
      <c r="K1796"/>
    </row>
    <row r="1797" spans="5:11" x14ac:dyDescent="0.2">
      <c r="E1797" s="50"/>
      <c r="H1797" s="12"/>
      <c r="K1797"/>
    </row>
    <row r="1798" spans="5:11" x14ac:dyDescent="0.2">
      <c r="E1798" s="50"/>
      <c r="H1798" s="12"/>
      <c r="K1798"/>
    </row>
    <row r="1799" spans="5:11" x14ac:dyDescent="0.2">
      <c r="E1799" s="50"/>
      <c r="H1799" s="12"/>
      <c r="K1799"/>
    </row>
    <row r="1800" spans="5:11" x14ac:dyDescent="0.2">
      <c r="E1800" s="50"/>
      <c r="H1800" s="12"/>
      <c r="K1800"/>
    </row>
    <row r="1801" spans="5:11" x14ac:dyDescent="0.2">
      <c r="E1801" s="50"/>
      <c r="H1801" s="12"/>
      <c r="K1801"/>
    </row>
    <row r="1802" spans="5:11" x14ac:dyDescent="0.2">
      <c r="E1802" s="50"/>
      <c r="H1802" s="12"/>
      <c r="K1802"/>
    </row>
    <row r="1803" spans="5:11" x14ac:dyDescent="0.2">
      <c r="E1803" s="50"/>
      <c r="H1803" s="12"/>
      <c r="K1803"/>
    </row>
    <row r="1804" spans="5:11" x14ac:dyDescent="0.2">
      <c r="E1804" s="50"/>
      <c r="H1804" s="12"/>
      <c r="K1804"/>
    </row>
    <row r="1805" spans="5:11" x14ac:dyDescent="0.2">
      <c r="E1805" s="50"/>
      <c r="H1805" s="12"/>
      <c r="K1805"/>
    </row>
    <row r="1806" spans="5:11" x14ac:dyDescent="0.2">
      <c r="E1806" s="50"/>
      <c r="H1806" s="12"/>
      <c r="K1806"/>
    </row>
    <row r="1807" spans="5:11" x14ac:dyDescent="0.2">
      <c r="E1807" s="50"/>
      <c r="H1807" s="12"/>
      <c r="K1807"/>
    </row>
    <row r="1808" spans="5:11" x14ac:dyDescent="0.2">
      <c r="E1808" s="50"/>
      <c r="H1808" s="12"/>
      <c r="K1808"/>
    </row>
    <row r="1809" spans="5:11" x14ac:dyDescent="0.2">
      <c r="E1809" s="50"/>
      <c r="H1809" s="12"/>
      <c r="K1809"/>
    </row>
    <row r="1810" spans="5:11" x14ac:dyDescent="0.2">
      <c r="E1810" s="50"/>
      <c r="H1810" s="12"/>
      <c r="K1810"/>
    </row>
    <row r="1811" spans="5:11" x14ac:dyDescent="0.2">
      <c r="E1811" s="50"/>
      <c r="H1811" s="12"/>
      <c r="K1811"/>
    </row>
    <row r="1812" spans="5:11" x14ac:dyDescent="0.2">
      <c r="E1812" s="50"/>
      <c r="H1812" s="12"/>
      <c r="K1812"/>
    </row>
    <row r="1813" spans="5:11" x14ac:dyDescent="0.2">
      <c r="E1813" s="50"/>
      <c r="H1813" s="12"/>
      <c r="K1813"/>
    </row>
    <row r="1814" spans="5:11" x14ac:dyDescent="0.2">
      <c r="E1814" s="50"/>
      <c r="H1814" s="12"/>
      <c r="K1814"/>
    </row>
    <row r="1815" spans="5:11" x14ac:dyDescent="0.2">
      <c r="E1815" s="50"/>
      <c r="H1815" s="12"/>
      <c r="K1815"/>
    </row>
    <row r="1816" spans="5:11" x14ac:dyDescent="0.2">
      <c r="E1816" s="50"/>
      <c r="H1816" s="12"/>
      <c r="K1816"/>
    </row>
    <row r="1817" spans="5:11" x14ac:dyDescent="0.2">
      <c r="E1817" s="50"/>
      <c r="H1817" s="12"/>
      <c r="K1817"/>
    </row>
    <row r="1818" spans="5:11" x14ac:dyDescent="0.2">
      <c r="E1818" s="50"/>
      <c r="H1818" s="12"/>
      <c r="K1818"/>
    </row>
    <row r="1819" spans="5:11" x14ac:dyDescent="0.2">
      <c r="E1819" s="50"/>
      <c r="H1819" s="12"/>
      <c r="K1819"/>
    </row>
    <row r="1820" spans="5:11" x14ac:dyDescent="0.2">
      <c r="E1820" s="50"/>
      <c r="H1820" s="12"/>
      <c r="K1820"/>
    </row>
    <row r="1821" spans="5:11" x14ac:dyDescent="0.2">
      <c r="E1821" s="50"/>
      <c r="H1821" s="12"/>
      <c r="K1821"/>
    </row>
    <row r="1822" spans="5:11" x14ac:dyDescent="0.2">
      <c r="E1822" s="50"/>
      <c r="H1822" s="12"/>
      <c r="K1822"/>
    </row>
    <row r="1823" spans="5:11" x14ac:dyDescent="0.2">
      <c r="E1823" s="50"/>
      <c r="H1823" s="12"/>
      <c r="K1823"/>
    </row>
    <row r="1824" spans="5:11" x14ac:dyDescent="0.2">
      <c r="E1824" s="50"/>
      <c r="H1824" s="12"/>
      <c r="K1824"/>
    </row>
    <row r="1825" spans="5:11" x14ac:dyDescent="0.2">
      <c r="E1825" s="50"/>
      <c r="H1825" s="12"/>
      <c r="K1825"/>
    </row>
    <row r="1826" spans="5:11" x14ac:dyDescent="0.2">
      <c r="E1826" s="50"/>
      <c r="H1826" s="12"/>
      <c r="K1826"/>
    </row>
    <row r="1827" spans="5:11" x14ac:dyDescent="0.2">
      <c r="E1827" s="50"/>
      <c r="H1827" s="12"/>
      <c r="K1827"/>
    </row>
    <row r="1828" spans="5:11" x14ac:dyDescent="0.2">
      <c r="E1828" s="50"/>
      <c r="H1828" s="12"/>
      <c r="K1828"/>
    </row>
    <row r="1829" spans="5:11" x14ac:dyDescent="0.2">
      <c r="E1829" s="50"/>
      <c r="H1829" s="12"/>
      <c r="K1829"/>
    </row>
    <row r="1830" spans="5:11" x14ac:dyDescent="0.2">
      <c r="E1830" s="50"/>
      <c r="H1830" s="12"/>
      <c r="K1830"/>
    </row>
    <row r="1831" spans="5:11" x14ac:dyDescent="0.2">
      <c r="E1831" s="50"/>
      <c r="H1831" s="12"/>
      <c r="K1831"/>
    </row>
    <row r="1832" spans="5:11" x14ac:dyDescent="0.2">
      <c r="E1832" s="50"/>
      <c r="H1832" s="12"/>
      <c r="K1832"/>
    </row>
    <row r="1833" spans="5:11" x14ac:dyDescent="0.2">
      <c r="E1833" s="50"/>
      <c r="H1833" s="12"/>
      <c r="K1833"/>
    </row>
    <row r="1834" spans="5:11" x14ac:dyDescent="0.2">
      <c r="E1834" s="50"/>
      <c r="H1834" s="12"/>
      <c r="K1834"/>
    </row>
    <row r="1835" spans="5:11" x14ac:dyDescent="0.2">
      <c r="E1835" s="50"/>
      <c r="H1835" s="12"/>
      <c r="K1835"/>
    </row>
    <row r="1836" spans="5:11" x14ac:dyDescent="0.2">
      <c r="E1836" s="50"/>
      <c r="H1836" s="12"/>
      <c r="K1836"/>
    </row>
    <row r="1837" spans="5:11" x14ac:dyDescent="0.2">
      <c r="E1837" s="50"/>
      <c r="H1837" s="12"/>
      <c r="K1837"/>
    </row>
    <row r="1838" spans="5:11" x14ac:dyDescent="0.2">
      <c r="E1838" s="50"/>
      <c r="H1838" s="12"/>
      <c r="K1838"/>
    </row>
    <row r="1839" spans="5:11" x14ac:dyDescent="0.2">
      <c r="E1839" s="50"/>
      <c r="H1839" s="12"/>
      <c r="K1839"/>
    </row>
    <row r="1840" spans="5:11" x14ac:dyDescent="0.2">
      <c r="E1840" s="50"/>
      <c r="H1840" s="12"/>
      <c r="K1840"/>
    </row>
    <row r="1841" spans="5:11" x14ac:dyDescent="0.2">
      <c r="E1841" s="50"/>
      <c r="H1841" s="12"/>
      <c r="K1841"/>
    </row>
    <row r="1842" spans="5:11" x14ac:dyDescent="0.2">
      <c r="E1842" s="50"/>
      <c r="H1842" s="12"/>
      <c r="K1842"/>
    </row>
    <row r="1843" spans="5:11" x14ac:dyDescent="0.2">
      <c r="E1843" s="50"/>
      <c r="H1843" s="12"/>
      <c r="K1843"/>
    </row>
    <row r="1844" spans="5:11" x14ac:dyDescent="0.2">
      <c r="E1844" s="50"/>
      <c r="H1844" s="12"/>
      <c r="K1844"/>
    </row>
    <row r="1845" spans="5:11" x14ac:dyDescent="0.2">
      <c r="E1845" s="50"/>
      <c r="H1845" s="12"/>
      <c r="K1845"/>
    </row>
    <row r="1846" spans="5:11" x14ac:dyDescent="0.2">
      <c r="E1846" s="50"/>
      <c r="H1846" s="12"/>
      <c r="K1846"/>
    </row>
    <row r="1847" spans="5:11" x14ac:dyDescent="0.2">
      <c r="E1847" s="50"/>
      <c r="H1847" s="12"/>
      <c r="K1847"/>
    </row>
    <row r="1848" spans="5:11" x14ac:dyDescent="0.2">
      <c r="E1848" s="50"/>
      <c r="H1848" s="12"/>
      <c r="K1848"/>
    </row>
    <row r="1849" spans="5:11" x14ac:dyDescent="0.2">
      <c r="E1849" s="50"/>
      <c r="H1849" s="12"/>
      <c r="K1849"/>
    </row>
    <row r="1850" spans="5:11" x14ac:dyDescent="0.2">
      <c r="E1850" s="50"/>
      <c r="H1850" s="12"/>
      <c r="K1850"/>
    </row>
    <row r="1851" spans="5:11" x14ac:dyDescent="0.2">
      <c r="E1851" s="50"/>
      <c r="H1851" s="12"/>
      <c r="K1851"/>
    </row>
    <row r="1852" spans="5:11" x14ac:dyDescent="0.2">
      <c r="E1852" s="50"/>
      <c r="H1852" s="12"/>
      <c r="K1852"/>
    </row>
    <row r="1853" spans="5:11" x14ac:dyDescent="0.2">
      <c r="E1853" s="50"/>
      <c r="H1853" s="12"/>
      <c r="K1853"/>
    </row>
    <row r="1854" spans="5:11" x14ac:dyDescent="0.2">
      <c r="E1854" s="50"/>
      <c r="H1854" s="12"/>
      <c r="K1854"/>
    </row>
    <row r="1855" spans="5:11" x14ac:dyDescent="0.2">
      <c r="E1855" s="50"/>
      <c r="H1855" s="12"/>
      <c r="K1855"/>
    </row>
    <row r="1856" spans="5:11" x14ac:dyDescent="0.2">
      <c r="E1856" s="50"/>
      <c r="H1856" s="12"/>
      <c r="K1856"/>
    </row>
    <row r="1857" spans="5:11" x14ac:dyDescent="0.2">
      <c r="E1857" s="50"/>
      <c r="H1857" s="12"/>
      <c r="K1857"/>
    </row>
    <row r="1858" spans="5:11" x14ac:dyDescent="0.2">
      <c r="E1858" s="50"/>
      <c r="H1858" s="12"/>
      <c r="K1858"/>
    </row>
    <row r="1859" spans="5:11" x14ac:dyDescent="0.2">
      <c r="E1859" s="50"/>
      <c r="H1859" s="12"/>
      <c r="K1859"/>
    </row>
    <row r="1860" spans="5:11" x14ac:dyDescent="0.2">
      <c r="E1860" s="50"/>
      <c r="H1860" s="12"/>
      <c r="K1860"/>
    </row>
    <row r="1861" spans="5:11" x14ac:dyDescent="0.2">
      <c r="E1861" s="50"/>
      <c r="H1861" s="12"/>
      <c r="K1861"/>
    </row>
    <row r="1862" spans="5:11" x14ac:dyDescent="0.2">
      <c r="E1862" s="50"/>
      <c r="H1862" s="12"/>
      <c r="K1862"/>
    </row>
    <row r="1863" spans="5:11" x14ac:dyDescent="0.2">
      <c r="E1863" s="50"/>
      <c r="H1863" s="12"/>
      <c r="K1863"/>
    </row>
    <row r="1864" spans="5:11" x14ac:dyDescent="0.2">
      <c r="E1864" s="50"/>
      <c r="H1864" s="12"/>
      <c r="K1864"/>
    </row>
    <row r="1865" spans="5:11" x14ac:dyDescent="0.2">
      <c r="E1865" s="50"/>
      <c r="H1865" s="12"/>
      <c r="K1865"/>
    </row>
    <row r="1866" spans="5:11" x14ac:dyDescent="0.2">
      <c r="E1866" s="50"/>
      <c r="H1866" s="12"/>
      <c r="K1866"/>
    </row>
    <row r="1867" spans="5:11" x14ac:dyDescent="0.2">
      <c r="E1867" s="50"/>
      <c r="H1867" s="12"/>
      <c r="K1867"/>
    </row>
    <row r="1868" spans="5:11" x14ac:dyDescent="0.2">
      <c r="E1868" s="50"/>
      <c r="H1868" s="12"/>
      <c r="K1868"/>
    </row>
    <row r="1869" spans="5:11" x14ac:dyDescent="0.2">
      <c r="E1869" s="50"/>
      <c r="H1869" s="12"/>
      <c r="K1869"/>
    </row>
    <row r="1870" spans="5:11" x14ac:dyDescent="0.2">
      <c r="E1870" s="50"/>
      <c r="H1870" s="12"/>
      <c r="K1870"/>
    </row>
    <row r="1871" spans="5:11" x14ac:dyDescent="0.2">
      <c r="E1871" s="50"/>
      <c r="H1871" s="12"/>
      <c r="K1871"/>
    </row>
    <row r="1872" spans="5:11" x14ac:dyDescent="0.2">
      <c r="E1872" s="50"/>
      <c r="H1872" s="12"/>
      <c r="K1872"/>
    </row>
    <row r="1873" spans="5:11" x14ac:dyDescent="0.2">
      <c r="E1873" s="50"/>
      <c r="H1873" s="12"/>
      <c r="K1873"/>
    </row>
    <row r="1874" spans="5:11" x14ac:dyDescent="0.2">
      <c r="E1874" s="50"/>
      <c r="H1874" s="12"/>
      <c r="K1874"/>
    </row>
    <row r="1875" spans="5:11" x14ac:dyDescent="0.2">
      <c r="E1875" s="50"/>
      <c r="H1875" s="12"/>
      <c r="K1875"/>
    </row>
    <row r="1876" spans="5:11" x14ac:dyDescent="0.2">
      <c r="E1876" s="50"/>
      <c r="H1876" s="12"/>
      <c r="K1876"/>
    </row>
    <row r="1877" spans="5:11" x14ac:dyDescent="0.2">
      <c r="E1877" s="50"/>
      <c r="H1877" s="12"/>
      <c r="K1877"/>
    </row>
    <row r="1878" spans="5:11" x14ac:dyDescent="0.2">
      <c r="E1878" s="50"/>
      <c r="H1878" s="12"/>
      <c r="K1878"/>
    </row>
    <row r="1879" spans="5:11" x14ac:dyDescent="0.2">
      <c r="E1879" s="50"/>
      <c r="H1879" s="12"/>
      <c r="K1879"/>
    </row>
    <row r="1880" spans="5:11" x14ac:dyDescent="0.2">
      <c r="E1880" s="50"/>
      <c r="H1880" s="12"/>
      <c r="K1880"/>
    </row>
    <row r="1881" spans="5:11" x14ac:dyDescent="0.2">
      <c r="E1881" s="50"/>
      <c r="H1881" s="12"/>
      <c r="K1881"/>
    </row>
    <row r="1882" spans="5:11" x14ac:dyDescent="0.2">
      <c r="E1882" s="50"/>
      <c r="H1882" s="12"/>
      <c r="K1882"/>
    </row>
    <row r="1883" spans="5:11" x14ac:dyDescent="0.2">
      <c r="E1883" s="50"/>
      <c r="H1883" s="12"/>
      <c r="K1883"/>
    </row>
    <row r="1884" spans="5:11" x14ac:dyDescent="0.2">
      <c r="E1884" s="50"/>
      <c r="H1884" s="12"/>
      <c r="K1884"/>
    </row>
    <row r="1885" spans="5:11" x14ac:dyDescent="0.2">
      <c r="E1885" s="50"/>
      <c r="H1885" s="12"/>
      <c r="K1885"/>
    </row>
    <row r="1886" spans="5:11" x14ac:dyDescent="0.2">
      <c r="E1886" s="50"/>
      <c r="H1886" s="12"/>
      <c r="K1886"/>
    </row>
    <row r="1887" spans="5:11" x14ac:dyDescent="0.2">
      <c r="E1887" s="50"/>
      <c r="H1887" s="12"/>
      <c r="K1887"/>
    </row>
    <row r="1888" spans="5:11" x14ac:dyDescent="0.2">
      <c r="E1888" s="50"/>
      <c r="H1888" s="12"/>
      <c r="K1888"/>
    </row>
    <row r="1889" spans="5:11" x14ac:dyDescent="0.2">
      <c r="E1889" s="50"/>
      <c r="H1889" s="12"/>
      <c r="K1889"/>
    </row>
    <row r="1890" spans="5:11" x14ac:dyDescent="0.2">
      <c r="E1890" s="50"/>
      <c r="H1890" s="12"/>
      <c r="K1890"/>
    </row>
    <row r="1891" spans="5:11" x14ac:dyDescent="0.2">
      <c r="E1891" s="50"/>
      <c r="H1891" s="12"/>
      <c r="K1891"/>
    </row>
    <row r="1892" spans="5:11" x14ac:dyDescent="0.2">
      <c r="E1892" s="50"/>
      <c r="H1892" s="12"/>
      <c r="K1892"/>
    </row>
    <row r="1893" spans="5:11" x14ac:dyDescent="0.2">
      <c r="E1893" s="50"/>
      <c r="H1893" s="12"/>
      <c r="K1893"/>
    </row>
    <row r="1894" spans="5:11" x14ac:dyDescent="0.2">
      <c r="E1894" s="50"/>
      <c r="H1894" s="12"/>
      <c r="K1894"/>
    </row>
    <row r="1895" spans="5:11" x14ac:dyDescent="0.2">
      <c r="E1895" s="50"/>
      <c r="H1895" s="12"/>
      <c r="K1895"/>
    </row>
    <row r="1896" spans="5:11" x14ac:dyDescent="0.2">
      <c r="E1896" s="50"/>
      <c r="H1896" s="12"/>
      <c r="K1896"/>
    </row>
    <row r="1897" spans="5:11" x14ac:dyDescent="0.2">
      <c r="E1897" s="50"/>
      <c r="H1897" s="12"/>
      <c r="K1897"/>
    </row>
    <row r="1898" spans="5:11" x14ac:dyDescent="0.2">
      <c r="E1898" s="50"/>
      <c r="H1898" s="12"/>
      <c r="K1898"/>
    </row>
    <row r="1899" spans="5:11" x14ac:dyDescent="0.2">
      <c r="E1899" s="50"/>
      <c r="H1899" s="12"/>
      <c r="K1899"/>
    </row>
    <row r="1900" spans="5:11" x14ac:dyDescent="0.2">
      <c r="E1900" s="50"/>
      <c r="H1900" s="12"/>
      <c r="K1900"/>
    </row>
    <row r="1901" spans="5:11" x14ac:dyDescent="0.2">
      <c r="E1901" s="50"/>
      <c r="H1901" s="12"/>
      <c r="K1901"/>
    </row>
    <row r="1902" spans="5:11" x14ac:dyDescent="0.2">
      <c r="E1902" s="50"/>
      <c r="H1902" s="12"/>
      <c r="K1902"/>
    </row>
    <row r="1903" spans="5:11" x14ac:dyDescent="0.2">
      <c r="E1903" s="50"/>
      <c r="H1903" s="12"/>
      <c r="K1903"/>
    </row>
    <row r="1904" spans="5:11" x14ac:dyDescent="0.2">
      <c r="E1904" s="50"/>
      <c r="H1904" s="12"/>
      <c r="K1904"/>
    </row>
    <row r="1905" spans="5:11" x14ac:dyDescent="0.2">
      <c r="E1905" s="50"/>
      <c r="H1905" s="12"/>
      <c r="K1905"/>
    </row>
    <row r="1906" spans="5:11" x14ac:dyDescent="0.2">
      <c r="E1906" s="50"/>
      <c r="H1906" s="12"/>
      <c r="K1906"/>
    </row>
    <row r="1907" spans="5:11" x14ac:dyDescent="0.2">
      <c r="E1907" s="50"/>
      <c r="H1907" s="12"/>
      <c r="K1907"/>
    </row>
    <row r="1908" spans="5:11" x14ac:dyDescent="0.2">
      <c r="E1908" s="50"/>
      <c r="H1908" s="12"/>
      <c r="K1908"/>
    </row>
    <row r="1909" spans="5:11" x14ac:dyDescent="0.2">
      <c r="E1909" s="50"/>
      <c r="H1909" s="12"/>
      <c r="K1909"/>
    </row>
    <row r="1910" spans="5:11" x14ac:dyDescent="0.2">
      <c r="E1910" s="50"/>
      <c r="H1910" s="12"/>
      <c r="K1910"/>
    </row>
    <row r="1911" spans="5:11" x14ac:dyDescent="0.2">
      <c r="E1911" s="50"/>
      <c r="H1911" s="12"/>
      <c r="K1911"/>
    </row>
    <row r="1912" spans="5:11" x14ac:dyDescent="0.2">
      <c r="E1912" s="50"/>
      <c r="H1912" s="12"/>
      <c r="K1912"/>
    </row>
    <row r="1913" spans="5:11" x14ac:dyDescent="0.2">
      <c r="E1913" s="50"/>
      <c r="H1913" s="12"/>
      <c r="K1913"/>
    </row>
    <row r="1914" spans="5:11" x14ac:dyDescent="0.2">
      <c r="E1914" s="50"/>
      <c r="H1914" s="12"/>
      <c r="K1914"/>
    </row>
    <row r="1915" spans="5:11" x14ac:dyDescent="0.2">
      <c r="E1915" s="50"/>
      <c r="H1915" s="12"/>
      <c r="K1915"/>
    </row>
    <row r="1916" spans="5:11" x14ac:dyDescent="0.2">
      <c r="E1916" s="50"/>
      <c r="H1916" s="12"/>
      <c r="K1916"/>
    </row>
    <row r="1917" spans="5:11" x14ac:dyDescent="0.2">
      <c r="E1917" s="50"/>
      <c r="H1917" s="12"/>
      <c r="K1917"/>
    </row>
    <row r="1918" spans="5:11" x14ac:dyDescent="0.2">
      <c r="E1918" s="50"/>
      <c r="H1918" s="12"/>
      <c r="K1918"/>
    </row>
    <row r="1919" spans="5:11" x14ac:dyDescent="0.2">
      <c r="E1919" s="50"/>
      <c r="H1919" s="12"/>
      <c r="K1919"/>
    </row>
    <row r="1920" spans="5:11" x14ac:dyDescent="0.2">
      <c r="E1920" s="50"/>
      <c r="H1920" s="12"/>
      <c r="K1920"/>
    </row>
    <row r="1921" spans="5:11" x14ac:dyDescent="0.2">
      <c r="E1921" s="50"/>
      <c r="H1921" s="12"/>
      <c r="K1921"/>
    </row>
    <row r="1922" spans="5:11" x14ac:dyDescent="0.2">
      <c r="E1922" s="50"/>
      <c r="H1922" s="12"/>
      <c r="K1922"/>
    </row>
    <row r="1923" spans="5:11" x14ac:dyDescent="0.2">
      <c r="E1923" s="50"/>
      <c r="H1923" s="12"/>
      <c r="K1923"/>
    </row>
    <row r="1924" spans="5:11" x14ac:dyDescent="0.2">
      <c r="E1924" s="50"/>
      <c r="H1924" s="12"/>
      <c r="K1924"/>
    </row>
    <row r="1925" spans="5:11" x14ac:dyDescent="0.2">
      <c r="E1925" s="50"/>
      <c r="H1925" s="12"/>
      <c r="K1925"/>
    </row>
    <row r="1926" spans="5:11" x14ac:dyDescent="0.2">
      <c r="E1926" s="50"/>
      <c r="H1926" s="12"/>
      <c r="K1926"/>
    </row>
    <row r="1927" spans="5:11" x14ac:dyDescent="0.2">
      <c r="E1927" s="50"/>
      <c r="H1927" s="12"/>
      <c r="K1927"/>
    </row>
    <row r="1928" spans="5:11" x14ac:dyDescent="0.2">
      <c r="E1928" s="50"/>
      <c r="H1928" s="12"/>
      <c r="K1928"/>
    </row>
    <row r="1929" spans="5:11" x14ac:dyDescent="0.2">
      <c r="E1929" s="50"/>
      <c r="H1929" s="12"/>
      <c r="K1929"/>
    </row>
    <row r="1930" spans="5:11" x14ac:dyDescent="0.2">
      <c r="E1930" s="50"/>
      <c r="H1930" s="12"/>
      <c r="K1930"/>
    </row>
    <row r="1931" spans="5:11" x14ac:dyDescent="0.2">
      <c r="E1931" s="50"/>
      <c r="H1931" s="12"/>
      <c r="K1931"/>
    </row>
    <row r="1932" spans="5:11" x14ac:dyDescent="0.2">
      <c r="E1932" s="50"/>
      <c r="H1932" s="12"/>
      <c r="K1932"/>
    </row>
    <row r="1933" spans="5:11" x14ac:dyDescent="0.2">
      <c r="E1933" s="50"/>
      <c r="H1933" s="12"/>
      <c r="K1933"/>
    </row>
    <row r="1934" spans="5:11" x14ac:dyDescent="0.2">
      <c r="E1934" s="50"/>
      <c r="H1934" s="12"/>
      <c r="K1934"/>
    </row>
    <row r="1935" spans="5:11" x14ac:dyDescent="0.2">
      <c r="E1935" s="50"/>
      <c r="H1935" s="12"/>
      <c r="K1935"/>
    </row>
    <row r="1936" spans="5:11" x14ac:dyDescent="0.2">
      <c r="E1936" s="50"/>
      <c r="H1936" s="12"/>
      <c r="K1936"/>
    </row>
    <row r="1937" spans="5:11" x14ac:dyDescent="0.2">
      <c r="E1937" s="50"/>
      <c r="H1937" s="12"/>
      <c r="K1937"/>
    </row>
    <row r="1938" spans="5:11" x14ac:dyDescent="0.2">
      <c r="E1938" s="50"/>
      <c r="H1938" s="12"/>
      <c r="K1938"/>
    </row>
    <row r="1939" spans="5:11" x14ac:dyDescent="0.2">
      <c r="E1939" s="50"/>
      <c r="H1939" s="12"/>
      <c r="K1939"/>
    </row>
    <row r="1940" spans="5:11" x14ac:dyDescent="0.2">
      <c r="E1940" s="50"/>
      <c r="H1940" s="12"/>
      <c r="K1940"/>
    </row>
    <row r="1941" spans="5:11" x14ac:dyDescent="0.2">
      <c r="E1941" s="50"/>
      <c r="H1941" s="12"/>
      <c r="K1941"/>
    </row>
    <row r="1942" spans="5:11" x14ac:dyDescent="0.2">
      <c r="E1942" s="50"/>
      <c r="H1942" s="12"/>
      <c r="K1942"/>
    </row>
    <row r="1943" spans="5:11" x14ac:dyDescent="0.2">
      <c r="E1943" s="50"/>
      <c r="H1943" s="12"/>
      <c r="K1943"/>
    </row>
    <row r="1944" spans="5:11" x14ac:dyDescent="0.2">
      <c r="E1944" s="50"/>
      <c r="H1944" s="12"/>
      <c r="K1944"/>
    </row>
    <row r="1945" spans="5:11" x14ac:dyDescent="0.2">
      <c r="E1945" s="50"/>
      <c r="H1945" s="12"/>
      <c r="K1945"/>
    </row>
    <row r="1946" spans="5:11" x14ac:dyDescent="0.2">
      <c r="E1946" s="50"/>
      <c r="H1946" s="12"/>
      <c r="K1946"/>
    </row>
    <row r="1947" spans="5:11" x14ac:dyDescent="0.2">
      <c r="E1947" s="50"/>
      <c r="H1947" s="12"/>
      <c r="K1947"/>
    </row>
    <row r="1948" spans="5:11" x14ac:dyDescent="0.2">
      <c r="E1948" s="50"/>
      <c r="H1948" s="12"/>
      <c r="K1948"/>
    </row>
    <row r="1949" spans="5:11" x14ac:dyDescent="0.2">
      <c r="E1949" s="50"/>
      <c r="H1949" s="12"/>
      <c r="K1949"/>
    </row>
    <row r="1950" spans="5:11" x14ac:dyDescent="0.2">
      <c r="E1950" s="50"/>
      <c r="H1950" s="12"/>
      <c r="K1950"/>
    </row>
    <row r="1951" spans="5:11" x14ac:dyDescent="0.2">
      <c r="E1951" s="50"/>
      <c r="H1951" s="12"/>
      <c r="K1951"/>
    </row>
    <row r="1952" spans="5:11" x14ac:dyDescent="0.2">
      <c r="E1952" s="50"/>
      <c r="H1952" s="12"/>
      <c r="K1952"/>
    </row>
    <row r="1953" spans="5:11" x14ac:dyDescent="0.2">
      <c r="E1953" s="50"/>
      <c r="H1953" s="12"/>
      <c r="K1953"/>
    </row>
    <row r="1954" spans="5:11" x14ac:dyDescent="0.2">
      <c r="E1954" s="50"/>
      <c r="H1954" s="12"/>
      <c r="K1954"/>
    </row>
    <row r="1955" spans="5:11" x14ac:dyDescent="0.2">
      <c r="E1955" s="50"/>
      <c r="H1955" s="12"/>
      <c r="K1955"/>
    </row>
    <row r="1956" spans="5:11" x14ac:dyDescent="0.2">
      <c r="E1956" s="50"/>
      <c r="H1956" s="12"/>
      <c r="K1956"/>
    </row>
    <row r="1957" spans="5:11" x14ac:dyDescent="0.2">
      <c r="E1957" s="50"/>
      <c r="H1957" s="12"/>
      <c r="K1957"/>
    </row>
    <row r="1958" spans="5:11" x14ac:dyDescent="0.2">
      <c r="E1958" s="50"/>
      <c r="H1958" s="12"/>
      <c r="K1958"/>
    </row>
    <row r="1959" spans="5:11" x14ac:dyDescent="0.2">
      <c r="E1959" s="50"/>
      <c r="H1959" s="12"/>
      <c r="K1959"/>
    </row>
    <row r="1960" spans="5:11" x14ac:dyDescent="0.2">
      <c r="E1960" s="50"/>
      <c r="H1960" s="12"/>
      <c r="K1960"/>
    </row>
    <row r="1961" spans="5:11" x14ac:dyDescent="0.2">
      <c r="E1961" s="50"/>
      <c r="H1961" s="12"/>
      <c r="K1961"/>
    </row>
    <row r="1962" spans="5:11" x14ac:dyDescent="0.2">
      <c r="E1962" s="50"/>
      <c r="H1962" s="12"/>
      <c r="K1962"/>
    </row>
    <row r="1963" spans="5:11" x14ac:dyDescent="0.2">
      <c r="E1963" s="50"/>
      <c r="H1963" s="12"/>
      <c r="K1963"/>
    </row>
    <row r="1964" spans="5:11" x14ac:dyDescent="0.2">
      <c r="E1964" s="50"/>
      <c r="H1964" s="12"/>
      <c r="K1964"/>
    </row>
    <row r="1965" spans="5:11" x14ac:dyDescent="0.2">
      <c r="E1965" s="50"/>
      <c r="H1965" s="12"/>
      <c r="K1965"/>
    </row>
    <row r="1966" spans="5:11" x14ac:dyDescent="0.2">
      <c r="E1966" s="50"/>
      <c r="H1966" s="12"/>
      <c r="K1966"/>
    </row>
    <row r="1967" spans="5:11" x14ac:dyDescent="0.2">
      <c r="E1967" s="50"/>
      <c r="H1967" s="12"/>
      <c r="K1967"/>
    </row>
    <row r="1968" spans="5:11" x14ac:dyDescent="0.2">
      <c r="E1968" s="50"/>
      <c r="H1968" s="12"/>
      <c r="K1968"/>
    </row>
    <row r="1969" spans="5:11" x14ac:dyDescent="0.2">
      <c r="E1969" s="50"/>
      <c r="H1969" s="12"/>
      <c r="K1969"/>
    </row>
    <row r="1970" spans="5:11" x14ac:dyDescent="0.2">
      <c r="E1970" s="50"/>
      <c r="H1970" s="12"/>
      <c r="K1970"/>
    </row>
    <row r="1971" spans="5:11" x14ac:dyDescent="0.2">
      <c r="E1971" s="50"/>
      <c r="H1971" s="12"/>
      <c r="K1971"/>
    </row>
    <row r="1972" spans="5:11" x14ac:dyDescent="0.2">
      <c r="E1972" s="50"/>
      <c r="H1972" s="12"/>
      <c r="K1972"/>
    </row>
    <row r="1973" spans="5:11" x14ac:dyDescent="0.2">
      <c r="E1973" s="50"/>
      <c r="H1973" s="12"/>
      <c r="K1973"/>
    </row>
    <row r="1974" spans="5:11" x14ac:dyDescent="0.2">
      <c r="E1974" s="50"/>
      <c r="H1974" s="12"/>
      <c r="K1974"/>
    </row>
    <row r="1975" spans="5:11" x14ac:dyDescent="0.2">
      <c r="E1975" s="50"/>
      <c r="H1975" s="12"/>
      <c r="K1975"/>
    </row>
    <row r="1976" spans="5:11" x14ac:dyDescent="0.2">
      <c r="E1976" s="50"/>
      <c r="H1976" s="12"/>
      <c r="K1976"/>
    </row>
    <row r="1977" spans="5:11" x14ac:dyDescent="0.2">
      <c r="E1977" s="50"/>
      <c r="H1977" s="12"/>
      <c r="K1977"/>
    </row>
    <row r="1978" spans="5:11" x14ac:dyDescent="0.2">
      <c r="E1978" s="50"/>
      <c r="H1978" s="12"/>
      <c r="K1978"/>
    </row>
    <row r="1979" spans="5:11" x14ac:dyDescent="0.2">
      <c r="E1979" s="50"/>
      <c r="H1979" s="12"/>
      <c r="K1979"/>
    </row>
    <row r="1980" spans="5:11" x14ac:dyDescent="0.2">
      <c r="E1980" s="50"/>
      <c r="H1980" s="12"/>
      <c r="K1980"/>
    </row>
    <row r="1981" spans="5:11" x14ac:dyDescent="0.2">
      <c r="E1981" s="50"/>
      <c r="H1981" s="12"/>
      <c r="K1981"/>
    </row>
    <row r="1982" spans="5:11" x14ac:dyDescent="0.2">
      <c r="E1982" s="50"/>
      <c r="H1982" s="12"/>
      <c r="K1982"/>
    </row>
    <row r="1983" spans="5:11" x14ac:dyDescent="0.2">
      <c r="E1983" s="50"/>
      <c r="H1983" s="12"/>
      <c r="K1983"/>
    </row>
    <row r="1984" spans="5:11" x14ac:dyDescent="0.2">
      <c r="E1984" s="50"/>
      <c r="H1984" s="12"/>
      <c r="K1984"/>
    </row>
    <row r="1985" spans="5:11" x14ac:dyDescent="0.2">
      <c r="E1985" s="50"/>
      <c r="H1985" s="12"/>
      <c r="K1985"/>
    </row>
    <row r="1986" spans="5:11" x14ac:dyDescent="0.2">
      <c r="E1986" s="50"/>
      <c r="H1986" s="12"/>
      <c r="K1986"/>
    </row>
    <row r="1987" spans="5:11" x14ac:dyDescent="0.2">
      <c r="E1987" s="50"/>
      <c r="H1987" s="12"/>
      <c r="K1987"/>
    </row>
    <row r="1988" spans="5:11" x14ac:dyDescent="0.2">
      <c r="E1988" s="50"/>
      <c r="H1988" s="12"/>
      <c r="K1988"/>
    </row>
    <row r="1989" spans="5:11" x14ac:dyDescent="0.2">
      <c r="E1989" s="50"/>
      <c r="H1989" s="12"/>
      <c r="K1989"/>
    </row>
    <row r="1990" spans="5:11" x14ac:dyDescent="0.2">
      <c r="E1990" s="50"/>
      <c r="H1990" s="12"/>
      <c r="K1990"/>
    </row>
    <row r="1991" spans="5:11" x14ac:dyDescent="0.2">
      <c r="E1991" s="50"/>
      <c r="H1991" s="12"/>
      <c r="K1991"/>
    </row>
    <row r="1992" spans="5:11" x14ac:dyDescent="0.2">
      <c r="E1992" s="50"/>
      <c r="H1992" s="12"/>
      <c r="K1992"/>
    </row>
    <row r="1993" spans="5:11" x14ac:dyDescent="0.2">
      <c r="E1993" s="50"/>
      <c r="H1993" s="12"/>
      <c r="K1993"/>
    </row>
    <row r="1994" spans="5:11" x14ac:dyDescent="0.2">
      <c r="E1994" s="50"/>
      <c r="H1994" s="12"/>
      <c r="K1994"/>
    </row>
    <row r="1995" spans="5:11" x14ac:dyDescent="0.2">
      <c r="E1995" s="50"/>
      <c r="H1995" s="12"/>
      <c r="K1995"/>
    </row>
    <row r="1996" spans="5:11" x14ac:dyDescent="0.2">
      <c r="E1996" s="50"/>
      <c r="H1996" s="12"/>
      <c r="K1996"/>
    </row>
    <row r="1997" spans="5:11" x14ac:dyDescent="0.2">
      <c r="E1997" s="50"/>
      <c r="H1997" s="12"/>
      <c r="K1997"/>
    </row>
    <row r="1998" spans="5:11" x14ac:dyDescent="0.2">
      <c r="E1998" s="50"/>
      <c r="H1998" s="12"/>
      <c r="K1998"/>
    </row>
    <row r="1999" spans="5:11" x14ac:dyDescent="0.2">
      <c r="E1999" s="50"/>
      <c r="H1999" s="12"/>
      <c r="K1999"/>
    </row>
    <row r="2000" spans="5:11" x14ac:dyDescent="0.2">
      <c r="E2000" s="50"/>
      <c r="H2000" s="12"/>
      <c r="K2000"/>
    </row>
    <row r="2001" spans="5:11" x14ac:dyDescent="0.2">
      <c r="E2001" s="50"/>
      <c r="H2001" s="12"/>
      <c r="K2001"/>
    </row>
    <row r="2002" spans="5:11" x14ac:dyDescent="0.2">
      <c r="E2002" s="50"/>
      <c r="H2002" s="12"/>
      <c r="K2002"/>
    </row>
    <row r="2003" spans="5:11" x14ac:dyDescent="0.2">
      <c r="E2003" s="50"/>
      <c r="H2003" s="12"/>
      <c r="K2003"/>
    </row>
    <row r="2004" spans="5:11" x14ac:dyDescent="0.2">
      <c r="E2004" s="50"/>
      <c r="H2004" s="12"/>
      <c r="K2004"/>
    </row>
    <row r="2005" spans="5:11" x14ac:dyDescent="0.2">
      <c r="E2005" s="50"/>
      <c r="H2005" s="12"/>
      <c r="K2005"/>
    </row>
    <row r="2006" spans="5:11" x14ac:dyDescent="0.2">
      <c r="E2006" s="50"/>
      <c r="H2006" s="12"/>
      <c r="K2006"/>
    </row>
    <row r="2007" spans="5:11" x14ac:dyDescent="0.2">
      <c r="E2007" s="50"/>
      <c r="H2007" s="12"/>
      <c r="K2007"/>
    </row>
    <row r="2008" spans="5:11" x14ac:dyDescent="0.2">
      <c r="E2008" s="50"/>
      <c r="H2008" s="12"/>
      <c r="K2008"/>
    </row>
    <row r="2009" spans="5:11" x14ac:dyDescent="0.2">
      <c r="E2009" s="50"/>
      <c r="H2009" s="12"/>
      <c r="K2009"/>
    </row>
    <row r="2010" spans="5:11" x14ac:dyDescent="0.2">
      <c r="E2010" s="50"/>
      <c r="H2010" s="12"/>
      <c r="K2010"/>
    </row>
    <row r="2011" spans="5:11" x14ac:dyDescent="0.2">
      <c r="E2011" s="50"/>
      <c r="H2011" s="12"/>
      <c r="K2011"/>
    </row>
    <row r="2012" spans="5:11" x14ac:dyDescent="0.2">
      <c r="E2012" s="50"/>
      <c r="H2012" s="12"/>
      <c r="K2012"/>
    </row>
    <row r="2013" spans="5:11" x14ac:dyDescent="0.2">
      <c r="E2013" s="50"/>
      <c r="H2013" s="12"/>
      <c r="K2013"/>
    </row>
    <row r="2014" spans="5:11" x14ac:dyDescent="0.2">
      <c r="E2014" s="50"/>
      <c r="H2014" s="12"/>
      <c r="K2014"/>
    </row>
    <row r="2015" spans="5:11" x14ac:dyDescent="0.2">
      <c r="E2015" s="50"/>
      <c r="H2015" s="12"/>
      <c r="K2015"/>
    </row>
    <row r="2016" spans="5:11" x14ac:dyDescent="0.2">
      <c r="E2016" s="50"/>
      <c r="H2016" s="12"/>
      <c r="K2016"/>
    </row>
    <row r="2017" spans="5:11" x14ac:dyDescent="0.2">
      <c r="E2017" s="50"/>
      <c r="H2017" s="12"/>
      <c r="K2017"/>
    </row>
    <row r="2018" spans="5:11" x14ac:dyDescent="0.2">
      <c r="E2018" s="50"/>
      <c r="H2018" s="12"/>
      <c r="K2018"/>
    </row>
    <row r="2019" spans="5:11" x14ac:dyDescent="0.2">
      <c r="E2019" s="50"/>
      <c r="H2019" s="12"/>
      <c r="K2019"/>
    </row>
    <row r="2020" spans="5:11" x14ac:dyDescent="0.2">
      <c r="E2020" s="50"/>
      <c r="H2020" s="12"/>
      <c r="K2020"/>
    </row>
    <row r="2021" spans="5:11" x14ac:dyDescent="0.2">
      <c r="E2021" s="50"/>
      <c r="H2021" s="12"/>
      <c r="K2021"/>
    </row>
    <row r="2022" spans="5:11" x14ac:dyDescent="0.2">
      <c r="E2022" s="50"/>
      <c r="H2022" s="12"/>
      <c r="K2022"/>
    </row>
    <row r="2023" spans="5:11" x14ac:dyDescent="0.2">
      <c r="E2023" s="50"/>
      <c r="H2023" s="12"/>
      <c r="K2023"/>
    </row>
    <row r="2024" spans="5:11" x14ac:dyDescent="0.2">
      <c r="E2024" s="50"/>
      <c r="H2024" s="12"/>
      <c r="K2024"/>
    </row>
    <row r="2025" spans="5:11" x14ac:dyDescent="0.2">
      <c r="E2025" s="50"/>
      <c r="H2025" s="12"/>
      <c r="K2025"/>
    </row>
    <row r="2026" spans="5:11" x14ac:dyDescent="0.2">
      <c r="E2026" s="50"/>
      <c r="H2026" s="12"/>
      <c r="K2026"/>
    </row>
    <row r="2027" spans="5:11" x14ac:dyDescent="0.2">
      <c r="E2027" s="50"/>
      <c r="H2027" s="12"/>
      <c r="K2027"/>
    </row>
    <row r="2028" spans="5:11" x14ac:dyDescent="0.2">
      <c r="E2028" s="50"/>
      <c r="H2028" s="12"/>
      <c r="K2028"/>
    </row>
    <row r="2029" spans="5:11" x14ac:dyDescent="0.2">
      <c r="E2029" s="50"/>
      <c r="H2029" s="12"/>
      <c r="K2029"/>
    </row>
    <row r="2030" spans="5:11" x14ac:dyDescent="0.2">
      <c r="E2030" s="50"/>
      <c r="H2030" s="12"/>
      <c r="K2030"/>
    </row>
    <row r="2031" spans="5:11" x14ac:dyDescent="0.2">
      <c r="E2031" s="50"/>
      <c r="H2031" s="12"/>
      <c r="K2031"/>
    </row>
    <row r="2032" spans="5:11" x14ac:dyDescent="0.2">
      <c r="E2032" s="50"/>
      <c r="H2032" s="12"/>
      <c r="K2032"/>
    </row>
    <row r="2033" spans="5:11" x14ac:dyDescent="0.2">
      <c r="E2033" s="50"/>
      <c r="H2033" s="12"/>
      <c r="K2033"/>
    </row>
    <row r="2034" spans="5:11" x14ac:dyDescent="0.2">
      <c r="E2034" s="50"/>
      <c r="H2034" s="12"/>
      <c r="K2034"/>
    </row>
    <row r="2035" spans="5:11" x14ac:dyDescent="0.2">
      <c r="E2035" s="50"/>
      <c r="H2035" s="12"/>
      <c r="K2035"/>
    </row>
    <row r="2036" spans="5:11" x14ac:dyDescent="0.2">
      <c r="E2036" s="50"/>
      <c r="H2036" s="12"/>
      <c r="K2036"/>
    </row>
    <row r="2037" spans="5:11" x14ac:dyDescent="0.2">
      <c r="E2037" s="50"/>
      <c r="H2037" s="12"/>
      <c r="K2037"/>
    </row>
    <row r="2038" spans="5:11" x14ac:dyDescent="0.2">
      <c r="E2038" s="50"/>
      <c r="H2038" s="12"/>
      <c r="K2038"/>
    </row>
    <row r="2039" spans="5:11" x14ac:dyDescent="0.2">
      <c r="E2039" s="50"/>
      <c r="H2039" s="12"/>
      <c r="K2039"/>
    </row>
    <row r="2040" spans="5:11" x14ac:dyDescent="0.2">
      <c r="E2040" s="50"/>
      <c r="H2040" s="12"/>
      <c r="K2040"/>
    </row>
    <row r="2041" spans="5:11" x14ac:dyDescent="0.2">
      <c r="E2041" s="50"/>
      <c r="H2041" s="12"/>
      <c r="K2041"/>
    </row>
    <row r="2042" spans="5:11" x14ac:dyDescent="0.2">
      <c r="E2042" s="50"/>
      <c r="H2042" s="12"/>
      <c r="K2042"/>
    </row>
    <row r="2043" spans="5:11" x14ac:dyDescent="0.2">
      <c r="E2043" s="50"/>
      <c r="H2043" s="12"/>
      <c r="K2043"/>
    </row>
    <row r="2044" spans="5:11" x14ac:dyDescent="0.2">
      <c r="E2044" s="50"/>
      <c r="H2044" s="12"/>
      <c r="K2044"/>
    </row>
    <row r="2045" spans="5:11" x14ac:dyDescent="0.2">
      <c r="E2045" s="50"/>
      <c r="H2045" s="12"/>
      <c r="K2045"/>
    </row>
    <row r="2046" spans="5:11" x14ac:dyDescent="0.2">
      <c r="E2046" s="50"/>
      <c r="H2046" s="12"/>
      <c r="K2046"/>
    </row>
    <row r="2047" spans="5:11" x14ac:dyDescent="0.2">
      <c r="E2047" s="50"/>
      <c r="H2047" s="12"/>
      <c r="K2047"/>
    </row>
    <row r="2048" spans="5:11" x14ac:dyDescent="0.2">
      <c r="E2048" s="50"/>
      <c r="H2048" s="12"/>
      <c r="K2048"/>
    </row>
    <row r="2049" spans="5:11" x14ac:dyDescent="0.2">
      <c r="E2049" s="50"/>
      <c r="H2049" s="12"/>
      <c r="K2049"/>
    </row>
    <row r="2050" spans="5:11" x14ac:dyDescent="0.2">
      <c r="E2050" s="50"/>
      <c r="H2050" s="12"/>
      <c r="K2050"/>
    </row>
    <row r="2051" spans="5:11" x14ac:dyDescent="0.2">
      <c r="E2051" s="50"/>
      <c r="H2051" s="12"/>
      <c r="K2051"/>
    </row>
    <row r="2052" spans="5:11" x14ac:dyDescent="0.2">
      <c r="E2052" s="50"/>
      <c r="H2052" s="12"/>
      <c r="K2052"/>
    </row>
    <row r="2053" spans="5:11" x14ac:dyDescent="0.2">
      <c r="E2053" s="50"/>
      <c r="H2053" s="12"/>
      <c r="K2053"/>
    </row>
    <row r="2054" spans="5:11" x14ac:dyDescent="0.2">
      <c r="E2054" s="50"/>
      <c r="H2054" s="12"/>
      <c r="K2054"/>
    </row>
    <row r="2055" spans="5:11" x14ac:dyDescent="0.2">
      <c r="E2055" s="50"/>
      <c r="H2055" s="12"/>
      <c r="K2055"/>
    </row>
    <row r="2056" spans="5:11" x14ac:dyDescent="0.2">
      <c r="E2056" s="50"/>
      <c r="H2056" s="12"/>
      <c r="K2056"/>
    </row>
    <row r="2057" spans="5:11" x14ac:dyDescent="0.2">
      <c r="E2057" s="50"/>
      <c r="H2057" s="12"/>
      <c r="K2057"/>
    </row>
    <row r="2058" spans="5:11" x14ac:dyDescent="0.2">
      <c r="E2058" s="50"/>
      <c r="H2058" s="12"/>
      <c r="K2058"/>
    </row>
    <row r="2059" spans="5:11" x14ac:dyDescent="0.2">
      <c r="E2059" s="50"/>
      <c r="H2059" s="12"/>
      <c r="K2059"/>
    </row>
    <row r="2060" spans="5:11" x14ac:dyDescent="0.2">
      <c r="E2060" s="50"/>
      <c r="H2060" s="12"/>
      <c r="K2060"/>
    </row>
    <row r="2061" spans="5:11" x14ac:dyDescent="0.2">
      <c r="E2061" s="50"/>
      <c r="H2061" s="12"/>
      <c r="K2061"/>
    </row>
    <row r="2062" spans="5:11" x14ac:dyDescent="0.2">
      <c r="E2062" s="50"/>
      <c r="H2062" s="12"/>
      <c r="K2062"/>
    </row>
    <row r="2063" spans="5:11" x14ac:dyDescent="0.2">
      <c r="E2063" s="50"/>
      <c r="H2063" s="12"/>
      <c r="K2063"/>
    </row>
    <row r="2064" spans="5:11" x14ac:dyDescent="0.2">
      <c r="E2064" s="50"/>
      <c r="H2064" s="12"/>
      <c r="K2064"/>
    </row>
    <row r="2065" spans="5:11" x14ac:dyDescent="0.2">
      <c r="E2065" s="50"/>
      <c r="H2065" s="12"/>
      <c r="K2065"/>
    </row>
    <row r="2066" spans="5:11" x14ac:dyDescent="0.2">
      <c r="E2066" s="50"/>
      <c r="H2066" s="12"/>
      <c r="K2066"/>
    </row>
    <row r="2067" spans="5:11" x14ac:dyDescent="0.2">
      <c r="E2067" s="50"/>
      <c r="H2067" s="12"/>
      <c r="K2067"/>
    </row>
    <row r="2068" spans="5:11" x14ac:dyDescent="0.2">
      <c r="E2068" s="50"/>
      <c r="H2068" s="12"/>
      <c r="K2068"/>
    </row>
    <row r="2069" spans="5:11" x14ac:dyDescent="0.2">
      <c r="E2069" s="50"/>
      <c r="H2069" s="12"/>
      <c r="K2069"/>
    </row>
    <row r="2070" spans="5:11" x14ac:dyDescent="0.2">
      <c r="E2070" s="50"/>
      <c r="H2070" s="12"/>
      <c r="K2070"/>
    </row>
    <row r="2071" spans="5:11" x14ac:dyDescent="0.2">
      <c r="E2071" s="50"/>
      <c r="H2071" s="12"/>
      <c r="K2071"/>
    </row>
    <row r="2072" spans="5:11" x14ac:dyDescent="0.2">
      <c r="E2072" s="50"/>
      <c r="H2072" s="12"/>
      <c r="K2072"/>
    </row>
    <row r="2073" spans="5:11" x14ac:dyDescent="0.2">
      <c r="E2073" s="50"/>
      <c r="H2073" s="12"/>
      <c r="K2073"/>
    </row>
    <row r="2074" spans="5:11" x14ac:dyDescent="0.2">
      <c r="E2074" s="50"/>
      <c r="H2074" s="12"/>
      <c r="K2074"/>
    </row>
    <row r="2075" spans="5:11" x14ac:dyDescent="0.2">
      <c r="E2075" s="50"/>
      <c r="H2075" s="12"/>
      <c r="K2075"/>
    </row>
    <row r="2076" spans="5:11" x14ac:dyDescent="0.2">
      <c r="E2076" s="50"/>
      <c r="H2076" s="12"/>
      <c r="K2076"/>
    </row>
    <row r="2077" spans="5:11" x14ac:dyDescent="0.2">
      <c r="E2077" s="50"/>
      <c r="H2077" s="12"/>
      <c r="K2077"/>
    </row>
    <row r="2078" spans="5:11" x14ac:dyDescent="0.2">
      <c r="E2078" s="50"/>
      <c r="H2078" s="12"/>
      <c r="K2078"/>
    </row>
    <row r="2079" spans="5:11" x14ac:dyDescent="0.2">
      <c r="E2079" s="50"/>
      <c r="H2079" s="12"/>
      <c r="K2079"/>
    </row>
    <row r="2080" spans="5:11" x14ac:dyDescent="0.2">
      <c r="E2080" s="50"/>
      <c r="H2080" s="12"/>
      <c r="K2080"/>
    </row>
    <row r="2081" spans="5:11" x14ac:dyDescent="0.2">
      <c r="E2081" s="50"/>
      <c r="H2081" s="12"/>
      <c r="K2081"/>
    </row>
    <row r="2082" spans="5:11" x14ac:dyDescent="0.2">
      <c r="E2082" s="50"/>
      <c r="H2082" s="12"/>
      <c r="K2082"/>
    </row>
    <row r="2083" spans="5:11" x14ac:dyDescent="0.2">
      <c r="E2083" s="50"/>
      <c r="H2083" s="12"/>
      <c r="K2083"/>
    </row>
    <row r="2084" spans="5:11" x14ac:dyDescent="0.2">
      <c r="E2084" s="50"/>
      <c r="H2084" s="12"/>
      <c r="K2084"/>
    </row>
    <row r="2085" spans="5:11" x14ac:dyDescent="0.2">
      <c r="E2085" s="50"/>
      <c r="H2085" s="12"/>
      <c r="K2085"/>
    </row>
    <row r="2086" spans="5:11" x14ac:dyDescent="0.2">
      <c r="E2086" s="50"/>
      <c r="H2086" s="12"/>
      <c r="K2086"/>
    </row>
    <row r="2087" spans="5:11" x14ac:dyDescent="0.2">
      <c r="E2087" s="50"/>
      <c r="H2087" s="12"/>
      <c r="K2087"/>
    </row>
    <row r="2088" spans="5:11" x14ac:dyDescent="0.2">
      <c r="E2088" s="50"/>
      <c r="H2088" s="12"/>
      <c r="K2088"/>
    </row>
    <row r="2089" spans="5:11" x14ac:dyDescent="0.2">
      <c r="E2089" s="50"/>
      <c r="H2089" s="12"/>
      <c r="K2089"/>
    </row>
    <row r="2090" spans="5:11" x14ac:dyDescent="0.2">
      <c r="E2090" s="50"/>
      <c r="H2090" s="12"/>
      <c r="K2090"/>
    </row>
    <row r="2091" spans="5:11" x14ac:dyDescent="0.2">
      <c r="E2091" s="50"/>
      <c r="H2091" s="12"/>
      <c r="K2091"/>
    </row>
    <row r="2092" spans="5:11" x14ac:dyDescent="0.2">
      <c r="E2092" s="50"/>
      <c r="H2092" s="12"/>
      <c r="K2092"/>
    </row>
    <row r="2093" spans="5:11" x14ac:dyDescent="0.2">
      <c r="E2093" s="50"/>
      <c r="H2093" s="12"/>
      <c r="K2093"/>
    </row>
    <row r="2094" spans="5:11" x14ac:dyDescent="0.2">
      <c r="E2094" s="50"/>
      <c r="H2094" s="12"/>
      <c r="K2094"/>
    </row>
    <row r="2095" spans="5:11" x14ac:dyDescent="0.2">
      <c r="E2095" s="50"/>
      <c r="H2095" s="12"/>
      <c r="K2095"/>
    </row>
    <row r="2096" spans="5:11" x14ac:dyDescent="0.2">
      <c r="E2096" s="50"/>
      <c r="H2096" s="12"/>
      <c r="K2096"/>
    </row>
    <row r="2097" spans="5:11" x14ac:dyDescent="0.2">
      <c r="E2097" s="50"/>
      <c r="H2097" s="12"/>
      <c r="K2097"/>
    </row>
    <row r="2098" spans="5:11" x14ac:dyDescent="0.2">
      <c r="E2098" s="50"/>
      <c r="H2098" s="12"/>
      <c r="K2098"/>
    </row>
    <row r="2099" spans="5:11" x14ac:dyDescent="0.2">
      <c r="E2099" s="50"/>
      <c r="H2099" s="12"/>
      <c r="K2099"/>
    </row>
    <row r="2100" spans="5:11" x14ac:dyDescent="0.2">
      <c r="E2100" s="50"/>
      <c r="H2100" s="12"/>
      <c r="K2100"/>
    </row>
    <row r="2101" spans="5:11" x14ac:dyDescent="0.2">
      <c r="E2101" s="50"/>
      <c r="H2101" s="12"/>
      <c r="K2101"/>
    </row>
    <row r="2102" spans="5:11" x14ac:dyDescent="0.2">
      <c r="E2102" s="50"/>
      <c r="H2102" s="12"/>
      <c r="K2102"/>
    </row>
    <row r="2103" spans="5:11" x14ac:dyDescent="0.2">
      <c r="E2103" s="50"/>
      <c r="H2103" s="12"/>
      <c r="K2103"/>
    </row>
    <row r="2104" spans="5:11" x14ac:dyDescent="0.2">
      <c r="E2104" s="50"/>
      <c r="H2104" s="12"/>
      <c r="K2104"/>
    </row>
    <row r="2105" spans="5:11" x14ac:dyDescent="0.2">
      <c r="E2105" s="50"/>
      <c r="H2105" s="12"/>
      <c r="K2105"/>
    </row>
    <row r="2106" spans="5:11" x14ac:dyDescent="0.2">
      <c r="E2106" s="50"/>
      <c r="H2106" s="12"/>
      <c r="K2106"/>
    </row>
    <row r="2107" spans="5:11" x14ac:dyDescent="0.2">
      <c r="E2107" s="50"/>
      <c r="H2107" s="12"/>
      <c r="K2107"/>
    </row>
    <row r="2108" spans="5:11" x14ac:dyDescent="0.2">
      <c r="E2108" s="50"/>
      <c r="H2108" s="12"/>
      <c r="K2108"/>
    </row>
    <row r="2109" spans="5:11" x14ac:dyDescent="0.2">
      <c r="E2109" s="50"/>
      <c r="H2109" s="12"/>
      <c r="K2109"/>
    </row>
    <row r="2110" spans="5:11" x14ac:dyDescent="0.2">
      <c r="E2110" s="50"/>
      <c r="H2110" s="12"/>
      <c r="K2110"/>
    </row>
    <row r="2111" spans="5:11" x14ac:dyDescent="0.2">
      <c r="E2111" s="50"/>
      <c r="H2111" s="12"/>
      <c r="K2111"/>
    </row>
    <row r="2112" spans="5:11" x14ac:dyDescent="0.2">
      <c r="E2112" s="50"/>
      <c r="H2112" s="12"/>
      <c r="K2112"/>
    </row>
    <row r="2113" spans="5:11" x14ac:dyDescent="0.2">
      <c r="E2113" s="50"/>
      <c r="H2113" s="12"/>
      <c r="K2113"/>
    </row>
    <row r="2114" spans="5:11" x14ac:dyDescent="0.2">
      <c r="E2114" s="50"/>
      <c r="H2114" s="12"/>
      <c r="K2114"/>
    </row>
    <row r="2115" spans="5:11" x14ac:dyDescent="0.2">
      <c r="E2115" s="50"/>
      <c r="H2115" s="12"/>
      <c r="K2115"/>
    </row>
    <row r="2116" spans="5:11" x14ac:dyDescent="0.2">
      <c r="E2116" s="50"/>
      <c r="H2116" s="12"/>
      <c r="K2116"/>
    </row>
    <row r="2117" spans="5:11" x14ac:dyDescent="0.2">
      <c r="E2117" s="50"/>
      <c r="H2117" s="12"/>
      <c r="K2117"/>
    </row>
    <row r="2118" spans="5:11" x14ac:dyDescent="0.2">
      <c r="E2118" s="50"/>
      <c r="H2118" s="12"/>
      <c r="K2118"/>
    </row>
    <row r="2119" spans="5:11" x14ac:dyDescent="0.2">
      <c r="E2119" s="50"/>
      <c r="H2119" s="12"/>
      <c r="K2119"/>
    </row>
    <row r="2120" spans="5:11" x14ac:dyDescent="0.2">
      <c r="E2120" s="50"/>
      <c r="H2120" s="12"/>
      <c r="K2120"/>
    </row>
    <row r="2121" spans="5:11" x14ac:dyDescent="0.2">
      <c r="E2121" s="50"/>
      <c r="H2121" s="12"/>
      <c r="K2121"/>
    </row>
    <row r="2122" spans="5:11" x14ac:dyDescent="0.2">
      <c r="E2122" s="50"/>
      <c r="H2122" s="12"/>
      <c r="K2122"/>
    </row>
    <row r="2123" spans="5:11" x14ac:dyDescent="0.2">
      <c r="E2123" s="50"/>
      <c r="H2123" s="12"/>
      <c r="K2123"/>
    </row>
    <row r="2124" spans="5:11" x14ac:dyDescent="0.2">
      <c r="E2124" s="50"/>
      <c r="H2124" s="12"/>
      <c r="K2124"/>
    </row>
    <row r="2125" spans="5:11" x14ac:dyDescent="0.2">
      <c r="E2125" s="50"/>
      <c r="H2125" s="12"/>
      <c r="K2125"/>
    </row>
    <row r="2126" spans="5:11" x14ac:dyDescent="0.2">
      <c r="E2126" s="50"/>
      <c r="H2126" s="12"/>
      <c r="K2126"/>
    </row>
    <row r="2127" spans="5:11" x14ac:dyDescent="0.2">
      <c r="E2127" s="50"/>
      <c r="H2127" s="12"/>
      <c r="K2127"/>
    </row>
    <row r="2128" spans="5:11" x14ac:dyDescent="0.2">
      <c r="E2128" s="50"/>
      <c r="H2128" s="12"/>
      <c r="K2128"/>
    </row>
    <row r="2129" spans="5:11" x14ac:dyDescent="0.2">
      <c r="E2129" s="50"/>
      <c r="H2129" s="12"/>
      <c r="K2129"/>
    </row>
    <row r="2130" spans="5:11" x14ac:dyDescent="0.2">
      <c r="E2130" s="50"/>
      <c r="H2130" s="12"/>
      <c r="K2130"/>
    </row>
    <row r="2131" spans="5:11" x14ac:dyDescent="0.2">
      <c r="E2131" s="50"/>
      <c r="H2131" s="12"/>
      <c r="K2131"/>
    </row>
    <row r="2132" spans="5:11" x14ac:dyDescent="0.2">
      <c r="E2132" s="50"/>
      <c r="H2132" s="12"/>
      <c r="K2132"/>
    </row>
    <row r="2133" spans="5:11" x14ac:dyDescent="0.2">
      <c r="E2133" s="50"/>
      <c r="H2133" s="12"/>
      <c r="K2133"/>
    </row>
    <row r="2134" spans="5:11" x14ac:dyDescent="0.2">
      <c r="E2134" s="50"/>
      <c r="H2134" s="12"/>
      <c r="K2134"/>
    </row>
    <row r="2135" spans="5:11" x14ac:dyDescent="0.2">
      <c r="E2135" s="50"/>
      <c r="H2135" s="12"/>
      <c r="K2135"/>
    </row>
    <row r="2136" spans="5:11" x14ac:dyDescent="0.2">
      <c r="E2136" s="50"/>
      <c r="H2136" s="12"/>
      <c r="K2136"/>
    </row>
    <row r="2137" spans="5:11" x14ac:dyDescent="0.2">
      <c r="E2137" s="50"/>
      <c r="H2137" s="12"/>
      <c r="K2137"/>
    </row>
    <row r="2138" spans="5:11" x14ac:dyDescent="0.2">
      <c r="E2138" s="50"/>
      <c r="H2138" s="12"/>
      <c r="K2138"/>
    </row>
    <row r="2139" spans="5:11" x14ac:dyDescent="0.2">
      <c r="E2139" s="50"/>
      <c r="H2139" s="12"/>
      <c r="K2139"/>
    </row>
    <row r="2140" spans="5:11" x14ac:dyDescent="0.2">
      <c r="E2140" s="50"/>
      <c r="H2140" s="12"/>
      <c r="K2140"/>
    </row>
    <row r="2141" spans="5:11" x14ac:dyDescent="0.2">
      <c r="E2141" s="50"/>
      <c r="H2141" s="12"/>
      <c r="K2141"/>
    </row>
    <row r="2142" spans="5:11" x14ac:dyDescent="0.2">
      <c r="E2142" s="50"/>
      <c r="H2142" s="12"/>
      <c r="K2142"/>
    </row>
    <row r="2143" spans="5:11" x14ac:dyDescent="0.2">
      <c r="E2143" s="50"/>
      <c r="H2143" s="12"/>
      <c r="K2143"/>
    </row>
    <row r="2144" spans="5:11" x14ac:dyDescent="0.2">
      <c r="E2144" s="50"/>
      <c r="H2144" s="12"/>
      <c r="K2144"/>
    </row>
    <row r="2145" spans="5:11" x14ac:dyDescent="0.2">
      <c r="E2145" s="50"/>
      <c r="H2145" s="12"/>
      <c r="K2145"/>
    </row>
    <row r="2146" spans="5:11" x14ac:dyDescent="0.2">
      <c r="E2146" s="50"/>
      <c r="H2146" s="12"/>
      <c r="K2146"/>
    </row>
    <row r="2147" spans="5:11" x14ac:dyDescent="0.2">
      <c r="E2147" s="50"/>
      <c r="H2147" s="12"/>
      <c r="K2147"/>
    </row>
    <row r="2148" spans="5:11" x14ac:dyDescent="0.2">
      <c r="E2148" s="50"/>
      <c r="H2148" s="12"/>
      <c r="K2148"/>
    </row>
    <row r="2149" spans="5:11" x14ac:dyDescent="0.2">
      <c r="E2149" s="50"/>
      <c r="H2149" s="12"/>
      <c r="K2149"/>
    </row>
    <row r="2150" spans="5:11" x14ac:dyDescent="0.2">
      <c r="E2150" s="50"/>
      <c r="H2150" s="12"/>
      <c r="K2150"/>
    </row>
    <row r="2151" spans="5:11" x14ac:dyDescent="0.2">
      <c r="E2151" s="50"/>
      <c r="H2151" s="12"/>
      <c r="K2151"/>
    </row>
    <row r="2152" spans="5:11" x14ac:dyDescent="0.2">
      <c r="E2152" s="50"/>
      <c r="H2152" s="12"/>
      <c r="K2152"/>
    </row>
    <row r="2153" spans="5:11" x14ac:dyDescent="0.2">
      <c r="E2153" s="50"/>
      <c r="H2153" s="12"/>
      <c r="K2153"/>
    </row>
    <row r="2154" spans="5:11" x14ac:dyDescent="0.2">
      <c r="E2154" s="50"/>
      <c r="H2154" s="12"/>
      <c r="K2154"/>
    </row>
    <row r="2155" spans="5:11" x14ac:dyDescent="0.2">
      <c r="E2155" s="50"/>
      <c r="H2155" s="12"/>
      <c r="K2155"/>
    </row>
    <row r="2156" spans="5:11" x14ac:dyDescent="0.2">
      <c r="E2156" s="50"/>
      <c r="H2156" s="12"/>
      <c r="K2156"/>
    </row>
    <row r="2157" spans="5:11" x14ac:dyDescent="0.2">
      <c r="E2157" s="50"/>
      <c r="H2157" s="12"/>
      <c r="K2157"/>
    </row>
    <row r="2158" spans="5:11" x14ac:dyDescent="0.2">
      <c r="E2158" s="50"/>
      <c r="H2158" s="12"/>
      <c r="K2158"/>
    </row>
    <row r="2159" spans="5:11" x14ac:dyDescent="0.2">
      <c r="E2159" s="50"/>
      <c r="H2159" s="12"/>
      <c r="K2159"/>
    </row>
    <row r="2160" spans="5:11" x14ac:dyDescent="0.2">
      <c r="E2160" s="50"/>
      <c r="H2160" s="12"/>
      <c r="K2160"/>
    </row>
    <row r="2161" spans="5:11" x14ac:dyDescent="0.2">
      <c r="E2161" s="50"/>
      <c r="H2161" s="12"/>
      <c r="K2161"/>
    </row>
    <row r="2162" spans="5:11" x14ac:dyDescent="0.2">
      <c r="E2162" s="50"/>
      <c r="H2162" s="12"/>
      <c r="K2162"/>
    </row>
    <row r="2163" spans="5:11" x14ac:dyDescent="0.2">
      <c r="E2163" s="50"/>
      <c r="H2163" s="12"/>
      <c r="K2163"/>
    </row>
    <row r="2164" spans="5:11" x14ac:dyDescent="0.2">
      <c r="E2164" s="50"/>
      <c r="H2164" s="12"/>
      <c r="K2164"/>
    </row>
    <row r="2165" spans="5:11" x14ac:dyDescent="0.2">
      <c r="E2165" s="50"/>
      <c r="H2165" s="12"/>
      <c r="K2165"/>
    </row>
    <row r="2166" spans="5:11" x14ac:dyDescent="0.2">
      <c r="E2166" s="50"/>
      <c r="H2166" s="12"/>
      <c r="K2166"/>
    </row>
    <row r="2167" spans="5:11" x14ac:dyDescent="0.2">
      <c r="E2167" s="50"/>
      <c r="H2167" s="12"/>
      <c r="K2167"/>
    </row>
    <row r="2168" spans="5:11" x14ac:dyDescent="0.2">
      <c r="E2168" s="50"/>
      <c r="H2168" s="12"/>
      <c r="K2168"/>
    </row>
    <row r="2169" spans="5:11" x14ac:dyDescent="0.2">
      <c r="E2169" s="50"/>
      <c r="H2169" s="12"/>
      <c r="K2169"/>
    </row>
    <row r="2170" spans="5:11" x14ac:dyDescent="0.2">
      <c r="E2170" s="50"/>
      <c r="H2170" s="12"/>
      <c r="K2170"/>
    </row>
    <row r="2171" spans="5:11" x14ac:dyDescent="0.2">
      <c r="E2171" s="50"/>
      <c r="H2171" s="12"/>
      <c r="K2171"/>
    </row>
    <row r="2172" spans="5:11" x14ac:dyDescent="0.2">
      <c r="E2172" s="50"/>
      <c r="H2172" s="12"/>
      <c r="K2172"/>
    </row>
    <row r="2173" spans="5:11" x14ac:dyDescent="0.2">
      <c r="E2173" s="50"/>
      <c r="H2173" s="12"/>
      <c r="K2173"/>
    </row>
    <row r="2174" spans="5:11" x14ac:dyDescent="0.2">
      <c r="E2174" s="50"/>
      <c r="H2174" s="12"/>
      <c r="K2174"/>
    </row>
    <row r="2175" spans="5:11" x14ac:dyDescent="0.2">
      <c r="E2175" s="50"/>
      <c r="H2175" s="12"/>
      <c r="K2175"/>
    </row>
    <row r="2176" spans="5:11" x14ac:dyDescent="0.2">
      <c r="E2176" s="50"/>
      <c r="H2176" s="12"/>
      <c r="K2176"/>
    </row>
    <row r="2177" spans="5:11" x14ac:dyDescent="0.2">
      <c r="E2177" s="50"/>
      <c r="H2177" s="12"/>
      <c r="K2177"/>
    </row>
    <row r="2178" spans="5:11" x14ac:dyDescent="0.2">
      <c r="E2178" s="50"/>
      <c r="H2178" s="12"/>
      <c r="K2178"/>
    </row>
    <row r="2179" spans="5:11" x14ac:dyDescent="0.2">
      <c r="E2179" s="50"/>
      <c r="H2179" s="12"/>
      <c r="K2179"/>
    </row>
    <row r="2180" spans="5:11" x14ac:dyDescent="0.2">
      <c r="E2180" s="50"/>
      <c r="H2180" s="12"/>
      <c r="K2180"/>
    </row>
    <row r="2181" spans="5:11" x14ac:dyDescent="0.2">
      <c r="E2181" s="50"/>
      <c r="H2181" s="12"/>
      <c r="K2181"/>
    </row>
    <row r="2182" spans="5:11" x14ac:dyDescent="0.2">
      <c r="E2182" s="50"/>
      <c r="H2182" s="12"/>
      <c r="K2182"/>
    </row>
    <row r="2183" spans="5:11" x14ac:dyDescent="0.2">
      <c r="E2183" s="50"/>
      <c r="H2183" s="12"/>
      <c r="K2183"/>
    </row>
    <row r="2184" spans="5:11" x14ac:dyDescent="0.2">
      <c r="E2184" s="50"/>
      <c r="H2184" s="12"/>
      <c r="K2184"/>
    </row>
    <row r="2185" spans="5:11" x14ac:dyDescent="0.2">
      <c r="E2185" s="50"/>
      <c r="H2185" s="12"/>
      <c r="K2185"/>
    </row>
    <row r="2186" spans="5:11" x14ac:dyDescent="0.2">
      <c r="E2186" s="50"/>
      <c r="H2186" s="12"/>
      <c r="K2186"/>
    </row>
    <row r="2187" spans="5:11" x14ac:dyDescent="0.2">
      <c r="E2187" s="50"/>
      <c r="H2187" s="12"/>
      <c r="K2187"/>
    </row>
    <row r="2188" spans="5:11" x14ac:dyDescent="0.2">
      <c r="E2188" s="50"/>
      <c r="H2188" s="12"/>
      <c r="K2188"/>
    </row>
    <row r="2189" spans="5:11" x14ac:dyDescent="0.2">
      <c r="E2189" s="50"/>
      <c r="H2189" s="12"/>
      <c r="K2189"/>
    </row>
    <row r="2190" spans="5:11" x14ac:dyDescent="0.2">
      <c r="E2190" s="50"/>
      <c r="H2190" s="12"/>
      <c r="K2190"/>
    </row>
    <row r="2191" spans="5:11" x14ac:dyDescent="0.2">
      <c r="E2191" s="50"/>
      <c r="H2191" s="12"/>
      <c r="K2191"/>
    </row>
    <row r="2192" spans="5:11" x14ac:dyDescent="0.2">
      <c r="E2192" s="50"/>
      <c r="H2192" s="12"/>
      <c r="K2192"/>
    </row>
    <row r="2193" spans="5:11" x14ac:dyDescent="0.2">
      <c r="E2193" s="50"/>
      <c r="H2193" s="12"/>
      <c r="K2193"/>
    </row>
    <row r="2194" spans="5:11" x14ac:dyDescent="0.2">
      <c r="E2194" s="50"/>
      <c r="H2194" s="12"/>
      <c r="K2194"/>
    </row>
    <row r="2195" spans="5:11" x14ac:dyDescent="0.2">
      <c r="E2195" s="50"/>
      <c r="H2195" s="12"/>
      <c r="K2195"/>
    </row>
    <row r="2196" spans="5:11" x14ac:dyDescent="0.2">
      <c r="E2196" s="50"/>
      <c r="H2196" s="12"/>
      <c r="K2196"/>
    </row>
    <row r="2197" spans="5:11" x14ac:dyDescent="0.2">
      <c r="E2197" s="50"/>
      <c r="H2197" s="12"/>
      <c r="K2197"/>
    </row>
    <row r="2198" spans="5:11" x14ac:dyDescent="0.2">
      <c r="E2198" s="50"/>
      <c r="H2198" s="12"/>
      <c r="K2198"/>
    </row>
    <row r="2199" spans="5:11" x14ac:dyDescent="0.2">
      <c r="E2199" s="50"/>
      <c r="H2199" s="12"/>
      <c r="K2199"/>
    </row>
    <row r="2200" spans="5:11" x14ac:dyDescent="0.2">
      <c r="E2200" s="50"/>
      <c r="H2200" s="12"/>
      <c r="K2200"/>
    </row>
    <row r="2201" spans="5:11" x14ac:dyDescent="0.2">
      <c r="E2201" s="50"/>
      <c r="H2201" s="12"/>
      <c r="K2201"/>
    </row>
    <row r="2202" spans="5:11" x14ac:dyDescent="0.2">
      <c r="E2202" s="50"/>
      <c r="H2202" s="12"/>
      <c r="K2202"/>
    </row>
    <row r="2203" spans="5:11" x14ac:dyDescent="0.2">
      <c r="E2203" s="50"/>
      <c r="H2203" s="12"/>
      <c r="K2203"/>
    </row>
    <row r="2204" spans="5:11" x14ac:dyDescent="0.2">
      <c r="E2204" s="50"/>
      <c r="H2204" s="12"/>
      <c r="K2204"/>
    </row>
    <row r="2205" spans="5:11" x14ac:dyDescent="0.2">
      <c r="E2205" s="50"/>
      <c r="H2205" s="12"/>
      <c r="K2205"/>
    </row>
    <row r="2206" spans="5:11" x14ac:dyDescent="0.2">
      <c r="E2206" s="50"/>
      <c r="H2206" s="12"/>
      <c r="K2206"/>
    </row>
    <row r="2207" spans="5:11" x14ac:dyDescent="0.2">
      <c r="E2207" s="50"/>
      <c r="H2207" s="12"/>
      <c r="K2207"/>
    </row>
    <row r="2208" spans="5:11" x14ac:dyDescent="0.2">
      <c r="E2208" s="50"/>
      <c r="H2208" s="12"/>
      <c r="K2208"/>
    </row>
    <row r="2209" spans="5:11" x14ac:dyDescent="0.2">
      <c r="E2209" s="50"/>
      <c r="H2209" s="12"/>
      <c r="K2209"/>
    </row>
    <row r="2210" spans="5:11" x14ac:dyDescent="0.2">
      <c r="E2210" s="50"/>
      <c r="H2210" s="12"/>
      <c r="K2210"/>
    </row>
    <row r="2211" spans="5:11" x14ac:dyDescent="0.2">
      <c r="E2211" s="50"/>
      <c r="H2211" s="12"/>
      <c r="K2211"/>
    </row>
    <row r="2212" spans="5:11" x14ac:dyDescent="0.2">
      <c r="E2212" s="50"/>
      <c r="H2212" s="12"/>
      <c r="K2212"/>
    </row>
    <row r="2213" spans="5:11" x14ac:dyDescent="0.2">
      <c r="E2213" s="50"/>
      <c r="H2213" s="12"/>
      <c r="K2213"/>
    </row>
    <row r="2214" spans="5:11" x14ac:dyDescent="0.2">
      <c r="E2214" s="50"/>
      <c r="H2214" s="12"/>
      <c r="K2214"/>
    </row>
    <row r="2215" spans="5:11" x14ac:dyDescent="0.2">
      <c r="E2215" s="50"/>
      <c r="H2215" s="12"/>
      <c r="K2215"/>
    </row>
    <row r="2216" spans="5:11" x14ac:dyDescent="0.2">
      <c r="E2216" s="50"/>
      <c r="H2216" s="12"/>
      <c r="K2216"/>
    </row>
    <row r="2217" spans="5:11" x14ac:dyDescent="0.2">
      <c r="E2217" s="50"/>
      <c r="H2217" s="12"/>
      <c r="K2217"/>
    </row>
    <row r="2218" spans="5:11" x14ac:dyDescent="0.2">
      <c r="E2218" s="50"/>
      <c r="H2218" s="12"/>
      <c r="K2218"/>
    </row>
    <row r="2219" spans="5:11" x14ac:dyDescent="0.2">
      <c r="E2219" s="50"/>
      <c r="H2219" s="12"/>
      <c r="K2219"/>
    </row>
    <row r="2220" spans="5:11" x14ac:dyDescent="0.2">
      <c r="E2220" s="50"/>
      <c r="H2220" s="12"/>
      <c r="K2220"/>
    </row>
    <row r="2221" spans="5:11" x14ac:dyDescent="0.2">
      <c r="E2221" s="50"/>
      <c r="H2221" s="12"/>
      <c r="K2221"/>
    </row>
    <row r="2222" spans="5:11" x14ac:dyDescent="0.2">
      <c r="E2222" s="50"/>
      <c r="H2222" s="12"/>
      <c r="K2222"/>
    </row>
    <row r="2223" spans="5:11" x14ac:dyDescent="0.2">
      <c r="E2223" s="50"/>
      <c r="H2223" s="12"/>
      <c r="K2223"/>
    </row>
    <row r="2224" spans="5:11" x14ac:dyDescent="0.2">
      <c r="E2224" s="50"/>
      <c r="H2224" s="12"/>
      <c r="K2224"/>
    </row>
    <row r="2225" spans="5:11" x14ac:dyDescent="0.2">
      <c r="E2225" s="50"/>
      <c r="H2225" s="12"/>
      <c r="K2225"/>
    </row>
    <row r="2226" spans="5:11" x14ac:dyDescent="0.2">
      <c r="E2226" s="50"/>
      <c r="H2226" s="12"/>
      <c r="K2226"/>
    </row>
    <row r="2227" spans="5:11" x14ac:dyDescent="0.2">
      <c r="E2227" s="50"/>
      <c r="H2227" s="12"/>
      <c r="K2227"/>
    </row>
    <row r="2228" spans="5:11" x14ac:dyDescent="0.2">
      <c r="E2228" s="50"/>
      <c r="H2228" s="12"/>
      <c r="K2228"/>
    </row>
    <row r="2229" spans="5:11" x14ac:dyDescent="0.2">
      <c r="E2229" s="50"/>
      <c r="H2229" s="12"/>
      <c r="K2229"/>
    </row>
    <row r="2230" spans="5:11" x14ac:dyDescent="0.2">
      <c r="E2230" s="50"/>
      <c r="H2230" s="12"/>
      <c r="K2230"/>
    </row>
    <row r="2231" spans="5:11" x14ac:dyDescent="0.2">
      <c r="E2231" s="50"/>
      <c r="H2231" s="12"/>
      <c r="K2231"/>
    </row>
    <row r="2232" spans="5:11" x14ac:dyDescent="0.2">
      <c r="E2232" s="50"/>
      <c r="H2232" s="12"/>
      <c r="K2232"/>
    </row>
    <row r="2233" spans="5:11" x14ac:dyDescent="0.2">
      <c r="E2233" s="50"/>
      <c r="H2233" s="12"/>
      <c r="K2233"/>
    </row>
    <row r="2234" spans="5:11" x14ac:dyDescent="0.2">
      <c r="E2234" s="50"/>
      <c r="H2234" s="12"/>
      <c r="K2234"/>
    </row>
    <row r="2235" spans="5:11" x14ac:dyDescent="0.2">
      <c r="E2235" s="50"/>
      <c r="H2235" s="12"/>
      <c r="K2235"/>
    </row>
    <row r="2236" spans="5:11" x14ac:dyDescent="0.2">
      <c r="E2236" s="50"/>
      <c r="H2236" s="12"/>
      <c r="K2236"/>
    </row>
    <row r="2237" spans="5:11" x14ac:dyDescent="0.2">
      <c r="E2237" s="50"/>
      <c r="H2237" s="12"/>
      <c r="K2237"/>
    </row>
    <row r="2238" spans="5:11" x14ac:dyDescent="0.2">
      <c r="E2238" s="50"/>
      <c r="H2238" s="12"/>
      <c r="K2238"/>
    </row>
    <row r="2239" spans="5:11" x14ac:dyDescent="0.2">
      <c r="E2239" s="50"/>
      <c r="H2239" s="12"/>
      <c r="K2239"/>
    </row>
    <row r="2240" spans="5:11" x14ac:dyDescent="0.2">
      <c r="E2240" s="50"/>
      <c r="H2240" s="12"/>
      <c r="K2240"/>
    </row>
    <row r="2241" spans="5:11" x14ac:dyDescent="0.2">
      <c r="E2241" s="50"/>
      <c r="H2241" s="12"/>
      <c r="K2241"/>
    </row>
    <row r="2242" spans="5:11" x14ac:dyDescent="0.2">
      <c r="E2242" s="50"/>
      <c r="H2242" s="12"/>
      <c r="K2242"/>
    </row>
    <row r="2243" spans="5:11" x14ac:dyDescent="0.2">
      <c r="E2243" s="50"/>
      <c r="H2243" s="12"/>
      <c r="K2243"/>
    </row>
    <row r="2244" spans="5:11" x14ac:dyDescent="0.2">
      <c r="E2244" s="50"/>
      <c r="H2244" s="12"/>
      <c r="K2244"/>
    </row>
    <row r="2245" spans="5:11" x14ac:dyDescent="0.2">
      <c r="E2245" s="50"/>
      <c r="H2245" s="12"/>
      <c r="K2245"/>
    </row>
    <row r="2246" spans="5:11" x14ac:dyDescent="0.2">
      <c r="E2246" s="50"/>
      <c r="H2246" s="12"/>
      <c r="K2246"/>
    </row>
    <row r="2247" spans="5:11" x14ac:dyDescent="0.2">
      <c r="E2247" s="50"/>
      <c r="H2247" s="12"/>
      <c r="K2247"/>
    </row>
    <row r="2248" spans="5:11" x14ac:dyDescent="0.2">
      <c r="E2248" s="50"/>
      <c r="H2248" s="12"/>
      <c r="K2248"/>
    </row>
    <row r="2249" spans="5:11" x14ac:dyDescent="0.2">
      <c r="E2249" s="50"/>
      <c r="H2249" s="12"/>
      <c r="K2249"/>
    </row>
    <row r="2250" spans="5:11" x14ac:dyDescent="0.2">
      <c r="E2250" s="50"/>
      <c r="H2250" s="12"/>
      <c r="K2250"/>
    </row>
    <row r="2251" spans="5:11" x14ac:dyDescent="0.2">
      <c r="E2251" s="50"/>
      <c r="H2251" s="12"/>
      <c r="K2251"/>
    </row>
    <row r="2252" spans="5:11" x14ac:dyDescent="0.2">
      <c r="E2252" s="50"/>
      <c r="H2252" s="12"/>
      <c r="K2252"/>
    </row>
    <row r="2253" spans="5:11" x14ac:dyDescent="0.2">
      <c r="E2253" s="50"/>
      <c r="H2253" s="12"/>
      <c r="K2253"/>
    </row>
    <row r="2254" spans="5:11" x14ac:dyDescent="0.2">
      <c r="E2254" s="50"/>
      <c r="H2254" s="12"/>
      <c r="K2254"/>
    </row>
    <row r="2255" spans="5:11" x14ac:dyDescent="0.2">
      <c r="E2255" s="50"/>
      <c r="H2255" s="12"/>
      <c r="K2255"/>
    </row>
    <row r="2256" spans="5:11" x14ac:dyDescent="0.2">
      <c r="E2256" s="50"/>
      <c r="H2256" s="12"/>
      <c r="K2256"/>
    </row>
    <row r="2257" spans="5:11" x14ac:dyDescent="0.2">
      <c r="E2257" s="50"/>
      <c r="H2257" s="12"/>
      <c r="K2257"/>
    </row>
    <row r="2258" spans="5:11" x14ac:dyDescent="0.2">
      <c r="E2258" s="50"/>
      <c r="H2258" s="12"/>
      <c r="K2258"/>
    </row>
    <row r="2259" spans="5:11" x14ac:dyDescent="0.2">
      <c r="E2259" s="50"/>
      <c r="H2259" s="12"/>
      <c r="K2259"/>
    </row>
    <row r="2260" spans="5:11" x14ac:dyDescent="0.2">
      <c r="E2260" s="50"/>
      <c r="H2260" s="12"/>
      <c r="K2260"/>
    </row>
    <row r="2261" spans="5:11" x14ac:dyDescent="0.2">
      <c r="E2261" s="50"/>
      <c r="H2261" s="12"/>
      <c r="K2261"/>
    </row>
    <row r="2262" spans="5:11" x14ac:dyDescent="0.2">
      <c r="E2262" s="50"/>
      <c r="H2262" s="12"/>
      <c r="K2262"/>
    </row>
    <row r="2263" spans="5:11" x14ac:dyDescent="0.2">
      <c r="E2263" s="50"/>
      <c r="H2263" s="12"/>
      <c r="K2263"/>
    </row>
    <row r="2264" spans="5:11" x14ac:dyDescent="0.2">
      <c r="E2264" s="50"/>
      <c r="H2264" s="12"/>
      <c r="K2264"/>
    </row>
    <row r="2265" spans="5:11" x14ac:dyDescent="0.2">
      <c r="E2265" s="50"/>
      <c r="H2265" s="12"/>
      <c r="K2265"/>
    </row>
    <row r="2266" spans="5:11" x14ac:dyDescent="0.2">
      <c r="E2266" s="50"/>
      <c r="H2266" s="12"/>
      <c r="K2266"/>
    </row>
    <row r="2267" spans="5:11" x14ac:dyDescent="0.2">
      <c r="E2267" s="50"/>
      <c r="H2267" s="12"/>
      <c r="K2267"/>
    </row>
    <row r="2268" spans="5:11" x14ac:dyDescent="0.2">
      <c r="E2268" s="50"/>
      <c r="H2268" s="12"/>
      <c r="K2268"/>
    </row>
    <row r="2269" spans="5:11" x14ac:dyDescent="0.2">
      <c r="E2269" s="50"/>
      <c r="H2269" s="12"/>
      <c r="K2269"/>
    </row>
    <row r="2270" spans="5:11" x14ac:dyDescent="0.2">
      <c r="E2270" s="50"/>
      <c r="H2270" s="12"/>
      <c r="K2270"/>
    </row>
    <row r="2271" spans="5:11" x14ac:dyDescent="0.2">
      <c r="E2271" s="50"/>
      <c r="H2271" s="12"/>
      <c r="K2271"/>
    </row>
    <row r="2272" spans="5:11" x14ac:dyDescent="0.2">
      <c r="E2272" s="50"/>
      <c r="H2272" s="12"/>
      <c r="K2272"/>
    </row>
    <row r="2273" spans="5:11" x14ac:dyDescent="0.2">
      <c r="E2273" s="50"/>
      <c r="H2273" s="12"/>
      <c r="K2273"/>
    </row>
    <row r="2274" spans="5:11" x14ac:dyDescent="0.2">
      <c r="E2274" s="50"/>
      <c r="H2274" s="12"/>
      <c r="K2274"/>
    </row>
    <row r="2275" spans="5:11" x14ac:dyDescent="0.2">
      <c r="E2275" s="50"/>
      <c r="H2275" s="12"/>
      <c r="K2275"/>
    </row>
    <row r="2276" spans="5:11" x14ac:dyDescent="0.2">
      <c r="E2276" s="50"/>
      <c r="H2276" s="12"/>
      <c r="K2276"/>
    </row>
    <row r="2277" spans="5:11" x14ac:dyDescent="0.2">
      <c r="E2277" s="50"/>
      <c r="H2277" s="12"/>
      <c r="K2277"/>
    </row>
    <row r="2278" spans="5:11" x14ac:dyDescent="0.2">
      <c r="E2278" s="50"/>
      <c r="H2278" s="12"/>
      <c r="K2278"/>
    </row>
    <row r="2279" spans="5:11" x14ac:dyDescent="0.2">
      <c r="E2279" s="50"/>
      <c r="H2279" s="12"/>
      <c r="K2279"/>
    </row>
    <row r="2280" spans="5:11" x14ac:dyDescent="0.2">
      <c r="E2280" s="50"/>
      <c r="H2280" s="12"/>
      <c r="K2280"/>
    </row>
    <row r="2281" spans="5:11" x14ac:dyDescent="0.2">
      <c r="E2281" s="50"/>
      <c r="H2281" s="12"/>
      <c r="K2281"/>
    </row>
    <row r="2282" spans="5:11" x14ac:dyDescent="0.2">
      <c r="E2282" s="50"/>
      <c r="H2282" s="12"/>
      <c r="K2282"/>
    </row>
    <row r="2283" spans="5:11" x14ac:dyDescent="0.2">
      <c r="E2283" s="50"/>
      <c r="H2283" s="12"/>
      <c r="K2283"/>
    </row>
    <row r="2284" spans="5:11" x14ac:dyDescent="0.2">
      <c r="E2284" s="50"/>
      <c r="H2284" s="12"/>
      <c r="K2284"/>
    </row>
    <row r="2285" spans="5:11" x14ac:dyDescent="0.2">
      <c r="E2285" s="50"/>
      <c r="H2285" s="12"/>
      <c r="K2285"/>
    </row>
    <row r="2286" spans="5:11" x14ac:dyDescent="0.2">
      <c r="E2286" s="50"/>
      <c r="H2286" s="12"/>
      <c r="K2286"/>
    </row>
    <row r="2287" spans="5:11" x14ac:dyDescent="0.2">
      <c r="E2287" s="50"/>
      <c r="H2287" s="12"/>
      <c r="K2287"/>
    </row>
    <row r="2288" spans="5:11" x14ac:dyDescent="0.2">
      <c r="E2288" s="50"/>
      <c r="H2288" s="12"/>
      <c r="K2288"/>
    </row>
    <row r="2289" spans="5:11" x14ac:dyDescent="0.2">
      <c r="E2289" s="50"/>
      <c r="H2289" s="12"/>
      <c r="K2289"/>
    </row>
    <row r="2290" spans="5:11" x14ac:dyDescent="0.2">
      <c r="E2290" s="50"/>
      <c r="H2290" s="12"/>
      <c r="K2290"/>
    </row>
    <row r="2291" spans="5:11" x14ac:dyDescent="0.2">
      <c r="E2291" s="50"/>
      <c r="H2291" s="12"/>
      <c r="K2291"/>
    </row>
    <row r="2292" spans="5:11" x14ac:dyDescent="0.2">
      <c r="E2292" s="50"/>
      <c r="H2292" s="12"/>
      <c r="K2292"/>
    </row>
    <row r="2293" spans="5:11" x14ac:dyDescent="0.2">
      <c r="E2293" s="50"/>
      <c r="H2293" s="12"/>
      <c r="K2293"/>
    </row>
    <row r="2294" spans="5:11" x14ac:dyDescent="0.2">
      <c r="E2294" s="50"/>
      <c r="H2294" s="12"/>
      <c r="K2294"/>
    </row>
    <row r="2295" spans="5:11" x14ac:dyDescent="0.2">
      <c r="E2295" s="50"/>
      <c r="H2295" s="12"/>
      <c r="K2295"/>
    </row>
    <row r="2296" spans="5:11" x14ac:dyDescent="0.2">
      <c r="E2296" s="50"/>
      <c r="H2296" s="12"/>
      <c r="K2296"/>
    </row>
    <row r="2297" spans="5:11" x14ac:dyDescent="0.2">
      <c r="E2297" s="50"/>
      <c r="H2297" s="12"/>
      <c r="K2297"/>
    </row>
    <row r="2298" spans="5:11" x14ac:dyDescent="0.2">
      <c r="E2298" s="50"/>
      <c r="H2298" s="12"/>
      <c r="K2298"/>
    </row>
    <row r="2299" spans="5:11" x14ac:dyDescent="0.2">
      <c r="E2299" s="50"/>
      <c r="H2299" s="12"/>
      <c r="K2299"/>
    </row>
    <row r="2300" spans="5:11" x14ac:dyDescent="0.2">
      <c r="E2300" s="50"/>
      <c r="H2300" s="12"/>
      <c r="K2300"/>
    </row>
    <row r="2301" spans="5:11" x14ac:dyDescent="0.2">
      <c r="E2301" s="50"/>
      <c r="H2301" s="12"/>
      <c r="K2301"/>
    </row>
    <row r="2302" spans="5:11" x14ac:dyDescent="0.2">
      <c r="E2302" s="50"/>
      <c r="H2302" s="12"/>
      <c r="K2302"/>
    </row>
    <row r="2303" spans="5:11" x14ac:dyDescent="0.2">
      <c r="E2303" s="50"/>
      <c r="H2303" s="12"/>
      <c r="K2303"/>
    </row>
    <row r="2304" spans="5:11" x14ac:dyDescent="0.2">
      <c r="E2304" s="50"/>
      <c r="H2304" s="12"/>
      <c r="K2304"/>
    </row>
    <row r="2305" spans="5:11" x14ac:dyDescent="0.2">
      <c r="E2305" s="50"/>
      <c r="H2305" s="12"/>
      <c r="K2305"/>
    </row>
    <row r="2306" spans="5:11" x14ac:dyDescent="0.2">
      <c r="E2306" s="50"/>
      <c r="H2306" s="12"/>
      <c r="K2306"/>
    </row>
    <row r="2307" spans="5:11" x14ac:dyDescent="0.2">
      <c r="E2307" s="50"/>
      <c r="H2307" s="12"/>
      <c r="K2307"/>
    </row>
    <row r="2308" spans="5:11" x14ac:dyDescent="0.2">
      <c r="E2308" s="50"/>
      <c r="H2308" s="12"/>
      <c r="K2308"/>
    </row>
    <row r="2309" spans="5:11" x14ac:dyDescent="0.2">
      <c r="E2309" s="50"/>
      <c r="H2309" s="12"/>
      <c r="K2309"/>
    </row>
    <row r="2310" spans="5:11" x14ac:dyDescent="0.2">
      <c r="E2310" s="50"/>
      <c r="H2310" s="12"/>
      <c r="K2310"/>
    </row>
    <row r="2311" spans="5:11" x14ac:dyDescent="0.2">
      <c r="E2311" s="50"/>
      <c r="H2311" s="12"/>
      <c r="K2311"/>
    </row>
    <row r="2312" spans="5:11" x14ac:dyDescent="0.2">
      <c r="E2312" s="50"/>
      <c r="H2312" s="12"/>
      <c r="K2312"/>
    </row>
    <row r="2313" spans="5:11" x14ac:dyDescent="0.2">
      <c r="E2313" s="50"/>
      <c r="H2313" s="12"/>
      <c r="K2313"/>
    </row>
    <row r="2314" spans="5:11" x14ac:dyDescent="0.2">
      <c r="E2314" s="50"/>
      <c r="H2314" s="12"/>
      <c r="K2314"/>
    </row>
    <row r="2315" spans="5:11" x14ac:dyDescent="0.2">
      <c r="E2315" s="50"/>
      <c r="H2315" s="12"/>
      <c r="K2315"/>
    </row>
    <row r="2316" spans="5:11" x14ac:dyDescent="0.2">
      <c r="E2316" s="50"/>
      <c r="H2316" s="12"/>
      <c r="K2316"/>
    </row>
    <row r="2317" spans="5:11" x14ac:dyDescent="0.2">
      <c r="E2317" s="50"/>
      <c r="H2317" s="12"/>
      <c r="K2317"/>
    </row>
    <row r="2318" spans="5:11" x14ac:dyDescent="0.2">
      <c r="E2318" s="50"/>
      <c r="H2318" s="12"/>
      <c r="K2318"/>
    </row>
    <row r="2319" spans="5:11" x14ac:dyDescent="0.2">
      <c r="E2319" s="50"/>
      <c r="H2319" s="12"/>
      <c r="K2319"/>
    </row>
    <row r="2320" spans="5:11" x14ac:dyDescent="0.2">
      <c r="E2320" s="50"/>
      <c r="H2320" s="12"/>
      <c r="K2320"/>
    </row>
    <row r="2321" spans="5:11" x14ac:dyDescent="0.2">
      <c r="E2321" s="50"/>
      <c r="H2321" s="12"/>
      <c r="K2321"/>
    </row>
    <row r="2322" spans="5:11" x14ac:dyDescent="0.2">
      <c r="E2322" s="50"/>
      <c r="H2322" s="12"/>
      <c r="K2322"/>
    </row>
    <row r="2323" spans="5:11" x14ac:dyDescent="0.2">
      <c r="E2323" s="50"/>
      <c r="H2323" s="12"/>
      <c r="K2323"/>
    </row>
    <row r="2324" spans="5:11" x14ac:dyDescent="0.2">
      <c r="E2324" s="50"/>
      <c r="H2324" s="12"/>
      <c r="K2324"/>
    </row>
    <row r="2325" spans="5:11" x14ac:dyDescent="0.2">
      <c r="E2325" s="50"/>
      <c r="H2325" s="12"/>
      <c r="K2325"/>
    </row>
    <row r="2326" spans="5:11" x14ac:dyDescent="0.2">
      <c r="E2326" s="50"/>
      <c r="H2326" s="12"/>
      <c r="K2326"/>
    </row>
    <row r="2327" spans="5:11" x14ac:dyDescent="0.2">
      <c r="E2327" s="50"/>
      <c r="H2327" s="12"/>
      <c r="K2327"/>
    </row>
    <row r="2328" spans="5:11" x14ac:dyDescent="0.2">
      <c r="E2328" s="50"/>
      <c r="H2328" s="12"/>
      <c r="K2328"/>
    </row>
    <row r="2329" spans="5:11" x14ac:dyDescent="0.2">
      <c r="E2329" s="50"/>
      <c r="H2329" s="12"/>
      <c r="K2329"/>
    </row>
    <row r="2330" spans="5:11" x14ac:dyDescent="0.2">
      <c r="E2330" s="50"/>
      <c r="H2330" s="12"/>
      <c r="K2330"/>
    </row>
    <row r="2331" spans="5:11" x14ac:dyDescent="0.2">
      <c r="E2331" s="50"/>
      <c r="H2331" s="12"/>
      <c r="K2331"/>
    </row>
    <row r="2332" spans="5:11" x14ac:dyDescent="0.2">
      <c r="E2332" s="50"/>
      <c r="H2332" s="12"/>
      <c r="K2332"/>
    </row>
    <row r="2333" spans="5:11" x14ac:dyDescent="0.2">
      <c r="E2333" s="50"/>
      <c r="H2333" s="12"/>
      <c r="K2333"/>
    </row>
    <row r="2334" spans="5:11" x14ac:dyDescent="0.2">
      <c r="E2334" s="50"/>
      <c r="H2334" s="12"/>
      <c r="K2334"/>
    </row>
    <row r="2335" spans="5:11" x14ac:dyDescent="0.2">
      <c r="E2335" s="50"/>
      <c r="H2335" s="12"/>
      <c r="K2335"/>
    </row>
    <row r="2336" spans="5:11" x14ac:dyDescent="0.2">
      <c r="E2336" s="50"/>
      <c r="H2336" s="12"/>
      <c r="K2336"/>
    </row>
    <row r="2337" spans="5:11" x14ac:dyDescent="0.2">
      <c r="E2337" s="50"/>
      <c r="H2337" s="12"/>
      <c r="K2337"/>
    </row>
    <row r="2338" spans="5:11" x14ac:dyDescent="0.2">
      <c r="E2338" s="50"/>
      <c r="H2338" s="12"/>
      <c r="K2338"/>
    </row>
    <row r="2339" spans="5:11" x14ac:dyDescent="0.2">
      <c r="E2339" s="50"/>
      <c r="H2339" s="12"/>
      <c r="K2339"/>
    </row>
    <row r="2340" spans="5:11" x14ac:dyDescent="0.2">
      <c r="E2340" s="50"/>
      <c r="H2340" s="12"/>
      <c r="K2340"/>
    </row>
    <row r="2341" spans="5:11" x14ac:dyDescent="0.2">
      <c r="E2341" s="50"/>
      <c r="H2341" s="12"/>
      <c r="K2341"/>
    </row>
    <row r="2342" spans="5:11" x14ac:dyDescent="0.2">
      <c r="E2342" s="50"/>
      <c r="H2342" s="12"/>
      <c r="K2342"/>
    </row>
    <row r="2343" spans="5:11" x14ac:dyDescent="0.2">
      <c r="E2343" s="50"/>
      <c r="H2343" s="12"/>
      <c r="K2343"/>
    </row>
    <row r="2344" spans="5:11" x14ac:dyDescent="0.2">
      <c r="E2344" s="50"/>
      <c r="H2344" s="12"/>
      <c r="K2344"/>
    </row>
    <row r="2345" spans="5:11" x14ac:dyDescent="0.2">
      <c r="E2345" s="50"/>
      <c r="H2345" s="12"/>
      <c r="K2345"/>
    </row>
    <row r="2346" spans="5:11" x14ac:dyDescent="0.2">
      <c r="E2346" s="50"/>
      <c r="H2346" s="12"/>
      <c r="K2346"/>
    </row>
    <row r="2347" spans="5:11" x14ac:dyDescent="0.2">
      <c r="E2347" s="50"/>
      <c r="H2347" s="12"/>
      <c r="K2347"/>
    </row>
    <row r="2348" spans="5:11" x14ac:dyDescent="0.2">
      <c r="E2348" s="50"/>
      <c r="H2348" s="12"/>
      <c r="K2348"/>
    </row>
    <row r="2349" spans="5:11" x14ac:dyDescent="0.2">
      <c r="E2349" s="50"/>
      <c r="H2349" s="12"/>
      <c r="K2349"/>
    </row>
    <row r="2350" spans="5:11" x14ac:dyDescent="0.2">
      <c r="E2350" s="50"/>
      <c r="H2350" s="12"/>
      <c r="K2350"/>
    </row>
    <row r="2351" spans="5:11" x14ac:dyDescent="0.2">
      <c r="E2351" s="50"/>
      <c r="H2351" s="12"/>
      <c r="K2351"/>
    </row>
    <row r="2352" spans="5:11" x14ac:dyDescent="0.2">
      <c r="E2352" s="50"/>
      <c r="H2352" s="12"/>
      <c r="K2352"/>
    </row>
    <row r="2353" spans="5:11" x14ac:dyDescent="0.2">
      <c r="E2353" s="50"/>
      <c r="H2353" s="12"/>
      <c r="K2353"/>
    </row>
    <row r="2354" spans="5:11" x14ac:dyDescent="0.2">
      <c r="E2354" s="50"/>
      <c r="H2354" s="12"/>
      <c r="K2354"/>
    </row>
    <row r="2355" spans="5:11" x14ac:dyDescent="0.2">
      <c r="E2355" s="50"/>
      <c r="H2355" s="12"/>
      <c r="K2355"/>
    </row>
    <row r="2356" spans="5:11" x14ac:dyDescent="0.2">
      <c r="E2356" s="50"/>
      <c r="H2356" s="12"/>
      <c r="K2356"/>
    </row>
    <row r="2357" spans="5:11" x14ac:dyDescent="0.2">
      <c r="E2357" s="50"/>
      <c r="H2357" s="12"/>
      <c r="K2357"/>
    </row>
    <row r="2358" spans="5:11" x14ac:dyDescent="0.2">
      <c r="E2358" s="50"/>
      <c r="H2358" s="12"/>
      <c r="K2358"/>
    </row>
    <row r="2359" spans="5:11" x14ac:dyDescent="0.2">
      <c r="E2359" s="50"/>
      <c r="H2359" s="12"/>
      <c r="K2359"/>
    </row>
    <row r="2360" spans="5:11" x14ac:dyDescent="0.2">
      <c r="E2360" s="50"/>
      <c r="H2360" s="12"/>
      <c r="K2360"/>
    </row>
    <row r="2361" spans="5:11" x14ac:dyDescent="0.2">
      <c r="E2361" s="50"/>
      <c r="H2361" s="12"/>
      <c r="K2361"/>
    </row>
    <row r="2362" spans="5:11" x14ac:dyDescent="0.2">
      <c r="E2362" s="50"/>
      <c r="H2362" s="12"/>
      <c r="K2362"/>
    </row>
    <row r="2363" spans="5:11" x14ac:dyDescent="0.2">
      <c r="E2363" s="50"/>
      <c r="H2363" s="12"/>
      <c r="K2363"/>
    </row>
    <row r="2364" spans="5:11" x14ac:dyDescent="0.2">
      <c r="E2364" s="50"/>
      <c r="H2364" s="12"/>
      <c r="K2364"/>
    </row>
    <row r="2365" spans="5:11" x14ac:dyDescent="0.2">
      <c r="E2365" s="50"/>
      <c r="H2365" s="12"/>
      <c r="K2365"/>
    </row>
    <row r="2366" spans="5:11" x14ac:dyDescent="0.2">
      <c r="E2366" s="50"/>
      <c r="H2366" s="12"/>
      <c r="K2366"/>
    </row>
    <row r="2367" spans="5:11" x14ac:dyDescent="0.2">
      <c r="E2367" s="50"/>
      <c r="H2367" s="12"/>
      <c r="K2367"/>
    </row>
    <row r="2368" spans="5:11" x14ac:dyDescent="0.2">
      <c r="E2368" s="50"/>
      <c r="H2368" s="12"/>
      <c r="K2368"/>
    </row>
    <row r="2369" spans="5:11" x14ac:dyDescent="0.2">
      <c r="E2369" s="50"/>
      <c r="H2369" s="12"/>
      <c r="K2369"/>
    </row>
    <row r="2370" spans="5:11" x14ac:dyDescent="0.2">
      <c r="E2370" s="50"/>
      <c r="H2370" s="12"/>
      <c r="K2370"/>
    </row>
    <row r="2371" spans="5:11" x14ac:dyDescent="0.2">
      <c r="E2371" s="50"/>
      <c r="H2371" s="12"/>
      <c r="K2371"/>
    </row>
    <row r="2372" spans="5:11" x14ac:dyDescent="0.2">
      <c r="E2372" s="50"/>
      <c r="H2372" s="12"/>
      <c r="K2372"/>
    </row>
    <row r="2373" spans="5:11" x14ac:dyDescent="0.2">
      <c r="E2373" s="50"/>
      <c r="H2373" s="12"/>
      <c r="K2373"/>
    </row>
    <row r="2374" spans="5:11" x14ac:dyDescent="0.2">
      <c r="E2374" s="50"/>
      <c r="H2374" s="12"/>
      <c r="K2374"/>
    </row>
    <row r="2375" spans="5:11" x14ac:dyDescent="0.2">
      <c r="E2375" s="50"/>
      <c r="H2375" s="12"/>
      <c r="K2375"/>
    </row>
    <row r="2376" spans="5:11" x14ac:dyDescent="0.2">
      <c r="E2376" s="50"/>
      <c r="H2376" s="12"/>
      <c r="K2376"/>
    </row>
    <row r="2377" spans="5:11" x14ac:dyDescent="0.2">
      <c r="E2377" s="50"/>
      <c r="H2377" s="12"/>
      <c r="K2377"/>
    </row>
    <row r="2378" spans="5:11" x14ac:dyDescent="0.2">
      <c r="E2378" s="50"/>
      <c r="H2378" s="12"/>
      <c r="K2378"/>
    </row>
    <row r="2379" spans="5:11" x14ac:dyDescent="0.2">
      <c r="E2379" s="50"/>
      <c r="H2379" s="12"/>
      <c r="K2379"/>
    </row>
    <row r="2380" spans="5:11" x14ac:dyDescent="0.2">
      <c r="E2380" s="50"/>
      <c r="H2380" s="12"/>
      <c r="K2380"/>
    </row>
    <row r="2381" spans="5:11" x14ac:dyDescent="0.2">
      <c r="E2381" s="50"/>
      <c r="H2381" s="12"/>
      <c r="K2381"/>
    </row>
    <row r="2382" spans="5:11" x14ac:dyDescent="0.2">
      <c r="E2382" s="50"/>
      <c r="H2382" s="12"/>
      <c r="K2382"/>
    </row>
    <row r="2383" spans="5:11" x14ac:dyDescent="0.2">
      <c r="E2383" s="50"/>
      <c r="H2383" s="12"/>
      <c r="K2383"/>
    </row>
    <row r="2384" spans="5:11" x14ac:dyDescent="0.2">
      <c r="E2384" s="50"/>
      <c r="H2384" s="12"/>
      <c r="K2384"/>
    </row>
    <row r="2385" spans="5:11" x14ac:dyDescent="0.2">
      <c r="E2385" s="50"/>
      <c r="H2385" s="12"/>
      <c r="K2385"/>
    </row>
    <row r="2386" spans="5:11" x14ac:dyDescent="0.2">
      <c r="E2386" s="50"/>
      <c r="H2386" s="12"/>
      <c r="K2386"/>
    </row>
    <row r="2387" spans="5:11" x14ac:dyDescent="0.2">
      <c r="E2387" s="50"/>
      <c r="H2387" s="12"/>
      <c r="K2387"/>
    </row>
    <row r="2388" spans="5:11" x14ac:dyDescent="0.2">
      <c r="E2388" s="50"/>
      <c r="H2388" s="12"/>
      <c r="K2388"/>
    </row>
    <row r="2389" spans="5:11" x14ac:dyDescent="0.2">
      <c r="E2389" s="50"/>
      <c r="H2389" s="12"/>
      <c r="K2389"/>
    </row>
    <row r="2390" spans="5:11" x14ac:dyDescent="0.2">
      <c r="E2390" s="50"/>
      <c r="H2390" s="12"/>
      <c r="K2390"/>
    </row>
    <row r="2391" spans="5:11" x14ac:dyDescent="0.2">
      <c r="E2391" s="50"/>
      <c r="H2391" s="12"/>
      <c r="K2391"/>
    </row>
    <row r="2392" spans="5:11" x14ac:dyDescent="0.2">
      <c r="E2392" s="50"/>
      <c r="H2392" s="12"/>
      <c r="K2392"/>
    </row>
    <row r="2393" spans="5:11" x14ac:dyDescent="0.2">
      <c r="E2393" s="50"/>
      <c r="H2393" s="12"/>
      <c r="K2393"/>
    </row>
    <row r="2394" spans="5:11" x14ac:dyDescent="0.2">
      <c r="E2394" s="50"/>
      <c r="H2394" s="12"/>
      <c r="K2394"/>
    </row>
    <row r="2395" spans="5:11" x14ac:dyDescent="0.2">
      <c r="E2395" s="50"/>
      <c r="H2395" s="12"/>
      <c r="K2395"/>
    </row>
    <row r="2396" spans="5:11" x14ac:dyDescent="0.2">
      <c r="E2396" s="50"/>
      <c r="H2396" s="12"/>
      <c r="K2396"/>
    </row>
    <row r="2397" spans="5:11" x14ac:dyDescent="0.2">
      <c r="E2397" s="50"/>
      <c r="H2397" s="12"/>
      <c r="K2397"/>
    </row>
    <row r="2398" spans="5:11" x14ac:dyDescent="0.2">
      <c r="E2398" s="50"/>
      <c r="H2398" s="12"/>
      <c r="K2398"/>
    </row>
    <row r="2399" spans="5:11" x14ac:dyDescent="0.2">
      <c r="E2399" s="50"/>
      <c r="H2399" s="12"/>
      <c r="K2399"/>
    </row>
    <row r="2400" spans="5:11" x14ac:dyDescent="0.2">
      <c r="E2400" s="50"/>
      <c r="H2400" s="12"/>
      <c r="K2400"/>
    </row>
    <row r="2401" spans="5:11" x14ac:dyDescent="0.2">
      <c r="E2401" s="50"/>
      <c r="H2401" s="12"/>
      <c r="K2401"/>
    </row>
    <row r="2402" spans="5:11" x14ac:dyDescent="0.2">
      <c r="E2402" s="50"/>
      <c r="H2402" s="12"/>
      <c r="K2402"/>
    </row>
    <row r="2403" spans="5:11" x14ac:dyDescent="0.2">
      <c r="E2403" s="50"/>
      <c r="H2403" s="12"/>
      <c r="K2403"/>
    </row>
    <row r="2404" spans="5:11" x14ac:dyDescent="0.2">
      <c r="E2404" s="50"/>
      <c r="H2404" s="12"/>
      <c r="K2404"/>
    </row>
    <row r="2405" spans="5:11" x14ac:dyDescent="0.2">
      <c r="E2405" s="50"/>
      <c r="H2405" s="12"/>
      <c r="K2405"/>
    </row>
    <row r="2406" spans="5:11" x14ac:dyDescent="0.2">
      <c r="E2406" s="50"/>
      <c r="H2406" s="12"/>
      <c r="K2406"/>
    </row>
    <row r="2407" spans="5:11" x14ac:dyDescent="0.2">
      <c r="E2407" s="50"/>
      <c r="H2407" s="12"/>
      <c r="K2407"/>
    </row>
    <row r="2408" spans="5:11" x14ac:dyDescent="0.2">
      <c r="E2408" s="50"/>
      <c r="H2408" s="12"/>
      <c r="K2408"/>
    </row>
    <row r="2409" spans="5:11" x14ac:dyDescent="0.2">
      <c r="E2409" s="50"/>
      <c r="H2409" s="12"/>
      <c r="K2409"/>
    </row>
    <row r="2410" spans="5:11" x14ac:dyDescent="0.2">
      <c r="E2410" s="50"/>
      <c r="H2410" s="12"/>
      <c r="K2410"/>
    </row>
    <row r="2411" spans="5:11" x14ac:dyDescent="0.2">
      <c r="E2411" s="50"/>
      <c r="H2411" s="12"/>
      <c r="K2411"/>
    </row>
    <row r="2412" spans="5:11" x14ac:dyDescent="0.2">
      <c r="E2412" s="50"/>
      <c r="H2412" s="12"/>
      <c r="K2412"/>
    </row>
    <row r="2413" spans="5:11" x14ac:dyDescent="0.2">
      <c r="E2413" s="50"/>
      <c r="H2413" s="12"/>
      <c r="K2413"/>
    </row>
    <row r="2414" spans="5:11" x14ac:dyDescent="0.2">
      <c r="E2414" s="50"/>
      <c r="H2414" s="12"/>
      <c r="K2414"/>
    </row>
    <row r="2415" spans="5:11" x14ac:dyDescent="0.2">
      <c r="E2415" s="50"/>
      <c r="H2415" s="12"/>
      <c r="K2415"/>
    </row>
    <row r="2416" spans="5:11" x14ac:dyDescent="0.2">
      <c r="E2416" s="50"/>
      <c r="H2416" s="12"/>
      <c r="K2416"/>
    </row>
    <row r="2417" spans="5:11" x14ac:dyDescent="0.2">
      <c r="E2417" s="50"/>
      <c r="H2417" s="12"/>
      <c r="K2417"/>
    </row>
    <row r="2418" spans="5:11" x14ac:dyDescent="0.2">
      <c r="E2418" s="50"/>
      <c r="H2418" s="12"/>
      <c r="K2418"/>
    </row>
    <row r="2419" spans="5:11" x14ac:dyDescent="0.2">
      <c r="E2419" s="50"/>
      <c r="H2419" s="12"/>
      <c r="K2419"/>
    </row>
    <row r="2420" spans="5:11" x14ac:dyDescent="0.2">
      <c r="E2420" s="50"/>
      <c r="H2420" s="12"/>
      <c r="K2420"/>
    </row>
    <row r="2421" spans="5:11" x14ac:dyDescent="0.2">
      <c r="E2421" s="50"/>
      <c r="H2421" s="12"/>
      <c r="K2421"/>
    </row>
    <row r="2422" spans="5:11" x14ac:dyDescent="0.2">
      <c r="E2422" s="50"/>
      <c r="H2422" s="12"/>
      <c r="K2422"/>
    </row>
    <row r="2423" spans="5:11" x14ac:dyDescent="0.2">
      <c r="E2423" s="50"/>
      <c r="H2423" s="12"/>
      <c r="K2423"/>
    </row>
    <row r="2424" spans="5:11" x14ac:dyDescent="0.2">
      <c r="E2424" s="50"/>
      <c r="H2424" s="12"/>
      <c r="K2424"/>
    </row>
    <row r="2425" spans="5:11" x14ac:dyDescent="0.2">
      <c r="E2425" s="50"/>
      <c r="H2425" s="12"/>
      <c r="K2425"/>
    </row>
    <row r="2426" spans="5:11" x14ac:dyDescent="0.2">
      <c r="E2426" s="50"/>
      <c r="H2426" s="12"/>
      <c r="K2426"/>
    </row>
    <row r="2427" spans="5:11" x14ac:dyDescent="0.2">
      <c r="E2427" s="50"/>
      <c r="H2427" s="12"/>
      <c r="K2427"/>
    </row>
    <row r="2428" spans="5:11" x14ac:dyDescent="0.2">
      <c r="E2428" s="50"/>
      <c r="H2428" s="12"/>
      <c r="K2428"/>
    </row>
    <row r="2429" spans="5:11" x14ac:dyDescent="0.2">
      <c r="E2429" s="50"/>
      <c r="H2429" s="12"/>
      <c r="K2429"/>
    </row>
    <row r="2430" spans="5:11" x14ac:dyDescent="0.2">
      <c r="E2430" s="50"/>
      <c r="H2430" s="12"/>
      <c r="K2430"/>
    </row>
    <row r="2431" spans="5:11" x14ac:dyDescent="0.2">
      <c r="E2431" s="50"/>
      <c r="H2431" s="12"/>
      <c r="K2431"/>
    </row>
    <row r="2432" spans="5:11" x14ac:dyDescent="0.2">
      <c r="E2432" s="50"/>
      <c r="H2432" s="12"/>
      <c r="K2432"/>
    </row>
    <row r="2433" spans="5:11" x14ac:dyDescent="0.2">
      <c r="E2433" s="50"/>
      <c r="H2433" s="12"/>
      <c r="K2433"/>
    </row>
    <row r="2434" spans="5:11" x14ac:dyDescent="0.2">
      <c r="E2434" s="50"/>
      <c r="H2434" s="12"/>
      <c r="K2434"/>
    </row>
    <row r="2435" spans="5:11" x14ac:dyDescent="0.2">
      <c r="E2435" s="50"/>
      <c r="H2435" s="12"/>
      <c r="K2435"/>
    </row>
    <row r="2436" spans="5:11" x14ac:dyDescent="0.2">
      <c r="E2436" s="50"/>
      <c r="H2436" s="12"/>
      <c r="K2436"/>
    </row>
    <row r="2437" spans="5:11" x14ac:dyDescent="0.2">
      <c r="E2437" s="50"/>
      <c r="H2437" s="12"/>
      <c r="K2437"/>
    </row>
    <row r="2438" spans="5:11" x14ac:dyDescent="0.2">
      <c r="E2438" s="50"/>
      <c r="H2438" s="12"/>
      <c r="K2438"/>
    </row>
    <row r="2439" spans="5:11" x14ac:dyDescent="0.2">
      <c r="E2439" s="50"/>
      <c r="H2439" s="12"/>
      <c r="K2439"/>
    </row>
    <row r="2440" spans="5:11" x14ac:dyDescent="0.2">
      <c r="E2440" s="50"/>
      <c r="H2440" s="12"/>
      <c r="K2440"/>
    </row>
    <row r="2441" spans="5:11" x14ac:dyDescent="0.2">
      <c r="E2441" s="50"/>
      <c r="H2441" s="12"/>
      <c r="K2441"/>
    </row>
    <row r="2442" spans="5:11" x14ac:dyDescent="0.2">
      <c r="E2442" s="50"/>
      <c r="H2442" s="12"/>
      <c r="K2442"/>
    </row>
    <row r="2443" spans="5:11" x14ac:dyDescent="0.2">
      <c r="E2443" s="50"/>
      <c r="H2443" s="12"/>
      <c r="K2443"/>
    </row>
    <row r="2444" spans="5:11" x14ac:dyDescent="0.2">
      <c r="E2444" s="50"/>
      <c r="H2444" s="12"/>
      <c r="K2444"/>
    </row>
    <row r="2445" spans="5:11" x14ac:dyDescent="0.2">
      <c r="E2445" s="50"/>
      <c r="H2445" s="12"/>
      <c r="K2445"/>
    </row>
    <row r="2446" spans="5:11" x14ac:dyDescent="0.2">
      <c r="E2446" s="50"/>
      <c r="H2446" s="12"/>
      <c r="K2446"/>
    </row>
    <row r="2447" spans="5:11" x14ac:dyDescent="0.2">
      <c r="E2447" s="50"/>
      <c r="H2447" s="12"/>
      <c r="K2447"/>
    </row>
    <row r="2448" spans="5:11" x14ac:dyDescent="0.2">
      <c r="E2448" s="50"/>
      <c r="H2448" s="12"/>
      <c r="K2448"/>
    </row>
    <row r="2449" spans="5:11" x14ac:dyDescent="0.2">
      <c r="E2449" s="50"/>
      <c r="H2449" s="12"/>
      <c r="K2449"/>
    </row>
    <row r="2450" spans="5:11" x14ac:dyDescent="0.2">
      <c r="E2450" s="50"/>
      <c r="H2450" s="12"/>
      <c r="K2450"/>
    </row>
    <row r="2451" spans="5:11" x14ac:dyDescent="0.2">
      <c r="E2451" s="50"/>
      <c r="H2451" s="12"/>
      <c r="K2451"/>
    </row>
    <row r="2452" spans="5:11" x14ac:dyDescent="0.2">
      <c r="E2452" s="50"/>
      <c r="H2452" s="12"/>
      <c r="K2452"/>
    </row>
    <row r="2453" spans="5:11" x14ac:dyDescent="0.2">
      <c r="E2453" s="50"/>
      <c r="H2453" s="12"/>
      <c r="K2453"/>
    </row>
    <row r="2454" spans="5:11" x14ac:dyDescent="0.2">
      <c r="E2454" s="50"/>
      <c r="H2454" s="12"/>
      <c r="K2454"/>
    </row>
    <row r="2455" spans="5:11" x14ac:dyDescent="0.2">
      <c r="E2455" s="50"/>
      <c r="H2455" s="12"/>
      <c r="K2455"/>
    </row>
    <row r="2456" spans="5:11" x14ac:dyDescent="0.2">
      <c r="E2456" s="50"/>
      <c r="H2456" s="12"/>
      <c r="K2456"/>
    </row>
    <row r="2457" spans="5:11" x14ac:dyDescent="0.2">
      <c r="E2457" s="50"/>
      <c r="H2457" s="12"/>
      <c r="K2457"/>
    </row>
    <row r="2458" spans="5:11" x14ac:dyDescent="0.2">
      <c r="E2458" s="50"/>
      <c r="H2458" s="12"/>
      <c r="K2458"/>
    </row>
    <row r="2459" spans="5:11" x14ac:dyDescent="0.2">
      <c r="E2459" s="50"/>
      <c r="H2459" s="12"/>
      <c r="K2459"/>
    </row>
    <row r="2460" spans="5:11" x14ac:dyDescent="0.2">
      <c r="E2460" s="50"/>
      <c r="H2460" s="12"/>
      <c r="K2460"/>
    </row>
    <row r="2461" spans="5:11" x14ac:dyDescent="0.2">
      <c r="E2461" s="50"/>
      <c r="H2461" s="12"/>
      <c r="K2461"/>
    </row>
    <row r="2462" spans="5:11" x14ac:dyDescent="0.2">
      <c r="E2462" s="50"/>
      <c r="H2462" s="12"/>
      <c r="K2462"/>
    </row>
    <row r="2463" spans="5:11" x14ac:dyDescent="0.2">
      <c r="E2463" s="50"/>
      <c r="H2463" s="12"/>
      <c r="K2463"/>
    </row>
    <row r="2464" spans="5:11" x14ac:dyDescent="0.2">
      <c r="E2464" s="50"/>
      <c r="H2464" s="12"/>
      <c r="K2464"/>
    </row>
    <row r="2465" spans="5:11" x14ac:dyDescent="0.2">
      <c r="E2465" s="50"/>
      <c r="H2465" s="12"/>
      <c r="K2465"/>
    </row>
    <row r="2466" spans="5:11" x14ac:dyDescent="0.2">
      <c r="E2466" s="50"/>
      <c r="H2466" s="12"/>
      <c r="K2466"/>
    </row>
    <row r="2467" spans="5:11" x14ac:dyDescent="0.2">
      <c r="E2467" s="50"/>
      <c r="H2467" s="12"/>
      <c r="K2467"/>
    </row>
    <row r="2468" spans="5:11" x14ac:dyDescent="0.2">
      <c r="E2468" s="50"/>
      <c r="H2468" s="12"/>
      <c r="K2468"/>
    </row>
    <row r="2469" spans="5:11" x14ac:dyDescent="0.2">
      <c r="E2469" s="50"/>
      <c r="H2469" s="12"/>
      <c r="K2469"/>
    </row>
    <row r="2470" spans="5:11" x14ac:dyDescent="0.2">
      <c r="E2470" s="50"/>
      <c r="H2470" s="12"/>
      <c r="K2470"/>
    </row>
    <row r="2471" spans="5:11" x14ac:dyDescent="0.2">
      <c r="E2471" s="50"/>
      <c r="H2471" s="12"/>
      <c r="K2471"/>
    </row>
    <row r="2472" spans="5:11" x14ac:dyDescent="0.2">
      <c r="E2472" s="50"/>
      <c r="H2472" s="12"/>
      <c r="K2472"/>
    </row>
    <row r="2473" spans="5:11" x14ac:dyDescent="0.2">
      <c r="E2473" s="50"/>
      <c r="H2473" s="12"/>
      <c r="K2473"/>
    </row>
    <row r="2474" spans="5:11" x14ac:dyDescent="0.2">
      <c r="E2474" s="50"/>
      <c r="H2474" s="12"/>
      <c r="K2474"/>
    </row>
    <row r="2475" spans="5:11" x14ac:dyDescent="0.2">
      <c r="E2475" s="50"/>
      <c r="H2475" s="12"/>
      <c r="K2475"/>
    </row>
    <row r="2476" spans="5:11" x14ac:dyDescent="0.2">
      <c r="E2476" s="50"/>
      <c r="H2476" s="12"/>
      <c r="K2476"/>
    </row>
    <row r="2477" spans="5:11" x14ac:dyDescent="0.2">
      <c r="E2477" s="50"/>
      <c r="H2477" s="12"/>
      <c r="K2477"/>
    </row>
    <row r="2478" spans="5:11" x14ac:dyDescent="0.2">
      <c r="E2478" s="50"/>
      <c r="H2478" s="12"/>
      <c r="K2478"/>
    </row>
    <row r="2479" spans="5:11" x14ac:dyDescent="0.2">
      <c r="E2479" s="50"/>
      <c r="H2479" s="12"/>
      <c r="K2479"/>
    </row>
    <row r="2480" spans="5:11" x14ac:dyDescent="0.2">
      <c r="E2480" s="50"/>
      <c r="H2480" s="12"/>
      <c r="K2480"/>
    </row>
    <row r="2481" spans="5:11" x14ac:dyDescent="0.2">
      <c r="E2481" s="50"/>
      <c r="H2481" s="12"/>
      <c r="K2481"/>
    </row>
    <row r="2482" spans="5:11" x14ac:dyDescent="0.2">
      <c r="E2482" s="50"/>
      <c r="H2482" s="12"/>
      <c r="K2482"/>
    </row>
    <row r="2483" spans="5:11" x14ac:dyDescent="0.2">
      <c r="E2483" s="50"/>
      <c r="H2483" s="12"/>
      <c r="K2483"/>
    </row>
    <row r="2484" spans="5:11" x14ac:dyDescent="0.2">
      <c r="E2484" s="50"/>
      <c r="H2484" s="12"/>
      <c r="K2484"/>
    </row>
    <row r="2485" spans="5:11" x14ac:dyDescent="0.2">
      <c r="E2485" s="50"/>
      <c r="H2485" s="12"/>
      <c r="K2485"/>
    </row>
    <row r="2486" spans="5:11" x14ac:dyDescent="0.2">
      <c r="E2486" s="50"/>
      <c r="H2486" s="12"/>
      <c r="K2486"/>
    </row>
    <row r="2487" spans="5:11" x14ac:dyDescent="0.2">
      <c r="E2487" s="50"/>
      <c r="H2487" s="12"/>
      <c r="K2487"/>
    </row>
    <row r="2488" spans="5:11" x14ac:dyDescent="0.2">
      <c r="E2488" s="50"/>
      <c r="H2488" s="12"/>
      <c r="K2488"/>
    </row>
    <row r="2489" spans="5:11" x14ac:dyDescent="0.2">
      <c r="E2489" s="50"/>
      <c r="H2489" s="12"/>
      <c r="K2489"/>
    </row>
    <row r="2490" spans="5:11" x14ac:dyDescent="0.2">
      <c r="E2490" s="50"/>
      <c r="H2490" s="12"/>
      <c r="K2490"/>
    </row>
    <row r="2491" spans="5:11" x14ac:dyDescent="0.2">
      <c r="E2491" s="50"/>
      <c r="H2491" s="12"/>
      <c r="K2491"/>
    </row>
    <row r="2492" spans="5:11" x14ac:dyDescent="0.2">
      <c r="E2492" s="50"/>
      <c r="H2492" s="12"/>
      <c r="K2492"/>
    </row>
    <row r="2493" spans="5:11" x14ac:dyDescent="0.2">
      <c r="E2493" s="50"/>
      <c r="H2493" s="12"/>
      <c r="K2493"/>
    </row>
    <row r="2494" spans="5:11" x14ac:dyDescent="0.2">
      <c r="E2494" s="50"/>
      <c r="H2494" s="12"/>
      <c r="K2494"/>
    </row>
    <row r="2495" spans="5:11" x14ac:dyDescent="0.2">
      <c r="E2495" s="50"/>
      <c r="H2495" s="12"/>
      <c r="K2495"/>
    </row>
    <row r="2496" spans="5:11" x14ac:dyDescent="0.2">
      <c r="E2496" s="50"/>
      <c r="H2496" s="12"/>
      <c r="K2496"/>
    </row>
    <row r="2497" spans="5:11" x14ac:dyDescent="0.2">
      <c r="E2497" s="50"/>
      <c r="H2497" s="12"/>
      <c r="K2497"/>
    </row>
    <row r="2498" spans="5:11" x14ac:dyDescent="0.2">
      <c r="E2498" s="50"/>
      <c r="H2498" s="12"/>
      <c r="K2498"/>
    </row>
    <row r="2499" spans="5:11" x14ac:dyDescent="0.2">
      <c r="E2499" s="50"/>
      <c r="H2499" s="12"/>
      <c r="K2499"/>
    </row>
    <row r="2500" spans="5:11" x14ac:dyDescent="0.2">
      <c r="E2500" s="50"/>
      <c r="H2500" s="12"/>
      <c r="K2500"/>
    </row>
    <row r="2501" spans="5:11" x14ac:dyDescent="0.2">
      <c r="E2501" s="50"/>
      <c r="H2501" s="12"/>
      <c r="K2501"/>
    </row>
    <row r="2502" spans="5:11" x14ac:dyDescent="0.2">
      <c r="E2502" s="50"/>
      <c r="H2502" s="12"/>
      <c r="K2502"/>
    </row>
    <row r="2503" spans="5:11" x14ac:dyDescent="0.2">
      <c r="E2503" s="50"/>
      <c r="H2503" s="12"/>
      <c r="K2503"/>
    </row>
    <row r="2504" spans="5:11" x14ac:dyDescent="0.2">
      <c r="E2504" s="50"/>
      <c r="H2504" s="12"/>
      <c r="K2504"/>
    </row>
    <row r="2505" spans="5:11" x14ac:dyDescent="0.2">
      <c r="E2505" s="50"/>
      <c r="H2505" s="12"/>
      <c r="K2505"/>
    </row>
    <row r="2506" spans="5:11" x14ac:dyDescent="0.2">
      <c r="E2506" s="50"/>
      <c r="H2506" s="12"/>
      <c r="K2506"/>
    </row>
    <row r="2507" spans="5:11" x14ac:dyDescent="0.2">
      <c r="E2507" s="50"/>
      <c r="H2507" s="12"/>
      <c r="K2507"/>
    </row>
    <row r="2508" spans="5:11" x14ac:dyDescent="0.2">
      <c r="E2508" s="50"/>
      <c r="H2508" s="12"/>
      <c r="K2508"/>
    </row>
    <row r="2509" spans="5:11" x14ac:dyDescent="0.2">
      <c r="E2509" s="50"/>
      <c r="H2509" s="12"/>
      <c r="K2509"/>
    </row>
    <row r="2510" spans="5:11" x14ac:dyDescent="0.2">
      <c r="E2510" s="50"/>
      <c r="H2510" s="12"/>
      <c r="K2510"/>
    </row>
    <row r="2511" spans="5:11" x14ac:dyDescent="0.2">
      <c r="E2511" s="50"/>
      <c r="H2511" s="12"/>
      <c r="K2511"/>
    </row>
    <row r="2512" spans="5:11" x14ac:dyDescent="0.2">
      <c r="E2512" s="50"/>
      <c r="H2512" s="12"/>
      <c r="K2512"/>
    </row>
    <row r="2513" spans="5:11" x14ac:dyDescent="0.2">
      <c r="E2513" s="50"/>
      <c r="H2513" s="12"/>
      <c r="K2513"/>
    </row>
    <row r="2514" spans="5:11" x14ac:dyDescent="0.2">
      <c r="E2514" s="50"/>
      <c r="H2514" s="12"/>
      <c r="K2514"/>
    </row>
    <row r="2515" spans="5:11" x14ac:dyDescent="0.2">
      <c r="E2515" s="50"/>
      <c r="H2515" s="12"/>
      <c r="K2515"/>
    </row>
    <row r="2516" spans="5:11" x14ac:dyDescent="0.2">
      <c r="E2516" s="50"/>
      <c r="H2516" s="12"/>
      <c r="K2516"/>
    </row>
    <row r="2517" spans="5:11" x14ac:dyDescent="0.2">
      <c r="E2517" s="50"/>
      <c r="H2517" s="12"/>
      <c r="K2517"/>
    </row>
    <row r="2518" spans="5:11" x14ac:dyDescent="0.2">
      <c r="E2518" s="50"/>
      <c r="H2518" s="12"/>
      <c r="K2518"/>
    </row>
    <row r="2519" spans="5:11" x14ac:dyDescent="0.2">
      <c r="E2519" s="50"/>
      <c r="H2519" s="12"/>
      <c r="K2519"/>
    </row>
    <row r="2520" spans="5:11" x14ac:dyDescent="0.2">
      <c r="E2520" s="50"/>
      <c r="H2520" s="12"/>
      <c r="K2520"/>
    </row>
    <row r="2521" spans="5:11" x14ac:dyDescent="0.2">
      <c r="E2521" s="50"/>
      <c r="H2521" s="12"/>
      <c r="K2521"/>
    </row>
    <row r="2522" spans="5:11" x14ac:dyDescent="0.2">
      <c r="E2522" s="50"/>
      <c r="H2522" s="12"/>
      <c r="K2522"/>
    </row>
    <row r="2523" spans="5:11" x14ac:dyDescent="0.2">
      <c r="E2523" s="50"/>
      <c r="H2523" s="12"/>
      <c r="K2523"/>
    </row>
    <row r="2524" spans="5:11" x14ac:dyDescent="0.2">
      <c r="E2524" s="50"/>
      <c r="H2524" s="12"/>
      <c r="K2524"/>
    </row>
    <row r="2525" spans="5:11" x14ac:dyDescent="0.2">
      <c r="E2525" s="50"/>
      <c r="H2525" s="12"/>
      <c r="K2525"/>
    </row>
    <row r="2526" spans="5:11" x14ac:dyDescent="0.2">
      <c r="E2526" s="50"/>
      <c r="H2526" s="12"/>
      <c r="K2526"/>
    </row>
    <row r="2527" spans="5:11" x14ac:dyDescent="0.2">
      <c r="E2527" s="50"/>
      <c r="H2527" s="12"/>
      <c r="K2527"/>
    </row>
    <row r="2528" spans="5:11" x14ac:dyDescent="0.2">
      <c r="E2528" s="50"/>
      <c r="H2528" s="12"/>
      <c r="K2528"/>
    </row>
    <row r="2529" spans="5:11" x14ac:dyDescent="0.2">
      <c r="E2529" s="50"/>
      <c r="H2529" s="12"/>
      <c r="K2529"/>
    </row>
    <row r="2530" spans="5:11" x14ac:dyDescent="0.2">
      <c r="E2530" s="50"/>
      <c r="H2530" s="12"/>
      <c r="K2530"/>
    </row>
    <row r="2531" spans="5:11" x14ac:dyDescent="0.2">
      <c r="E2531" s="50"/>
      <c r="H2531" s="12"/>
      <c r="K2531"/>
    </row>
    <row r="2532" spans="5:11" x14ac:dyDescent="0.2">
      <c r="E2532" s="50"/>
      <c r="H2532" s="12"/>
      <c r="K2532"/>
    </row>
    <row r="2533" spans="5:11" x14ac:dyDescent="0.2">
      <c r="E2533" s="50"/>
      <c r="H2533" s="12"/>
      <c r="K2533"/>
    </row>
    <row r="2534" spans="5:11" x14ac:dyDescent="0.2">
      <c r="E2534" s="50"/>
      <c r="H2534" s="12"/>
      <c r="K2534"/>
    </row>
    <row r="2535" spans="5:11" x14ac:dyDescent="0.2">
      <c r="E2535" s="50"/>
      <c r="H2535" s="12"/>
      <c r="K2535"/>
    </row>
    <row r="2536" spans="5:11" x14ac:dyDescent="0.2">
      <c r="E2536" s="50"/>
      <c r="H2536" s="12"/>
      <c r="K2536"/>
    </row>
    <row r="2537" spans="5:11" x14ac:dyDescent="0.2">
      <c r="E2537" s="50"/>
      <c r="H2537" s="12"/>
      <c r="K2537"/>
    </row>
    <row r="2538" spans="5:11" x14ac:dyDescent="0.2">
      <c r="E2538" s="50"/>
      <c r="H2538" s="12"/>
      <c r="K2538"/>
    </row>
    <row r="2539" spans="5:11" x14ac:dyDescent="0.2">
      <c r="E2539" s="50"/>
      <c r="H2539" s="12"/>
      <c r="K2539"/>
    </row>
    <row r="2540" spans="5:11" x14ac:dyDescent="0.2">
      <c r="E2540" s="50"/>
      <c r="H2540" s="12"/>
      <c r="K2540"/>
    </row>
    <row r="2541" spans="5:11" x14ac:dyDescent="0.2">
      <c r="E2541" s="50"/>
      <c r="H2541" s="12"/>
      <c r="K2541"/>
    </row>
    <row r="2542" spans="5:11" x14ac:dyDescent="0.2">
      <c r="E2542" s="50"/>
      <c r="H2542" s="12"/>
      <c r="K2542"/>
    </row>
    <row r="2543" spans="5:11" x14ac:dyDescent="0.2">
      <c r="E2543" s="50"/>
      <c r="H2543" s="12"/>
      <c r="K2543"/>
    </row>
    <row r="2544" spans="5:11" x14ac:dyDescent="0.2">
      <c r="E2544" s="50"/>
      <c r="H2544" s="12"/>
      <c r="K2544"/>
    </row>
    <row r="2545" spans="5:11" x14ac:dyDescent="0.2">
      <c r="E2545" s="50"/>
      <c r="H2545" s="12"/>
      <c r="K2545"/>
    </row>
    <row r="2546" spans="5:11" x14ac:dyDescent="0.2">
      <c r="E2546" s="50"/>
      <c r="H2546" s="12"/>
      <c r="K2546"/>
    </row>
    <row r="2547" spans="5:11" x14ac:dyDescent="0.2">
      <c r="E2547" s="50"/>
      <c r="H2547" s="12"/>
      <c r="K2547"/>
    </row>
    <row r="2548" spans="5:11" x14ac:dyDescent="0.2">
      <c r="E2548" s="50"/>
      <c r="H2548" s="12"/>
      <c r="K2548"/>
    </row>
    <row r="2549" spans="5:11" x14ac:dyDescent="0.2">
      <c r="E2549" s="50"/>
      <c r="H2549" s="12"/>
      <c r="K2549"/>
    </row>
    <row r="2550" spans="5:11" x14ac:dyDescent="0.2">
      <c r="E2550" s="50"/>
      <c r="H2550" s="12"/>
      <c r="K2550"/>
    </row>
    <row r="2551" spans="5:11" x14ac:dyDescent="0.2">
      <c r="E2551" s="50"/>
      <c r="H2551" s="12"/>
      <c r="K2551"/>
    </row>
    <row r="2552" spans="5:11" x14ac:dyDescent="0.2">
      <c r="E2552" s="50"/>
      <c r="H2552" s="12"/>
      <c r="K2552"/>
    </row>
    <row r="2553" spans="5:11" x14ac:dyDescent="0.2">
      <c r="E2553" s="50"/>
      <c r="H2553" s="12"/>
      <c r="K2553"/>
    </row>
    <row r="2554" spans="5:11" x14ac:dyDescent="0.2">
      <c r="E2554" s="50"/>
      <c r="H2554" s="12"/>
      <c r="K2554"/>
    </row>
    <row r="2555" spans="5:11" x14ac:dyDescent="0.2">
      <c r="E2555" s="50"/>
      <c r="H2555" s="12"/>
      <c r="K2555"/>
    </row>
    <row r="2556" spans="5:11" x14ac:dyDescent="0.2">
      <c r="E2556" s="50"/>
      <c r="H2556" s="12"/>
      <c r="K2556"/>
    </row>
    <row r="2557" spans="5:11" x14ac:dyDescent="0.2">
      <c r="E2557" s="50"/>
      <c r="H2557" s="12"/>
      <c r="K2557"/>
    </row>
    <row r="2558" spans="5:11" x14ac:dyDescent="0.2">
      <c r="E2558" s="50"/>
      <c r="H2558" s="12"/>
      <c r="K2558"/>
    </row>
    <row r="2559" spans="5:11" x14ac:dyDescent="0.2">
      <c r="E2559" s="50"/>
      <c r="H2559" s="12"/>
      <c r="K2559"/>
    </row>
    <row r="2560" spans="5:11" x14ac:dyDescent="0.2">
      <c r="E2560" s="50"/>
      <c r="H2560" s="12"/>
      <c r="K2560"/>
    </row>
    <row r="2561" spans="5:11" x14ac:dyDescent="0.2">
      <c r="E2561" s="50"/>
      <c r="H2561" s="12"/>
      <c r="K2561"/>
    </row>
    <row r="2562" spans="5:11" x14ac:dyDescent="0.2">
      <c r="E2562" s="50"/>
      <c r="H2562" s="12"/>
      <c r="K2562"/>
    </row>
    <row r="2563" spans="5:11" x14ac:dyDescent="0.2">
      <c r="E2563" s="50"/>
      <c r="H2563" s="12"/>
      <c r="K2563"/>
    </row>
    <row r="2564" spans="5:11" x14ac:dyDescent="0.2">
      <c r="E2564" s="50"/>
      <c r="H2564" s="12"/>
      <c r="K2564"/>
    </row>
    <row r="2565" spans="5:11" x14ac:dyDescent="0.2">
      <c r="E2565" s="50"/>
      <c r="H2565" s="12"/>
      <c r="K2565"/>
    </row>
    <row r="2566" spans="5:11" x14ac:dyDescent="0.2">
      <c r="E2566" s="50"/>
      <c r="H2566" s="12"/>
      <c r="K2566"/>
    </row>
    <row r="2567" spans="5:11" x14ac:dyDescent="0.2">
      <c r="E2567" s="50"/>
      <c r="H2567" s="12"/>
      <c r="K2567"/>
    </row>
    <row r="2568" spans="5:11" x14ac:dyDescent="0.2">
      <c r="E2568" s="50"/>
      <c r="H2568" s="12"/>
      <c r="K2568"/>
    </row>
    <row r="2569" spans="5:11" x14ac:dyDescent="0.2">
      <c r="E2569" s="50"/>
      <c r="H2569" s="12"/>
      <c r="K2569"/>
    </row>
    <row r="2570" spans="5:11" x14ac:dyDescent="0.2">
      <c r="E2570" s="50"/>
      <c r="H2570" s="12"/>
      <c r="K2570"/>
    </row>
    <row r="2571" spans="5:11" x14ac:dyDescent="0.2">
      <c r="E2571" s="50"/>
      <c r="H2571" s="12"/>
      <c r="K2571"/>
    </row>
    <row r="2572" spans="5:11" x14ac:dyDescent="0.2">
      <c r="E2572" s="50"/>
      <c r="H2572" s="12"/>
      <c r="K2572"/>
    </row>
    <row r="2573" spans="5:11" x14ac:dyDescent="0.2">
      <c r="E2573" s="50"/>
      <c r="H2573" s="12"/>
      <c r="K2573"/>
    </row>
    <row r="2574" spans="5:11" x14ac:dyDescent="0.2">
      <c r="E2574" s="50"/>
      <c r="H2574" s="12"/>
      <c r="K2574"/>
    </row>
    <row r="2575" spans="5:11" x14ac:dyDescent="0.2">
      <c r="E2575" s="50"/>
      <c r="H2575" s="12"/>
      <c r="K2575"/>
    </row>
    <row r="2576" spans="5:11" x14ac:dyDescent="0.2">
      <c r="E2576" s="50"/>
      <c r="H2576" s="12"/>
      <c r="K2576"/>
    </row>
    <row r="2577" spans="5:11" x14ac:dyDescent="0.2">
      <c r="E2577" s="50"/>
      <c r="H2577" s="12"/>
      <c r="K2577"/>
    </row>
    <row r="2578" spans="5:11" x14ac:dyDescent="0.2">
      <c r="E2578" s="50"/>
      <c r="H2578" s="12"/>
      <c r="K2578"/>
    </row>
    <row r="2579" spans="5:11" x14ac:dyDescent="0.2">
      <c r="E2579" s="50"/>
      <c r="H2579" s="12"/>
      <c r="K2579"/>
    </row>
    <row r="2580" spans="5:11" x14ac:dyDescent="0.2">
      <c r="E2580" s="50"/>
      <c r="H2580" s="12"/>
      <c r="K2580"/>
    </row>
    <row r="2581" spans="5:11" x14ac:dyDescent="0.2">
      <c r="E2581" s="50"/>
      <c r="H2581" s="12"/>
      <c r="K2581"/>
    </row>
    <row r="2582" spans="5:11" x14ac:dyDescent="0.2">
      <c r="E2582" s="50"/>
      <c r="H2582" s="12"/>
      <c r="K2582"/>
    </row>
    <row r="2583" spans="5:11" x14ac:dyDescent="0.2">
      <c r="E2583" s="50"/>
      <c r="H2583" s="12"/>
      <c r="K2583"/>
    </row>
    <row r="2584" spans="5:11" x14ac:dyDescent="0.2">
      <c r="E2584" s="50"/>
      <c r="H2584" s="12"/>
      <c r="K2584"/>
    </row>
    <row r="2585" spans="5:11" x14ac:dyDescent="0.2">
      <c r="E2585" s="50"/>
      <c r="H2585" s="12"/>
      <c r="K2585"/>
    </row>
    <row r="2586" spans="5:11" x14ac:dyDescent="0.2">
      <c r="E2586" s="50"/>
      <c r="H2586" s="12"/>
      <c r="K2586"/>
    </row>
    <row r="2587" spans="5:11" x14ac:dyDescent="0.2">
      <c r="E2587" s="50"/>
      <c r="H2587" s="12"/>
      <c r="K2587"/>
    </row>
    <row r="2588" spans="5:11" x14ac:dyDescent="0.2">
      <c r="E2588" s="50"/>
      <c r="H2588" s="12"/>
      <c r="K2588"/>
    </row>
    <row r="2589" spans="5:11" x14ac:dyDescent="0.2">
      <c r="E2589" s="50"/>
      <c r="H2589" s="12"/>
      <c r="K2589"/>
    </row>
    <row r="2590" spans="5:11" x14ac:dyDescent="0.2">
      <c r="E2590" s="50"/>
      <c r="H2590" s="12"/>
      <c r="K2590"/>
    </row>
    <row r="2591" spans="5:11" x14ac:dyDescent="0.2">
      <c r="E2591" s="50"/>
      <c r="H2591" s="12"/>
      <c r="K2591"/>
    </row>
    <row r="2592" spans="5:11" x14ac:dyDescent="0.2">
      <c r="E2592" s="50"/>
      <c r="H2592" s="12"/>
      <c r="K2592"/>
    </row>
    <row r="2593" spans="5:11" x14ac:dyDescent="0.2">
      <c r="E2593" s="50"/>
      <c r="H2593" s="12"/>
      <c r="K2593"/>
    </row>
    <row r="2594" spans="5:11" x14ac:dyDescent="0.2">
      <c r="E2594" s="50"/>
      <c r="H2594" s="12"/>
      <c r="K2594"/>
    </row>
    <row r="2595" spans="5:11" x14ac:dyDescent="0.2">
      <c r="E2595" s="50"/>
      <c r="H2595" s="12"/>
      <c r="K2595"/>
    </row>
    <row r="2596" spans="5:11" x14ac:dyDescent="0.2">
      <c r="E2596" s="50"/>
      <c r="H2596" s="12"/>
      <c r="K2596"/>
    </row>
    <row r="2597" spans="5:11" x14ac:dyDescent="0.2">
      <c r="E2597" s="50"/>
      <c r="H2597" s="12"/>
      <c r="K2597"/>
    </row>
    <row r="2598" spans="5:11" x14ac:dyDescent="0.2">
      <c r="E2598" s="50"/>
      <c r="H2598" s="12"/>
      <c r="K2598"/>
    </row>
    <row r="2599" spans="5:11" x14ac:dyDescent="0.2">
      <c r="E2599" s="50"/>
      <c r="H2599" s="12"/>
      <c r="K2599"/>
    </row>
    <row r="2600" spans="5:11" x14ac:dyDescent="0.2">
      <c r="E2600" s="50"/>
      <c r="H2600" s="12"/>
      <c r="K2600"/>
    </row>
    <row r="2601" spans="5:11" x14ac:dyDescent="0.2">
      <c r="E2601" s="50"/>
      <c r="H2601" s="12"/>
      <c r="K2601"/>
    </row>
    <row r="2602" spans="5:11" x14ac:dyDescent="0.2">
      <c r="E2602" s="50"/>
      <c r="H2602" s="12"/>
      <c r="K2602"/>
    </row>
    <row r="2603" spans="5:11" x14ac:dyDescent="0.2">
      <c r="E2603" s="50"/>
      <c r="H2603" s="12"/>
      <c r="K2603"/>
    </row>
    <row r="2604" spans="5:11" x14ac:dyDescent="0.2">
      <c r="E2604" s="50"/>
      <c r="H2604" s="12"/>
      <c r="K2604"/>
    </row>
    <row r="2605" spans="5:11" x14ac:dyDescent="0.2">
      <c r="E2605" s="50"/>
      <c r="H2605" s="12"/>
      <c r="K2605"/>
    </row>
    <row r="2606" spans="5:11" x14ac:dyDescent="0.2">
      <c r="E2606" s="50"/>
      <c r="H2606" s="12"/>
      <c r="K2606"/>
    </row>
    <row r="2607" spans="5:11" x14ac:dyDescent="0.2">
      <c r="E2607" s="50"/>
      <c r="H2607" s="12"/>
      <c r="K2607"/>
    </row>
    <row r="2608" spans="5:11" x14ac:dyDescent="0.2">
      <c r="E2608" s="50"/>
      <c r="H2608" s="12"/>
      <c r="K2608"/>
    </row>
    <row r="2609" spans="5:11" x14ac:dyDescent="0.2">
      <c r="E2609" s="50"/>
      <c r="H2609" s="12"/>
      <c r="K2609"/>
    </row>
    <row r="2610" spans="5:11" x14ac:dyDescent="0.2">
      <c r="E2610" s="50"/>
      <c r="H2610" s="12"/>
      <c r="K2610"/>
    </row>
    <row r="2611" spans="5:11" x14ac:dyDescent="0.2">
      <c r="E2611" s="50"/>
      <c r="H2611" s="12"/>
      <c r="K2611"/>
    </row>
    <row r="2612" spans="5:11" x14ac:dyDescent="0.2">
      <c r="E2612" s="50"/>
      <c r="H2612" s="12"/>
      <c r="K2612"/>
    </row>
    <row r="2613" spans="5:11" x14ac:dyDescent="0.2">
      <c r="E2613" s="50"/>
      <c r="H2613" s="12"/>
      <c r="K2613"/>
    </row>
    <row r="2614" spans="5:11" x14ac:dyDescent="0.2">
      <c r="E2614" s="50"/>
      <c r="H2614" s="12"/>
      <c r="K2614"/>
    </row>
    <row r="2615" spans="5:11" x14ac:dyDescent="0.2">
      <c r="E2615" s="50"/>
      <c r="H2615" s="12"/>
      <c r="K2615"/>
    </row>
    <row r="2616" spans="5:11" x14ac:dyDescent="0.2">
      <c r="E2616" s="50"/>
      <c r="H2616" s="12"/>
      <c r="K2616"/>
    </row>
    <row r="2617" spans="5:11" x14ac:dyDescent="0.2">
      <c r="E2617" s="50"/>
      <c r="H2617" s="12"/>
      <c r="K2617"/>
    </row>
    <row r="2618" spans="5:11" x14ac:dyDescent="0.2">
      <c r="E2618" s="50"/>
      <c r="H2618" s="12"/>
      <c r="K2618"/>
    </row>
    <row r="2619" spans="5:11" x14ac:dyDescent="0.2">
      <c r="E2619" s="50"/>
      <c r="H2619" s="12"/>
      <c r="K2619"/>
    </row>
    <row r="2620" spans="5:11" x14ac:dyDescent="0.2">
      <c r="E2620" s="50"/>
      <c r="H2620" s="12"/>
      <c r="K2620"/>
    </row>
    <row r="2621" spans="5:11" x14ac:dyDescent="0.2">
      <c r="E2621" s="50"/>
      <c r="H2621" s="12"/>
      <c r="K2621"/>
    </row>
    <row r="2622" spans="5:11" x14ac:dyDescent="0.2">
      <c r="E2622" s="50"/>
      <c r="H2622" s="12"/>
      <c r="K2622"/>
    </row>
    <row r="2623" spans="5:11" x14ac:dyDescent="0.2">
      <c r="E2623" s="50"/>
      <c r="H2623" s="12"/>
      <c r="K2623"/>
    </row>
    <row r="2624" spans="5:11" x14ac:dyDescent="0.2">
      <c r="E2624" s="50"/>
      <c r="H2624" s="12"/>
      <c r="K2624"/>
    </row>
    <row r="2625" spans="5:11" x14ac:dyDescent="0.2">
      <c r="E2625" s="50"/>
      <c r="H2625" s="12"/>
      <c r="K2625"/>
    </row>
    <row r="2626" spans="5:11" x14ac:dyDescent="0.2">
      <c r="E2626" s="50"/>
      <c r="H2626" s="12"/>
      <c r="K2626"/>
    </row>
    <row r="2627" spans="5:11" x14ac:dyDescent="0.2">
      <c r="E2627" s="50"/>
      <c r="H2627" s="12"/>
      <c r="K2627"/>
    </row>
    <row r="2628" spans="5:11" x14ac:dyDescent="0.2">
      <c r="E2628" s="50"/>
      <c r="H2628" s="12"/>
      <c r="K2628"/>
    </row>
    <row r="2629" spans="5:11" x14ac:dyDescent="0.2">
      <c r="E2629" s="50"/>
      <c r="H2629" s="12"/>
      <c r="K2629"/>
    </row>
    <row r="2630" spans="5:11" x14ac:dyDescent="0.2">
      <c r="E2630" s="50"/>
      <c r="H2630" s="12"/>
      <c r="K2630"/>
    </row>
    <row r="2631" spans="5:11" x14ac:dyDescent="0.2">
      <c r="E2631" s="50"/>
      <c r="H2631" s="12"/>
      <c r="K2631"/>
    </row>
    <row r="2632" spans="5:11" x14ac:dyDescent="0.2">
      <c r="E2632" s="50"/>
      <c r="H2632" s="12"/>
      <c r="K2632"/>
    </row>
    <row r="2633" spans="5:11" x14ac:dyDescent="0.2">
      <c r="E2633" s="50"/>
      <c r="H2633" s="12"/>
      <c r="K2633"/>
    </row>
    <row r="2634" spans="5:11" x14ac:dyDescent="0.2">
      <c r="E2634" s="50"/>
      <c r="H2634" s="12"/>
      <c r="K2634"/>
    </row>
    <row r="2635" spans="5:11" x14ac:dyDescent="0.2">
      <c r="E2635" s="50"/>
      <c r="H2635" s="12"/>
      <c r="K2635"/>
    </row>
    <row r="2636" spans="5:11" x14ac:dyDescent="0.2">
      <c r="E2636" s="50"/>
      <c r="H2636" s="12"/>
      <c r="K2636"/>
    </row>
    <row r="2637" spans="5:11" x14ac:dyDescent="0.2">
      <c r="E2637" s="50"/>
      <c r="H2637" s="12"/>
      <c r="K2637"/>
    </row>
    <row r="2638" spans="5:11" x14ac:dyDescent="0.2">
      <c r="E2638" s="50"/>
      <c r="H2638" s="12"/>
      <c r="K2638"/>
    </row>
    <row r="2639" spans="5:11" x14ac:dyDescent="0.2">
      <c r="E2639" s="50"/>
      <c r="H2639" s="12"/>
      <c r="K2639"/>
    </row>
    <row r="2640" spans="5:11" x14ac:dyDescent="0.2">
      <c r="E2640" s="50"/>
      <c r="H2640" s="12"/>
      <c r="K2640"/>
    </row>
    <row r="2641" spans="5:11" x14ac:dyDescent="0.2">
      <c r="E2641" s="50"/>
      <c r="H2641" s="12"/>
      <c r="K2641"/>
    </row>
    <row r="2642" spans="5:11" x14ac:dyDescent="0.2">
      <c r="E2642" s="50"/>
      <c r="H2642" s="12"/>
      <c r="K2642"/>
    </row>
    <row r="2643" spans="5:11" x14ac:dyDescent="0.2">
      <c r="E2643" s="50"/>
      <c r="H2643" s="12"/>
      <c r="K2643"/>
    </row>
    <row r="2644" spans="5:11" x14ac:dyDescent="0.2">
      <c r="E2644" s="50"/>
      <c r="H2644" s="12"/>
      <c r="K2644"/>
    </row>
    <row r="2645" spans="5:11" x14ac:dyDescent="0.2">
      <c r="E2645" s="50"/>
      <c r="H2645" s="12"/>
      <c r="K2645"/>
    </row>
    <row r="2646" spans="5:11" x14ac:dyDescent="0.2">
      <c r="E2646" s="50"/>
      <c r="H2646" s="12"/>
      <c r="K2646"/>
    </row>
    <row r="2647" spans="5:11" x14ac:dyDescent="0.2">
      <c r="E2647" s="50"/>
      <c r="H2647" s="12"/>
      <c r="K2647"/>
    </row>
    <row r="2648" spans="5:11" x14ac:dyDescent="0.2">
      <c r="E2648" s="50"/>
      <c r="H2648" s="12"/>
      <c r="K2648"/>
    </row>
    <row r="2649" spans="5:11" x14ac:dyDescent="0.2">
      <c r="E2649" s="50"/>
      <c r="H2649" s="12"/>
      <c r="K2649"/>
    </row>
    <row r="2650" spans="5:11" x14ac:dyDescent="0.2">
      <c r="E2650" s="50"/>
      <c r="H2650" s="12"/>
      <c r="K2650"/>
    </row>
    <row r="2651" spans="5:11" x14ac:dyDescent="0.2">
      <c r="E2651" s="50"/>
      <c r="H2651" s="12"/>
      <c r="K2651"/>
    </row>
    <row r="2652" spans="5:11" x14ac:dyDescent="0.2">
      <c r="E2652" s="50"/>
      <c r="H2652" s="12"/>
      <c r="K2652"/>
    </row>
    <row r="2653" spans="5:11" x14ac:dyDescent="0.2">
      <c r="E2653" s="50"/>
      <c r="H2653" s="12"/>
      <c r="K2653"/>
    </row>
    <row r="2654" spans="5:11" x14ac:dyDescent="0.2">
      <c r="E2654" s="50"/>
      <c r="H2654" s="12"/>
      <c r="K2654"/>
    </row>
    <row r="2655" spans="5:11" x14ac:dyDescent="0.2">
      <c r="E2655" s="50"/>
      <c r="H2655" s="12"/>
      <c r="K2655"/>
    </row>
    <row r="2656" spans="5:11" x14ac:dyDescent="0.2">
      <c r="E2656" s="50"/>
      <c r="H2656" s="12"/>
      <c r="K2656"/>
    </row>
    <row r="2657" spans="5:11" x14ac:dyDescent="0.2">
      <c r="E2657" s="50"/>
      <c r="H2657" s="12"/>
      <c r="K2657"/>
    </row>
    <row r="2658" spans="5:11" x14ac:dyDescent="0.2">
      <c r="E2658" s="50"/>
      <c r="H2658" s="12"/>
      <c r="K2658"/>
    </row>
    <row r="2659" spans="5:11" x14ac:dyDescent="0.2">
      <c r="E2659" s="50"/>
      <c r="H2659" s="12"/>
      <c r="K2659"/>
    </row>
    <row r="2660" spans="5:11" x14ac:dyDescent="0.2">
      <c r="E2660" s="50"/>
      <c r="H2660" s="12"/>
      <c r="K2660"/>
    </row>
    <row r="2661" spans="5:11" x14ac:dyDescent="0.2">
      <c r="E2661" s="50"/>
      <c r="H2661" s="12"/>
      <c r="K2661"/>
    </row>
    <row r="2662" spans="5:11" x14ac:dyDescent="0.2">
      <c r="E2662" s="50"/>
      <c r="H2662" s="12"/>
      <c r="K2662"/>
    </row>
    <row r="2663" spans="5:11" x14ac:dyDescent="0.2">
      <c r="E2663" s="50"/>
      <c r="H2663" s="12"/>
      <c r="K2663"/>
    </row>
    <row r="2664" spans="5:11" x14ac:dyDescent="0.2">
      <c r="E2664" s="50"/>
      <c r="H2664" s="12"/>
      <c r="K2664"/>
    </row>
    <row r="2665" spans="5:11" x14ac:dyDescent="0.2">
      <c r="E2665" s="50"/>
      <c r="H2665" s="12"/>
      <c r="K2665"/>
    </row>
    <row r="2666" spans="5:11" x14ac:dyDescent="0.2">
      <c r="E2666" s="50"/>
      <c r="H2666" s="12"/>
      <c r="K2666"/>
    </row>
    <row r="2667" spans="5:11" x14ac:dyDescent="0.2">
      <c r="E2667" s="50"/>
      <c r="H2667" s="12"/>
      <c r="K2667"/>
    </row>
    <row r="2668" spans="5:11" x14ac:dyDescent="0.2">
      <c r="E2668" s="50"/>
      <c r="H2668" s="12"/>
      <c r="K2668"/>
    </row>
    <row r="2669" spans="5:11" x14ac:dyDescent="0.2">
      <c r="E2669" s="50"/>
      <c r="H2669" s="12"/>
      <c r="K2669"/>
    </row>
    <row r="2670" spans="5:11" x14ac:dyDescent="0.2">
      <c r="E2670" s="50"/>
      <c r="H2670" s="12"/>
      <c r="K2670"/>
    </row>
    <row r="2671" spans="5:11" x14ac:dyDescent="0.2">
      <c r="E2671" s="50"/>
      <c r="H2671" s="12"/>
      <c r="K2671"/>
    </row>
    <row r="2672" spans="5:11" x14ac:dyDescent="0.2">
      <c r="E2672" s="50"/>
      <c r="H2672" s="12"/>
      <c r="K2672"/>
    </row>
    <row r="2673" spans="5:11" x14ac:dyDescent="0.2">
      <c r="E2673" s="50"/>
      <c r="H2673" s="12"/>
      <c r="K2673"/>
    </row>
    <row r="2674" spans="5:11" x14ac:dyDescent="0.2">
      <c r="E2674" s="50"/>
      <c r="H2674" s="12"/>
      <c r="K2674"/>
    </row>
    <row r="2675" spans="5:11" x14ac:dyDescent="0.2">
      <c r="E2675" s="50"/>
      <c r="H2675" s="12"/>
      <c r="K2675"/>
    </row>
    <row r="2676" spans="5:11" x14ac:dyDescent="0.2">
      <c r="E2676" s="50"/>
      <c r="H2676" s="12"/>
      <c r="K2676"/>
    </row>
    <row r="2677" spans="5:11" x14ac:dyDescent="0.2">
      <c r="E2677" s="50"/>
      <c r="H2677" s="12"/>
      <c r="K2677"/>
    </row>
    <row r="2678" spans="5:11" x14ac:dyDescent="0.2">
      <c r="E2678" s="50"/>
      <c r="H2678" s="12"/>
      <c r="K2678"/>
    </row>
    <row r="2679" spans="5:11" x14ac:dyDescent="0.2">
      <c r="E2679" s="50"/>
      <c r="H2679" s="12"/>
      <c r="K2679"/>
    </row>
    <row r="2680" spans="5:11" x14ac:dyDescent="0.2">
      <c r="E2680" s="50"/>
      <c r="H2680" s="12"/>
      <c r="K2680"/>
    </row>
    <row r="2681" spans="5:11" x14ac:dyDescent="0.2">
      <c r="E2681" s="50"/>
      <c r="H2681" s="12"/>
      <c r="K2681"/>
    </row>
    <row r="2682" spans="5:11" x14ac:dyDescent="0.2">
      <c r="E2682" s="50"/>
      <c r="H2682" s="12"/>
      <c r="K2682"/>
    </row>
    <row r="2683" spans="5:11" x14ac:dyDescent="0.2">
      <c r="E2683" s="50"/>
      <c r="H2683" s="12"/>
      <c r="K2683"/>
    </row>
    <row r="2684" spans="5:11" x14ac:dyDescent="0.2">
      <c r="E2684" s="50"/>
      <c r="H2684" s="12"/>
      <c r="K2684"/>
    </row>
    <row r="2685" spans="5:11" x14ac:dyDescent="0.2">
      <c r="E2685" s="50"/>
      <c r="H2685" s="12"/>
      <c r="K2685"/>
    </row>
    <row r="2686" spans="5:11" x14ac:dyDescent="0.2">
      <c r="E2686" s="50"/>
      <c r="H2686" s="12"/>
      <c r="K2686"/>
    </row>
    <row r="2687" spans="5:11" x14ac:dyDescent="0.2">
      <c r="E2687" s="50"/>
      <c r="H2687" s="12"/>
      <c r="K2687"/>
    </row>
    <row r="2688" spans="5:11" x14ac:dyDescent="0.2">
      <c r="E2688" s="50"/>
      <c r="H2688" s="12"/>
      <c r="K2688"/>
    </row>
    <row r="2689" spans="5:11" x14ac:dyDescent="0.2">
      <c r="E2689" s="50"/>
      <c r="H2689" s="12"/>
      <c r="K2689"/>
    </row>
    <row r="2690" spans="5:11" x14ac:dyDescent="0.2">
      <c r="E2690" s="50"/>
      <c r="H2690" s="12"/>
      <c r="K2690"/>
    </row>
    <row r="2691" spans="5:11" x14ac:dyDescent="0.2">
      <c r="E2691" s="50"/>
      <c r="H2691" s="12"/>
      <c r="K2691"/>
    </row>
    <row r="2692" spans="5:11" x14ac:dyDescent="0.2">
      <c r="E2692" s="50"/>
      <c r="H2692" s="12"/>
      <c r="K2692"/>
    </row>
    <row r="2693" spans="5:11" x14ac:dyDescent="0.2">
      <c r="E2693" s="50"/>
      <c r="H2693" s="12"/>
      <c r="K2693"/>
    </row>
    <row r="2694" spans="5:11" x14ac:dyDescent="0.2">
      <c r="E2694" s="50"/>
      <c r="H2694" s="12"/>
      <c r="K2694"/>
    </row>
    <row r="2695" spans="5:11" x14ac:dyDescent="0.2">
      <c r="E2695" s="50"/>
      <c r="H2695" s="12"/>
      <c r="K2695"/>
    </row>
    <row r="2696" spans="5:11" x14ac:dyDescent="0.2">
      <c r="E2696" s="50"/>
      <c r="H2696" s="12"/>
      <c r="K2696"/>
    </row>
    <row r="2697" spans="5:11" x14ac:dyDescent="0.2">
      <c r="E2697" s="50"/>
      <c r="H2697" s="12"/>
      <c r="K2697"/>
    </row>
    <row r="2698" spans="5:11" x14ac:dyDescent="0.2">
      <c r="E2698" s="50"/>
      <c r="H2698" s="12"/>
      <c r="K2698"/>
    </row>
    <row r="2699" spans="5:11" x14ac:dyDescent="0.2">
      <c r="E2699" s="50"/>
      <c r="H2699" s="12"/>
      <c r="K2699"/>
    </row>
    <row r="2700" spans="5:11" x14ac:dyDescent="0.2">
      <c r="E2700" s="50"/>
      <c r="H2700" s="12"/>
      <c r="K2700"/>
    </row>
    <row r="2701" spans="5:11" x14ac:dyDescent="0.2">
      <c r="E2701" s="50"/>
      <c r="H2701" s="12"/>
      <c r="K2701"/>
    </row>
    <row r="2702" spans="5:11" x14ac:dyDescent="0.2">
      <c r="E2702" s="50"/>
      <c r="H2702" s="12"/>
      <c r="K2702"/>
    </row>
    <row r="2703" spans="5:11" x14ac:dyDescent="0.2">
      <c r="E2703" s="50"/>
      <c r="H2703" s="12"/>
      <c r="K2703"/>
    </row>
    <row r="2704" spans="5:11" x14ac:dyDescent="0.2">
      <c r="E2704" s="50"/>
      <c r="H2704" s="12"/>
      <c r="K2704"/>
    </row>
    <row r="2705" spans="5:11" x14ac:dyDescent="0.2">
      <c r="E2705" s="50"/>
      <c r="H2705" s="12"/>
      <c r="K2705"/>
    </row>
    <row r="2706" spans="5:11" x14ac:dyDescent="0.2">
      <c r="E2706" s="50"/>
      <c r="H2706" s="12"/>
      <c r="K2706"/>
    </row>
    <row r="2707" spans="5:11" x14ac:dyDescent="0.2">
      <c r="E2707" s="50"/>
      <c r="H2707" s="12"/>
      <c r="K2707"/>
    </row>
    <row r="2708" spans="5:11" x14ac:dyDescent="0.2">
      <c r="E2708" s="50"/>
      <c r="H2708" s="12"/>
      <c r="K2708"/>
    </row>
    <row r="2709" spans="5:11" x14ac:dyDescent="0.2">
      <c r="E2709" s="50"/>
      <c r="H2709" s="12"/>
      <c r="K2709"/>
    </row>
    <row r="2710" spans="5:11" x14ac:dyDescent="0.2">
      <c r="E2710" s="50"/>
      <c r="H2710" s="12"/>
      <c r="K2710"/>
    </row>
    <row r="2711" spans="5:11" x14ac:dyDescent="0.2">
      <c r="E2711" s="50"/>
      <c r="H2711" s="12"/>
      <c r="K2711"/>
    </row>
    <row r="2712" spans="5:11" x14ac:dyDescent="0.2">
      <c r="E2712" s="50"/>
      <c r="H2712" s="12"/>
      <c r="K2712"/>
    </row>
    <row r="2713" spans="5:11" x14ac:dyDescent="0.2">
      <c r="E2713" s="50"/>
      <c r="H2713" s="12"/>
      <c r="K2713"/>
    </row>
    <row r="2714" spans="5:11" x14ac:dyDescent="0.2">
      <c r="E2714" s="50"/>
      <c r="H2714" s="12"/>
      <c r="K2714"/>
    </row>
    <row r="2715" spans="5:11" x14ac:dyDescent="0.2">
      <c r="E2715" s="50"/>
      <c r="H2715" s="12"/>
      <c r="K2715"/>
    </row>
    <row r="2716" spans="5:11" x14ac:dyDescent="0.2">
      <c r="E2716" s="50"/>
      <c r="H2716" s="12"/>
      <c r="K2716"/>
    </row>
    <row r="2717" spans="5:11" x14ac:dyDescent="0.2">
      <c r="E2717" s="50"/>
      <c r="H2717" s="12"/>
      <c r="K2717"/>
    </row>
    <row r="2718" spans="5:11" x14ac:dyDescent="0.2">
      <c r="E2718" s="50"/>
      <c r="H2718" s="12"/>
      <c r="K2718"/>
    </row>
    <row r="2719" spans="5:11" x14ac:dyDescent="0.2">
      <c r="E2719" s="50"/>
      <c r="H2719" s="12"/>
      <c r="K2719"/>
    </row>
    <row r="2720" spans="5:11" x14ac:dyDescent="0.2">
      <c r="E2720" s="50"/>
      <c r="H2720" s="12"/>
      <c r="K2720"/>
    </row>
    <row r="2721" spans="5:11" x14ac:dyDescent="0.2">
      <c r="E2721" s="50"/>
      <c r="H2721" s="12"/>
      <c r="K2721"/>
    </row>
    <row r="2722" spans="5:11" x14ac:dyDescent="0.2">
      <c r="E2722" s="50"/>
      <c r="H2722" s="12"/>
      <c r="K2722"/>
    </row>
    <row r="2723" spans="5:11" x14ac:dyDescent="0.2">
      <c r="E2723" s="50"/>
      <c r="H2723" s="12"/>
      <c r="K2723"/>
    </row>
    <row r="2724" spans="5:11" x14ac:dyDescent="0.2">
      <c r="E2724" s="50"/>
      <c r="H2724" s="12"/>
      <c r="K2724"/>
    </row>
    <row r="2725" spans="5:11" x14ac:dyDescent="0.2">
      <c r="E2725" s="50"/>
      <c r="H2725" s="12"/>
      <c r="K2725"/>
    </row>
    <row r="2726" spans="5:11" x14ac:dyDescent="0.2">
      <c r="E2726" s="50"/>
      <c r="H2726" s="12"/>
      <c r="K2726"/>
    </row>
    <row r="2727" spans="5:11" x14ac:dyDescent="0.2">
      <c r="E2727" s="50"/>
      <c r="H2727" s="12"/>
      <c r="K2727"/>
    </row>
    <row r="2728" spans="5:11" x14ac:dyDescent="0.2">
      <c r="E2728" s="50"/>
      <c r="H2728" s="12"/>
      <c r="K2728"/>
    </row>
    <row r="2729" spans="5:11" x14ac:dyDescent="0.2">
      <c r="E2729" s="50"/>
      <c r="H2729" s="12"/>
      <c r="K2729"/>
    </row>
    <row r="2730" spans="5:11" x14ac:dyDescent="0.2">
      <c r="E2730" s="50"/>
      <c r="H2730" s="12"/>
      <c r="K2730"/>
    </row>
    <row r="2731" spans="5:11" x14ac:dyDescent="0.2">
      <c r="E2731" s="50"/>
      <c r="H2731" s="12"/>
      <c r="K2731"/>
    </row>
    <row r="2732" spans="5:11" x14ac:dyDescent="0.2">
      <c r="E2732" s="50"/>
      <c r="H2732" s="12"/>
      <c r="K2732"/>
    </row>
    <row r="2733" spans="5:11" x14ac:dyDescent="0.2">
      <c r="E2733" s="50"/>
      <c r="H2733" s="12"/>
      <c r="K2733"/>
    </row>
    <row r="2734" spans="5:11" x14ac:dyDescent="0.2">
      <c r="E2734" s="50"/>
      <c r="H2734" s="12"/>
      <c r="K2734"/>
    </row>
    <row r="2735" spans="5:11" x14ac:dyDescent="0.2">
      <c r="E2735" s="50"/>
      <c r="H2735" s="12"/>
      <c r="K2735"/>
    </row>
    <row r="2736" spans="5:11" x14ac:dyDescent="0.2">
      <c r="E2736" s="50"/>
      <c r="H2736" s="12"/>
      <c r="K2736"/>
    </row>
    <row r="2737" spans="5:11" x14ac:dyDescent="0.2">
      <c r="E2737" s="50"/>
      <c r="H2737" s="12"/>
      <c r="K2737"/>
    </row>
    <row r="2738" spans="5:11" x14ac:dyDescent="0.2">
      <c r="E2738" s="50"/>
      <c r="H2738" s="12"/>
      <c r="K2738"/>
    </row>
    <row r="2739" spans="5:11" x14ac:dyDescent="0.2">
      <c r="E2739" s="50"/>
      <c r="H2739" s="12"/>
      <c r="K2739"/>
    </row>
    <row r="2740" spans="5:11" x14ac:dyDescent="0.2">
      <c r="E2740" s="50"/>
      <c r="H2740" s="12"/>
      <c r="K2740"/>
    </row>
    <row r="2741" spans="5:11" x14ac:dyDescent="0.2">
      <c r="E2741" s="50"/>
      <c r="H2741" s="12"/>
      <c r="K2741"/>
    </row>
    <row r="2742" spans="5:11" x14ac:dyDescent="0.2">
      <c r="E2742" s="50"/>
      <c r="H2742" s="12"/>
      <c r="K2742"/>
    </row>
    <row r="2743" spans="5:11" x14ac:dyDescent="0.2">
      <c r="E2743" s="50"/>
      <c r="H2743" s="12"/>
      <c r="K2743"/>
    </row>
    <row r="2744" spans="5:11" x14ac:dyDescent="0.2">
      <c r="E2744" s="50"/>
      <c r="H2744" s="12"/>
      <c r="K2744"/>
    </row>
    <row r="2745" spans="5:11" x14ac:dyDescent="0.2">
      <c r="E2745" s="50"/>
      <c r="H2745" s="12"/>
      <c r="K2745"/>
    </row>
    <row r="2746" spans="5:11" x14ac:dyDescent="0.2">
      <c r="E2746" s="50"/>
      <c r="H2746" s="12"/>
      <c r="K2746"/>
    </row>
    <row r="2747" spans="5:11" x14ac:dyDescent="0.2">
      <c r="E2747" s="50"/>
      <c r="H2747" s="12"/>
      <c r="K2747"/>
    </row>
    <row r="2748" spans="5:11" x14ac:dyDescent="0.2">
      <c r="E2748" s="50"/>
      <c r="H2748" s="12"/>
      <c r="K2748"/>
    </row>
    <row r="2749" spans="5:11" x14ac:dyDescent="0.2">
      <c r="E2749" s="50"/>
      <c r="H2749" s="12"/>
      <c r="K2749"/>
    </row>
    <row r="2750" spans="5:11" x14ac:dyDescent="0.2">
      <c r="E2750" s="50"/>
      <c r="H2750" s="12"/>
      <c r="K2750"/>
    </row>
    <row r="2751" spans="5:11" x14ac:dyDescent="0.2">
      <c r="E2751" s="50"/>
      <c r="H2751" s="12"/>
      <c r="K2751"/>
    </row>
    <row r="2752" spans="5:11" x14ac:dyDescent="0.2">
      <c r="E2752" s="50"/>
      <c r="H2752" s="12"/>
      <c r="K2752"/>
    </row>
    <row r="2753" spans="5:11" x14ac:dyDescent="0.2">
      <c r="E2753" s="50"/>
      <c r="H2753" s="12"/>
      <c r="K2753"/>
    </row>
    <row r="2754" spans="5:11" x14ac:dyDescent="0.2">
      <c r="E2754" s="50"/>
      <c r="H2754" s="12"/>
      <c r="K2754"/>
    </row>
    <row r="2755" spans="5:11" x14ac:dyDescent="0.2">
      <c r="E2755" s="50"/>
      <c r="H2755" s="12"/>
      <c r="K2755"/>
    </row>
    <row r="2756" spans="5:11" x14ac:dyDescent="0.2">
      <c r="E2756" s="50"/>
      <c r="H2756" s="12"/>
      <c r="K2756"/>
    </row>
    <row r="2757" spans="5:11" x14ac:dyDescent="0.2">
      <c r="E2757" s="50"/>
      <c r="H2757" s="12"/>
      <c r="K2757"/>
    </row>
    <row r="2758" spans="5:11" x14ac:dyDescent="0.2">
      <c r="E2758" s="50"/>
      <c r="H2758" s="12"/>
      <c r="K2758"/>
    </row>
    <row r="2759" spans="5:11" x14ac:dyDescent="0.2">
      <c r="E2759" s="50"/>
      <c r="H2759" s="12"/>
      <c r="K2759"/>
    </row>
    <row r="2760" spans="5:11" x14ac:dyDescent="0.2">
      <c r="E2760" s="50"/>
      <c r="H2760" s="12"/>
      <c r="K2760"/>
    </row>
    <row r="2761" spans="5:11" x14ac:dyDescent="0.2">
      <c r="E2761" s="50"/>
      <c r="H2761" s="12"/>
      <c r="K2761"/>
    </row>
    <row r="2762" spans="5:11" x14ac:dyDescent="0.2">
      <c r="E2762" s="50"/>
      <c r="H2762" s="12"/>
      <c r="K2762"/>
    </row>
    <row r="2763" spans="5:11" x14ac:dyDescent="0.2">
      <c r="E2763" s="50"/>
      <c r="H2763" s="12"/>
      <c r="K2763"/>
    </row>
    <row r="2764" spans="5:11" x14ac:dyDescent="0.2">
      <c r="E2764" s="50"/>
      <c r="H2764" s="12"/>
      <c r="K2764"/>
    </row>
    <row r="2765" spans="5:11" x14ac:dyDescent="0.2">
      <c r="E2765" s="50"/>
      <c r="H2765" s="12"/>
      <c r="K2765"/>
    </row>
    <row r="2766" spans="5:11" x14ac:dyDescent="0.2">
      <c r="E2766" s="50"/>
      <c r="H2766" s="12"/>
      <c r="K2766"/>
    </row>
    <row r="2767" spans="5:11" x14ac:dyDescent="0.2">
      <c r="E2767" s="50"/>
      <c r="H2767" s="12"/>
      <c r="K2767"/>
    </row>
    <row r="2768" spans="5:11" x14ac:dyDescent="0.2">
      <c r="E2768" s="50"/>
      <c r="H2768" s="12"/>
      <c r="K2768"/>
    </row>
    <row r="2769" spans="5:11" x14ac:dyDescent="0.2">
      <c r="E2769" s="50"/>
      <c r="H2769" s="12"/>
      <c r="K2769"/>
    </row>
    <row r="2770" spans="5:11" x14ac:dyDescent="0.2">
      <c r="E2770" s="50"/>
      <c r="H2770" s="12"/>
      <c r="K2770"/>
    </row>
    <row r="2771" spans="5:11" x14ac:dyDescent="0.2">
      <c r="E2771" s="50"/>
      <c r="H2771" s="12"/>
      <c r="K2771"/>
    </row>
    <row r="2772" spans="5:11" x14ac:dyDescent="0.2">
      <c r="E2772" s="50"/>
      <c r="H2772" s="12"/>
      <c r="K2772"/>
    </row>
    <row r="2773" spans="5:11" x14ac:dyDescent="0.2">
      <c r="E2773" s="50"/>
      <c r="H2773" s="12"/>
      <c r="K2773"/>
    </row>
    <row r="2774" spans="5:11" x14ac:dyDescent="0.2">
      <c r="E2774" s="50"/>
      <c r="H2774" s="12"/>
      <c r="K2774"/>
    </row>
    <row r="2775" spans="5:11" x14ac:dyDescent="0.2">
      <c r="E2775" s="50"/>
      <c r="H2775" s="12"/>
      <c r="K2775"/>
    </row>
    <row r="2776" spans="5:11" x14ac:dyDescent="0.2">
      <c r="E2776" s="50"/>
      <c r="H2776" s="12"/>
      <c r="K2776"/>
    </row>
    <row r="2777" spans="5:11" x14ac:dyDescent="0.2">
      <c r="E2777" s="50"/>
      <c r="H2777" s="12"/>
      <c r="K2777"/>
    </row>
    <row r="2778" spans="5:11" x14ac:dyDescent="0.2">
      <c r="E2778" s="50"/>
      <c r="H2778" s="12"/>
      <c r="K2778"/>
    </row>
    <row r="2779" spans="5:11" x14ac:dyDescent="0.2">
      <c r="E2779" s="50"/>
      <c r="H2779" s="12"/>
      <c r="K2779"/>
    </row>
    <row r="2780" spans="5:11" x14ac:dyDescent="0.2">
      <c r="E2780" s="50"/>
      <c r="H2780" s="12"/>
      <c r="K2780"/>
    </row>
    <row r="2781" spans="5:11" x14ac:dyDescent="0.2">
      <c r="E2781" s="50"/>
      <c r="H2781" s="12"/>
      <c r="K2781"/>
    </row>
    <row r="2782" spans="5:11" x14ac:dyDescent="0.2">
      <c r="E2782" s="50"/>
      <c r="H2782" s="12"/>
      <c r="K2782"/>
    </row>
    <row r="2783" spans="5:11" x14ac:dyDescent="0.2">
      <c r="E2783" s="50"/>
      <c r="H2783" s="12"/>
      <c r="K2783"/>
    </row>
    <row r="2784" spans="5:11" x14ac:dyDescent="0.2">
      <c r="E2784" s="50"/>
      <c r="H2784" s="12"/>
      <c r="K2784"/>
    </row>
    <row r="2785" spans="5:11" x14ac:dyDescent="0.2">
      <c r="E2785" s="50"/>
      <c r="H2785" s="12"/>
      <c r="K2785"/>
    </row>
    <row r="2786" spans="5:11" x14ac:dyDescent="0.2">
      <c r="E2786" s="50"/>
      <c r="H2786" s="12"/>
      <c r="K2786"/>
    </row>
    <row r="2787" spans="5:11" x14ac:dyDescent="0.2">
      <c r="E2787" s="50"/>
      <c r="H2787" s="12"/>
      <c r="K2787"/>
    </row>
    <row r="2788" spans="5:11" x14ac:dyDescent="0.2">
      <c r="E2788" s="50"/>
      <c r="H2788" s="12"/>
      <c r="K2788"/>
    </row>
    <row r="2789" spans="5:11" x14ac:dyDescent="0.2">
      <c r="E2789" s="50"/>
      <c r="H2789" s="12"/>
      <c r="K2789"/>
    </row>
    <row r="2790" spans="5:11" x14ac:dyDescent="0.2">
      <c r="E2790" s="50"/>
      <c r="H2790" s="12"/>
      <c r="K2790"/>
    </row>
    <row r="2791" spans="5:11" x14ac:dyDescent="0.2">
      <c r="E2791" s="50"/>
      <c r="H2791" s="12"/>
      <c r="K2791"/>
    </row>
    <row r="2792" spans="5:11" x14ac:dyDescent="0.2">
      <c r="E2792" s="50"/>
      <c r="H2792" s="12"/>
      <c r="K2792"/>
    </row>
    <row r="2793" spans="5:11" x14ac:dyDescent="0.2">
      <c r="E2793" s="50"/>
      <c r="H2793" s="12"/>
      <c r="K2793"/>
    </row>
    <row r="2794" spans="5:11" x14ac:dyDescent="0.2">
      <c r="E2794" s="50"/>
      <c r="H2794" s="12"/>
      <c r="K2794"/>
    </row>
    <row r="2795" spans="5:11" x14ac:dyDescent="0.2">
      <c r="E2795" s="50"/>
      <c r="H2795" s="12"/>
      <c r="K2795"/>
    </row>
    <row r="2796" spans="5:11" x14ac:dyDescent="0.2">
      <c r="E2796" s="50"/>
      <c r="H2796" s="12"/>
      <c r="K2796"/>
    </row>
    <row r="2797" spans="5:11" x14ac:dyDescent="0.2">
      <c r="E2797" s="50"/>
      <c r="H2797" s="12"/>
      <c r="K2797"/>
    </row>
    <row r="2798" spans="5:11" x14ac:dyDescent="0.2">
      <c r="E2798" s="50"/>
      <c r="H2798" s="12"/>
      <c r="K2798"/>
    </row>
    <row r="2799" spans="5:11" x14ac:dyDescent="0.2">
      <c r="E2799" s="50"/>
      <c r="H2799" s="12"/>
      <c r="K2799"/>
    </row>
    <row r="2800" spans="5:11" x14ac:dyDescent="0.2">
      <c r="E2800" s="50"/>
      <c r="H2800" s="12"/>
      <c r="K2800"/>
    </row>
    <row r="2801" spans="5:11" x14ac:dyDescent="0.2">
      <c r="E2801" s="50"/>
      <c r="H2801" s="12"/>
      <c r="K2801"/>
    </row>
    <row r="2802" spans="5:11" x14ac:dyDescent="0.2">
      <c r="E2802" s="50"/>
      <c r="H2802" s="12"/>
      <c r="K2802"/>
    </row>
    <row r="2803" spans="5:11" x14ac:dyDescent="0.2">
      <c r="E2803" s="50"/>
      <c r="H2803" s="12"/>
      <c r="K2803"/>
    </row>
    <row r="2804" spans="5:11" x14ac:dyDescent="0.2">
      <c r="E2804" s="50"/>
      <c r="H2804" s="12"/>
      <c r="K2804"/>
    </row>
    <row r="2805" spans="5:11" x14ac:dyDescent="0.2">
      <c r="E2805" s="50"/>
      <c r="H2805" s="12"/>
      <c r="K2805"/>
    </row>
    <row r="2806" spans="5:11" x14ac:dyDescent="0.2">
      <c r="E2806" s="50"/>
      <c r="H2806" s="12"/>
      <c r="K2806"/>
    </row>
    <row r="2807" spans="5:11" x14ac:dyDescent="0.2">
      <c r="E2807" s="50"/>
      <c r="H2807" s="12"/>
      <c r="K2807"/>
    </row>
    <row r="2808" spans="5:11" x14ac:dyDescent="0.2">
      <c r="E2808" s="50"/>
      <c r="H2808" s="12"/>
      <c r="K2808"/>
    </row>
    <row r="2809" spans="5:11" x14ac:dyDescent="0.2">
      <c r="E2809" s="50"/>
      <c r="H2809" s="12"/>
      <c r="K2809"/>
    </row>
    <row r="2810" spans="5:11" x14ac:dyDescent="0.2">
      <c r="E2810" s="50"/>
      <c r="F2810" s="41"/>
      <c r="H2810" s="12"/>
      <c r="K2810"/>
    </row>
    <row r="2811" spans="5:11" x14ac:dyDescent="0.2">
      <c r="E2811" s="50"/>
      <c r="H2811" s="12"/>
      <c r="K2811"/>
    </row>
    <row r="2812" spans="5:11" x14ac:dyDescent="0.2">
      <c r="E2812" s="50"/>
      <c r="H2812" s="12"/>
      <c r="K2812"/>
    </row>
    <row r="2813" spans="5:11" x14ac:dyDescent="0.2">
      <c r="E2813" s="50"/>
      <c r="H2813" s="12"/>
      <c r="K2813"/>
    </row>
    <row r="2814" spans="5:11" x14ac:dyDescent="0.2">
      <c r="E2814" s="50"/>
      <c r="H2814" s="12"/>
      <c r="K2814"/>
    </row>
    <row r="2815" spans="5:11" x14ac:dyDescent="0.2">
      <c r="E2815" s="50"/>
      <c r="H2815" s="12"/>
      <c r="K2815"/>
    </row>
    <row r="2816" spans="5:11" x14ac:dyDescent="0.2">
      <c r="E2816" s="50"/>
      <c r="H2816" s="12"/>
      <c r="K2816"/>
    </row>
    <row r="2817" spans="5:11" x14ac:dyDescent="0.2">
      <c r="E2817" s="50"/>
      <c r="H2817" s="12"/>
      <c r="K2817"/>
    </row>
    <row r="2818" spans="5:11" x14ac:dyDescent="0.2">
      <c r="E2818" s="50"/>
      <c r="H2818" s="12"/>
      <c r="K2818"/>
    </row>
    <row r="2819" spans="5:11" x14ac:dyDescent="0.2">
      <c r="E2819" s="50"/>
      <c r="H2819" s="12"/>
      <c r="K2819"/>
    </row>
    <row r="2820" spans="5:11" x14ac:dyDescent="0.2">
      <c r="E2820" s="50"/>
      <c r="H2820" s="12"/>
      <c r="K2820"/>
    </row>
    <row r="2821" spans="5:11" x14ac:dyDescent="0.2">
      <c r="E2821" s="50"/>
      <c r="H2821" s="12"/>
      <c r="K2821"/>
    </row>
    <row r="2822" spans="5:11" x14ac:dyDescent="0.2">
      <c r="E2822" s="50"/>
      <c r="H2822" s="12"/>
      <c r="K2822"/>
    </row>
    <row r="2823" spans="5:11" x14ac:dyDescent="0.2">
      <c r="E2823" s="50"/>
      <c r="H2823" s="12"/>
      <c r="K2823"/>
    </row>
    <row r="2824" spans="5:11" x14ac:dyDescent="0.2">
      <c r="E2824" s="50"/>
      <c r="H2824" s="12"/>
      <c r="K2824"/>
    </row>
    <row r="2825" spans="5:11" x14ac:dyDescent="0.2">
      <c r="E2825" s="50"/>
      <c r="H2825" s="12"/>
      <c r="K2825"/>
    </row>
    <row r="2826" spans="5:11" x14ac:dyDescent="0.2">
      <c r="E2826" s="50"/>
      <c r="H2826" s="12"/>
      <c r="K2826"/>
    </row>
    <row r="2827" spans="5:11" x14ac:dyDescent="0.2">
      <c r="E2827" s="50"/>
      <c r="H2827" s="12"/>
      <c r="K2827"/>
    </row>
    <row r="2828" spans="5:11" x14ac:dyDescent="0.2">
      <c r="E2828" s="50"/>
      <c r="H2828" s="12"/>
      <c r="K2828"/>
    </row>
    <row r="2829" spans="5:11" x14ac:dyDescent="0.2">
      <c r="E2829" s="50"/>
      <c r="H2829" s="12"/>
      <c r="K2829"/>
    </row>
    <row r="2830" spans="5:11" x14ac:dyDescent="0.2">
      <c r="E2830" s="50"/>
      <c r="H2830" s="12"/>
      <c r="K2830"/>
    </row>
    <row r="2831" spans="5:11" x14ac:dyDescent="0.2">
      <c r="E2831" s="50"/>
      <c r="H2831" s="12"/>
      <c r="K2831"/>
    </row>
    <row r="2832" spans="5:11" x14ac:dyDescent="0.2">
      <c r="E2832" s="50"/>
      <c r="H2832" s="12"/>
      <c r="K2832"/>
    </row>
    <row r="2833" spans="1:11" x14ac:dyDescent="0.2">
      <c r="E2833" s="50"/>
      <c r="H2833" s="12"/>
      <c r="K2833"/>
    </row>
    <row r="2834" spans="1:11" x14ac:dyDescent="0.2">
      <c r="E2834" s="50"/>
      <c r="H2834" s="12"/>
      <c r="K2834"/>
    </row>
    <row r="2835" spans="1:11" x14ac:dyDescent="0.2">
      <c r="A2835" s="43"/>
      <c r="B2835" s="43"/>
      <c r="C2835" s="43"/>
      <c r="D2835" s="28" t="s">
        <v>55</v>
      </c>
      <c r="E2835" s="53" t="s">
        <v>43</v>
      </c>
      <c r="G2835" s="29"/>
      <c r="H2835" s="12"/>
    </row>
    <row r="2836" spans="1:11" ht="12" customHeight="1" x14ac:dyDescent="0.2">
      <c r="A2836" s="45" t="s">
        <v>0</v>
      </c>
      <c r="D2836" s="27" t="s">
        <v>17</v>
      </c>
      <c r="E2836" s="63">
        <v>44287</v>
      </c>
      <c r="G2836" s="26" t="s">
        <v>12</v>
      </c>
      <c r="H2836" s="79">
        <v>44287</v>
      </c>
      <c r="I2836" s="12" t="s">
        <v>53</v>
      </c>
      <c r="K2836"/>
    </row>
    <row r="2837" spans="1:11" x14ac:dyDescent="0.2">
      <c r="A2837" s="46" t="s">
        <v>41</v>
      </c>
      <c r="D2837" s="27" t="s">
        <v>17</v>
      </c>
      <c r="E2837" s="63">
        <v>44288</v>
      </c>
      <c r="G2837" s="26" t="s">
        <v>20</v>
      </c>
      <c r="H2837" s="79">
        <v>44291</v>
      </c>
      <c r="I2837" s="12" t="s">
        <v>53</v>
      </c>
      <c r="K2837"/>
    </row>
    <row r="2838" spans="1:11" x14ac:dyDescent="0.2">
      <c r="D2838" s="27" t="s">
        <v>17</v>
      </c>
      <c r="E2838" s="63">
        <v>44289</v>
      </c>
      <c r="G2838" s="26" t="s">
        <v>21</v>
      </c>
      <c r="H2838" s="79">
        <v>44291</v>
      </c>
      <c r="I2838" s="12" t="s">
        <v>53</v>
      </c>
      <c r="K2838"/>
    </row>
    <row r="2839" spans="1:11" x14ac:dyDescent="0.2">
      <c r="D2839" s="27" t="s">
        <v>17</v>
      </c>
      <c r="E2839" s="63">
        <v>44290</v>
      </c>
      <c r="G2839" s="26" t="s">
        <v>19</v>
      </c>
      <c r="H2839" s="79">
        <v>44291</v>
      </c>
      <c r="I2839" s="12" t="s">
        <v>53</v>
      </c>
      <c r="K2839"/>
    </row>
    <row r="2840" spans="1:11" x14ac:dyDescent="0.2">
      <c r="D2840" s="27" t="s">
        <v>17</v>
      </c>
      <c r="E2840" s="63">
        <v>44291</v>
      </c>
      <c r="G2840" s="26" t="s">
        <v>14</v>
      </c>
      <c r="H2840" s="79">
        <v>44291</v>
      </c>
      <c r="I2840" s="12" t="s">
        <v>53</v>
      </c>
      <c r="K2840"/>
    </row>
    <row r="2841" spans="1:11" x14ac:dyDescent="0.2">
      <c r="D2841" s="27" t="s">
        <v>17</v>
      </c>
      <c r="E2841" s="63">
        <v>44292</v>
      </c>
      <c r="G2841" s="26" t="s">
        <v>15</v>
      </c>
      <c r="H2841" s="79">
        <v>44292</v>
      </c>
      <c r="I2841" s="12" t="s">
        <v>53</v>
      </c>
      <c r="K2841"/>
    </row>
    <row r="2842" spans="1:11" x14ac:dyDescent="0.2">
      <c r="D2842" s="27" t="s">
        <v>17</v>
      </c>
      <c r="E2842" s="63">
        <v>44293</v>
      </c>
      <c r="G2842" s="26" t="s">
        <v>16</v>
      </c>
      <c r="H2842" s="79">
        <v>44293</v>
      </c>
      <c r="I2842" s="12" t="s">
        <v>53</v>
      </c>
      <c r="K2842"/>
    </row>
    <row r="2843" spans="1:11" x14ac:dyDescent="0.2">
      <c r="D2843" s="27" t="s">
        <v>17</v>
      </c>
      <c r="E2843" s="63">
        <v>44294</v>
      </c>
      <c r="G2843" s="26" t="s">
        <v>25</v>
      </c>
      <c r="H2843" s="79">
        <v>44294</v>
      </c>
      <c r="I2843" s="12" t="s">
        <v>53</v>
      </c>
      <c r="K2843"/>
    </row>
    <row r="2844" spans="1:11" x14ac:dyDescent="0.2">
      <c r="D2844" s="27" t="s">
        <v>17</v>
      </c>
      <c r="E2844" s="63">
        <v>44295</v>
      </c>
      <c r="G2844" s="26" t="s">
        <v>26</v>
      </c>
      <c r="H2844" s="79">
        <v>44295</v>
      </c>
      <c r="I2844" s="12" t="s">
        <v>53</v>
      </c>
      <c r="K2844"/>
    </row>
    <row r="2845" spans="1:11" x14ac:dyDescent="0.2">
      <c r="D2845" s="27" t="s">
        <v>17</v>
      </c>
      <c r="E2845" s="63">
        <v>44296</v>
      </c>
      <c r="G2845" s="26" t="s">
        <v>36</v>
      </c>
      <c r="H2845" s="79">
        <v>44298</v>
      </c>
      <c r="I2845" s="12" t="s">
        <v>53</v>
      </c>
      <c r="K2845"/>
    </row>
    <row r="2846" spans="1:11" x14ac:dyDescent="0.2">
      <c r="D2846" s="27" t="s">
        <v>17</v>
      </c>
      <c r="E2846" s="63">
        <v>44297</v>
      </c>
      <c r="G2846" s="26" t="s">
        <v>31</v>
      </c>
      <c r="H2846" s="79">
        <v>44298</v>
      </c>
      <c r="I2846" s="12" t="s">
        <v>53</v>
      </c>
      <c r="K2846"/>
    </row>
    <row r="2847" spans="1:11" x14ac:dyDescent="0.2">
      <c r="D2847" s="27" t="s">
        <v>17</v>
      </c>
      <c r="E2847" s="63">
        <v>44298</v>
      </c>
      <c r="G2847" s="26" t="s">
        <v>29</v>
      </c>
      <c r="H2847" s="79">
        <v>44298</v>
      </c>
      <c r="I2847" s="12" t="s">
        <v>53</v>
      </c>
      <c r="K2847"/>
    </row>
    <row r="2848" spans="1:11" x14ac:dyDescent="0.2">
      <c r="D2848" s="27" t="s">
        <v>17</v>
      </c>
      <c r="E2848" s="63">
        <v>44299</v>
      </c>
      <c r="G2848" s="26" t="s">
        <v>32</v>
      </c>
      <c r="H2848" s="79">
        <v>44299</v>
      </c>
      <c r="I2848" s="12" t="s">
        <v>53</v>
      </c>
      <c r="K2848"/>
    </row>
    <row r="2849" spans="4:11" x14ac:dyDescent="0.2">
      <c r="D2849" s="27" t="s">
        <v>17</v>
      </c>
      <c r="E2849" s="63">
        <v>44300</v>
      </c>
      <c r="G2849" s="26" t="s">
        <v>33</v>
      </c>
      <c r="H2849" s="79">
        <v>44300</v>
      </c>
      <c r="I2849" s="12" t="s">
        <v>53</v>
      </c>
      <c r="K2849"/>
    </row>
    <row r="2850" spans="4:11" x14ac:dyDescent="0.2">
      <c r="D2850" s="27" t="s">
        <v>17</v>
      </c>
      <c r="E2850" s="63">
        <v>44301</v>
      </c>
      <c r="G2850" s="26" t="s">
        <v>34</v>
      </c>
      <c r="H2850" s="79">
        <v>44301</v>
      </c>
      <c r="I2850" s="12" t="s">
        <v>53</v>
      </c>
      <c r="K2850"/>
    </row>
    <row r="2851" spans="4:11" x14ac:dyDescent="0.2">
      <c r="D2851" s="27" t="s">
        <v>17</v>
      </c>
      <c r="E2851" s="63">
        <v>44302</v>
      </c>
      <c r="G2851" s="26" t="s">
        <v>7</v>
      </c>
      <c r="H2851" s="79">
        <v>44302</v>
      </c>
      <c r="I2851" s="12" t="s">
        <v>53</v>
      </c>
      <c r="K2851"/>
    </row>
    <row r="2852" spans="4:11" x14ac:dyDescent="0.2">
      <c r="D2852" s="27" t="s">
        <v>17</v>
      </c>
      <c r="E2852" s="63">
        <v>44303</v>
      </c>
      <c r="G2852" s="26" t="s">
        <v>8</v>
      </c>
      <c r="H2852" s="79">
        <v>44305</v>
      </c>
      <c r="I2852" s="12" t="s">
        <v>53</v>
      </c>
      <c r="K2852"/>
    </row>
    <row r="2853" spans="4:11" x14ac:dyDescent="0.2">
      <c r="D2853" s="27" t="s">
        <v>17</v>
      </c>
      <c r="E2853" s="63">
        <v>44304</v>
      </c>
      <c r="G2853" s="26" t="s">
        <v>9</v>
      </c>
      <c r="H2853" s="79">
        <v>44305</v>
      </c>
      <c r="I2853" s="12" t="s">
        <v>53</v>
      </c>
      <c r="K2853"/>
    </row>
    <row r="2854" spans="4:11" x14ac:dyDescent="0.2">
      <c r="D2854" s="27" t="s">
        <v>17</v>
      </c>
      <c r="E2854" s="63">
        <v>44305</v>
      </c>
      <c r="G2854" s="26" t="s">
        <v>52</v>
      </c>
      <c r="H2854" s="79">
        <v>44305</v>
      </c>
      <c r="I2854" s="12" t="s">
        <v>53</v>
      </c>
      <c r="K2854"/>
    </row>
    <row r="2855" spans="4:11" x14ac:dyDescent="0.2">
      <c r="D2855" s="27" t="s">
        <v>17</v>
      </c>
      <c r="E2855" s="63">
        <v>44306</v>
      </c>
      <c r="G2855" s="26" t="s">
        <v>30</v>
      </c>
      <c r="H2855" s="79">
        <v>44306</v>
      </c>
      <c r="I2855" s="12" t="s">
        <v>53</v>
      </c>
      <c r="K2855"/>
    </row>
    <row r="2856" spans="4:11" x14ac:dyDescent="0.2">
      <c r="D2856" s="27" t="s">
        <v>17</v>
      </c>
      <c r="E2856" s="63">
        <v>44307</v>
      </c>
      <c r="G2856" s="26" t="s">
        <v>51</v>
      </c>
      <c r="H2856" s="79">
        <v>44307</v>
      </c>
      <c r="I2856" s="12" t="s">
        <v>53</v>
      </c>
      <c r="K2856"/>
    </row>
    <row r="2857" spans="4:11" x14ac:dyDescent="0.2">
      <c r="D2857" s="27" t="s">
        <v>17</v>
      </c>
      <c r="E2857" s="63">
        <v>44308</v>
      </c>
      <c r="G2857" s="26" t="s">
        <v>38</v>
      </c>
      <c r="H2857" s="79">
        <v>44308</v>
      </c>
      <c r="I2857" s="12" t="s">
        <v>53</v>
      </c>
      <c r="K2857"/>
    </row>
    <row r="2858" spans="4:11" x14ac:dyDescent="0.2">
      <c r="D2858" s="27" t="s">
        <v>17</v>
      </c>
      <c r="E2858" s="63">
        <v>44309</v>
      </c>
      <c r="G2858" s="26" t="s">
        <v>39</v>
      </c>
      <c r="H2858" s="79">
        <v>44309</v>
      </c>
      <c r="I2858" s="12" t="s">
        <v>53</v>
      </c>
      <c r="K2858"/>
    </row>
    <row r="2859" spans="4:11" x14ac:dyDescent="0.2">
      <c r="D2859" s="27" t="s">
        <v>17</v>
      </c>
      <c r="E2859" s="63">
        <v>44310</v>
      </c>
      <c r="G2859" s="26" t="s">
        <v>27</v>
      </c>
      <c r="H2859" s="79">
        <v>44312</v>
      </c>
      <c r="I2859" s="12" t="s">
        <v>53</v>
      </c>
      <c r="K2859"/>
    </row>
    <row r="2860" spans="4:11" x14ac:dyDescent="0.2">
      <c r="D2860" s="27" t="s">
        <v>17</v>
      </c>
      <c r="E2860" s="63">
        <v>44311</v>
      </c>
      <c r="G2860" s="26" t="s">
        <v>28</v>
      </c>
      <c r="H2860" s="79">
        <v>44312</v>
      </c>
      <c r="I2860" s="12" t="s">
        <v>53</v>
      </c>
      <c r="K2860"/>
    </row>
    <row r="2861" spans="4:11" x14ac:dyDescent="0.2">
      <c r="D2861" s="27" t="s">
        <v>17</v>
      </c>
      <c r="E2861" s="63">
        <v>44312</v>
      </c>
      <c r="G2861" s="26" t="s">
        <v>18</v>
      </c>
      <c r="H2861" s="79">
        <v>44312</v>
      </c>
      <c r="I2861" s="12" t="s">
        <v>53</v>
      </c>
      <c r="K2861"/>
    </row>
    <row r="2862" spans="4:11" x14ac:dyDescent="0.2">
      <c r="D2862" s="27" t="s">
        <v>17</v>
      </c>
      <c r="E2862" s="63">
        <v>44313</v>
      </c>
      <c r="G2862" s="26" t="s">
        <v>6</v>
      </c>
      <c r="H2862" s="79">
        <v>44313</v>
      </c>
      <c r="I2862" s="12" t="s">
        <v>53</v>
      </c>
      <c r="K2862"/>
    </row>
    <row r="2863" spans="4:11" x14ac:dyDescent="0.2">
      <c r="D2863" s="27" t="s">
        <v>17</v>
      </c>
      <c r="E2863" s="63">
        <v>44314</v>
      </c>
      <c r="G2863" s="26" t="s">
        <v>22</v>
      </c>
      <c r="H2863" s="79">
        <v>44314</v>
      </c>
      <c r="I2863" s="12" t="s">
        <v>53</v>
      </c>
      <c r="K2863"/>
    </row>
    <row r="2864" spans="4:11" x14ac:dyDescent="0.2">
      <c r="D2864" s="27" t="s">
        <v>17</v>
      </c>
      <c r="E2864" s="63">
        <v>44315</v>
      </c>
      <c r="G2864" s="26" t="s">
        <v>45</v>
      </c>
      <c r="H2864" s="79">
        <v>44315</v>
      </c>
      <c r="I2864" s="12" t="s">
        <v>53</v>
      </c>
      <c r="K2864"/>
    </row>
    <row r="2865" spans="4:11" x14ac:dyDescent="0.2">
      <c r="D2865" s="27" t="s">
        <v>17</v>
      </c>
      <c r="E2865" s="63">
        <v>44316</v>
      </c>
      <c r="G2865" s="26" t="s">
        <v>13</v>
      </c>
      <c r="H2865" s="79">
        <v>44316</v>
      </c>
      <c r="I2865" s="12" t="s">
        <v>53</v>
      </c>
      <c r="K2865"/>
    </row>
    <row r="2866" spans="4:11" x14ac:dyDescent="0.2">
      <c r="D2866" s="27" t="s">
        <v>17</v>
      </c>
      <c r="E2866" s="63"/>
      <c r="G2866" s="26"/>
      <c r="H2866" s="79"/>
      <c r="I2866" s="12" t="s">
        <v>53</v>
      </c>
      <c r="K2866"/>
    </row>
    <row r="2867" spans="4:11" x14ac:dyDescent="0.2">
      <c r="D2867" s="27" t="s">
        <v>44</v>
      </c>
      <c r="E2867" s="59">
        <v>44288</v>
      </c>
      <c r="G2867" s="26" t="s">
        <v>1</v>
      </c>
      <c r="H2867" s="65">
        <v>44288</v>
      </c>
      <c r="I2867" s="12"/>
      <c r="K2867"/>
    </row>
    <row r="2868" spans="4:11" x14ac:dyDescent="0.2">
      <c r="D2868" s="27" t="s">
        <v>44</v>
      </c>
      <c r="E2868" s="59">
        <v>44289</v>
      </c>
      <c r="G2868" s="26" t="s">
        <v>10</v>
      </c>
      <c r="H2868" s="65">
        <v>44289</v>
      </c>
      <c r="K2868"/>
    </row>
    <row r="2869" spans="4:11" x14ac:dyDescent="0.2">
      <c r="D2869" s="27" t="s">
        <v>44</v>
      </c>
      <c r="E2869" s="59">
        <v>44290</v>
      </c>
      <c r="G2869" s="26" t="s">
        <v>11</v>
      </c>
      <c r="H2869" s="65">
        <v>44290</v>
      </c>
      <c r="K2869"/>
    </row>
    <row r="2870" spans="4:11" x14ac:dyDescent="0.2">
      <c r="D2870" s="27" t="s">
        <v>44</v>
      </c>
      <c r="E2870" s="59">
        <v>44296</v>
      </c>
      <c r="G2870" s="26" t="s">
        <v>23</v>
      </c>
      <c r="H2870" s="65">
        <v>44296</v>
      </c>
      <c r="K2870"/>
    </row>
    <row r="2871" spans="4:11" x14ac:dyDescent="0.2">
      <c r="D2871" s="27" t="s">
        <v>44</v>
      </c>
      <c r="E2871" s="59">
        <v>44297</v>
      </c>
      <c r="G2871" s="26" t="s">
        <v>4</v>
      </c>
      <c r="H2871" s="65">
        <v>44297</v>
      </c>
      <c r="K2871"/>
    </row>
    <row r="2872" spans="4:11" x14ac:dyDescent="0.2">
      <c r="D2872" s="27" t="s">
        <v>44</v>
      </c>
      <c r="E2872" s="59">
        <v>44303</v>
      </c>
      <c r="G2872" s="26" t="s">
        <v>24</v>
      </c>
      <c r="H2872" s="65">
        <v>44303</v>
      </c>
      <c r="K2872"/>
    </row>
    <row r="2873" spans="4:11" x14ac:dyDescent="0.2">
      <c r="D2873" s="27" t="s">
        <v>44</v>
      </c>
      <c r="E2873" s="59">
        <v>44304</v>
      </c>
      <c r="G2873" s="26" t="s">
        <v>37</v>
      </c>
      <c r="H2873" s="65">
        <v>44304</v>
      </c>
      <c r="K2873"/>
    </row>
    <row r="2874" spans="4:11" x14ac:dyDescent="0.2">
      <c r="D2874" s="27" t="s">
        <v>44</v>
      </c>
      <c r="E2874" s="59">
        <v>44310</v>
      </c>
      <c r="H2874" s="65">
        <v>44310</v>
      </c>
      <c r="K2874"/>
    </row>
    <row r="2875" spans="4:11" x14ac:dyDescent="0.2">
      <c r="D2875" s="27" t="s">
        <v>44</v>
      </c>
      <c r="E2875" s="59">
        <v>44311</v>
      </c>
      <c r="H2875" s="65">
        <v>44311</v>
      </c>
      <c r="K2875"/>
    </row>
    <row r="2876" spans="4:11" x14ac:dyDescent="0.2">
      <c r="D2876" s="27"/>
      <c r="E2876" s="50"/>
      <c r="H2876" s="3"/>
      <c r="K2876"/>
    </row>
    <row r="2877" spans="4:11" x14ac:dyDescent="0.2">
      <c r="D2877" s="27"/>
      <c r="H2877" s="35"/>
      <c r="K2877"/>
    </row>
    <row r="2882" spans="5:11" x14ac:dyDescent="0.2">
      <c r="I2882" s="30"/>
      <c r="K2882"/>
    </row>
    <row r="2883" spans="5:11" x14ac:dyDescent="0.2">
      <c r="I2883" s="30"/>
      <c r="K2883"/>
    </row>
    <row r="2884" spans="5:11" x14ac:dyDescent="0.2">
      <c r="E2884"/>
      <c r="F2884"/>
      <c r="H2884" s="12"/>
      <c r="I2884" s="30"/>
      <c r="K2884"/>
    </row>
    <row r="2885" spans="5:11" x14ac:dyDescent="0.2">
      <c r="E2885"/>
      <c r="F2885"/>
      <c r="H2885" s="12"/>
      <c r="I2885" s="30"/>
      <c r="K2885"/>
    </row>
    <row r="2886" spans="5:11" x14ac:dyDescent="0.2">
      <c r="E2886"/>
      <c r="F2886"/>
      <c r="H2886" s="12"/>
      <c r="I2886" s="30"/>
      <c r="K2886"/>
    </row>
    <row r="2887" spans="5:11" x14ac:dyDescent="0.2">
      <c r="E2887"/>
      <c r="F2887"/>
      <c r="H2887" s="12"/>
      <c r="I2887" s="30"/>
      <c r="K2887"/>
    </row>
    <row r="2888" spans="5:11" x14ac:dyDescent="0.2">
      <c r="E2888"/>
      <c r="F2888"/>
      <c r="H2888" s="12"/>
      <c r="I2888" s="30"/>
      <c r="K2888"/>
    </row>
    <row r="2889" spans="5:11" x14ac:dyDescent="0.2">
      <c r="E2889"/>
      <c r="F2889"/>
      <c r="H2889" s="12"/>
      <c r="I2889" s="30"/>
      <c r="K2889"/>
    </row>
    <row r="2890" spans="5:11" x14ac:dyDescent="0.2">
      <c r="E2890"/>
      <c r="F2890"/>
      <c r="H2890" s="12"/>
      <c r="I2890" s="30"/>
      <c r="K2890"/>
    </row>
    <row r="2891" spans="5:11" x14ac:dyDescent="0.2">
      <c r="E2891"/>
      <c r="F2891"/>
      <c r="H2891" s="12"/>
      <c r="I2891" s="30"/>
      <c r="K2891"/>
    </row>
    <row r="2892" spans="5:11" x14ac:dyDescent="0.2">
      <c r="E2892"/>
      <c r="F2892"/>
      <c r="H2892" s="12"/>
      <c r="I2892" s="30"/>
      <c r="K2892"/>
    </row>
    <row r="2893" spans="5:11" x14ac:dyDescent="0.2">
      <c r="E2893"/>
      <c r="F2893"/>
      <c r="H2893" s="12"/>
      <c r="I2893" s="30"/>
      <c r="K2893"/>
    </row>
    <row r="2894" spans="5:11" x14ac:dyDescent="0.2">
      <c r="E2894"/>
      <c r="F2894"/>
      <c r="H2894" s="12"/>
      <c r="I2894" s="30"/>
      <c r="K2894"/>
    </row>
    <row r="2895" spans="5:11" x14ac:dyDescent="0.2">
      <c r="E2895"/>
      <c r="F2895"/>
      <c r="H2895" s="12"/>
      <c r="I2895" s="30"/>
      <c r="K2895"/>
    </row>
    <row r="2896" spans="5:11" x14ac:dyDescent="0.2">
      <c r="E2896"/>
      <c r="F2896"/>
      <c r="H2896" s="12"/>
      <c r="I2896" s="30"/>
      <c r="K2896"/>
    </row>
    <row r="2897" spans="5:11" x14ac:dyDescent="0.2">
      <c r="E2897"/>
      <c r="F2897"/>
      <c r="H2897" s="12"/>
      <c r="I2897" s="30"/>
      <c r="K2897"/>
    </row>
    <row r="2898" spans="5:11" x14ac:dyDescent="0.2">
      <c r="E2898"/>
      <c r="F2898"/>
      <c r="H2898" s="12"/>
      <c r="I2898" s="30"/>
      <c r="K2898"/>
    </row>
    <row r="2899" spans="5:11" x14ac:dyDescent="0.2">
      <c r="E2899"/>
      <c r="F2899"/>
      <c r="H2899" s="12"/>
      <c r="I2899" s="30"/>
      <c r="K2899"/>
    </row>
    <row r="2900" spans="5:11" x14ac:dyDescent="0.2">
      <c r="E2900"/>
      <c r="F2900"/>
      <c r="H2900" s="12"/>
      <c r="I2900" s="30"/>
      <c r="K2900"/>
    </row>
    <row r="2901" spans="5:11" x14ac:dyDescent="0.2">
      <c r="E2901"/>
      <c r="F2901"/>
      <c r="H2901" s="12"/>
      <c r="I2901" s="30"/>
      <c r="K2901"/>
    </row>
    <row r="2902" spans="5:11" x14ac:dyDescent="0.2">
      <c r="E2902"/>
      <c r="F2902"/>
      <c r="H2902" s="12"/>
      <c r="I2902" s="30"/>
      <c r="K2902"/>
    </row>
    <row r="2903" spans="5:11" x14ac:dyDescent="0.2">
      <c r="E2903"/>
      <c r="F2903"/>
      <c r="H2903" s="12"/>
      <c r="I2903" s="30"/>
      <c r="K2903"/>
    </row>
    <row r="2904" spans="5:11" x14ac:dyDescent="0.2">
      <c r="E2904"/>
      <c r="F2904"/>
      <c r="H2904" s="12"/>
      <c r="I2904" s="30"/>
      <c r="K2904"/>
    </row>
    <row r="2905" spans="5:11" x14ac:dyDescent="0.2">
      <c r="E2905"/>
      <c r="F2905"/>
      <c r="H2905" s="12"/>
      <c r="I2905" s="30"/>
      <c r="K2905"/>
    </row>
    <row r="2906" spans="5:11" x14ac:dyDescent="0.2">
      <c r="E2906"/>
      <c r="F2906"/>
      <c r="H2906" s="12"/>
      <c r="I2906" s="30"/>
      <c r="K2906"/>
    </row>
    <row r="2907" spans="5:11" x14ac:dyDescent="0.2">
      <c r="E2907"/>
      <c r="F2907"/>
      <c r="H2907" s="12"/>
      <c r="I2907" s="30"/>
      <c r="K2907"/>
    </row>
    <row r="2908" spans="5:11" x14ac:dyDescent="0.2">
      <c r="E2908"/>
      <c r="F2908"/>
      <c r="H2908" s="12"/>
      <c r="I2908" s="30"/>
      <c r="K2908"/>
    </row>
    <row r="2909" spans="5:11" x14ac:dyDescent="0.2">
      <c r="E2909"/>
      <c r="F2909"/>
      <c r="H2909" s="12"/>
      <c r="I2909" s="30"/>
      <c r="K2909"/>
    </row>
    <row r="2910" spans="5:11" x14ac:dyDescent="0.2">
      <c r="E2910"/>
      <c r="F2910"/>
      <c r="H2910" s="12"/>
      <c r="I2910" s="30"/>
      <c r="K2910"/>
    </row>
    <row r="2911" spans="5:11" x14ac:dyDescent="0.2">
      <c r="E2911"/>
      <c r="F2911"/>
      <c r="H2911" s="12"/>
      <c r="I2911" s="30"/>
      <c r="K2911"/>
    </row>
    <row r="2912" spans="5:11" x14ac:dyDescent="0.2">
      <c r="E2912"/>
      <c r="F2912"/>
      <c r="H2912" s="12"/>
      <c r="I2912" s="30"/>
      <c r="K2912"/>
    </row>
  </sheetData>
  <autoFilter ref="C1:H203" xr:uid="{00000000-0009-0000-0000-000010000000}">
    <sortState xmlns:xlrd2="http://schemas.microsoft.com/office/spreadsheetml/2017/richdata2" ref="C2:H211">
      <sortCondition ref="E2:E211"/>
    </sortState>
  </autoFilter>
  <pageMargins left="0.51181102362204722" right="0.51181102362204722" top="0.19685039370078741" bottom="0.19685039370078741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AH50"/>
  <sheetViews>
    <sheetView zoomScale="75" zoomScaleNormal="75" workbookViewId="0">
      <pane xSplit="1" ySplit="4" topLeftCell="N5" activePane="bottomRight" state="frozen"/>
      <selection activeCell="F1" sqref="F1:F65536"/>
      <selection pane="topRight" activeCell="F1" sqref="F1:F65536"/>
      <selection pane="bottomLeft" activeCell="F1" sqref="F1:F65536"/>
      <selection pane="bottomRight" activeCell="T45" sqref="T45"/>
    </sheetView>
  </sheetViews>
  <sheetFormatPr defaultColWidth="15.7109375" defaultRowHeight="12.75" x14ac:dyDescent="0.2"/>
  <cols>
    <col min="1" max="1" width="15.7109375" customWidth="1"/>
    <col min="2" max="12" width="15.7109375" style="1" customWidth="1"/>
    <col min="13" max="24" width="15.7109375" customWidth="1"/>
  </cols>
  <sheetData>
    <row r="1" spans="1:23" s="2" customFormat="1" x14ac:dyDescent="0.2">
      <c r="B1" s="2" t="str">
        <f>IF(B5=1,"Domingo",IF(B5=2,"Segunda",IF(B5=3,"Terça",IF(B5=4,"Quarta",IF(B5=5,"Quinta",IF(B5=6,"Sexta",IF(B5=7,"Sábado",0)))))))</f>
        <v>Quinta</v>
      </c>
      <c r="C1" s="2" t="str">
        <f t="shared" ref="C1:V1" si="0">IF(C5=1,"Domingo",IF(C5=2,"Segunda",IF(C5=3,"Terça",IF(C5=4,"Quarta",IF(C5=5,"Quinta",IF(C5=6,"Sexta",IF(C5=7,"Sábado",0)))))))</f>
        <v>Segunda</v>
      </c>
      <c r="D1" s="2" t="str">
        <f t="shared" si="0"/>
        <v>Terça</v>
      </c>
      <c r="E1" s="2" t="str">
        <f t="shared" si="0"/>
        <v>Quarta</v>
      </c>
      <c r="F1" s="2" t="str">
        <f t="shared" si="0"/>
        <v>Quinta</v>
      </c>
      <c r="G1" s="2" t="str">
        <f t="shared" si="0"/>
        <v>Sexta</v>
      </c>
      <c r="H1" s="2" t="str">
        <f t="shared" si="0"/>
        <v>Segunda</v>
      </c>
      <c r="I1" s="2" t="str">
        <f t="shared" si="0"/>
        <v>Terça</v>
      </c>
      <c r="J1" s="2" t="str">
        <f t="shared" si="0"/>
        <v>Quarta</v>
      </c>
      <c r="K1" s="2" t="str">
        <f t="shared" si="0"/>
        <v>Quinta</v>
      </c>
      <c r="L1" s="2" t="str">
        <f t="shared" si="0"/>
        <v>Sexta</v>
      </c>
      <c r="M1" s="2" t="str">
        <f t="shared" si="0"/>
        <v>Segunda</v>
      </c>
      <c r="N1" s="2" t="str">
        <f t="shared" si="0"/>
        <v>Terça</v>
      </c>
      <c r="O1" s="2" t="str">
        <f t="shared" si="0"/>
        <v>Quarta</v>
      </c>
      <c r="P1" s="2" t="str">
        <f t="shared" si="0"/>
        <v>Quinta</v>
      </c>
      <c r="Q1" s="2" t="str">
        <f t="shared" si="0"/>
        <v>Sexta</v>
      </c>
      <c r="R1" s="2" t="str">
        <f t="shared" si="0"/>
        <v>Segunda</v>
      </c>
      <c r="S1" s="2" t="str">
        <f t="shared" si="0"/>
        <v>Terça</v>
      </c>
      <c r="T1" s="2" t="str">
        <f t="shared" si="0"/>
        <v>Quarta</v>
      </c>
      <c r="U1" s="2" t="str">
        <f t="shared" si="0"/>
        <v>Quinta</v>
      </c>
      <c r="V1" s="2" t="str">
        <f t="shared" si="0"/>
        <v>Sexta</v>
      </c>
      <c r="W1" s="2" t="e">
        <f>IF(W5=1,"Domingo",IF(W5=2,"Segunda",IF(W5=3,"Terça",IF(W5=4,"Quarta",IF(W5=5,"Quinta",IF(W5=6,"Sexta",IF(W5=7,"Sábado",0)))))))</f>
        <v>#VALUE!</v>
      </c>
    </row>
    <row r="2" spans="1:23" s="3" customFormat="1" x14ac:dyDescent="0.2">
      <c r="A2" s="4" t="s">
        <v>2</v>
      </c>
      <c r="B2" s="3">
        <f t="shared" ref="B2:V2" si="1">B29</f>
        <v>44287</v>
      </c>
      <c r="C2" s="3">
        <f t="shared" si="1"/>
        <v>44291</v>
      </c>
      <c r="D2" s="3">
        <f t="shared" si="1"/>
        <v>44292</v>
      </c>
      <c r="E2" s="3">
        <f t="shared" si="1"/>
        <v>44293</v>
      </c>
      <c r="F2" s="3">
        <f t="shared" si="1"/>
        <v>44294</v>
      </c>
      <c r="G2" s="3">
        <f t="shared" si="1"/>
        <v>44295</v>
      </c>
      <c r="H2" s="3">
        <f t="shared" si="1"/>
        <v>44298</v>
      </c>
      <c r="I2" s="3">
        <f t="shared" si="1"/>
        <v>44299</v>
      </c>
      <c r="J2" s="3">
        <f t="shared" si="1"/>
        <v>44300</v>
      </c>
      <c r="K2" s="3">
        <f t="shared" si="1"/>
        <v>44301</v>
      </c>
      <c r="L2" s="3">
        <f t="shared" si="1"/>
        <v>44302</v>
      </c>
      <c r="M2" s="3">
        <f t="shared" si="1"/>
        <v>44305</v>
      </c>
      <c r="N2" s="3">
        <f t="shared" si="1"/>
        <v>44306</v>
      </c>
      <c r="O2" s="3">
        <f t="shared" si="1"/>
        <v>44307</v>
      </c>
      <c r="P2" s="3">
        <f t="shared" si="1"/>
        <v>44308</v>
      </c>
      <c r="Q2" s="3">
        <f t="shared" si="1"/>
        <v>44309</v>
      </c>
      <c r="R2" s="3">
        <f t="shared" si="1"/>
        <v>44312</v>
      </c>
      <c r="S2" s="3">
        <f t="shared" si="1"/>
        <v>44313</v>
      </c>
      <c r="T2" s="3">
        <f t="shared" si="1"/>
        <v>44314</v>
      </c>
      <c r="U2" s="3">
        <f t="shared" si="1"/>
        <v>44315</v>
      </c>
      <c r="V2" s="3">
        <f t="shared" si="1"/>
        <v>44316</v>
      </c>
      <c r="W2" s="3" t="str">
        <f>W29</f>
        <v>Total Geral</v>
      </c>
    </row>
    <row r="3" spans="1:23" ht="3.75" customHeight="1" thickBo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23" ht="14.25" thickTop="1" thickBot="1" x14ac:dyDescent="0.25">
      <c r="A4" s="7" t="s">
        <v>40</v>
      </c>
      <c r="B4" s="8">
        <f>Fluxo_03_21!X38</f>
        <v>25773.510000000017</v>
      </c>
      <c r="C4" s="8">
        <f>B38</f>
        <v>-13015.659999999989</v>
      </c>
      <c r="D4" s="8">
        <f>C38</f>
        <v>-14344.659999999989</v>
      </c>
      <c r="E4" s="8">
        <f>D38</f>
        <v>-17898.879999999986</v>
      </c>
      <c r="F4" s="8">
        <f>E38</f>
        <v>-13094.549999999988</v>
      </c>
      <c r="G4" s="8">
        <f>F38</f>
        <v>-9525.4199999999892</v>
      </c>
      <c r="H4" s="8">
        <f t="shared" ref="H4:U4" si="2">G38</f>
        <v>-16827.619999999988</v>
      </c>
      <c r="I4" s="8">
        <f t="shared" si="2"/>
        <v>-14996.359999999988</v>
      </c>
      <c r="J4" s="8">
        <f t="shared" si="2"/>
        <v>-13622.919999999989</v>
      </c>
      <c r="K4" s="8">
        <f t="shared" si="2"/>
        <v>10736.000000000011</v>
      </c>
      <c r="L4" s="8">
        <f t="shared" si="2"/>
        <v>-12691.449999999986</v>
      </c>
      <c r="M4" s="8">
        <f t="shared" si="2"/>
        <v>-13366.449999999986</v>
      </c>
      <c r="N4" s="8">
        <f t="shared" si="2"/>
        <v>-14517.039999999986</v>
      </c>
      <c r="O4" s="8">
        <f t="shared" si="2"/>
        <v>-14517.039999999986</v>
      </c>
      <c r="P4" s="8">
        <f t="shared" si="2"/>
        <v>-14517.039999999986</v>
      </c>
      <c r="Q4" s="8">
        <f t="shared" si="2"/>
        <v>-16292.929999999986</v>
      </c>
      <c r="R4" s="8">
        <f t="shared" si="2"/>
        <v>-16292.929999999986</v>
      </c>
      <c r="S4" s="8">
        <f t="shared" si="2"/>
        <v>-7878.2799999999843</v>
      </c>
      <c r="T4" s="8">
        <f t="shared" si="2"/>
        <v>-4548.0399999999863</v>
      </c>
      <c r="U4" s="8">
        <f t="shared" si="2"/>
        <v>-11133.689999999981</v>
      </c>
      <c r="V4" s="8">
        <f>U38</f>
        <v>4842.6700000000201</v>
      </c>
      <c r="W4" s="8">
        <f>V38</f>
        <v>5598.230000000025</v>
      </c>
    </row>
    <row r="5" spans="1:23" ht="4.5" customHeight="1" thickTop="1" x14ac:dyDescent="0.2">
      <c r="A5" s="9"/>
      <c r="B5" s="10">
        <f t="shared" ref="B5:V5" si="3">WEEKDAY(B2)</f>
        <v>5</v>
      </c>
      <c r="C5" s="10">
        <f t="shared" si="3"/>
        <v>2</v>
      </c>
      <c r="D5" s="10">
        <f t="shared" si="3"/>
        <v>3</v>
      </c>
      <c r="E5" s="10">
        <f t="shared" si="3"/>
        <v>4</v>
      </c>
      <c r="F5" s="10">
        <f t="shared" si="3"/>
        <v>5</v>
      </c>
      <c r="G5" s="10">
        <f t="shared" si="3"/>
        <v>6</v>
      </c>
      <c r="H5" s="10">
        <f t="shared" si="3"/>
        <v>2</v>
      </c>
      <c r="I5" s="10">
        <f t="shared" si="3"/>
        <v>3</v>
      </c>
      <c r="J5" s="10">
        <f t="shared" si="3"/>
        <v>4</v>
      </c>
      <c r="K5" s="10">
        <f t="shared" si="3"/>
        <v>5</v>
      </c>
      <c r="L5" s="10">
        <f t="shared" si="3"/>
        <v>6</v>
      </c>
      <c r="M5" s="10">
        <f t="shared" si="3"/>
        <v>2</v>
      </c>
      <c r="N5" s="10">
        <f t="shared" si="3"/>
        <v>3</v>
      </c>
      <c r="O5" s="10">
        <f t="shared" si="3"/>
        <v>4</v>
      </c>
      <c r="P5" s="10">
        <f t="shared" si="3"/>
        <v>5</v>
      </c>
      <c r="Q5" s="10">
        <f t="shared" si="3"/>
        <v>6</v>
      </c>
      <c r="R5" s="10">
        <f t="shared" si="3"/>
        <v>2</v>
      </c>
      <c r="S5" s="10">
        <f t="shared" si="3"/>
        <v>3</v>
      </c>
      <c r="T5" s="10">
        <f t="shared" si="3"/>
        <v>4</v>
      </c>
      <c r="U5" s="10">
        <f t="shared" si="3"/>
        <v>5</v>
      </c>
      <c r="V5" s="10">
        <f t="shared" si="3"/>
        <v>6</v>
      </c>
      <c r="W5" s="10" t="e">
        <f>WEEKDAY(W2)</f>
        <v>#VALUE!</v>
      </c>
    </row>
    <row r="6" spans="1:23" x14ac:dyDescent="0.2">
      <c r="A6" s="20" t="s">
        <v>3</v>
      </c>
      <c r="B6" s="23">
        <f t="shared" ref="B6:V6" si="4">SUM(B7:B26)</f>
        <v>0</v>
      </c>
      <c r="C6" s="23">
        <f t="shared" si="4"/>
        <v>28570.87</v>
      </c>
      <c r="D6" s="23">
        <f t="shared" si="4"/>
        <v>29584.31</v>
      </c>
      <c r="E6" s="23">
        <f t="shared" si="4"/>
        <v>30164.46</v>
      </c>
      <c r="F6" s="23">
        <f t="shared" si="4"/>
        <v>4908.91</v>
      </c>
      <c r="G6" s="23">
        <f t="shared" si="4"/>
        <v>0</v>
      </c>
      <c r="H6" s="23">
        <f t="shared" si="4"/>
        <v>2445</v>
      </c>
      <c r="I6" s="23">
        <f t="shared" si="4"/>
        <v>23063.8</v>
      </c>
      <c r="J6" s="23">
        <f t="shared" si="4"/>
        <v>30291.55</v>
      </c>
      <c r="K6" s="23">
        <f t="shared" si="4"/>
        <v>0</v>
      </c>
      <c r="L6" s="23">
        <f t="shared" si="4"/>
        <v>0</v>
      </c>
      <c r="M6" s="23">
        <f t="shared" si="4"/>
        <v>0</v>
      </c>
      <c r="N6" s="23">
        <f t="shared" si="4"/>
        <v>8084</v>
      </c>
      <c r="O6" s="23">
        <f t="shared" si="4"/>
        <v>0</v>
      </c>
      <c r="P6" s="23">
        <f t="shared" si="4"/>
        <v>0</v>
      </c>
      <c r="Q6" s="23">
        <f t="shared" si="4"/>
        <v>2000</v>
      </c>
      <c r="R6" s="23">
        <f t="shared" si="4"/>
        <v>32616.07</v>
      </c>
      <c r="S6" s="23">
        <f t="shared" si="4"/>
        <v>42790.27</v>
      </c>
      <c r="T6" s="23">
        <f t="shared" si="4"/>
        <v>31318.71</v>
      </c>
      <c r="U6" s="23">
        <f t="shared" si="4"/>
        <v>58158.18</v>
      </c>
      <c r="V6" s="23">
        <f t="shared" si="4"/>
        <v>21376.25</v>
      </c>
      <c r="W6" s="23">
        <f>SUM(W7:W26)</f>
        <v>0</v>
      </c>
    </row>
    <row r="7" spans="1:23" x14ac:dyDescent="0.2">
      <c r="A7" t="s">
        <v>1820</v>
      </c>
      <c r="B7" s="15"/>
      <c r="D7" s="110">
        <v>25654.3</v>
      </c>
      <c r="E7" s="110">
        <v>17700.96</v>
      </c>
      <c r="H7" s="104">
        <f>1320</f>
        <v>1320</v>
      </c>
      <c r="I7" s="104"/>
      <c r="J7" s="15"/>
      <c r="K7" s="15"/>
      <c r="L7" s="15"/>
      <c r="M7" s="15"/>
      <c r="N7" s="15"/>
      <c r="O7" s="15"/>
      <c r="P7" s="15"/>
      <c r="Q7" s="15"/>
      <c r="R7" s="1"/>
      <c r="S7" s="121">
        <v>15847.94</v>
      </c>
      <c r="T7" s="121">
        <v>27765.45</v>
      </c>
      <c r="U7" s="74">
        <v>27381</v>
      </c>
      <c r="V7" s="122">
        <v>13417.38</v>
      </c>
    </row>
    <row r="8" spans="1:23" x14ac:dyDescent="0.2">
      <c r="A8" t="s">
        <v>1820</v>
      </c>
      <c r="B8" s="104"/>
      <c r="C8" s="109">
        <v>20302.05</v>
      </c>
      <c r="D8" s="74">
        <f>2464-855.6</f>
        <v>1608.4</v>
      </c>
      <c r="E8" s="15"/>
      <c r="F8" s="15"/>
      <c r="G8" s="15"/>
      <c r="I8" s="15"/>
      <c r="J8" s="15"/>
      <c r="N8" s="1"/>
      <c r="O8" s="15"/>
      <c r="P8" s="1"/>
      <c r="Q8" s="15"/>
      <c r="R8" s="13"/>
      <c r="S8" s="13"/>
      <c r="T8" s="15"/>
      <c r="U8" s="15"/>
      <c r="V8" s="1"/>
    </row>
    <row r="9" spans="1:23" x14ac:dyDescent="0.2">
      <c r="A9" t="s">
        <v>1808</v>
      </c>
      <c r="C9"/>
      <c r="I9" s="13"/>
      <c r="J9" s="109">
        <v>12889.89</v>
      </c>
      <c r="L9" s="13"/>
      <c r="M9" s="1"/>
      <c r="N9" s="13"/>
      <c r="O9" s="105"/>
      <c r="Q9" s="13"/>
      <c r="R9" s="104">
        <f>27762.48</f>
        <v>27762.48</v>
      </c>
      <c r="S9" s="13"/>
      <c r="T9" s="121">
        <v>3553.26</v>
      </c>
      <c r="U9" s="104">
        <f>19190</f>
        <v>19190</v>
      </c>
      <c r="V9" s="15"/>
    </row>
    <row r="10" spans="1:23" x14ac:dyDescent="0.2">
      <c r="A10" t="s">
        <v>1809</v>
      </c>
      <c r="C10"/>
      <c r="G10" s="15"/>
      <c r="H10" s="74">
        <v>1125</v>
      </c>
      <c r="I10" s="15"/>
      <c r="J10" s="74"/>
      <c r="K10" s="15"/>
      <c r="L10" s="15"/>
      <c r="M10" s="15"/>
      <c r="N10" s="15"/>
      <c r="P10" s="15"/>
      <c r="Q10" s="15"/>
      <c r="R10" s="15"/>
      <c r="S10" s="15"/>
      <c r="T10" s="15"/>
      <c r="V10" s="13"/>
    </row>
    <row r="11" spans="1:23" x14ac:dyDescent="0.2">
      <c r="A11" t="s">
        <v>1810</v>
      </c>
      <c r="B11" s="14"/>
      <c r="D11"/>
      <c r="E11" s="15"/>
      <c r="F11" s="15"/>
      <c r="G11" s="15"/>
      <c r="H11" s="15"/>
      <c r="I11" s="15"/>
      <c r="J11" s="74"/>
      <c r="K11" s="15"/>
      <c r="L11" s="15"/>
      <c r="M11" s="15"/>
      <c r="N11" s="15"/>
      <c r="O11" s="15"/>
      <c r="P11" s="15"/>
      <c r="Q11" s="14"/>
      <c r="R11" s="15"/>
      <c r="V11" s="13"/>
    </row>
    <row r="12" spans="1:23" x14ac:dyDescent="0.2">
      <c r="A12" t="s">
        <v>1811</v>
      </c>
      <c r="C12"/>
      <c r="D12" s="106">
        <v>2321.61</v>
      </c>
      <c r="E12" s="15"/>
      <c r="F12" s="15"/>
      <c r="G12" s="15"/>
      <c r="H12" s="15"/>
      <c r="I12" s="74">
        <v>2687.88</v>
      </c>
      <c r="J12" s="104"/>
      <c r="L12" s="15"/>
      <c r="N12" s="15"/>
      <c r="O12" s="15"/>
      <c r="P12" s="15"/>
    </row>
    <row r="13" spans="1:23" x14ac:dyDescent="0.2">
      <c r="A13" t="s">
        <v>1812</v>
      </c>
      <c r="B13" s="15"/>
      <c r="C13" s="15"/>
      <c r="D13" s="15"/>
      <c r="E13" s="15"/>
      <c r="F13"/>
      <c r="G13" s="15"/>
      <c r="H13" s="15"/>
      <c r="I13" s="15"/>
      <c r="J13" s="74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spans="1:23" x14ac:dyDescent="0.2">
      <c r="A14" t="s">
        <v>1813</v>
      </c>
      <c r="B14"/>
      <c r="C14" s="106">
        <v>6637.12</v>
      </c>
      <c r="D14" s="15"/>
      <c r="E14" s="15"/>
      <c r="F14" s="110">
        <v>4908.91</v>
      </c>
      <c r="G14" s="15"/>
      <c r="H14" s="15"/>
      <c r="I14" s="15"/>
      <c r="J14" s="110">
        <v>5920.64</v>
      </c>
      <c r="K14" s="15"/>
      <c r="L14" s="15"/>
      <c r="M14" s="15"/>
      <c r="N14" s="15"/>
      <c r="O14" s="15"/>
      <c r="P14" s="15"/>
      <c r="Q14" s="15"/>
      <c r="R14" s="121">
        <v>4853.59</v>
      </c>
      <c r="U14" s="13"/>
      <c r="V14" s="122">
        <v>7958.87</v>
      </c>
    </row>
    <row r="15" spans="1:23" x14ac:dyDescent="0.2">
      <c r="A15" t="s">
        <v>1826</v>
      </c>
      <c r="B15"/>
      <c r="C15"/>
      <c r="E15" s="106">
        <v>12463.5</v>
      </c>
      <c r="I15" s="104">
        <f>1701+3465+3774+4453.14+4840.78+2142</f>
        <v>20375.919999999998</v>
      </c>
      <c r="J15"/>
      <c r="K15" s="15"/>
      <c r="L15" s="15"/>
      <c r="M15" s="15"/>
      <c r="N15" s="15"/>
      <c r="O15" s="15"/>
      <c r="P15" s="15"/>
      <c r="Q15" s="15"/>
      <c r="R15" s="15"/>
      <c r="S15" s="74">
        <f>4494.27+3979+840+3465+4473.18+4281.28</f>
        <v>21532.73</v>
      </c>
      <c r="T15" s="15"/>
    </row>
    <row r="16" spans="1:23" x14ac:dyDescent="0.2">
      <c r="A16" t="s">
        <v>1822</v>
      </c>
      <c r="B16"/>
      <c r="C16"/>
      <c r="D16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1:34" x14ac:dyDescent="0.2">
      <c r="A17" t="s">
        <v>1827</v>
      </c>
      <c r="B17" s="104"/>
      <c r="C17" s="104">
        <v>1631.7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74">
        <v>5409.6</v>
      </c>
      <c r="T17" s="15"/>
    </row>
    <row r="18" spans="1:34" x14ac:dyDescent="0.2">
      <c r="A18" t="s">
        <v>1828</v>
      </c>
      <c r="D18" s="13"/>
      <c r="E18" s="16"/>
      <c r="F18" s="15"/>
      <c r="G18" s="15"/>
      <c r="H18" s="13"/>
      <c r="I18" s="15"/>
      <c r="J18" s="109">
        <v>11481.02</v>
      </c>
      <c r="M18" s="1"/>
      <c r="N18" s="15"/>
      <c r="O18" s="15"/>
      <c r="P18" s="13"/>
      <c r="Q18" s="1"/>
      <c r="R18" s="13"/>
      <c r="S18" s="1"/>
      <c r="T18" s="41"/>
      <c r="U18" s="104">
        <v>11587.18</v>
      </c>
      <c r="V18" s="1"/>
    </row>
    <row r="19" spans="1:34" x14ac:dyDescent="0.2">
      <c r="A19" s="95" t="s">
        <v>1829</v>
      </c>
      <c r="E19" s="16"/>
      <c r="F19" s="15"/>
      <c r="G19" s="15"/>
      <c r="I19" s="15"/>
      <c r="J19" s="15"/>
      <c r="K19" s="15"/>
      <c r="M19" s="15"/>
      <c r="N19" s="120">
        <v>8084</v>
      </c>
      <c r="O19" s="14"/>
      <c r="P19" s="41"/>
      <c r="Q19" s="120">
        <v>2000</v>
      </c>
      <c r="R19" s="15"/>
      <c r="S19" s="15"/>
      <c r="T19" s="41"/>
    </row>
    <row r="20" spans="1:34" x14ac:dyDescent="0.2">
      <c r="A20" s="12"/>
      <c r="E20" s="16"/>
      <c r="F20" s="15"/>
      <c r="G20" s="15"/>
      <c r="I20" s="15"/>
      <c r="J20" s="14"/>
      <c r="K20" s="15"/>
      <c r="M20" s="15"/>
      <c r="N20" s="1"/>
      <c r="O20" s="14"/>
      <c r="P20" s="41"/>
      <c r="R20" s="15"/>
      <c r="S20" s="15"/>
      <c r="T20" s="41"/>
    </row>
    <row r="21" spans="1:34" x14ac:dyDescent="0.2">
      <c r="A21" s="12"/>
      <c r="B21" s="15"/>
      <c r="C2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34" x14ac:dyDescent="0.2">
      <c r="B22"/>
      <c r="C22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spans="1:34" x14ac:dyDescent="0.2">
      <c r="D23" s="13"/>
      <c r="E23" s="16"/>
      <c r="F23" s="15"/>
      <c r="G23" s="15"/>
      <c r="I23" s="15"/>
      <c r="J23" s="15"/>
      <c r="M23" s="15"/>
      <c r="N23" s="15"/>
      <c r="O23" s="17"/>
      <c r="P23" s="19"/>
      <c r="R23" s="15"/>
      <c r="S23" s="15"/>
      <c r="T23" s="19"/>
    </row>
    <row r="24" spans="1:34" x14ac:dyDescent="0.2">
      <c r="D24" s="13"/>
      <c r="E24" s="16"/>
      <c r="F24" s="15"/>
      <c r="G24" s="15"/>
      <c r="I24" s="15"/>
      <c r="J24" s="15"/>
      <c r="M24" s="15"/>
      <c r="N24" s="15"/>
      <c r="O24" s="48"/>
      <c r="P24" s="19"/>
      <c r="R24" s="15"/>
      <c r="S24" s="15"/>
      <c r="T24" s="19"/>
    </row>
    <row r="25" spans="1:34" x14ac:dyDescent="0.2">
      <c r="A25" s="12"/>
      <c r="D25" s="13"/>
      <c r="E25" s="47"/>
      <c r="F25" s="15"/>
      <c r="G25" s="15"/>
      <c r="I25" s="15"/>
      <c r="J25" s="13"/>
      <c r="M25" s="15"/>
      <c r="N25" s="15"/>
      <c r="O25" s="17"/>
      <c r="P25" s="19"/>
      <c r="R25" s="15"/>
      <c r="S25" s="15"/>
      <c r="T25" s="19"/>
      <c r="V25" s="13"/>
    </row>
    <row r="26" spans="1:34" x14ac:dyDescent="0.2">
      <c r="A26" s="12"/>
      <c r="B26"/>
      <c r="C26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34" x14ac:dyDescent="0.2">
      <c r="A27" s="21" t="s">
        <v>54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spans="1:34" x14ac:dyDescent="0.2">
      <c r="A28" s="80" t="s">
        <v>62</v>
      </c>
      <c r="B28" s="80" t="s">
        <v>42</v>
      </c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2"/>
    </row>
    <row r="29" spans="1:34" x14ac:dyDescent="0.2">
      <c r="A29" s="80" t="s">
        <v>50</v>
      </c>
      <c r="B29" s="83">
        <v>44287</v>
      </c>
      <c r="C29" s="84">
        <v>44291</v>
      </c>
      <c r="D29" s="84">
        <v>44292</v>
      </c>
      <c r="E29" s="84">
        <v>44293</v>
      </c>
      <c r="F29" s="84">
        <v>44294</v>
      </c>
      <c r="G29" s="84">
        <v>44295</v>
      </c>
      <c r="H29" s="84">
        <v>44298</v>
      </c>
      <c r="I29" s="84">
        <v>44299</v>
      </c>
      <c r="J29" s="84">
        <v>44300</v>
      </c>
      <c r="K29" s="84">
        <v>44301</v>
      </c>
      <c r="L29" s="84">
        <v>44302</v>
      </c>
      <c r="M29" s="84">
        <v>44305</v>
      </c>
      <c r="N29" s="84">
        <v>44306</v>
      </c>
      <c r="O29" s="84">
        <v>44307</v>
      </c>
      <c r="P29" s="84">
        <v>44308</v>
      </c>
      <c r="Q29" s="84">
        <v>44309</v>
      </c>
      <c r="R29" s="84">
        <v>44312</v>
      </c>
      <c r="S29" s="84">
        <v>44313</v>
      </c>
      <c r="T29" s="84">
        <v>44314</v>
      </c>
      <c r="U29" s="84">
        <v>44315</v>
      </c>
      <c r="V29" s="84">
        <v>44316</v>
      </c>
      <c r="W29" s="85" t="s">
        <v>71</v>
      </c>
    </row>
    <row r="30" spans="1:34" s="11" customFormat="1" x14ac:dyDescent="0.2">
      <c r="A30" s="86" t="s">
        <v>63</v>
      </c>
      <c r="B30" s="86">
        <v>2000</v>
      </c>
      <c r="C30" s="87">
        <v>3936.52</v>
      </c>
      <c r="D30" s="87">
        <v>882.17</v>
      </c>
      <c r="E30" s="87"/>
      <c r="F30" s="87"/>
      <c r="G30" s="87">
        <v>50</v>
      </c>
      <c r="H30" s="87"/>
      <c r="I30" s="87">
        <v>1769.95</v>
      </c>
      <c r="J30" s="87">
        <v>100</v>
      </c>
      <c r="K30" s="87">
        <v>150</v>
      </c>
      <c r="L30" s="87"/>
      <c r="M30" s="87">
        <v>200</v>
      </c>
      <c r="N30" s="87"/>
      <c r="O30" s="87"/>
      <c r="P30" s="87">
        <v>350</v>
      </c>
      <c r="Q30" s="87"/>
      <c r="R30" s="87">
        <v>2200</v>
      </c>
      <c r="S30" s="87"/>
      <c r="T30" s="87"/>
      <c r="U30" s="87">
        <v>7335.7300000000005</v>
      </c>
      <c r="V30" s="87"/>
      <c r="W30" s="85">
        <v>18974.370000000003</v>
      </c>
      <c r="X30"/>
      <c r="Y30"/>
      <c r="Z30"/>
      <c r="AA30"/>
      <c r="AB30"/>
      <c r="AC30"/>
      <c r="AD30"/>
      <c r="AE30"/>
      <c r="AF30"/>
      <c r="AG30"/>
      <c r="AH30"/>
    </row>
    <row r="31" spans="1:34" s="11" customFormat="1" x14ac:dyDescent="0.2">
      <c r="A31" s="88" t="s">
        <v>1817</v>
      </c>
      <c r="B31" s="88">
        <v>3688.37</v>
      </c>
      <c r="C31"/>
      <c r="D31"/>
      <c r="E31"/>
      <c r="F31"/>
      <c r="G31">
        <v>227</v>
      </c>
      <c r="H31">
        <v>90</v>
      </c>
      <c r="I31">
        <v>1830</v>
      </c>
      <c r="J31">
        <v>3529.1600000000003</v>
      </c>
      <c r="K31">
        <v>5183.7</v>
      </c>
      <c r="L31"/>
      <c r="M31"/>
      <c r="N31"/>
      <c r="O31"/>
      <c r="P31"/>
      <c r="Q31"/>
      <c r="R31">
        <v>8393.2099999999991</v>
      </c>
      <c r="S31">
        <v>13900</v>
      </c>
      <c r="T31">
        <v>708.93000000000006</v>
      </c>
      <c r="U31">
        <v>9189.9</v>
      </c>
      <c r="V31">
        <v>3402.8199999999997</v>
      </c>
      <c r="W31" s="89">
        <v>50143.090000000004</v>
      </c>
      <c r="X31"/>
      <c r="Y31"/>
      <c r="Z31"/>
      <c r="AA31"/>
      <c r="AB31"/>
      <c r="AC31"/>
      <c r="AD31"/>
      <c r="AE31"/>
      <c r="AF31"/>
      <c r="AG31"/>
      <c r="AH31"/>
    </row>
    <row r="32" spans="1:34" s="11" customFormat="1" x14ac:dyDescent="0.2">
      <c r="A32" s="88" t="s">
        <v>1825</v>
      </c>
      <c r="B32" s="88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>
        <v>510.83</v>
      </c>
      <c r="W32" s="89">
        <v>510.83</v>
      </c>
      <c r="X32"/>
      <c r="Y32"/>
      <c r="Z32"/>
      <c r="AA32"/>
      <c r="AB32"/>
      <c r="AC32"/>
      <c r="AD32"/>
      <c r="AE32"/>
      <c r="AF32"/>
      <c r="AG32"/>
      <c r="AH32"/>
    </row>
    <row r="33" spans="1:34" s="11" customFormat="1" x14ac:dyDescent="0.2">
      <c r="A33" s="88" t="s">
        <v>1818</v>
      </c>
      <c r="B33" s="88"/>
      <c r="C33"/>
      <c r="D33"/>
      <c r="E33"/>
      <c r="F33"/>
      <c r="G33"/>
      <c r="H33"/>
      <c r="I33"/>
      <c r="J33"/>
      <c r="K33">
        <v>3594.05</v>
      </c>
      <c r="L33"/>
      <c r="M33"/>
      <c r="N33"/>
      <c r="O33"/>
      <c r="P33"/>
      <c r="Q33"/>
      <c r="R33">
        <v>380.78</v>
      </c>
      <c r="S33"/>
      <c r="T33"/>
      <c r="U33"/>
      <c r="V33"/>
      <c r="W33" s="89">
        <v>3974.83</v>
      </c>
      <c r="X33"/>
      <c r="Y33"/>
      <c r="Z33"/>
      <c r="AA33"/>
      <c r="AB33"/>
      <c r="AC33"/>
      <c r="AD33"/>
      <c r="AE33"/>
      <c r="AF33"/>
      <c r="AG33"/>
      <c r="AH33"/>
    </row>
    <row r="34" spans="1:34" s="11" customFormat="1" x14ac:dyDescent="0.2">
      <c r="A34" s="88" t="s">
        <v>1819</v>
      </c>
      <c r="B34" s="88">
        <v>33100.800000000003</v>
      </c>
      <c r="C34">
        <v>25963.35</v>
      </c>
      <c r="D34">
        <v>32256.36</v>
      </c>
      <c r="E34">
        <v>25360.13</v>
      </c>
      <c r="F34">
        <v>1339.78</v>
      </c>
      <c r="G34">
        <v>7025.2</v>
      </c>
      <c r="H34">
        <v>523.74</v>
      </c>
      <c r="I34">
        <v>18090.41</v>
      </c>
      <c r="J34">
        <v>2303.4700000000003</v>
      </c>
      <c r="K34">
        <v>14499.699999999997</v>
      </c>
      <c r="L34">
        <v>675</v>
      </c>
      <c r="M34">
        <v>950.59</v>
      </c>
      <c r="N34">
        <v>8084</v>
      </c>
      <c r="O34">
        <v>0</v>
      </c>
      <c r="P34">
        <v>1425.8899999999999</v>
      </c>
      <c r="Q34">
        <v>2000</v>
      </c>
      <c r="R34">
        <v>13227.43</v>
      </c>
      <c r="S34">
        <v>25560.03</v>
      </c>
      <c r="T34">
        <v>37195.429999999993</v>
      </c>
      <c r="U34">
        <v>25656.19</v>
      </c>
      <c r="V34">
        <v>16707.039999999997</v>
      </c>
      <c r="W34" s="89">
        <v>291944.53999999998</v>
      </c>
      <c r="X34"/>
      <c r="Y34"/>
      <c r="Z34"/>
      <c r="AA34"/>
      <c r="AB34"/>
      <c r="AC34"/>
      <c r="AD34"/>
      <c r="AE34"/>
      <c r="AF34"/>
      <c r="AG34"/>
      <c r="AH34"/>
    </row>
    <row r="35" spans="1:34" s="11" customFormat="1" x14ac:dyDescent="0.2">
      <c r="A35" s="90" t="s">
        <v>71</v>
      </c>
      <c r="B35" s="90">
        <v>38789.170000000006</v>
      </c>
      <c r="C35" s="91">
        <v>29899.87</v>
      </c>
      <c r="D35" s="91">
        <v>33138.53</v>
      </c>
      <c r="E35" s="91">
        <v>25360.13</v>
      </c>
      <c r="F35" s="91">
        <v>1339.78</v>
      </c>
      <c r="G35" s="91">
        <v>7302.2</v>
      </c>
      <c r="H35" s="91">
        <v>613.74</v>
      </c>
      <c r="I35" s="91">
        <v>21690.36</v>
      </c>
      <c r="J35" s="91">
        <v>5932.630000000001</v>
      </c>
      <c r="K35" s="91">
        <v>23427.449999999997</v>
      </c>
      <c r="L35" s="91">
        <v>675</v>
      </c>
      <c r="M35" s="91">
        <v>1150.5900000000001</v>
      </c>
      <c r="N35" s="91">
        <v>8084</v>
      </c>
      <c r="O35" s="91">
        <v>0</v>
      </c>
      <c r="P35" s="91">
        <v>1775.8899999999999</v>
      </c>
      <c r="Q35" s="91">
        <v>2000</v>
      </c>
      <c r="R35" s="91">
        <v>24201.42</v>
      </c>
      <c r="S35" s="91">
        <v>39460.03</v>
      </c>
      <c r="T35" s="91">
        <v>37904.359999999993</v>
      </c>
      <c r="U35" s="91">
        <v>42181.82</v>
      </c>
      <c r="V35" s="91">
        <v>20620.689999999995</v>
      </c>
      <c r="W35" s="92">
        <v>365547.66</v>
      </c>
      <c r="X35"/>
      <c r="Y35"/>
      <c r="Z35"/>
      <c r="AA35"/>
      <c r="AB35"/>
      <c r="AC35"/>
      <c r="AD35"/>
      <c r="AE35"/>
      <c r="AF35"/>
      <c r="AG35"/>
      <c r="AH35"/>
    </row>
    <row r="36" spans="1:34" s="11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s="1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s="25" customFormat="1" ht="13.5" thickBot="1" x14ac:dyDescent="0.25">
      <c r="A38" s="24" t="s">
        <v>35</v>
      </c>
      <c r="B38" s="24">
        <f>B4+B6-GETPIVOTDATA("Valor",$A$28,"Pagto.",DATE(2021,4,1))</f>
        <v>-13015.659999999989</v>
      </c>
      <c r="C38" s="24">
        <f>C4+C6-GETPIVOTDATA("Valor",$A$28,"Pagto.",DATE(2021,4,5))</f>
        <v>-14344.659999999989</v>
      </c>
      <c r="D38" s="24">
        <f>D4+D6-GETPIVOTDATA("Valor",$A$28,"Pagto.",DATE(2021,4,6))</f>
        <v>-17898.879999999986</v>
      </c>
      <c r="E38" s="24">
        <f>E4+E6-GETPIVOTDATA("Valor",$A$28,"Pagto.",DATE(2021,4,7))</f>
        <v>-13094.549999999988</v>
      </c>
      <c r="F38" s="24">
        <f>F4+F6-GETPIVOTDATA("Valor",$A$28,"Pagto.",DATE(2021,4,8))</f>
        <v>-9525.4199999999892</v>
      </c>
      <c r="G38" s="24">
        <f>G4+G6-GETPIVOTDATA("Valor",$A$28,"Pagto.",DATE(2021,4,9))</f>
        <v>-16827.619999999988</v>
      </c>
      <c r="H38" s="24">
        <f>H4+H6-GETPIVOTDATA("Valor",$A$28,"Pagto.",DATE(2021,4,12))</f>
        <v>-14996.359999999988</v>
      </c>
      <c r="I38" s="24">
        <f>I4+I6-GETPIVOTDATA("Valor",$A$28,"Pagto.",DATE(2021,4,13))</f>
        <v>-13622.919999999989</v>
      </c>
      <c r="J38" s="24">
        <f>J4+J6-GETPIVOTDATA("Valor",$A$28,"Pagto.",DATE(2021,4,14))</f>
        <v>10736.000000000011</v>
      </c>
      <c r="K38" s="24">
        <f>K4+K6-GETPIVOTDATA("Valor",$A$28,"Pagto.",DATE(2021,4,15))</f>
        <v>-12691.449999999986</v>
      </c>
      <c r="L38" s="24">
        <f>L4+L6-GETPIVOTDATA("Valor",$A$28,"Pagto.",DATE(2021,4,16))</f>
        <v>-13366.449999999986</v>
      </c>
      <c r="M38" s="24">
        <f>M4+M6-GETPIVOTDATA("Valor",$A$28,"Pagto.",DATE(2021,4,19))</f>
        <v>-14517.039999999986</v>
      </c>
      <c r="N38" s="24">
        <f>N4+N6-GETPIVOTDATA("Valor",$A$28,"Pagto.",DATE(2021,4,20))</f>
        <v>-14517.039999999986</v>
      </c>
      <c r="O38" s="24">
        <f>O4+O6-GETPIVOTDATA("Valor",$A$28,"Pagto.",DATE(2021,4,21))</f>
        <v>-14517.039999999986</v>
      </c>
      <c r="P38" s="24">
        <f>P4+P6-GETPIVOTDATA("Valor",$A$28,"Pagto.",DATE(2021,4,22))</f>
        <v>-16292.929999999986</v>
      </c>
      <c r="Q38" s="24">
        <f>Q4+Q6-GETPIVOTDATA("Valor",$A$28,"Pagto.",DATE(2021,4,23))</f>
        <v>-16292.929999999986</v>
      </c>
      <c r="R38" s="24">
        <f>R4+R6-GETPIVOTDATA("Valor",$A$28,"Pagto.",DATE(2021,4,26))</f>
        <v>-7878.2799999999843</v>
      </c>
      <c r="S38" s="24">
        <f>S4+S6-GETPIVOTDATA("Valor",$A$28,"Pagto.",DATE(2021,4,27))</f>
        <v>-4548.0399999999863</v>
      </c>
      <c r="T38" s="24">
        <f>T4+T6-GETPIVOTDATA("Valor",$A$28,"Pagto.",DATE(2021,4,28))</f>
        <v>-11133.689999999981</v>
      </c>
      <c r="U38" s="24">
        <f>U4+U6-GETPIVOTDATA("Valor",$A$28,"Pagto.",DATE(2021,4,29))</f>
        <v>4842.6700000000201</v>
      </c>
      <c r="V38" s="24">
        <f>V4+V6-GETPIVOTDATA("Valor",$A$28,"Pagto.",DATE(2021,4,30))</f>
        <v>5598.230000000025</v>
      </c>
      <c r="W38" s="24"/>
    </row>
    <row r="39" spans="1:34" ht="13.5" thickTop="1" x14ac:dyDescent="0.2">
      <c r="B39"/>
      <c r="C39"/>
      <c r="D39"/>
      <c r="E39"/>
      <c r="F39"/>
      <c r="G39"/>
      <c r="H39"/>
      <c r="I39"/>
      <c r="J39"/>
      <c r="K39"/>
      <c r="L39"/>
    </row>
    <row r="40" spans="1:34" x14ac:dyDescent="0.2">
      <c r="B40"/>
      <c r="C40"/>
      <c r="D40"/>
      <c r="E40"/>
      <c r="F40"/>
      <c r="G40"/>
      <c r="H40"/>
      <c r="I40"/>
    </row>
    <row r="41" spans="1:34" x14ac:dyDescent="0.2">
      <c r="B41"/>
      <c r="C41"/>
      <c r="D41"/>
      <c r="E41"/>
      <c r="F41"/>
      <c r="G41"/>
      <c r="H41"/>
      <c r="I41"/>
    </row>
    <row r="42" spans="1:34" x14ac:dyDescent="0.2">
      <c r="B42"/>
      <c r="C42"/>
      <c r="D42"/>
      <c r="E42"/>
      <c r="F42"/>
      <c r="G42"/>
      <c r="H42"/>
      <c r="I42"/>
    </row>
    <row r="43" spans="1:34" x14ac:dyDescent="0.2">
      <c r="B43"/>
      <c r="C43"/>
      <c r="D43"/>
      <c r="E43"/>
      <c r="F43"/>
      <c r="G43"/>
      <c r="H43"/>
      <c r="I43"/>
    </row>
    <row r="44" spans="1:34" x14ac:dyDescent="0.2">
      <c r="B44"/>
      <c r="C44"/>
      <c r="D44"/>
      <c r="E44"/>
      <c r="F44"/>
      <c r="G44"/>
      <c r="H44"/>
      <c r="I44"/>
    </row>
    <row r="45" spans="1:34" x14ac:dyDescent="0.2">
      <c r="B45"/>
      <c r="C45"/>
      <c r="D45"/>
      <c r="E45"/>
      <c r="F45"/>
      <c r="G45"/>
      <c r="H45"/>
      <c r="I45"/>
    </row>
    <row r="46" spans="1:34" x14ac:dyDescent="0.2">
      <c r="B46"/>
      <c r="C46"/>
      <c r="D46"/>
      <c r="E46"/>
      <c r="F46"/>
      <c r="G46"/>
      <c r="H46"/>
      <c r="I46"/>
    </row>
    <row r="47" spans="1:34" x14ac:dyDescent="0.2">
      <c r="B47"/>
      <c r="C47"/>
      <c r="D47"/>
      <c r="E47"/>
      <c r="F47"/>
      <c r="G47"/>
      <c r="H47"/>
      <c r="I47"/>
    </row>
    <row r="48" spans="1:34" x14ac:dyDescent="0.2">
      <c r="B48"/>
      <c r="C48"/>
      <c r="D48"/>
      <c r="E48"/>
      <c r="F48"/>
      <c r="G48"/>
      <c r="H48"/>
      <c r="I48"/>
    </row>
    <row r="49" spans="2:9" x14ac:dyDescent="0.2">
      <c r="B49"/>
      <c r="C49"/>
      <c r="D49"/>
      <c r="E49"/>
      <c r="F49"/>
      <c r="G49"/>
      <c r="H49"/>
      <c r="I49"/>
    </row>
    <row r="50" spans="2:9" x14ac:dyDescent="0.2">
      <c r="B50"/>
      <c r="C50"/>
      <c r="D50"/>
      <c r="E50"/>
      <c r="F50"/>
      <c r="G50"/>
      <c r="H50"/>
      <c r="I50"/>
    </row>
  </sheetData>
  <conditionalFormatting sqref="A36 A4:XFD4 A38:XFD38">
    <cfRule type="cellIs" dxfId="11" priority="3" stopIfTrue="1" operator="lessThan">
      <formula>0</formula>
    </cfRule>
  </conditionalFormatting>
  <conditionalFormatting sqref="A1:XFD1">
    <cfRule type="cellIs" dxfId="10" priority="1" stopIfTrue="1" operator="equal">
      <formula>"Sábado"</formula>
    </cfRule>
    <cfRule type="cellIs" dxfId="9" priority="2" stopIfTrue="1" operator="equal">
      <formula>"Domingo"</formula>
    </cfRule>
  </conditionalFormatting>
  <pageMargins left="0.74791666666666667" right="0.74791666666666667" top="0.98402777777777783" bottom="0.98402777777777783" header="0.51180555555555562" footer="0.51180555555555562"/>
  <pageSetup paperSize="9" firstPageNumber="0" orientation="landscape" horizontalDpi="300" verticalDpi="300" r:id="rId2"/>
  <headerFooter alignWithMargins="0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30A0"/>
  </sheetPr>
  <dimension ref="A1:K2921"/>
  <sheetViews>
    <sheetView zoomScale="90" workbookViewId="0">
      <pane ySplit="1" topLeftCell="A23" activePane="bottomLeft" state="frozen"/>
      <selection activeCell="D26" sqref="D26"/>
      <selection pane="bottomLeft" activeCell="D67" sqref="D67"/>
    </sheetView>
  </sheetViews>
  <sheetFormatPr defaultRowHeight="12.75" x14ac:dyDescent="0.2"/>
  <cols>
    <col min="1" max="1" width="7.140625" customWidth="1"/>
    <col min="2" max="2" width="5.7109375" customWidth="1"/>
    <col min="3" max="3" width="16.7109375" bestFit="1" customWidth="1"/>
    <col min="4" max="4" width="66.7109375" bestFit="1" customWidth="1"/>
    <col min="5" max="5" width="12.5703125" style="49" customWidth="1"/>
    <col min="6" max="6" width="17.42578125" style="40" customWidth="1"/>
    <col min="7" max="7" width="24.85546875" customWidth="1"/>
    <col min="8" max="8" width="15.28515625" style="75" customWidth="1"/>
    <col min="9" max="9" width="21.7109375" bestFit="1" customWidth="1"/>
    <col min="10" max="10" width="19" customWidth="1"/>
    <col min="11" max="11" width="18.28515625" style="1" customWidth="1"/>
    <col min="12" max="12" width="17.28515625" customWidth="1"/>
    <col min="13" max="13" width="14.140625" customWidth="1"/>
    <col min="14" max="14" width="19.140625" customWidth="1"/>
  </cols>
  <sheetData>
    <row r="1" spans="1:11" s="36" customFormat="1" x14ac:dyDescent="0.2">
      <c r="A1" s="36">
        <v>0</v>
      </c>
      <c r="B1" s="36" t="s">
        <v>5</v>
      </c>
      <c r="C1" s="36" t="s">
        <v>46</v>
      </c>
      <c r="D1" s="36" t="s">
        <v>47</v>
      </c>
      <c r="E1" s="36" t="s">
        <v>48</v>
      </c>
      <c r="F1" s="111" t="s">
        <v>49</v>
      </c>
      <c r="G1" s="36" t="s">
        <v>50</v>
      </c>
      <c r="H1" s="33" t="s">
        <v>42</v>
      </c>
      <c r="K1" s="37"/>
    </row>
    <row r="2" spans="1:11" ht="13.5" customHeight="1" x14ac:dyDescent="0.2">
      <c r="C2" s="12" t="s">
        <v>199</v>
      </c>
      <c r="D2" s="57" t="s">
        <v>524</v>
      </c>
      <c r="E2" s="60">
        <v>44256</v>
      </c>
      <c r="F2" s="58">
        <f>1500.49+1105+1000</f>
        <v>3605.49</v>
      </c>
      <c r="G2" s="12" t="s">
        <v>1676</v>
      </c>
      <c r="H2" s="61">
        <f t="shared" ref="H2:H65" si="0">VLOOKUP(E2,$E$2848:$H$2879,4,FALSE)</f>
        <v>44256</v>
      </c>
    </row>
    <row r="3" spans="1:11" ht="13.5" customHeight="1" x14ac:dyDescent="0.2">
      <c r="C3" s="12" t="s">
        <v>96</v>
      </c>
      <c r="D3" s="57" t="s">
        <v>420</v>
      </c>
      <c r="E3" s="60">
        <v>44256</v>
      </c>
      <c r="F3" s="58">
        <v>444.2</v>
      </c>
      <c r="G3" s="12" t="s">
        <v>1676</v>
      </c>
      <c r="H3" s="61">
        <f t="shared" si="0"/>
        <v>44256</v>
      </c>
    </row>
    <row r="4" spans="1:11" ht="13.5" customHeight="1" x14ac:dyDescent="0.2">
      <c r="C4" s="12" t="s">
        <v>164</v>
      </c>
      <c r="D4" s="57" t="s">
        <v>523</v>
      </c>
      <c r="E4" s="60">
        <v>44256</v>
      </c>
      <c r="F4" s="58">
        <v>4000</v>
      </c>
      <c r="G4" s="12" t="s">
        <v>1689</v>
      </c>
      <c r="H4" s="61">
        <f t="shared" si="0"/>
        <v>44256</v>
      </c>
    </row>
    <row r="5" spans="1:11" ht="13.5" customHeight="1" x14ac:dyDescent="0.2">
      <c r="C5" s="12" t="s">
        <v>159</v>
      </c>
      <c r="D5" s="57" t="s">
        <v>357</v>
      </c>
      <c r="E5" s="60">
        <v>44256</v>
      </c>
      <c r="F5" s="58">
        <v>347.6</v>
      </c>
      <c r="G5" s="12" t="s">
        <v>1689</v>
      </c>
      <c r="H5" s="61">
        <f t="shared" si="0"/>
        <v>44256</v>
      </c>
    </row>
    <row r="6" spans="1:11" ht="13.5" customHeight="1" x14ac:dyDescent="0.2">
      <c r="C6" s="12" t="s">
        <v>76</v>
      </c>
      <c r="D6" s="57" t="s">
        <v>270</v>
      </c>
      <c r="E6" s="60">
        <v>44256</v>
      </c>
      <c r="F6" s="58">
        <v>2409.61</v>
      </c>
      <c r="G6" s="12" t="s">
        <v>1689</v>
      </c>
      <c r="H6" s="61">
        <f t="shared" si="0"/>
        <v>44256</v>
      </c>
    </row>
    <row r="7" spans="1:11" ht="13.5" customHeight="1" x14ac:dyDescent="0.2">
      <c r="C7" s="12" t="s">
        <v>83</v>
      </c>
      <c r="D7" s="57" t="s">
        <v>526</v>
      </c>
      <c r="E7" s="60">
        <v>44256</v>
      </c>
      <c r="F7" s="58">
        <v>454.93</v>
      </c>
      <c r="G7" s="12" t="s">
        <v>1689</v>
      </c>
      <c r="H7" s="61">
        <f t="shared" si="0"/>
        <v>44256</v>
      </c>
    </row>
    <row r="8" spans="1:11" ht="13.5" customHeight="1" x14ac:dyDescent="0.2">
      <c r="C8" s="12" t="s">
        <v>80</v>
      </c>
      <c r="D8" s="57" t="s">
        <v>1717</v>
      </c>
      <c r="E8" s="60">
        <v>44256</v>
      </c>
      <c r="F8" s="58">
        <v>200</v>
      </c>
      <c r="G8" s="12" t="s">
        <v>1689</v>
      </c>
      <c r="H8" s="61">
        <f t="shared" si="0"/>
        <v>44256</v>
      </c>
    </row>
    <row r="9" spans="1:11" ht="13.5" customHeight="1" x14ac:dyDescent="0.2">
      <c r="C9" s="12" t="s">
        <v>164</v>
      </c>
      <c r="D9" s="57" t="s">
        <v>527</v>
      </c>
      <c r="E9" s="60">
        <v>44256</v>
      </c>
      <c r="F9" s="113">
        <v>140</v>
      </c>
      <c r="G9" s="12" t="s">
        <v>1689</v>
      </c>
      <c r="H9" s="61">
        <f t="shared" si="0"/>
        <v>44256</v>
      </c>
    </row>
    <row r="10" spans="1:11" ht="13.5" customHeight="1" x14ac:dyDescent="0.2">
      <c r="C10" s="12" t="s">
        <v>164</v>
      </c>
      <c r="D10" s="57" t="s">
        <v>529</v>
      </c>
      <c r="E10" s="60">
        <v>44256</v>
      </c>
      <c r="F10" s="58">
        <v>70</v>
      </c>
      <c r="G10" s="12" t="s">
        <v>1689</v>
      </c>
      <c r="H10" s="61">
        <f t="shared" si="0"/>
        <v>44256</v>
      </c>
    </row>
    <row r="11" spans="1:11" ht="13.5" customHeight="1" x14ac:dyDescent="0.2">
      <c r="C11" s="12" t="s">
        <v>80</v>
      </c>
      <c r="D11" s="57" t="s">
        <v>530</v>
      </c>
      <c r="E11" s="60">
        <v>44256</v>
      </c>
      <c r="F11" s="58">
        <v>150</v>
      </c>
      <c r="G11" s="12" t="s">
        <v>1689</v>
      </c>
      <c r="H11" s="61">
        <f t="shared" si="0"/>
        <v>44256</v>
      </c>
    </row>
    <row r="12" spans="1:11" ht="13.5" customHeight="1" x14ac:dyDescent="0.2">
      <c r="C12" s="12" t="s">
        <v>80</v>
      </c>
      <c r="D12" s="57" t="s">
        <v>532</v>
      </c>
      <c r="E12" s="60">
        <v>44256</v>
      </c>
      <c r="F12" s="58">
        <v>300</v>
      </c>
      <c r="G12" s="12" t="s">
        <v>1689</v>
      </c>
      <c r="H12" s="61">
        <f t="shared" si="0"/>
        <v>44256</v>
      </c>
    </row>
    <row r="13" spans="1:11" ht="13.5" customHeight="1" x14ac:dyDescent="0.2">
      <c r="C13" s="12" t="s">
        <v>77</v>
      </c>
      <c r="D13" s="57" t="s">
        <v>531</v>
      </c>
      <c r="E13" s="60">
        <v>44256</v>
      </c>
      <c r="F13" s="58">
        <v>233.19</v>
      </c>
      <c r="G13" s="12" t="s">
        <v>1689</v>
      </c>
      <c r="H13" s="61">
        <f t="shared" si="0"/>
        <v>44256</v>
      </c>
    </row>
    <row r="14" spans="1:11" ht="13.5" customHeight="1" x14ac:dyDescent="0.2">
      <c r="C14" s="12" t="s">
        <v>187</v>
      </c>
      <c r="D14" s="57" t="s">
        <v>533</v>
      </c>
      <c r="E14" s="60">
        <v>44256</v>
      </c>
      <c r="F14" s="58">
        <v>47.4</v>
      </c>
      <c r="G14" s="12" t="s">
        <v>1676</v>
      </c>
      <c r="H14" s="61">
        <f t="shared" si="0"/>
        <v>44256</v>
      </c>
    </row>
    <row r="15" spans="1:11" ht="13.5" customHeight="1" x14ac:dyDescent="0.2">
      <c r="C15" s="12" t="s">
        <v>519</v>
      </c>
      <c r="D15" s="57" t="s">
        <v>538</v>
      </c>
      <c r="E15" s="60">
        <v>44256</v>
      </c>
      <c r="F15" s="58">
        <v>38.049999999999997</v>
      </c>
      <c r="G15" s="12" t="s">
        <v>1689</v>
      </c>
      <c r="H15" s="61">
        <f t="shared" si="0"/>
        <v>44256</v>
      </c>
    </row>
    <row r="16" spans="1:11" ht="13.5" customHeight="1" x14ac:dyDescent="0.2">
      <c r="C16" s="12" t="s">
        <v>519</v>
      </c>
      <c r="D16" s="57" t="s">
        <v>546</v>
      </c>
      <c r="E16" s="60">
        <v>44256</v>
      </c>
      <c r="F16" s="58">
        <v>35.42</v>
      </c>
      <c r="G16" s="12" t="s">
        <v>1689</v>
      </c>
      <c r="H16" s="61">
        <f t="shared" si="0"/>
        <v>44256</v>
      </c>
    </row>
    <row r="17" spans="3:8" ht="13.5" customHeight="1" x14ac:dyDescent="0.2">
      <c r="C17" s="12" t="s">
        <v>164</v>
      </c>
      <c r="D17" s="57" t="s">
        <v>445</v>
      </c>
      <c r="E17" s="60">
        <v>44256</v>
      </c>
      <c r="F17" s="58">
        <v>1000</v>
      </c>
      <c r="G17" s="12" t="s">
        <v>1676</v>
      </c>
      <c r="H17" s="61">
        <f t="shared" si="0"/>
        <v>44256</v>
      </c>
    </row>
    <row r="18" spans="3:8" ht="13.5" customHeight="1" x14ac:dyDescent="0.2">
      <c r="C18" s="12" t="s">
        <v>519</v>
      </c>
      <c r="D18" s="57" t="s">
        <v>520</v>
      </c>
      <c r="E18" s="60">
        <v>44257</v>
      </c>
      <c r="F18" s="58">
        <v>363.85</v>
      </c>
      <c r="G18" s="12" t="s">
        <v>1689</v>
      </c>
      <c r="H18" s="61">
        <f t="shared" si="0"/>
        <v>44257</v>
      </c>
    </row>
    <row r="19" spans="3:8" ht="13.5" customHeight="1" x14ac:dyDescent="0.2">
      <c r="C19" s="12" t="s">
        <v>72</v>
      </c>
      <c r="D19" s="57" t="s">
        <v>1739</v>
      </c>
      <c r="E19" s="60">
        <v>44257</v>
      </c>
      <c r="F19" s="58">
        <v>725</v>
      </c>
      <c r="G19" s="12" t="s">
        <v>1688</v>
      </c>
      <c r="H19" s="61">
        <f t="shared" si="0"/>
        <v>44257</v>
      </c>
    </row>
    <row r="20" spans="3:8" ht="13.5" customHeight="1" x14ac:dyDescent="0.2">
      <c r="C20" s="12" t="s">
        <v>84</v>
      </c>
      <c r="D20" s="57" t="s">
        <v>410</v>
      </c>
      <c r="E20" s="60">
        <v>44257</v>
      </c>
      <c r="F20" s="58">
        <v>651</v>
      </c>
      <c r="G20" s="12" t="s">
        <v>1689</v>
      </c>
      <c r="H20" s="61">
        <f t="shared" si="0"/>
        <v>44257</v>
      </c>
    </row>
    <row r="21" spans="3:8" ht="13.5" customHeight="1" x14ac:dyDescent="0.2">
      <c r="C21" s="12" t="s">
        <v>76</v>
      </c>
      <c r="D21" s="57" t="s">
        <v>517</v>
      </c>
      <c r="E21" s="60">
        <v>44258</v>
      </c>
      <c r="F21" s="58">
        <v>765</v>
      </c>
      <c r="G21" s="12" t="s">
        <v>1676</v>
      </c>
      <c r="H21" s="61">
        <f t="shared" si="0"/>
        <v>44258</v>
      </c>
    </row>
    <row r="22" spans="3:8" ht="13.5" customHeight="1" x14ac:dyDescent="0.2">
      <c r="C22" s="12" t="s">
        <v>170</v>
      </c>
      <c r="D22" s="57" t="s">
        <v>379</v>
      </c>
      <c r="E22" s="60">
        <v>44258</v>
      </c>
      <c r="F22" s="58">
        <v>118</v>
      </c>
      <c r="G22" s="12" t="s">
        <v>1676</v>
      </c>
      <c r="H22" s="61">
        <f t="shared" si="0"/>
        <v>44258</v>
      </c>
    </row>
    <row r="23" spans="3:8" ht="13.5" customHeight="1" x14ac:dyDescent="0.2">
      <c r="C23" s="12" t="s">
        <v>80</v>
      </c>
      <c r="D23" s="57" t="s">
        <v>553</v>
      </c>
      <c r="E23" s="60">
        <v>44258</v>
      </c>
      <c r="F23" s="58">
        <v>150</v>
      </c>
      <c r="G23" s="12" t="s">
        <v>1689</v>
      </c>
      <c r="H23" s="61">
        <f t="shared" si="0"/>
        <v>44258</v>
      </c>
    </row>
    <row r="24" spans="3:8" ht="13.5" customHeight="1" x14ac:dyDescent="0.2">
      <c r="C24" s="12" t="s">
        <v>56</v>
      </c>
      <c r="D24" s="57" t="s">
        <v>551</v>
      </c>
      <c r="E24" s="60">
        <v>44258</v>
      </c>
      <c r="F24" s="58">
        <v>380</v>
      </c>
      <c r="G24" s="12" t="s">
        <v>1689</v>
      </c>
      <c r="H24" s="61">
        <f t="shared" si="0"/>
        <v>44258</v>
      </c>
    </row>
    <row r="25" spans="3:8" ht="13.5" customHeight="1" x14ac:dyDescent="0.2">
      <c r="C25" s="12" t="s">
        <v>164</v>
      </c>
      <c r="D25" s="57" t="s">
        <v>445</v>
      </c>
      <c r="E25" s="60">
        <v>44258</v>
      </c>
      <c r="F25" s="58">
        <v>1000</v>
      </c>
      <c r="G25" s="12" t="s">
        <v>1676</v>
      </c>
      <c r="H25" s="61">
        <f t="shared" si="0"/>
        <v>44258</v>
      </c>
    </row>
    <row r="26" spans="3:8" ht="13.5" customHeight="1" x14ac:dyDescent="0.2">
      <c r="C26" s="12" t="s">
        <v>97</v>
      </c>
      <c r="D26" s="57" t="s">
        <v>101</v>
      </c>
      <c r="E26" s="60">
        <v>44259</v>
      </c>
      <c r="F26" s="58">
        <v>2298.1</v>
      </c>
      <c r="G26" s="12" t="s">
        <v>1689</v>
      </c>
      <c r="H26" s="61">
        <f t="shared" si="0"/>
        <v>44259</v>
      </c>
    </row>
    <row r="27" spans="3:8" ht="13.5" customHeight="1" x14ac:dyDescent="0.2">
      <c r="C27" s="12" t="s">
        <v>159</v>
      </c>
      <c r="D27" s="57" t="s">
        <v>376</v>
      </c>
      <c r="E27" s="60">
        <v>44259</v>
      </c>
      <c r="F27" s="58">
        <v>696.67</v>
      </c>
      <c r="G27" s="12" t="s">
        <v>1689</v>
      </c>
      <c r="H27" s="61">
        <f t="shared" si="0"/>
        <v>44259</v>
      </c>
    </row>
    <row r="28" spans="3:8" ht="13.5" customHeight="1" x14ac:dyDescent="0.2">
      <c r="C28" s="12" t="s">
        <v>96</v>
      </c>
      <c r="D28" s="57" t="s">
        <v>488</v>
      </c>
      <c r="E28" s="60">
        <v>44259</v>
      </c>
      <c r="F28" s="58">
        <v>1500</v>
      </c>
      <c r="G28" s="12" t="s">
        <v>1689</v>
      </c>
      <c r="H28" s="61">
        <f t="shared" si="0"/>
        <v>44259</v>
      </c>
    </row>
    <row r="29" spans="3:8" ht="13.5" customHeight="1" x14ac:dyDescent="0.2">
      <c r="C29" s="12" t="s">
        <v>96</v>
      </c>
      <c r="D29" s="57" t="s">
        <v>489</v>
      </c>
      <c r="E29" s="60">
        <v>44259</v>
      </c>
      <c r="F29" s="58">
        <v>1500</v>
      </c>
      <c r="G29" s="12" t="s">
        <v>1689</v>
      </c>
      <c r="H29" s="61">
        <f t="shared" si="0"/>
        <v>44259</v>
      </c>
    </row>
    <row r="30" spans="3:8" ht="13.5" customHeight="1" x14ac:dyDescent="0.2">
      <c r="C30" s="12" t="s">
        <v>96</v>
      </c>
      <c r="D30" s="57" t="s">
        <v>490</v>
      </c>
      <c r="E30" s="60">
        <v>44259</v>
      </c>
      <c r="F30" s="58">
        <v>1500</v>
      </c>
      <c r="G30" s="12" t="s">
        <v>1689</v>
      </c>
      <c r="H30" s="61">
        <f t="shared" si="0"/>
        <v>44259</v>
      </c>
    </row>
    <row r="31" spans="3:8" ht="13.5" customHeight="1" x14ac:dyDescent="0.2">
      <c r="C31" s="12" t="s">
        <v>519</v>
      </c>
      <c r="D31" s="57" t="s">
        <v>555</v>
      </c>
      <c r="E31" s="60">
        <v>44259</v>
      </c>
      <c r="F31" s="58">
        <v>31.18</v>
      </c>
      <c r="G31" s="12" t="s">
        <v>1689</v>
      </c>
      <c r="H31" s="61">
        <f t="shared" si="0"/>
        <v>44259</v>
      </c>
    </row>
    <row r="32" spans="3:8" ht="13.5" customHeight="1" x14ac:dyDescent="0.2">
      <c r="C32" s="12" t="s">
        <v>199</v>
      </c>
      <c r="D32" s="57" t="s">
        <v>562</v>
      </c>
      <c r="E32" s="60">
        <v>44260</v>
      </c>
      <c r="F32" s="58">
        <f>45454.35+15074</f>
        <v>60528.35</v>
      </c>
      <c r="G32" s="12" t="s">
        <v>1689</v>
      </c>
      <c r="H32" s="61">
        <f t="shared" si="0"/>
        <v>44260</v>
      </c>
    </row>
    <row r="33" spans="3:8" ht="13.5" customHeight="1" x14ac:dyDescent="0.2">
      <c r="C33" s="12"/>
      <c r="D33" s="57"/>
      <c r="E33" s="60">
        <v>44261</v>
      </c>
      <c r="F33" s="58">
        <v>0</v>
      </c>
      <c r="G33" s="12" t="s">
        <v>1689</v>
      </c>
      <c r="H33" s="61">
        <f t="shared" si="0"/>
        <v>44263</v>
      </c>
    </row>
    <row r="34" spans="3:8" ht="13.5" customHeight="1" x14ac:dyDescent="0.2">
      <c r="C34" s="12"/>
      <c r="D34" s="57"/>
      <c r="E34" s="60">
        <v>44262</v>
      </c>
      <c r="F34" s="58">
        <v>0</v>
      </c>
      <c r="G34" s="12" t="s">
        <v>1689</v>
      </c>
      <c r="H34" s="61">
        <f t="shared" si="0"/>
        <v>44263</v>
      </c>
    </row>
    <row r="35" spans="3:8" ht="13.5" customHeight="1" x14ac:dyDescent="0.2">
      <c r="C35" s="12" t="s">
        <v>56</v>
      </c>
      <c r="D35" s="57" t="s">
        <v>196</v>
      </c>
      <c r="E35" s="60">
        <v>44263</v>
      </c>
      <c r="F35" s="58">
        <f>632.29+750.08+743.7</f>
        <v>2126.0699999999997</v>
      </c>
      <c r="G35" s="12" t="s">
        <v>1689</v>
      </c>
      <c r="H35" s="61">
        <f t="shared" si="0"/>
        <v>44263</v>
      </c>
    </row>
    <row r="36" spans="3:8" ht="13.5" customHeight="1" x14ac:dyDescent="0.2">
      <c r="C36" s="12" t="s">
        <v>56</v>
      </c>
      <c r="D36" s="57" t="s">
        <v>1679</v>
      </c>
      <c r="E36" s="60">
        <v>44263</v>
      </c>
      <c r="F36" s="58">
        <v>1037</v>
      </c>
      <c r="G36" s="12" t="s">
        <v>1689</v>
      </c>
      <c r="H36" s="61">
        <f t="shared" si="0"/>
        <v>44263</v>
      </c>
    </row>
    <row r="37" spans="3:8" ht="13.5" customHeight="1" x14ac:dyDescent="0.2">
      <c r="C37" s="12" t="s">
        <v>56</v>
      </c>
      <c r="D37" s="57" t="s">
        <v>1680</v>
      </c>
      <c r="E37" s="60">
        <v>44263</v>
      </c>
      <c r="F37" s="58">
        <v>810</v>
      </c>
      <c r="G37" s="12" t="s">
        <v>1689</v>
      </c>
      <c r="H37" s="61">
        <f t="shared" si="0"/>
        <v>44263</v>
      </c>
    </row>
    <row r="38" spans="3:8" ht="13.5" customHeight="1" x14ac:dyDescent="0.2">
      <c r="C38" s="12" t="s">
        <v>56</v>
      </c>
      <c r="D38" s="57" t="s">
        <v>1681</v>
      </c>
      <c r="E38" s="60">
        <v>44263</v>
      </c>
      <c r="F38" s="58">
        <v>299</v>
      </c>
      <c r="G38" s="12" t="s">
        <v>1689</v>
      </c>
      <c r="H38" s="61">
        <f t="shared" si="0"/>
        <v>44263</v>
      </c>
    </row>
    <row r="39" spans="3:8" ht="13.5" customHeight="1" x14ac:dyDescent="0.2">
      <c r="C39" s="12" t="s">
        <v>56</v>
      </c>
      <c r="D39" s="57" t="s">
        <v>1682</v>
      </c>
      <c r="E39" s="60">
        <v>44263</v>
      </c>
      <c r="F39" s="58">
        <v>206</v>
      </c>
      <c r="G39" s="12" t="s">
        <v>1689</v>
      </c>
      <c r="H39" s="61">
        <f t="shared" si="0"/>
        <v>44263</v>
      </c>
    </row>
    <row r="40" spans="3:8" ht="13.5" customHeight="1" x14ac:dyDescent="0.2">
      <c r="C40" s="12" t="s">
        <v>159</v>
      </c>
      <c r="D40" s="57" t="s">
        <v>1683</v>
      </c>
      <c r="E40" s="60">
        <v>44263</v>
      </c>
      <c r="F40" s="58">
        <v>495</v>
      </c>
      <c r="G40" s="12" t="s">
        <v>1689</v>
      </c>
      <c r="H40" s="61">
        <f t="shared" si="0"/>
        <v>44263</v>
      </c>
    </row>
    <row r="41" spans="3:8" ht="13.5" customHeight="1" x14ac:dyDescent="0.2">
      <c r="C41" s="12" t="s">
        <v>56</v>
      </c>
      <c r="D41" s="57" t="s">
        <v>1684</v>
      </c>
      <c r="E41" s="60">
        <v>44263</v>
      </c>
      <c r="F41" s="58">
        <v>2000</v>
      </c>
      <c r="G41" s="12" t="s">
        <v>1689</v>
      </c>
      <c r="H41" s="61">
        <f t="shared" si="0"/>
        <v>44263</v>
      </c>
    </row>
    <row r="42" spans="3:8" ht="13.5" customHeight="1" x14ac:dyDescent="0.2">
      <c r="C42" s="12" t="s">
        <v>97</v>
      </c>
      <c r="D42" s="57" t="s">
        <v>108</v>
      </c>
      <c r="E42" s="60">
        <v>44263</v>
      </c>
      <c r="F42" s="58">
        <v>2201.61</v>
      </c>
      <c r="G42" s="12" t="s">
        <v>1689</v>
      </c>
      <c r="H42" s="61">
        <f t="shared" si="0"/>
        <v>44263</v>
      </c>
    </row>
    <row r="43" spans="3:8" ht="13.5" customHeight="1" x14ac:dyDescent="0.2">
      <c r="C43" s="12" t="s">
        <v>80</v>
      </c>
      <c r="D43" s="57" t="s">
        <v>1718</v>
      </c>
      <c r="E43" s="60">
        <v>44264</v>
      </c>
      <c r="F43" s="58">
        <v>100</v>
      </c>
      <c r="G43" s="12" t="s">
        <v>1689</v>
      </c>
      <c r="H43" s="61">
        <f t="shared" si="0"/>
        <v>44264</v>
      </c>
    </row>
    <row r="44" spans="3:8" ht="13.5" customHeight="1" x14ac:dyDescent="0.2">
      <c r="C44" s="12" t="s">
        <v>56</v>
      </c>
      <c r="D44" s="57" t="s">
        <v>564</v>
      </c>
      <c r="E44" s="60">
        <v>44265</v>
      </c>
      <c r="F44" s="58">
        <v>26641</v>
      </c>
      <c r="G44" s="12" t="s">
        <v>1676</v>
      </c>
      <c r="H44" s="61">
        <f t="shared" si="0"/>
        <v>44265</v>
      </c>
    </row>
    <row r="45" spans="3:8" ht="13.5" customHeight="1" x14ac:dyDescent="0.2">
      <c r="C45" s="12" t="s">
        <v>187</v>
      </c>
      <c r="D45" s="57" t="s">
        <v>570</v>
      </c>
      <c r="E45" s="60">
        <v>44265</v>
      </c>
      <c r="F45" s="58">
        <v>41.31</v>
      </c>
      <c r="G45" s="12" t="s">
        <v>1689</v>
      </c>
      <c r="H45" s="61">
        <f t="shared" si="0"/>
        <v>44265</v>
      </c>
    </row>
    <row r="46" spans="3:8" ht="13.5" customHeight="1" x14ac:dyDescent="0.2">
      <c r="C46" s="12" t="s">
        <v>84</v>
      </c>
      <c r="D46" s="57" t="s">
        <v>576</v>
      </c>
      <c r="E46" s="60">
        <v>44265</v>
      </c>
      <c r="F46" s="58">
        <v>93</v>
      </c>
      <c r="G46" s="12" t="s">
        <v>1676</v>
      </c>
      <c r="H46" s="61">
        <f t="shared" si="0"/>
        <v>44265</v>
      </c>
    </row>
    <row r="47" spans="3:8" ht="13.5" customHeight="1" x14ac:dyDescent="0.2">
      <c r="C47" s="12" t="s">
        <v>216</v>
      </c>
      <c r="D47" s="57" t="s">
        <v>217</v>
      </c>
      <c r="E47" s="60">
        <v>44265</v>
      </c>
      <c r="F47" s="58">
        <v>105</v>
      </c>
      <c r="G47" s="12" t="s">
        <v>1676</v>
      </c>
      <c r="H47" s="61">
        <f t="shared" si="0"/>
        <v>44265</v>
      </c>
    </row>
    <row r="48" spans="3:8" ht="13.5" customHeight="1" x14ac:dyDescent="0.2">
      <c r="C48" s="12" t="s">
        <v>77</v>
      </c>
      <c r="D48" s="57" t="s">
        <v>525</v>
      </c>
      <c r="E48" s="60">
        <v>44265</v>
      </c>
      <c r="F48" s="58">
        <f>1208.45+201.28+41.34</f>
        <v>1451.07</v>
      </c>
      <c r="G48" s="12" t="s">
        <v>1676</v>
      </c>
      <c r="H48" s="61">
        <f t="shared" si="0"/>
        <v>44265</v>
      </c>
    </row>
    <row r="49" spans="3:8" ht="13.5" customHeight="1" x14ac:dyDescent="0.2">
      <c r="C49" s="12" t="s">
        <v>159</v>
      </c>
      <c r="D49" s="57" t="s">
        <v>563</v>
      </c>
      <c r="E49" s="60">
        <v>44265</v>
      </c>
      <c r="F49" s="58">
        <v>151.26</v>
      </c>
      <c r="G49" s="12" t="s">
        <v>1689</v>
      </c>
      <c r="H49" s="61">
        <f t="shared" si="0"/>
        <v>44265</v>
      </c>
    </row>
    <row r="50" spans="3:8" ht="13.5" customHeight="1" x14ac:dyDescent="0.2">
      <c r="C50" s="12" t="s">
        <v>96</v>
      </c>
      <c r="D50" s="57" t="s">
        <v>130</v>
      </c>
      <c r="E50" s="60">
        <v>44265</v>
      </c>
      <c r="F50" s="58">
        <v>280</v>
      </c>
      <c r="G50" s="12" t="s">
        <v>1689</v>
      </c>
      <c r="H50" s="61">
        <f t="shared" si="0"/>
        <v>44265</v>
      </c>
    </row>
    <row r="51" spans="3:8" ht="13.5" customHeight="1" x14ac:dyDescent="0.2">
      <c r="C51" s="12" t="s">
        <v>76</v>
      </c>
      <c r="D51" s="57" t="s">
        <v>184</v>
      </c>
      <c r="E51" s="60">
        <v>44265</v>
      </c>
      <c r="F51" s="58">
        <v>1000</v>
      </c>
      <c r="G51" s="12" t="s">
        <v>1689</v>
      </c>
      <c r="H51" s="61">
        <f t="shared" si="0"/>
        <v>44265</v>
      </c>
    </row>
    <row r="52" spans="3:8" ht="13.5" customHeight="1" x14ac:dyDescent="0.2">
      <c r="C52" s="12" t="s">
        <v>519</v>
      </c>
      <c r="D52" s="57" t="s">
        <v>556</v>
      </c>
      <c r="E52" s="60">
        <v>44265</v>
      </c>
      <c r="F52" s="58">
        <v>391.72</v>
      </c>
      <c r="G52" s="12" t="s">
        <v>1689</v>
      </c>
      <c r="H52" s="61">
        <f t="shared" si="0"/>
        <v>44265</v>
      </c>
    </row>
    <row r="53" spans="3:8" ht="13.5" customHeight="1" x14ac:dyDescent="0.2">
      <c r="C53" s="12" t="s">
        <v>56</v>
      </c>
      <c r="D53" s="57" t="s">
        <v>565</v>
      </c>
      <c r="E53" s="60">
        <v>44266</v>
      </c>
      <c r="F53" s="58">
        <f>2800+37.6</f>
        <v>2837.6</v>
      </c>
      <c r="G53" s="12" t="s">
        <v>1689</v>
      </c>
      <c r="H53" s="61">
        <f t="shared" si="0"/>
        <v>44266</v>
      </c>
    </row>
    <row r="54" spans="3:8" ht="13.5" customHeight="1" x14ac:dyDescent="0.2">
      <c r="C54" s="12" t="s">
        <v>83</v>
      </c>
      <c r="D54" s="57" t="s">
        <v>549</v>
      </c>
      <c r="E54" s="60">
        <v>44266</v>
      </c>
      <c r="F54" s="58">
        <v>2624</v>
      </c>
      <c r="G54" s="12" t="s">
        <v>1689</v>
      </c>
      <c r="H54" s="61">
        <f t="shared" si="0"/>
        <v>44266</v>
      </c>
    </row>
    <row r="55" spans="3:8" ht="13.5" customHeight="1" x14ac:dyDescent="0.2">
      <c r="C55" s="12" t="s">
        <v>83</v>
      </c>
      <c r="D55" s="57" t="s">
        <v>578</v>
      </c>
      <c r="E55" s="60">
        <v>44266</v>
      </c>
      <c r="F55" s="58">
        <v>334.2</v>
      </c>
      <c r="G55" s="12" t="s">
        <v>1689</v>
      </c>
      <c r="H55" s="61">
        <f t="shared" si="0"/>
        <v>44266</v>
      </c>
    </row>
    <row r="56" spans="3:8" ht="13.5" customHeight="1" x14ac:dyDescent="0.2">
      <c r="C56" s="12" t="s">
        <v>80</v>
      </c>
      <c r="D56" s="57" t="s">
        <v>579</v>
      </c>
      <c r="E56" s="60">
        <v>44266</v>
      </c>
      <c r="F56" s="58">
        <v>120</v>
      </c>
      <c r="G56" s="12" t="s">
        <v>1689</v>
      </c>
      <c r="H56" s="61">
        <f t="shared" si="0"/>
        <v>44266</v>
      </c>
    </row>
    <row r="57" spans="3:8" ht="13.5" customHeight="1" x14ac:dyDescent="0.2">
      <c r="C57" s="12" t="s">
        <v>80</v>
      </c>
      <c r="D57" s="57" t="s">
        <v>264</v>
      </c>
      <c r="E57" s="60">
        <v>44266</v>
      </c>
      <c r="F57" s="58">
        <v>150</v>
      </c>
      <c r="G57" s="12" t="s">
        <v>1689</v>
      </c>
      <c r="H57" s="61">
        <f t="shared" si="0"/>
        <v>44266</v>
      </c>
    </row>
    <row r="58" spans="3:8" ht="13.5" customHeight="1" x14ac:dyDescent="0.2">
      <c r="C58" s="12" t="s">
        <v>80</v>
      </c>
      <c r="D58" s="57" t="s">
        <v>583</v>
      </c>
      <c r="E58" s="60">
        <v>44266</v>
      </c>
      <c r="F58" s="58">
        <v>50</v>
      </c>
      <c r="G58" s="12" t="s">
        <v>1689</v>
      </c>
      <c r="H58" s="61">
        <f t="shared" si="0"/>
        <v>44266</v>
      </c>
    </row>
    <row r="59" spans="3:8" ht="13.5" customHeight="1" x14ac:dyDescent="0.2">
      <c r="C59" s="12" t="s">
        <v>88</v>
      </c>
      <c r="D59" s="57" t="s">
        <v>457</v>
      </c>
      <c r="E59" s="60">
        <v>44266</v>
      </c>
      <c r="F59" s="58">
        <v>747</v>
      </c>
      <c r="G59" s="12" t="s">
        <v>1689</v>
      </c>
      <c r="H59" s="61">
        <f t="shared" si="0"/>
        <v>44266</v>
      </c>
    </row>
    <row r="60" spans="3:8" ht="13.5" customHeight="1" x14ac:dyDescent="0.2">
      <c r="C60" s="12" t="s">
        <v>170</v>
      </c>
      <c r="D60" s="57" t="s">
        <v>580</v>
      </c>
      <c r="E60" s="60">
        <v>44266</v>
      </c>
      <c r="F60" s="58">
        <v>635.36</v>
      </c>
      <c r="G60" s="12" t="s">
        <v>1689</v>
      </c>
      <c r="H60" s="61">
        <f t="shared" si="0"/>
        <v>44266</v>
      </c>
    </row>
    <row r="61" spans="3:8" ht="13.5" customHeight="1" x14ac:dyDescent="0.2">
      <c r="C61" s="12" t="s">
        <v>519</v>
      </c>
      <c r="D61" s="57" t="s">
        <v>582</v>
      </c>
      <c r="E61" s="60">
        <v>44266</v>
      </c>
      <c r="F61" s="58">
        <v>7.05</v>
      </c>
      <c r="G61" s="12" t="s">
        <v>1689</v>
      </c>
      <c r="H61" s="61">
        <f t="shared" si="0"/>
        <v>44266</v>
      </c>
    </row>
    <row r="62" spans="3:8" ht="13.5" customHeight="1" x14ac:dyDescent="0.2">
      <c r="C62" s="12" t="s">
        <v>96</v>
      </c>
      <c r="D62" s="57" t="s">
        <v>295</v>
      </c>
      <c r="E62" s="60">
        <v>44266</v>
      </c>
      <c r="F62" s="58">
        <v>1971.74</v>
      </c>
      <c r="G62" s="12" t="s">
        <v>1689</v>
      </c>
      <c r="H62" s="61">
        <f t="shared" si="0"/>
        <v>44266</v>
      </c>
    </row>
    <row r="63" spans="3:8" ht="13.5" customHeight="1" x14ac:dyDescent="0.2">
      <c r="C63" s="12" t="s">
        <v>159</v>
      </c>
      <c r="D63" s="57" t="s">
        <v>214</v>
      </c>
      <c r="E63" s="60">
        <v>44266</v>
      </c>
      <c r="F63" s="58">
        <v>650.28</v>
      </c>
      <c r="G63" s="12" t="s">
        <v>1689</v>
      </c>
      <c r="H63" s="61">
        <f t="shared" si="0"/>
        <v>44266</v>
      </c>
    </row>
    <row r="64" spans="3:8" ht="13.5" customHeight="1" x14ac:dyDescent="0.2">
      <c r="C64" s="12" t="s">
        <v>164</v>
      </c>
      <c r="D64" s="57" t="s">
        <v>559</v>
      </c>
      <c r="E64" s="60">
        <v>44266</v>
      </c>
      <c r="F64" s="58">
        <v>400</v>
      </c>
      <c r="G64" s="12" t="s">
        <v>1689</v>
      </c>
      <c r="H64" s="61">
        <f t="shared" si="0"/>
        <v>44266</v>
      </c>
    </row>
    <row r="65" spans="3:8" ht="13.5" customHeight="1" x14ac:dyDescent="0.2">
      <c r="C65" s="12" t="s">
        <v>519</v>
      </c>
      <c r="D65" s="57" t="s">
        <v>537</v>
      </c>
      <c r="E65" s="60">
        <v>44266</v>
      </c>
      <c r="F65" s="58">
        <v>485.13</v>
      </c>
      <c r="G65" s="12" t="s">
        <v>1689</v>
      </c>
      <c r="H65" s="61">
        <f t="shared" si="0"/>
        <v>44266</v>
      </c>
    </row>
    <row r="66" spans="3:8" ht="13.5" customHeight="1" x14ac:dyDescent="0.2">
      <c r="C66" s="12" t="s">
        <v>159</v>
      </c>
      <c r="D66" s="57" t="s">
        <v>376</v>
      </c>
      <c r="E66" s="60">
        <v>44267</v>
      </c>
      <c r="F66" s="58">
        <v>340.53</v>
      </c>
      <c r="G66" s="12" t="s">
        <v>1689</v>
      </c>
      <c r="H66" s="61">
        <f t="shared" ref="H66:H129" si="1">VLOOKUP(E66,$E$2848:$H$2879,4,FALSE)</f>
        <v>44267</v>
      </c>
    </row>
    <row r="67" spans="3:8" ht="13.5" customHeight="1" x14ac:dyDescent="0.2">
      <c r="C67" s="12" t="s">
        <v>72</v>
      </c>
      <c r="D67" s="57" t="s">
        <v>1763</v>
      </c>
      <c r="E67" s="60">
        <v>44267</v>
      </c>
      <c r="F67" s="58">
        <v>2000</v>
      </c>
      <c r="G67" s="12" t="s">
        <v>1688</v>
      </c>
      <c r="H67" s="61">
        <f t="shared" si="1"/>
        <v>44267</v>
      </c>
    </row>
    <row r="68" spans="3:8" ht="13.5" customHeight="1" x14ac:dyDescent="0.2">
      <c r="C68" s="12" t="s">
        <v>72</v>
      </c>
      <c r="D68" s="57" t="s">
        <v>1707</v>
      </c>
      <c r="E68" s="60">
        <v>44267</v>
      </c>
      <c r="F68" s="58">
        <v>2500</v>
      </c>
      <c r="G68" s="12" t="s">
        <v>1688</v>
      </c>
      <c r="H68" s="61">
        <f t="shared" si="1"/>
        <v>44267</v>
      </c>
    </row>
    <row r="69" spans="3:8" ht="13.5" customHeight="1" x14ac:dyDescent="0.2">
      <c r="C69" s="12" t="s">
        <v>170</v>
      </c>
      <c r="D69" s="57" t="s">
        <v>560</v>
      </c>
      <c r="E69" s="60">
        <v>44267</v>
      </c>
      <c r="F69" s="58">
        <v>428.34</v>
      </c>
      <c r="G69" s="12" t="s">
        <v>1689</v>
      </c>
      <c r="H69" s="61">
        <f t="shared" si="1"/>
        <v>44267</v>
      </c>
    </row>
    <row r="70" spans="3:8" ht="13.5" customHeight="1" x14ac:dyDescent="0.2">
      <c r="C70" s="12" t="s">
        <v>149</v>
      </c>
      <c r="D70" s="57" t="s">
        <v>561</v>
      </c>
      <c r="E70" s="60">
        <v>44267</v>
      </c>
      <c r="F70" s="58">
        <v>195</v>
      </c>
      <c r="G70" s="12" t="s">
        <v>1676</v>
      </c>
      <c r="H70" s="61">
        <f t="shared" si="1"/>
        <v>44267</v>
      </c>
    </row>
    <row r="71" spans="3:8" ht="13.5" customHeight="1" x14ac:dyDescent="0.2">
      <c r="C71" s="12" t="s">
        <v>180</v>
      </c>
      <c r="D71" s="57" t="s">
        <v>136</v>
      </c>
      <c r="E71" s="60">
        <v>44267</v>
      </c>
      <c r="F71" s="58">
        <v>153.08000000000001</v>
      </c>
      <c r="G71" s="12" t="s">
        <v>1689</v>
      </c>
      <c r="H71" s="61">
        <f t="shared" si="1"/>
        <v>44267</v>
      </c>
    </row>
    <row r="72" spans="3:8" ht="13.5" customHeight="1" x14ac:dyDescent="0.2">
      <c r="C72" s="12" t="s">
        <v>519</v>
      </c>
      <c r="D72" s="57" t="s">
        <v>572</v>
      </c>
      <c r="E72" s="60">
        <v>44267</v>
      </c>
      <c r="F72" s="58">
        <v>7.22</v>
      </c>
      <c r="G72" s="12" t="s">
        <v>1689</v>
      </c>
      <c r="H72" s="61">
        <f t="shared" si="1"/>
        <v>44267</v>
      </c>
    </row>
    <row r="73" spans="3:8" ht="13.5" customHeight="1" x14ac:dyDescent="0.2">
      <c r="C73" s="12" t="s">
        <v>164</v>
      </c>
      <c r="D73" s="57" t="s">
        <v>398</v>
      </c>
      <c r="E73" s="60">
        <v>44267</v>
      </c>
      <c r="F73" s="58">
        <v>1562.5</v>
      </c>
      <c r="G73" s="12" t="s">
        <v>1689</v>
      </c>
      <c r="H73" s="61">
        <f t="shared" si="1"/>
        <v>44267</v>
      </c>
    </row>
    <row r="74" spans="3:8" ht="13.5" customHeight="1" x14ac:dyDescent="0.2">
      <c r="C74" s="12" t="s">
        <v>80</v>
      </c>
      <c r="D74" s="57" t="s">
        <v>1712</v>
      </c>
      <c r="E74" s="60">
        <v>44268</v>
      </c>
      <c r="F74" s="58">
        <v>200</v>
      </c>
      <c r="G74" s="12" t="s">
        <v>1688</v>
      </c>
      <c r="H74" s="61">
        <f t="shared" si="1"/>
        <v>44270</v>
      </c>
    </row>
    <row r="75" spans="3:8" ht="13.5" customHeight="1" x14ac:dyDescent="0.2">
      <c r="C75" s="12" t="s">
        <v>89</v>
      </c>
      <c r="D75" s="57" t="s">
        <v>552</v>
      </c>
      <c r="E75" s="60">
        <v>44269</v>
      </c>
      <c r="F75" s="58">
        <v>880.59</v>
      </c>
      <c r="G75" s="12" t="s">
        <v>1689</v>
      </c>
      <c r="H75" s="61">
        <f t="shared" si="1"/>
        <v>44270</v>
      </c>
    </row>
    <row r="76" spans="3:8" ht="13.5" customHeight="1" x14ac:dyDescent="0.2">
      <c r="C76" s="12" t="s">
        <v>170</v>
      </c>
      <c r="D76" s="57" t="s">
        <v>512</v>
      </c>
      <c r="E76" s="60">
        <v>44270</v>
      </c>
      <c r="F76" s="58">
        <v>892.5</v>
      </c>
      <c r="G76" s="12" t="s">
        <v>1676</v>
      </c>
      <c r="H76" s="61">
        <f t="shared" si="1"/>
        <v>44270</v>
      </c>
    </row>
    <row r="77" spans="3:8" ht="13.5" customHeight="1" x14ac:dyDescent="0.2">
      <c r="C77" s="12" t="s">
        <v>80</v>
      </c>
      <c r="D77" s="57" t="s">
        <v>593</v>
      </c>
      <c r="E77" s="60">
        <v>44270</v>
      </c>
      <c r="F77" s="58">
        <v>50</v>
      </c>
      <c r="G77" s="12" t="s">
        <v>1689</v>
      </c>
      <c r="H77" s="61">
        <f t="shared" si="1"/>
        <v>44270</v>
      </c>
    </row>
    <row r="78" spans="3:8" ht="13.5" customHeight="1" x14ac:dyDescent="0.2">
      <c r="C78" s="12" t="s">
        <v>171</v>
      </c>
      <c r="D78" s="57" t="s">
        <v>172</v>
      </c>
      <c r="E78" s="60">
        <v>44270</v>
      </c>
      <c r="F78" s="58">
        <v>88.86</v>
      </c>
      <c r="G78" s="12" t="s">
        <v>1676</v>
      </c>
      <c r="H78" s="61">
        <f t="shared" si="1"/>
        <v>44270</v>
      </c>
    </row>
    <row r="79" spans="3:8" ht="13.5" customHeight="1" x14ac:dyDescent="0.2">
      <c r="C79" s="12" t="s">
        <v>135</v>
      </c>
      <c r="D79" s="57" t="s">
        <v>591</v>
      </c>
      <c r="E79" s="60">
        <v>44270</v>
      </c>
      <c r="F79" s="58">
        <v>393.3</v>
      </c>
      <c r="G79" s="12" t="s">
        <v>1689</v>
      </c>
      <c r="H79" s="61">
        <f t="shared" si="1"/>
        <v>44270</v>
      </c>
    </row>
    <row r="80" spans="3:8" ht="13.5" customHeight="1" x14ac:dyDescent="0.2">
      <c r="C80" s="12" t="s">
        <v>519</v>
      </c>
      <c r="D80" s="57" t="s">
        <v>574</v>
      </c>
      <c r="E80" s="60">
        <v>44270</v>
      </c>
      <c r="F80" s="58">
        <v>86.29</v>
      </c>
      <c r="G80" s="12" t="s">
        <v>1689</v>
      </c>
      <c r="H80" s="61">
        <f t="shared" si="1"/>
        <v>44270</v>
      </c>
    </row>
    <row r="81" spans="3:8" ht="13.5" customHeight="1" x14ac:dyDescent="0.2">
      <c r="C81" s="12" t="s">
        <v>89</v>
      </c>
      <c r="D81" s="57" t="s">
        <v>548</v>
      </c>
      <c r="E81" s="60">
        <v>44270</v>
      </c>
      <c r="F81" s="58">
        <v>80.25</v>
      </c>
      <c r="G81" s="12" t="s">
        <v>1676</v>
      </c>
      <c r="H81" s="61">
        <f t="shared" si="1"/>
        <v>44270</v>
      </c>
    </row>
    <row r="82" spans="3:8" ht="13.5" customHeight="1" x14ac:dyDescent="0.2">
      <c r="C82" s="12" t="s">
        <v>243</v>
      </c>
      <c r="D82" s="57" t="s">
        <v>458</v>
      </c>
      <c r="E82" s="60">
        <v>44270</v>
      </c>
      <c r="F82" s="58">
        <v>1500</v>
      </c>
      <c r="G82" s="12" t="s">
        <v>1688</v>
      </c>
      <c r="H82" s="61">
        <f t="shared" si="1"/>
        <v>44270</v>
      </c>
    </row>
    <row r="83" spans="3:8" ht="13.5" customHeight="1" x14ac:dyDescent="0.2">
      <c r="C83" s="12" t="s">
        <v>97</v>
      </c>
      <c r="D83" s="57" t="s">
        <v>109</v>
      </c>
      <c r="E83" s="60">
        <v>44270</v>
      </c>
      <c r="F83" s="58">
        <v>14028.3</v>
      </c>
      <c r="G83" s="12" t="s">
        <v>1676</v>
      </c>
      <c r="H83" s="61">
        <f t="shared" si="1"/>
        <v>44270</v>
      </c>
    </row>
    <row r="84" spans="3:8" ht="13.5" customHeight="1" x14ac:dyDescent="0.2">
      <c r="C84" s="12" t="s">
        <v>86</v>
      </c>
      <c r="D84" s="57" t="s">
        <v>85</v>
      </c>
      <c r="E84" s="60">
        <v>44270</v>
      </c>
      <c r="F84" s="16">
        <v>84</v>
      </c>
      <c r="G84" s="12" t="s">
        <v>1689</v>
      </c>
      <c r="H84" s="61">
        <f t="shared" si="1"/>
        <v>44270</v>
      </c>
    </row>
    <row r="85" spans="3:8" ht="13.5" customHeight="1" x14ac:dyDescent="0.2">
      <c r="C85" s="12" t="s">
        <v>117</v>
      </c>
      <c r="D85" s="57" t="s">
        <v>440</v>
      </c>
      <c r="E85" s="60">
        <v>44270</v>
      </c>
      <c r="F85" s="58">
        <v>566.66</v>
      </c>
      <c r="G85" s="12" t="s">
        <v>1676</v>
      </c>
      <c r="H85" s="61">
        <f t="shared" si="1"/>
        <v>44270</v>
      </c>
    </row>
    <row r="86" spans="3:8" ht="13.5" customHeight="1" x14ac:dyDescent="0.2">
      <c r="C86" s="12" t="s">
        <v>180</v>
      </c>
      <c r="D86" s="57" t="s">
        <v>528</v>
      </c>
      <c r="E86" s="60">
        <v>44270</v>
      </c>
      <c r="F86" s="58">
        <v>3153.72</v>
      </c>
      <c r="G86" s="12" t="s">
        <v>1676</v>
      </c>
      <c r="H86" s="61">
        <f t="shared" si="1"/>
        <v>44270</v>
      </c>
    </row>
    <row r="87" spans="3:8" ht="13.5" customHeight="1" x14ac:dyDescent="0.2">
      <c r="C87" s="12" t="s">
        <v>86</v>
      </c>
      <c r="D87" s="57" t="s">
        <v>428</v>
      </c>
      <c r="E87" s="60">
        <v>44270</v>
      </c>
      <c r="F87" s="58">
        <v>2409.71</v>
      </c>
      <c r="G87" s="12" t="s">
        <v>1689</v>
      </c>
      <c r="H87" s="61">
        <f t="shared" si="1"/>
        <v>44270</v>
      </c>
    </row>
    <row r="88" spans="3:8" ht="13.5" customHeight="1" x14ac:dyDescent="0.2">
      <c r="C88" s="12" t="s">
        <v>96</v>
      </c>
      <c r="D88" s="57" t="s">
        <v>155</v>
      </c>
      <c r="E88" s="60">
        <v>44270</v>
      </c>
      <c r="F88" s="58">
        <v>2200</v>
      </c>
      <c r="G88" s="12" t="s">
        <v>1689</v>
      </c>
      <c r="H88" s="61">
        <f t="shared" si="1"/>
        <v>44270</v>
      </c>
    </row>
    <row r="89" spans="3:8" ht="13.5" customHeight="1" x14ac:dyDescent="0.2">
      <c r="C89" s="12" t="s">
        <v>72</v>
      </c>
      <c r="D89" s="57" t="s">
        <v>65</v>
      </c>
      <c r="E89" s="60">
        <v>44270</v>
      </c>
      <c r="F89" s="58">
        <v>3000</v>
      </c>
      <c r="G89" s="12" t="s">
        <v>1688</v>
      </c>
      <c r="H89" s="61">
        <f t="shared" si="1"/>
        <v>44270</v>
      </c>
    </row>
    <row r="90" spans="3:8" ht="13.5" customHeight="1" x14ac:dyDescent="0.2">
      <c r="C90" s="12" t="s">
        <v>83</v>
      </c>
      <c r="D90" s="57" t="s">
        <v>577</v>
      </c>
      <c r="E90" s="60">
        <v>44270</v>
      </c>
      <c r="F90" s="58">
        <v>485.05</v>
      </c>
      <c r="G90" s="12" t="s">
        <v>1689</v>
      </c>
      <c r="H90" s="61">
        <f t="shared" si="1"/>
        <v>44270</v>
      </c>
    </row>
    <row r="91" spans="3:8" ht="13.5" customHeight="1" x14ac:dyDescent="0.2">
      <c r="C91" s="12" t="s">
        <v>89</v>
      </c>
      <c r="D91" s="57" t="s">
        <v>90</v>
      </c>
      <c r="E91" s="60">
        <v>44270</v>
      </c>
      <c r="F91" s="58">
        <v>3594.05</v>
      </c>
      <c r="G91" s="12" t="s">
        <v>64</v>
      </c>
      <c r="H91" s="61">
        <f t="shared" si="1"/>
        <v>44270</v>
      </c>
    </row>
    <row r="92" spans="3:8" ht="13.5" customHeight="1" x14ac:dyDescent="0.2">
      <c r="C92" s="12" t="s">
        <v>164</v>
      </c>
      <c r="D92" s="57" t="s">
        <v>595</v>
      </c>
      <c r="E92" s="60">
        <v>44270</v>
      </c>
      <c r="F92" s="58">
        <v>70</v>
      </c>
      <c r="G92" s="12" t="s">
        <v>1676</v>
      </c>
      <c r="H92" s="61">
        <f t="shared" si="1"/>
        <v>44270</v>
      </c>
    </row>
    <row r="93" spans="3:8" ht="13.5" customHeight="1" x14ac:dyDescent="0.2">
      <c r="C93" s="12" t="s">
        <v>519</v>
      </c>
      <c r="D93" s="57" t="s">
        <v>581</v>
      </c>
      <c r="E93" s="60">
        <v>44270</v>
      </c>
      <c r="F93" s="58">
        <v>220.9</v>
      </c>
      <c r="G93" s="12" t="s">
        <v>1689</v>
      </c>
      <c r="H93" s="61">
        <f t="shared" si="1"/>
        <v>44270</v>
      </c>
    </row>
    <row r="94" spans="3:8" ht="13.5" customHeight="1" x14ac:dyDescent="0.2">
      <c r="C94" s="12" t="s">
        <v>519</v>
      </c>
      <c r="D94" s="57" t="s">
        <v>571</v>
      </c>
      <c r="E94" s="60">
        <v>44270</v>
      </c>
      <c r="F94" s="58">
        <v>263.75</v>
      </c>
      <c r="G94" s="12" t="s">
        <v>1689</v>
      </c>
      <c r="H94" s="61">
        <f t="shared" si="1"/>
        <v>44270</v>
      </c>
    </row>
    <row r="95" spans="3:8" ht="13.5" customHeight="1" x14ac:dyDescent="0.2">
      <c r="C95" s="12" t="s">
        <v>56</v>
      </c>
      <c r="D95" s="57" t="s">
        <v>607</v>
      </c>
      <c r="E95" s="60">
        <v>44271</v>
      </c>
      <c r="F95" s="58">
        <v>500</v>
      </c>
      <c r="G95" s="12" t="s">
        <v>1689</v>
      </c>
      <c r="H95" s="61">
        <f t="shared" si="1"/>
        <v>44271</v>
      </c>
    </row>
    <row r="96" spans="3:8" ht="13.5" customHeight="1" x14ac:dyDescent="0.2">
      <c r="C96" s="12" t="s">
        <v>159</v>
      </c>
      <c r="D96" s="57" t="s">
        <v>601</v>
      </c>
      <c r="E96" s="60">
        <v>44271</v>
      </c>
      <c r="F96" s="58">
        <v>925.8</v>
      </c>
      <c r="G96" s="12" t="s">
        <v>1689</v>
      </c>
      <c r="H96" s="61">
        <f t="shared" si="1"/>
        <v>44271</v>
      </c>
    </row>
    <row r="97" spans="3:8" ht="13.5" customHeight="1" x14ac:dyDescent="0.2">
      <c r="C97" s="12" t="s">
        <v>117</v>
      </c>
      <c r="D97" s="57" t="s">
        <v>604</v>
      </c>
      <c r="E97" s="60">
        <v>44271</v>
      </c>
      <c r="F97" s="58">
        <v>439.6</v>
      </c>
      <c r="G97" s="12" t="s">
        <v>1676</v>
      </c>
      <c r="H97" s="61">
        <f t="shared" si="1"/>
        <v>44271</v>
      </c>
    </row>
    <row r="98" spans="3:8" ht="13.5" customHeight="1" x14ac:dyDescent="0.2">
      <c r="C98" s="12" t="s">
        <v>159</v>
      </c>
      <c r="D98" s="57" t="s">
        <v>586</v>
      </c>
      <c r="E98" s="60">
        <v>44271</v>
      </c>
      <c r="F98" s="58">
        <v>675</v>
      </c>
      <c r="G98" s="12" t="s">
        <v>1689</v>
      </c>
      <c r="H98" s="61">
        <f t="shared" si="1"/>
        <v>44271</v>
      </c>
    </row>
    <row r="99" spans="3:8" ht="13.5" customHeight="1" x14ac:dyDescent="0.2">
      <c r="C99" s="12" t="s">
        <v>159</v>
      </c>
      <c r="D99" s="57" t="s">
        <v>508</v>
      </c>
      <c r="E99" s="60">
        <v>44272</v>
      </c>
      <c r="F99" s="58">
        <v>558.20000000000005</v>
      </c>
      <c r="G99" s="12" t="s">
        <v>1689</v>
      </c>
      <c r="H99" s="61">
        <f t="shared" si="1"/>
        <v>44272</v>
      </c>
    </row>
    <row r="100" spans="3:8" ht="13.5" customHeight="1" x14ac:dyDescent="0.2">
      <c r="C100" s="12" t="s">
        <v>135</v>
      </c>
      <c r="D100" s="57" t="s">
        <v>575</v>
      </c>
      <c r="E100" s="60">
        <v>44272</v>
      </c>
      <c r="F100" s="58">
        <v>369</v>
      </c>
      <c r="G100" s="12" t="s">
        <v>1689</v>
      </c>
      <c r="H100" s="61">
        <f t="shared" si="1"/>
        <v>44272</v>
      </c>
    </row>
    <row r="101" spans="3:8" ht="13.5" customHeight="1" x14ac:dyDescent="0.2">
      <c r="C101" s="12" t="s">
        <v>56</v>
      </c>
      <c r="D101" s="57" t="s">
        <v>566</v>
      </c>
      <c r="E101" s="60">
        <v>44272</v>
      </c>
      <c r="F101" s="58">
        <f>16293+6077</f>
        <v>22370</v>
      </c>
      <c r="G101" s="12" t="s">
        <v>1689</v>
      </c>
      <c r="H101" s="61">
        <f t="shared" si="1"/>
        <v>44272</v>
      </c>
    </row>
    <row r="102" spans="3:8" ht="13.5" customHeight="1" x14ac:dyDescent="0.2">
      <c r="C102" s="12" t="s">
        <v>72</v>
      </c>
      <c r="D102" s="57" t="s">
        <v>1772</v>
      </c>
      <c r="E102" s="60">
        <v>44272</v>
      </c>
      <c r="F102" s="58">
        <v>1000</v>
      </c>
      <c r="G102" s="12" t="s">
        <v>1689</v>
      </c>
      <c r="H102" s="61">
        <f t="shared" si="1"/>
        <v>44272</v>
      </c>
    </row>
    <row r="103" spans="3:8" ht="13.5" customHeight="1" x14ac:dyDescent="0.2">
      <c r="C103" s="12" t="s">
        <v>88</v>
      </c>
      <c r="D103" s="57" t="s">
        <v>587</v>
      </c>
      <c r="E103" s="60">
        <v>44272</v>
      </c>
      <c r="F103" s="58">
        <v>3651</v>
      </c>
      <c r="G103" s="12" t="s">
        <v>1689</v>
      </c>
      <c r="H103" s="61">
        <f t="shared" si="1"/>
        <v>44272</v>
      </c>
    </row>
    <row r="104" spans="3:8" ht="13.5" customHeight="1" x14ac:dyDescent="0.2">
      <c r="C104" s="12" t="s">
        <v>76</v>
      </c>
      <c r="D104" s="57" t="s">
        <v>567</v>
      </c>
      <c r="E104" s="60">
        <v>44272</v>
      </c>
      <c r="F104" s="58">
        <v>1840.72</v>
      </c>
      <c r="G104" s="12" t="s">
        <v>1689</v>
      </c>
      <c r="H104" s="61">
        <f t="shared" si="1"/>
        <v>44272</v>
      </c>
    </row>
    <row r="105" spans="3:8" ht="13.5" customHeight="1" x14ac:dyDescent="0.2">
      <c r="C105" s="12" t="s">
        <v>84</v>
      </c>
      <c r="D105" s="57" t="s">
        <v>617</v>
      </c>
      <c r="E105" s="60">
        <v>44272</v>
      </c>
      <c r="F105" s="58">
        <v>3572</v>
      </c>
      <c r="G105" s="12" t="s">
        <v>1689</v>
      </c>
      <c r="H105" s="61">
        <f t="shared" si="1"/>
        <v>44272</v>
      </c>
    </row>
    <row r="106" spans="3:8" ht="13.5" customHeight="1" x14ac:dyDescent="0.2">
      <c r="C106" s="12" t="s">
        <v>72</v>
      </c>
      <c r="D106" s="57" t="s">
        <v>1707</v>
      </c>
      <c r="E106" s="60">
        <v>44272</v>
      </c>
      <c r="F106" s="58">
        <v>1500</v>
      </c>
      <c r="G106" s="12" t="s">
        <v>1689</v>
      </c>
      <c r="H106" s="61">
        <f t="shared" si="1"/>
        <v>44272</v>
      </c>
    </row>
    <row r="107" spans="3:8" ht="13.5" customHeight="1" x14ac:dyDescent="0.2">
      <c r="C107" s="12" t="s">
        <v>86</v>
      </c>
      <c r="D107" s="57" t="s">
        <v>592</v>
      </c>
      <c r="E107" s="60">
        <v>44272</v>
      </c>
      <c r="F107" s="58">
        <v>1277.6300000000001</v>
      </c>
      <c r="G107" s="12" t="s">
        <v>68</v>
      </c>
      <c r="H107" s="61">
        <f t="shared" si="1"/>
        <v>44272</v>
      </c>
    </row>
    <row r="108" spans="3:8" ht="13.5" customHeight="1" x14ac:dyDescent="0.2">
      <c r="C108" s="12" t="s">
        <v>83</v>
      </c>
      <c r="D108" s="57" t="s">
        <v>549</v>
      </c>
      <c r="E108" s="60">
        <v>44272</v>
      </c>
      <c r="F108" s="58">
        <v>2624</v>
      </c>
      <c r="G108" s="12" t="s">
        <v>1689</v>
      </c>
      <c r="H108" s="61">
        <f t="shared" si="1"/>
        <v>44272</v>
      </c>
    </row>
    <row r="109" spans="3:8" ht="13.5" customHeight="1" x14ac:dyDescent="0.2">
      <c r="C109" s="12" t="s">
        <v>164</v>
      </c>
      <c r="D109" s="57" t="s">
        <v>632</v>
      </c>
      <c r="E109" s="60">
        <v>44272</v>
      </c>
      <c r="F109" s="58">
        <v>24.3</v>
      </c>
      <c r="G109" s="12" t="s">
        <v>1689</v>
      </c>
      <c r="H109" s="61">
        <f t="shared" si="1"/>
        <v>44272</v>
      </c>
    </row>
    <row r="110" spans="3:8" ht="13.5" customHeight="1" x14ac:dyDescent="0.2">
      <c r="C110" s="12" t="s">
        <v>56</v>
      </c>
      <c r="D110" s="57" t="s">
        <v>621</v>
      </c>
      <c r="E110" s="60">
        <v>44273</v>
      </c>
      <c r="F110" s="58">
        <v>10000</v>
      </c>
      <c r="G110" s="12" t="s">
        <v>1689</v>
      </c>
      <c r="H110" s="61">
        <f t="shared" si="1"/>
        <v>44273</v>
      </c>
    </row>
    <row r="111" spans="3:8" ht="13.5" customHeight="1" x14ac:dyDescent="0.2">
      <c r="C111" s="12" t="s">
        <v>170</v>
      </c>
      <c r="D111" s="57" t="s">
        <v>624</v>
      </c>
      <c r="E111" s="60">
        <v>44273</v>
      </c>
      <c r="F111" s="58">
        <v>10914.68</v>
      </c>
      <c r="G111" s="12" t="s">
        <v>1676</v>
      </c>
      <c r="H111" s="61">
        <f t="shared" si="1"/>
        <v>44273</v>
      </c>
    </row>
    <row r="112" spans="3:8" ht="13.5" customHeight="1" x14ac:dyDescent="0.2">
      <c r="C112" s="12" t="s">
        <v>164</v>
      </c>
      <c r="D112" s="57" t="s">
        <v>626</v>
      </c>
      <c r="E112" s="60">
        <v>44273</v>
      </c>
      <c r="F112" s="58">
        <v>2000</v>
      </c>
      <c r="G112" s="12" t="s">
        <v>1676</v>
      </c>
      <c r="H112" s="61">
        <f t="shared" si="1"/>
        <v>44273</v>
      </c>
    </row>
    <row r="113" spans="3:8" ht="13.5" customHeight="1" x14ac:dyDescent="0.2">
      <c r="C113" s="12" t="s">
        <v>77</v>
      </c>
      <c r="D113" s="57" t="s">
        <v>522</v>
      </c>
      <c r="E113" s="60">
        <v>44273</v>
      </c>
      <c r="F113" s="58">
        <v>388.19</v>
      </c>
      <c r="G113" s="12" t="s">
        <v>64</v>
      </c>
      <c r="H113" s="61">
        <f t="shared" si="1"/>
        <v>44273</v>
      </c>
    </row>
    <row r="114" spans="3:8" ht="13.5" customHeight="1" x14ac:dyDescent="0.2">
      <c r="C114" s="12" t="s">
        <v>164</v>
      </c>
      <c r="D114" s="57" t="s">
        <v>631</v>
      </c>
      <c r="E114" s="60">
        <v>44273</v>
      </c>
      <c r="F114" s="58">
        <v>72.959999999999994</v>
      </c>
      <c r="G114" s="12" t="s">
        <v>1676</v>
      </c>
      <c r="H114" s="61">
        <f t="shared" si="1"/>
        <v>44273</v>
      </c>
    </row>
    <row r="115" spans="3:8" ht="13.5" customHeight="1" x14ac:dyDescent="0.2">
      <c r="C115" s="12" t="s">
        <v>149</v>
      </c>
      <c r="D115" s="57" t="s">
        <v>614</v>
      </c>
      <c r="E115" s="60">
        <v>44273</v>
      </c>
      <c r="F115" s="58">
        <f>339.83+339.33</f>
        <v>679.16</v>
      </c>
      <c r="G115" s="12" t="s">
        <v>1676</v>
      </c>
      <c r="H115" s="61">
        <f t="shared" si="1"/>
        <v>44273</v>
      </c>
    </row>
    <row r="116" spans="3:8" ht="13.5" customHeight="1" x14ac:dyDescent="0.2">
      <c r="C116" s="12" t="s">
        <v>164</v>
      </c>
      <c r="D116" s="57" t="s">
        <v>625</v>
      </c>
      <c r="E116" s="60">
        <v>44273</v>
      </c>
      <c r="F116" s="58">
        <v>82</v>
      </c>
      <c r="G116" s="12" t="s">
        <v>1676</v>
      </c>
      <c r="H116" s="61">
        <f t="shared" si="1"/>
        <v>44273</v>
      </c>
    </row>
    <row r="117" spans="3:8" ht="13.5" customHeight="1" x14ac:dyDescent="0.2">
      <c r="C117" s="12" t="s">
        <v>170</v>
      </c>
      <c r="D117" s="57" t="s">
        <v>514</v>
      </c>
      <c r="E117" s="60">
        <v>44273</v>
      </c>
      <c r="F117" s="58">
        <v>82</v>
      </c>
      <c r="G117" s="12" t="s">
        <v>1689</v>
      </c>
      <c r="H117" s="61">
        <f t="shared" si="1"/>
        <v>44273</v>
      </c>
    </row>
    <row r="118" spans="3:8" ht="13.5" customHeight="1" x14ac:dyDescent="0.2">
      <c r="C118" s="12" t="s">
        <v>187</v>
      </c>
      <c r="D118" s="57" t="s">
        <v>205</v>
      </c>
      <c r="E118" s="60">
        <v>44273</v>
      </c>
      <c r="F118" s="58">
        <v>26</v>
      </c>
      <c r="G118" s="12" t="s">
        <v>1689</v>
      </c>
      <c r="H118" s="61">
        <f t="shared" si="1"/>
        <v>44273</v>
      </c>
    </row>
    <row r="119" spans="3:8" ht="13.5" customHeight="1" x14ac:dyDescent="0.2">
      <c r="C119" s="12" t="s">
        <v>170</v>
      </c>
      <c r="D119" s="57" t="s">
        <v>635</v>
      </c>
      <c r="E119" s="60">
        <v>44273</v>
      </c>
      <c r="F119" s="58">
        <v>20</v>
      </c>
      <c r="G119" s="12" t="s">
        <v>1689</v>
      </c>
      <c r="H119" s="61">
        <f t="shared" si="1"/>
        <v>44273</v>
      </c>
    </row>
    <row r="120" spans="3:8" ht="13.5" customHeight="1" x14ac:dyDescent="0.2">
      <c r="C120" s="12" t="s">
        <v>159</v>
      </c>
      <c r="D120" s="57" t="s">
        <v>521</v>
      </c>
      <c r="E120" s="60">
        <v>44273</v>
      </c>
      <c r="F120" s="58">
        <v>1826.9</v>
      </c>
      <c r="G120" s="12" t="s">
        <v>1689</v>
      </c>
      <c r="H120" s="61">
        <f t="shared" si="1"/>
        <v>44273</v>
      </c>
    </row>
    <row r="121" spans="3:8" ht="13.5" customHeight="1" x14ac:dyDescent="0.2">
      <c r="C121" s="12" t="s">
        <v>80</v>
      </c>
      <c r="D121" s="57" t="s">
        <v>630</v>
      </c>
      <c r="E121" s="60">
        <v>44274</v>
      </c>
      <c r="F121" s="58">
        <v>100</v>
      </c>
      <c r="G121" s="12" t="s">
        <v>1689</v>
      </c>
      <c r="H121" s="61">
        <f t="shared" si="1"/>
        <v>44274</v>
      </c>
    </row>
    <row r="122" spans="3:8" ht="13.5" customHeight="1" x14ac:dyDescent="0.2">
      <c r="C122" s="12" t="s">
        <v>83</v>
      </c>
      <c r="D122" s="57" t="s">
        <v>578</v>
      </c>
      <c r="E122" s="60">
        <v>44274</v>
      </c>
      <c r="F122" s="58">
        <v>350</v>
      </c>
      <c r="G122" s="12" t="s">
        <v>1689</v>
      </c>
      <c r="H122" s="61">
        <f t="shared" si="1"/>
        <v>44274</v>
      </c>
    </row>
    <row r="123" spans="3:8" ht="13.5" customHeight="1" x14ac:dyDescent="0.2">
      <c r="C123" s="12" t="s">
        <v>80</v>
      </c>
      <c r="D123" s="57" t="s">
        <v>1719</v>
      </c>
      <c r="E123" s="60">
        <v>44274</v>
      </c>
      <c r="F123" s="58">
        <v>100</v>
      </c>
      <c r="G123" s="12" t="s">
        <v>1688</v>
      </c>
      <c r="H123" s="61">
        <f t="shared" si="1"/>
        <v>44274</v>
      </c>
    </row>
    <row r="124" spans="3:8" ht="13.5" customHeight="1" x14ac:dyDescent="0.2">
      <c r="C124" s="12" t="s">
        <v>80</v>
      </c>
      <c r="D124" s="57" t="s">
        <v>637</v>
      </c>
      <c r="E124" s="60">
        <v>44274</v>
      </c>
      <c r="F124" s="58">
        <v>150</v>
      </c>
      <c r="G124" s="12" t="s">
        <v>1688</v>
      </c>
      <c r="H124" s="61">
        <f t="shared" si="1"/>
        <v>44274</v>
      </c>
    </row>
    <row r="125" spans="3:8" ht="13.5" customHeight="1" x14ac:dyDescent="0.2">
      <c r="C125" s="12" t="s">
        <v>75</v>
      </c>
      <c r="D125" s="57" t="s">
        <v>103</v>
      </c>
      <c r="E125" s="60">
        <v>44274</v>
      </c>
      <c r="F125" s="58">
        <v>1750</v>
      </c>
      <c r="G125" s="12" t="s">
        <v>1676</v>
      </c>
      <c r="H125" s="61">
        <f t="shared" si="1"/>
        <v>44274</v>
      </c>
    </row>
    <row r="126" spans="3:8" ht="13.5" customHeight="1" x14ac:dyDescent="0.2">
      <c r="C126" s="12" t="s">
        <v>170</v>
      </c>
      <c r="D126" s="57" t="s">
        <v>638</v>
      </c>
      <c r="E126" s="60">
        <v>44274</v>
      </c>
      <c r="F126" s="58">
        <v>11675.16</v>
      </c>
      <c r="G126" s="12" t="s">
        <v>1676</v>
      </c>
      <c r="H126" s="61">
        <f t="shared" si="1"/>
        <v>44274</v>
      </c>
    </row>
    <row r="127" spans="3:8" ht="13.5" customHeight="1" x14ac:dyDescent="0.2">
      <c r="C127" s="12" t="s">
        <v>96</v>
      </c>
      <c r="D127" s="57" t="s">
        <v>588</v>
      </c>
      <c r="E127" s="60">
        <v>44274</v>
      </c>
      <c r="F127" s="58">
        <v>1571.61</v>
      </c>
      <c r="G127" s="12" t="s">
        <v>1689</v>
      </c>
      <c r="H127" s="61">
        <f t="shared" si="1"/>
        <v>44274</v>
      </c>
    </row>
    <row r="128" spans="3:8" ht="13.5" customHeight="1" x14ac:dyDescent="0.2">
      <c r="C128" s="12" t="s">
        <v>84</v>
      </c>
      <c r="D128" s="57" t="s">
        <v>600</v>
      </c>
      <c r="E128" s="60">
        <v>44274</v>
      </c>
      <c r="F128" s="58">
        <v>4700</v>
      </c>
      <c r="G128" s="12" t="s">
        <v>1689</v>
      </c>
      <c r="H128" s="61">
        <f t="shared" si="1"/>
        <v>44274</v>
      </c>
    </row>
    <row r="129" spans="3:8" ht="13.5" customHeight="1" x14ac:dyDescent="0.2">
      <c r="C129" s="12" t="s">
        <v>88</v>
      </c>
      <c r="D129" s="57" t="s">
        <v>602</v>
      </c>
      <c r="E129" s="60">
        <v>44274</v>
      </c>
      <c r="F129" s="58">
        <v>1521.5</v>
      </c>
      <c r="G129" s="12" t="s">
        <v>1689</v>
      </c>
      <c r="H129" s="61">
        <f t="shared" si="1"/>
        <v>44274</v>
      </c>
    </row>
    <row r="130" spans="3:8" ht="13.5" customHeight="1" x14ac:dyDescent="0.2">
      <c r="C130" s="12" t="s">
        <v>76</v>
      </c>
      <c r="D130" s="57" t="s">
        <v>603</v>
      </c>
      <c r="E130" s="60">
        <v>44274</v>
      </c>
      <c r="F130" s="58">
        <v>3512</v>
      </c>
      <c r="G130" s="12" t="s">
        <v>1676</v>
      </c>
      <c r="H130" s="61">
        <f t="shared" ref="H130:H193" si="2">VLOOKUP(E130,$E$2848:$H$2879,4,FALSE)</f>
        <v>44274</v>
      </c>
    </row>
    <row r="131" spans="3:8" ht="13.5" customHeight="1" x14ac:dyDescent="0.2">
      <c r="C131" s="12" t="s">
        <v>187</v>
      </c>
      <c r="D131" s="57" t="s">
        <v>605</v>
      </c>
      <c r="E131" s="60">
        <v>44274</v>
      </c>
      <c r="F131" s="58">
        <v>153</v>
      </c>
      <c r="G131" s="12" t="s">
        <v>1676</v>
      </c>
      <c r="H131" s="61">
        <f t="shared" si="2"/>
        <v>44274</v>
      </c>
    </row>
    <row r="132" spans="3:8" ht="13.5" customHeight="1" x14ac:dyDescent="0.2">
      <c r="C132" s="12" t="s">
        <v>229</v>
      </c>
      <c r="D132" s="57" t="s">
        <v>606</v>
      </c>
      <c r="E132" s="60">
        <v>44274</v>
      </c>
      <c r="F132" s="58">
        <v>491.47</v>
      </c>
      <c r="G132" s="12" t="s">
        <v>1676</v>
      </c>
      <c r="H132" s="61">
        <f t="shared" si="2"/>
        <v>44274</v>
      </c>
    </row>
    <row r="133" spans="3:8" ht="13.5" customHeight="1" x14ac:dyDescent="0.2">
      <c r="C133" s="12" t="s">
        <v>76</v>
      </c>
      <c r="D133" s="57" t="s">
        <v>619</v>
      </c>
      <c r="E133" s="60">
        <v>44274</v>
      </c>
      <c r="F133" s="58">
        <v>2164.48</v>
      </c>
      <c r="G133" s="12" t="s">
        <v>1689</v>
      </c>
      <c r="H133" s="61">
        <f t="shared" si="2"/>
        <v>44274</v>
      </c>
    </row>
    <row r="134" spans="3:8" ht="13.5" customHeight="1" x14ac:dyDescent="0.2">
      <c r="C134" s="12" t="s">
        <v>229</v>
      </c>
      <c r="D134" s="57" t="s">
        <v>389</v>
      </c>
      <c r="E134" s="60">
        <v>44274</v>
      </c>
      <c r="F134" s="58">
        <v>110</v>
      </c>
      <c r="G134" s="12" t="s">
        <v>1676</v>
      </c>
      <c r="H134" s="61">
        <f t="shared" si="2"/>
        <v>44274</v>
      </c>
    </row>
    <row r="135" spans="3:8" ht="13.5" customHeight="1" x14ac:dyDescent="0.2">
      <c r="C135" s="12" t="s">
        <v>164</v>
      </c>
      <c r="D135" s="57" t="s">
        <v>547</v>
      </c>
      <c r="E135" s="60">
        <v>44274</v>
      </c>
      <c r="F135" s="58">
        <v>138.94999999999999</v>
      </c>
      <c r="G135" s="12" t="s">
        <v>1676</v>
      </c>
      <c r="H135" s="61">
        <f t="shared" si="2"/>
        <v>44274</v>
      </c>
    </row>
    <row r="136" spans="3:8" ht="13.5" customHeight="1" x14ac:dyDescent="0.2">
      <c r="C136" s="12" t="s">
        <v>74</v>
      </c>
      <c r="D136" s="57" t="s">
        <v>554</v>
      </c>
      <c r="E136" s="60">
        <v>44274</v>
      </c>
      <c r="F136" s="58">
        <v>1573.72</v>
      </c>
      <c r="G136" s="12" t="s">
        <v>1676</v>
      </c>
      <c r="H136" s="61">
        <f t="shared" si="2"/>
        <v>44274</v>
      </c>
    </row>
    <row r="137" spans="3:8" ht="13.5" customHeight="1" x14ac:dyDescent="0.2">
      <c r="C137" s="12" t="s">
        <v>74</v>
      </c>
      <c r="D137" s="57" t="s">
        <v>69</v>
      </c>
      <c r="E137" s="60">
        <v>44274</v>
      </c>
      <c r="F137" s="58">
        <f>11074.61+350.32</f>
        <v>11424.93</v>
      </c>
      <c r="G137" s="12" t="s">
        <v>1689</v>
      </c>
      <c r="H137" s="61">
        <f t="shared" si="2"/>
        <v>44274</v>
      </c>
    </row>
    <row r="138" spans="3:8" ht="13.5" customHeight="1" x14ac:dyDescent="0.2">
      <c r="C138" s="12" t="s">
        <v>72</v>
      </c>
      <c r="D138" s="57" t="s">
        <v>116</v>
      </c>
      <c r="E138" s="60">
        <v>44274</v>
      </c>
      <c r="F138" s="58">
        <v>216.67</v>
      </c>
      <c r="G138" s="12" t="s">
        <v>1688</v>
      </c>
      <c r="H138" s="61">
        <f t="shared" si="2"/>
        <v>44274</v>
      </c>
    </row>
    <row r="139" spans="3:8" ht="13.5" customHeight="1" x14ac:dyDescent="0.2">
      <c r="C139" s="12" t="s">
        <v>519</v>
      </c>
      <c r="D139" s="57" t="s">
        <v>608</v>
      </c>
      <c r="E139" s="60">
        <v>44274</v>
      </c>
      <c r="F139" s="58">
        <v>2049.25</v>
      </c>
      <c r="G139" s="12" t="s">
        <v>1689</v>
      </c>
      <c r="H139" s="61">
        <f t="shared" si="2"/>
        <v>44274</v>
      </c>
    </row>
    <row r="140" spans="3:8" ht="13.5" customHeight="1" x14ac:dyDescent="0.2">
      <c r="C140" s="12" t="s">
        <v>519</v>
      </c>
      <c r="D140" s="57" t="s">
        <v>609</v>
      </c>
      <c r="E140" s="60">
        <v>44274</v>
      </c>
      <c r="F140" s="58">
        <v>2528.36</v>
      </c>
      <c r="G140" s="12" t="s">
        <v>1689</v>
      </c>
      <c r="H140" s="61">
        <f t="shared" si="2"/>
        <v>44274</v>
      </c>
    </row>
    <row r="141" spans="3:8" ht="13.5" customHeight="1" x14ac:dyDescent="0.2">
      <c r="C141" s="12" t="s">
        <v>519</v>
      </c>
      <c r="D141" s="57" t="s">
        <v>610</v>
      </c>
      <c r="E141" s="60">
        <v>44274</v>
      </c>
      <c r="F141" s="58">
        <v>265.64</v>
      </c>
      <c r="G141" s="12" t="s">
        <v>1689</v>
      </c>
      <c r="H141" s="61">
        <f t="shared" si="2"/>
        <v>44274</v>
      </c>
    </row>
    <row r="142" spans="3:8" ht="13.5" customHeight="1" x14ac:dyDescent="0.2">
      <c r="C142" s="12" t="s">
        <v>135</v>
      </c>
      <c r="D142" s="57" t="s">
        <v>534</v>
      </c>
      <c r="E142" s="60">
        <v>44274</v>
      </c>
      <c r="F142" s="58">
        <v>220</v>
      </c>
      <c r="G142" s="12" t="s">
        <v>1676</v>
      </c>
      <c r="H142" s="61">
        <f t="shared" si="2"/>
        <v>44274</v>
      </c>
    </row>
    <row r="143" spans="3:8" ht="13.5" customHeight="1" x14ac:dyDescent="0.2">
      <c r="C143" s="12" t="s">
        <v>117</v>
      </c>
      <c r="D143" s="57" t="s">
        <v>509</v>
      </c>
      <c r="E143" s="60">
        <v>44274</v>
      </c>
      <c r="F143" s="58">
        <v>553.34</v>
      </c>
      <c r="G143" s="12" t="s">
        <v>1676</v>
      </c>
      <c r="H143" s="61">
        <f t="shared" si="2"/>
        <v>44274</v>
      </c>
    </row>
    <row r="144" spans="3:8" ht="13.5" customHeight="1" x14ac:dyDescent="0.2">
      <c r="C144" s="12" t="s">
        <v>164</v>
      </c>
      <c r="D144" s="57" t="s">
        <v>640</v>
      </c>
      <c r="E144" s="60">
        <v>44274</v>
      </c>
      <c r="F144" s="58">
        <v>70</v>
      </c>
      <c r="G144" s="12" t="s">
        <v>1689</v>
      </c>
      <c r="H144" s="61">
        <f t="shared" si="2"/>
        <v>44274</v>
      </c>
    </row>
    <row r="145" spans="3:8" ht="13.5" customHeight="1" x14ac:dyDescent="0.2">
      <c r="C145" s="12" t="s">
        <v>76</v>
      </c>
      <c r="D145" s="57" t="s">
        <v>596</v>
      </c>
      <c r="E145" s="60">
        <v>44274</v>
      </c>
      <c r="F145" s="58">
        <v>1000</v>
      </c>
      <c r="G145" s="12" t="s">
        <v>1689</v>
      </c>
      <c r="H145" s="61">
        <f t="shared" si="2"/>
        <v>44274</v>
      </c>
    </row>
    <row r="146" spans="3:8" ht="13.5" customHeight="1" x14ac:dyDescent="0.2">
      <c r="C146" s="12" t="s">
        <v>84</v>
      </c>
      <c r="D146" s="57" t="s">
        <v>557</v>
      </c>
      <c r="E146" s="60">
        <v>44274</v>
      </c>
      <c r="F146" s="58">
        <v>837</v>
      </c>
      <c r="G146" s="12" t="s">
        <v>1689</v>
      </c>
      <c r="H146" s="61">
        <f t="shared" si="2"/>
        <v>44274</v>
      </c>
    </row>
    <row r="147" spans="3:8" ht="13.5" customHeight="1" x14ac:dyDescent="0.2">
      <c r="C147" s="12" t="s">
        <v>164</v>
      </c>
      <c r="D147" s="57" t="s">
        <v>469</v>
      </c>
      <c r="E147" s="60">
        <v>44274</v>
      </c>
      <c r="F147" s="58">
        <v>3500</v>
      </c>
      <c r="G147" s="12" t="s">
        <v>1689</v>
      </c>
      <c r="H147" s="61">
        <f t="shared" si="2"/>
        <v>44274</v>
      </c>
    </row>
    <row r="148" spans="3:8" ht="13.5" customHeight="1" x14ac:dyDescent="0.2">
      <c r="C148" s="12" t="s">
        <v>159</v>
      </c>
      <c r="D148" s="57" t="s">
        <v>1694</v>
      </c>
      <c r="E148" s="60">
        <v>44275</v>
      </c>
      <c r="F148" s="58">
        <v>2137</v>
      </c>
      <c r="G148" s="12" t="s">
        <v>1689</v>
      </c>
      <c r="H148" s="61">
        <f t="shared" si="2"/>
        <v>44277</v>
      </c>
    </row>
    <row r="149" spans="3:8" ht="13.5" customHeight="1" x14ac:dyDescent="0.2">
      <c r="C149" s="12" t="s">
        <v>84</v>
      </c>
      <c r="D149" s="57" t="s">
        <v>1695</v>
      </c>
      <c r="E149" s="60">
        <v>44276</v>
      </c>
      <c r="F149" s="58">
        <v>744</v>
      </c>
      <c r="G149" s="12" t="s">
        <v>1689</v>
      </c>
      <c r="H149" s="61">
        <f t="shared" si="2"/>
        <v>44277</v>
      </c>
    </row>
    <row r="150" spans="3:8" ht="13.5" customHeight="1" x14ac:dyDescent="0.2">
      <c r="C150" s="12" t="s">
        <v>88</v>
      </c>
      <c r="D150" s="57" t="s">
        <v>615</v>
      </c>
      <c r="E150" s="60">
        <v>44277</v>
      </c>
      <c r="F150" s="58">
        <v>1825</v>
      </c>
      <c r="G150" s="12" t="s">
        <v>1676</v>
      </c>
      <c r="H150" s="61">
        <f t="shared" si="2"/>
        <v>44277</v>
      </c>
    </row>
    <row r="151" spans="3:8" ht="13.5" customHeight="1" x14ac:dyDescent="0.2">
      <c r="C151" s="12" t="s">
        <v>187</v>
      </c>
      <c r="D151" s="57" t="s">
        <v>644</v>
      </c>
      <c r="E151" s="60">
        <v>44277</v>
      </c>
      <c r="F151" s="58">
        <v>164.15</v>
      </c>
      <c r="G151" s="12" t="s">
        <v>1689</v>
      </c>
      <c r="H151" s="61">
        <f t="shared" si="2"/>
        <v>44277</v>
      </c>
    </row>
    <row r="152" spans="3:8" ht="13.5" customHeight="1" x14ac:dyDescent="0.2">
      <c r="C152" s="12" t="s">
        <v>159</v>
      </c>
      <c r="D152" s="57" t="s">
        <v>513</v>
      </c>
      <c r="E152" s="60">
        <v>44277</v>
      </c>
      <c r="F152" s="58">
        <v>101.26</v>
      </c>
      <c r="G152" s="12" t="s">
        <v>1689</v>
      </c>
      <c r="H152" s="61">
        <f t="shared" si="2"/>
        <v>44277</v>
      </c>
    </row>
    <row r="153" spans="3:8" ht="13.5" customHeight="1" x14ac:dyDescent="0.2">
      <c r="C153" s="12" t="s">
        <v>159</v>
      </c>
      <c r="D153" s="57" t="s">
        <v>513</v>
      </c>
      <c r="E153" s="60">
        <v>44277</v>
      </c>
      <c r="F153" s="58">
        <v>346.28</v>
      </c>
      <c r="G153" s="12" t="s">
        <v>1689</v>
      </c>
      <c r="H153" s="61">
        <f t="shared" si="2"/>
        <v>44277</v>
      </c>
    </row>
    <row r="154" spans="3:8" ht="13.5" customHeight="1" x14ac:dyDescent="0.2">
      <c r="C154" s="12" t="s">
        <v>131</v>
      </c>
      <c r="D154" s="57" t="s">
        <v>133</v>
      </c>
      <c r="E154" s="60">
        <v>44277</v>
      </c>
      <c r="F154" s="58">
        <v>645.61</v>
      </c>
      <c r="G154" s="12" t="s">
        <v>1688</v>
      </c>
      <c r="H154" s="61">
        <f t="shared" si="2"/>
        <v>44277</v>
      </c>
    </row>
    <row r="155" spans="3:8" ht="13.5" customHeight="1" x14ac:dyDescent="0.2">
      <c r="C155" s="12" t="s">
        <v>159</v>
      </c>
      <c r="D155" s="57" t="s">
        <v>357</v>
      </c>
      <c r="E155" s="60">
        <v>44277</v>
      </c>
      <c r="F155" s="58">
        <v>144.83000000000001</v>
      </c>
      <c r="G155" s="12" t="s">
        <v>1689</v>
      </c>
      <c r="H155" s="61">
        <f t="shared" si="2"/>
        <v>44277</v>
      </c>
    </row>
    <row r="156" spans="3:8" ht="13.5" customHeight="1" x14ac:dyDescent="0.2">
      <c r="C156" s="12" t="s">
        <v>80</v>
      </c>
      <c r="D156" s="57" t="s">
        <v>645</v>
      </c>
      <c r="E156" s="60">
        <v>44277</v>
      </c>
      <c r="F156" s="58">
        <v>60</v>
      </c>
      <c r="G156" s="12" t="s">
        <v>1689</v>
      </c>
      <c r="H156" s="61">
        <f t="shared" si="2"/>
        <v>44277</v>
      </c>
    </row>
    <row r="157" spans="3:8" ht="13.5" customHeight="1" x14ac:dyDescent="0.2">
      <c r="C157" s="12" t="s">
        <v>170</v>
      </c>
      <c r="D157" s="57" t="s">
        <v>646</v>
      </c>
      <c r="E157" s="60">
        <v>44277</v>
      </c>
      <c r="F157" s="58">
        <v>481.39</v>
      </c>
      <c r="G157" s="12" t="s">
        <v>1689</v>
      </c>
      <c r="H157" s="61">
        <f t="shared" si="2"/>
        <v>44277</v>
      </c>
    </row>
    <row r="158" spans="3:8" ht="13.5" customHeight="1" x14ac:dyDescent="0.2">
      <c r="C158" s="12" t="s">
        <v>173</v>
      </c>
      <c r="D158" s="57" t="s">
        <v>536</v>
      </c>
      <c r="E158" s="60">
        <v>44277</v>
      </c>
      <c r="F158" s="58">
        <v>148.71</v>
      </c>
      <c r="G158" s="12" t="s">
        <v>1676</v>
      </c>
      <c r="H158" s="61">
        <f t="shared" si="2"/>
        <v>44277</v>
      </c>
    </row>
    <row r="159" spans="3:8" ht="13.5" customHeight="1" x14ac:dyDescent="0.2">
      <c r="C159" s="12" t="s">
        <v>584</v>
      </c>
      <c r="D159" s="57" t="s">
        <v>585</v>
      </c>
      <c r="E159" s="60">
        <v>44277</v>
      </c>
      <c r="F159" s="58">
        <v>2000</v>
      </c>
      <c r="G159" s="12" t="s">
        <v>1689</v>
      </c>
      <c r="H159" s="61">
        <f t="shared" si="2"/>
        <v>44277</v>
      </c>
    </row>
    <row r="160" spans="3:8" ht="13.5" customHeight="1" x14ac:dyDescent="0.2">
      <c r="C160" s="12" t="s">
        <v>74</v>
      </c>
      <c r="D160" s="57" t="s">
        <v>633</v>
      </c>
      <c r="E160" s="60">
        <v>44278</v>
      </c>
      <c r="F160" s="58">
        <v>10664.45</v>
      </c>
      <c r="G160" s="12" t="s">
        <v>1689</v>
      </c>
      <c r="H160" s="61">
        <f t="shared" si="2"/>
        <v>44278</v>
      </c>
    </row>
    <row r="161" spans="3:11" ht="13.5" customHeight="1" x14ac:dyDescent="0.2">
      <c r="C161" s="12" t="s">
        <v>74</v>
      </c>
      <c r="D161" s="57" t="s">
        <v>634</v>
      </c>
      <c r="E161" s="60">
        <v>44278</v>
      </c>
      <c r="F161" s="58">
        <v>374.96</v>
      </c>
      <c r="G161" s="12" t="s">
        <v>1689</v>
      </c>
      <c r="H161" s="61">
        <f t="shared" si="2"/>
        <v>44278</v>
      </c>
    </row>
    <row r="162" spans="3:11" ht="13.5" customHeight="1" x14ac:dyDescent="0.2">
      <c r="C162" s="12" t="s">
        <v>187</v>
      </c>
      <c r="D162" s="57" t="s">
        <v>649</v>
      </c>
      <c r="E162" s="60">
        <v>44278</v>
      </c>
      <c r="F162" s="58">
        <v>130</v>
      </c>
      <c r="G162" s="12" t="s">
        <v>1689</v>
      </c>
      <c r="H162" s="61">
        <f t="shared" si="2"/>
        <v>44278</v>
      </c>
    </row>
    <row r="163" spans="3:11" ht="13.5" customHeight="1" x14ac:dyDescent="0.2">
      <c r="C163" s="12" t="s">
        <v>76</v>
      </c>
      <c r="D163" s="57" t="s">
        <v>639</v>
      </c>
      <c r="E163" s="60">
        <v>44278</v>
      </c>
      <c r="F163" s="58">
        <v>3554.42</v>
      </c>
      <c r="G163" s="12" t="s">
        <v>1689</v>
      </c>
      <c r="H163" s="61">
        <f t="shared" si="2"/>
        <v>44278</v>
      </c>
    </row>
    <row r="164" spans="3:11" ht="13.5" customHeight="1" x14ac:dyDescent="0.2">
      <c r="C164" s="12" t="s">
        <v>56</v>
      </c>
      <c r="D164" s="57" t="s">
        <v>648</v>
      </c>
      <c r="E164" s="60">
        <v>44278</v>
      </c>
      <c r="F164" s="58">
        <v>2386</v>
      </c>
      <c r="G164" s="12" t="s">
        <v>1689</v>
      </c>
      <c r="H164" s="61">
        <f t="shared" si="2"/>
        <v>44278</v>
      </c>
    </row>
    <row r="165" spans="3:11" ht="13.5" customHeight="1" x14ac:dyDescent="0.2">
      <c r="C165" s="12" t="s">
        <v>88</v>
      </c>
      <c r="D165" s="57" t="s">
        <v>464</v>
      </c>
      <c r="E165" s="60">
        <v>44279</v>
      </c>
      <c r="F165" s="58">
        <v>1180</v>
      </c>
      <c r="G165" s="12" t="s">
        <v>1689</v>
      </c>
      <c r="H165" s="61">
        <f t="shared" si="2"/>
        <v>44279</v>
      </c>
    </row>
    <row r="166" spans="3:11" ht="13.5" customHeight="1" x14ac:dyDescent="0.2">
      <c r="C166" s="12" t="s">
        <v>131</v>
      </c>
      <c r="D166" s="57" t="s">
        <v>629</v>
      </c>
      <c r="E166" s="60">
        <v>44279</v>
      </c>
      <c r="F166" s="58">
        <v>319.91000000000003</v>
      </c>
      <c r="G166" s="12" t="s">
        <v>1676</v>
      </c>
      <c r="H166" s="61">
        <f t="shared" si="2"/>
        <v>44279</v>
      </c>
      <c r="K166"/>
    </row>
    <row r="167" spans="3:11" ht="13.5" customHeight="1" x14ac:dyDescent="0.2">
      <c r="C167" s="12" t="s">
        <v>519</v>
      </c>
      <c r="D167" s="57" t="s">
        <v>651</v>
      </c>
      <c r="E167" s="60">
        <v>44279</v>
      </c>
      <c r="F167" s="58">
        <v>8.06</v>
      </c>
      <c r="G167" s="12" t="s">
        <v>1689</v>
      </c>
      <c r="H167" s="61">
        <f t="shared" si="2"/>
        <v>44279</v>
      </c>
      <c r="K167"/>
    </row>
    <row r="168" spans="3:11" ht="13.5" customHeight="1" x14ac:dyDescent="0.2">
      <c r="C168" s="12" t="s">
        <v>80</v>
      </c>
      <c r="D168" s="57" t="s">
        <v>647</v>
      </c>
      <c r="E168" s="60">
        <v>44280</v>
      </c>
      <c r="F168" s="58">
        <v>300</v>
      </c>
      <c r="G168" s="12" t="s">
        <v>1689</v>
      </c>
      <c r="H168" s="61">
        <f t="shared" si="2"/>
        <v>44280</v>
      </c>
      <c r="K168"/>
    </row>
    <row r="169" spans="3:11" ht="13.5" customHeight="1" x14ac:dyDescent="0.2">
      <c r="C169" s="12" t="s">
        <v>56</v>
      </c>
      <c r="D169" s="57" t="s">
        <v>613</v>
      </c>
      <c r="E169" s="60">
        <v>44280</v>
      </c>
      <c r="F169" s="58">
        <v>9797</v>
      </c>
      <c r="G169" s="12" t="s">
        <v>1689</v>
      </c>
      <c r="H169" s="61">
        <f t="shared" si="2"/>
        <v>44280</v>
      </c>
      <c r="K169"/>
    </row>
    <row r="170" spans="3:11" ht="13.5" customHeight="1" x14ac:dyDescent="0.2">
      <c r="C170" s="12" t="s">
        <v>56</v>
      </c>
      <c r="D170" s="57" t="s">
        <v>396</v>
      </c>
      <c r="E170" s="60">
        <v>44280</v>
      </c>
      <c r="F170" s="58">
        <v>1427</v>
      </c>
      <c r="G170" s="12" t="s">
        <v>1689</v>
      </c>
      <c r="H170" s="61">
        <f t="shared" si="2"/>
        <v>44280</v>
      </c>
      <c r="K170"/>
    </row>
    <row r="171" spans="3:11" ht="13.5" customHeight="1" x14ac:dyDescent="0.2">
      <c r="C171" s="12" t="s">
        <v>56</v>
      </c>
      <c r="D171" s="57" t="s">
        <v>653</v>
      </c>
      <c r="E171" s="60">
        <v>44280</v>
      </c>
      <c r="F171" s="58">
        <v>432</v>
      </c>
      <c r="G171" s="12" t="s">
        <v>1689</v>
      </c>
      <c r="H171" s="61">
        <f t="shared" si="2"/>
        <v>44280</v>
      </c>
      <c r="K171"/>
    </row>
    <row r="172" spans="3:11" ht="13.5" customHeight="1" x14ac:dyDescent="0.2">
      <c r="C172" s="12" t="s">
        <v>56</v>
      </c>
      <c r="D172" s="57" t="s">
        <v>657</v>
      </c>
      <c r="E172" s="60">
        <v>44280</v>
      </c>
      <c r="F172" s="58">
        <v>1711</v>
      </c>
      <c r="G172" s="12" t="s">
        <v>1689</v>
      </c>
      <c r="H172" s="61">
        <f t="shared" si="2"/>
        <v>44280</v>
      </c>
      <c r="K172"/>
    </row>
    <row r="173" spans="3:11" ht="13.5" customHeight="1" x14ac:dyDescent="0.2">
      <c r="C173" s="12" t="s">
        <v>56</v>
      </c>
      <c r="D173" s="57" t="s">
        <v>658</v>
      </c>
      <c r="E173" s="60">
        <v>44280</v>
      </c>
      <c r="F173" s="58">
        <v>995</v>
      </c>
      <c r="G173" s="12" t="s">
        <v>1689</v>
      </c>
      <c r="H173" s="61">
        <f t="shared" si="2"/>
        <v>44280</v>
      </c>
      <c r="K173"/>
    </row>
    <row r="174" spans="3:11" ht="13.5" customHeight="1" x14ac:dyDescent="0.2">
      <c r="C174" s="12" t="s">
        <v>622</v>
      </c>
      <c r="D174" s="57" t="s">
        <v>659</v>
      </c>
      <c r="E174" s="60">
        <v>44280</v>
      </c>
      <c r="F174" s="58">
        <v>2040</v>
      </c>
      <c r="G174" s="12" t="s">
        <v>1689</v>
      </c>
      <c r="H174" s="61">
        <f t="shared" si="2"/>
        <v>44280</v>
      </c>
      <c r="K174"/>
    </row>
    <row r="175" spans="3:11" ht="13.5" customHeight="1" x14ac:dyDescent="0.2">
      <c r="C175" s="12" t="s">
        <v>80</v>
      </c>
      <c r="D175" s="57" t="s">
        <v>654</v>
      </c>
      <c r="E175" s="60">
        <v>44280</v>
      </c>
      <c r="F175" s="58">
        <v>100</v>
      </c>
      <c r="G175" s="12" t="s">
        <v>1689</v>
      </c>
      <c r="H175" s="61">
        <f t="shared" si="2"/>
        <v>44280</v>
      </c>
      <c r="K175"/>
    </row>
    <row r="176" spans="3:11" ht="13.5" customHeight="1" x14ac:dyDescent="0.2">
      <c r="C176" s="12" t="s">
        <v>519</v>
      </c>
      <c r="D176" s="57" t="s">
        <v>652</v>
      </c>
      <c r="E176" s="60">
        <v>44280</v>
      </c>
      <c r="F176" s="58">
        <v>250</v>
      </c>
      <c r="G176" s="12" t="s">
        <v>1689</v>
      </c>
      <c r="H176" s="61">
        <f t="shared" si="2"/>
        <v>44280</v>
      </c>
      <c r="K176"/>
    </row>
    <row r="177" spans="3:11" ht="13.5" customHeight="1" x14ac:dyDescent="0.2">
      <c r="C177" s="12" t="s">
        <v>163</v>
      </c>
      <c r="D177" s="117" t="s">
        <v>660</v>
      </c>
      <c r="E177" s="60">
        <v>44280</v>
      </c>
      <c r="F177" s="58">
        <v>6418</v>
      </c>
      <c r="G177" s="12" t="s">
        <v>1689</v>
      </c>
      <c r="H177" s="61">
        <f t="shared" si="2"/>
        <v>44280</v>
      </c>
      <c r="K177"/>
    </row>
    <row r="178" spans="3:11" ht="13.5" customHeight="1" x14ac:dyDescent="0.2">
      <c r="C178" s="12" t="s">
        <v>96</v>
      </c>
      <c r="D178" s="57" t="s">
        <v>539</v>
      </c>
      <c r="E178" s="60">
        <v>44280</v>
      </c>
      <c r="F178" s="58">
        <v>500</v>
      </c>
      <c r="G178" s="12" t="s">
        <v>68</v>
      </c>
      <c r="H178" s="61">
        <f t="shared" si="2"/>
        <v>44280</v>
      </c>
      <c r="K178"/>
    </row>
    <row r="179" spans="3:11" ht="13.5" customHeight="1" x14ac:dyDescent="0.2">
      <c r="C179" s="12" t="s">
        <v>135</v>
      </c>
      <c r="D179" s="57" t="s">
        <v>409</v>
      </c>
      <c r="E179" s="60">
        <v>44280</v>
      </c>
      <c r="F179" s="58">
        <v>3250</v>
      </c>
      <c r="G179" s="12" t="s">
        <v>1689</v>
      </c>
      <c r="H179" s="61">
        <f t="shared" si="2"/>
        <v>44280</v>
      </c>
      <c r="K179"/>
    </row>
    <row r="180" spans="3:11" ht="13.5" customHeight="1" x14ac:dyDescent="0.2">
      <c r="C180" s="12" t="s">
        <v>84</v>
      </c>
      <c r="D180" s="57" t="s">
        <v>618</v>
      </c>
      <c r="E180" s="60">
        <v>44280</v>
      </c>
      <c r="F180" s="58">
        <v>3572</v>
      </c>
      <c r="G180" s="12" t="s">
        <v>1689</v>
      </c>
      <c r="H180" s="61">
        <f t="shared" si="2"/>
        <v>44280</v>
      </c>
      <c r="K180"/>
    </row>
    <row r="181" spans="3:11" ht="13.5" customHeight="1" x14ac:dyDescent="0.2">
      <c r="C181" s="12" t="s">
        <v>159</v>
      </c>
      <c r="D181" s="57" t="s">
        <v>656</v>
      </c>
      <c r="E181" s="60">
        <v>44280</v>
      </c>
      <c r="F181" s="58">
        <v>790.31</v>
      </c>
      <c r="G181" s="12" t="s">
        <v>1689</v>
      </c>
      <c r="H181" s="61">
        <f t="shared" si="2"/>
        <v>44280</v>
      </c>
      <c r="K181"/>
    </row>
    <row r="182" spans="3:11" ht="13.5" customHeight="1" x14ac:dyDescent="0.2">
      <c r="C182" s="12" t="s">
        <v>72</v>
      </c>
      <c r="D182" s="57" t="s">
        <v>1707</v>
      </c>
      <c r="E182" s="60">
        <v>44281</v>
      </c>
      <c r="F182" s="58">
        <v>2500</v>
      </c>
      <c r="G182" s="12" t="s">
        <v>1688</v>
      </c>
      <c r="H182" s="61">
        <f t="shared" si="2"/>
        <v>44281</v>
      </c>
      <c r="K182"/>
    </row>
    <row r="183" spans="3:11" ht="13.5" customHeight="1" x14ac:dyDescent="0.2">
      <c r="C183" s="12" t="s">
        <v>72</v>
      </c>
      <c r="D183" s="57" t="s">
        <v>1763</v>
      </c>
      <c r="E183" s="60">
        <v>44281</v>
      </c>
      <c r="F183" s="58">
        <v>3000</v>
      </c>
      <c r="G183" s="12" t="s">
        <v>1688</v>
      </c>
      <c r="H183" s="61">
        <f t="shared" si="2"/>
        <v>44281</v>
      </c>
      <c r="K183"/>
    </row>
    <row r="184" spans="3:11" ht="13.5" customHeight="1" x14ac:dyDescent="0.2">
      <c r="C184" s="12" t="s">
        <v>72</v>
      </c>
      <c r="D184" s="57" t="s">
        <v>65</v>
      </c>
      <c r="E184" s="60">
        <v>44281</v>
      </c>
      <c r="F184" s="58">
        <v>2000</v>
      </c>
      <c r="G184" s="12" t="s">
        <v>1688</v>
      </c>
      <c r="H184" s="61">
        <f t="shared" si="2"/>
        <v>44281</v>
      </c>
      <c r="K184"/>
    </row>
    <row r="185" spans="3:11" ht="13.5" customHeight="1" x14ac:dyDescent="0.2">
      <c r="C185" s="12" t="s">
        <v>72</v>
      </c>
      <c r="D185" s="57" t="s">
        <v>1720</v>
      </c>
      <c r="E185" s="60">
        <v>44281</v>
      </c>
      <c r="F185" s="58">
        <v>1482</v>
      </c>
      <c r="G185" s="12" t="s">
        <v>1688</v>
      </c>
      <c r="H185" s="61">
        <f t="shared" si="2"/>
        <v>44281</v>
      </c>
      <c r="K185"/>
    </row>
    <row r="186" spans="3:11" ht="13.5" customHeight="1" x14ac:dyDescent="0.2">
      <c r="C186" s="12" t="s">
        <v>170</v>
      </c>
      <c r="D186" s="57" t="s">
        <v>650</v>
      </c>
      <c r="E186" s="60">
        <v>44281</v>
      </c>
      <c r="F186" s="58">
        <v>364.2</v>
      </c>
      <c r="G186" s="12" t="s">
        <v>1689</v>
      </c>
      <c r="H186" s="61">
        <f t="shared" si="2"/>
        <v>44281</v>
      </c>
      <c r="K186"/>
    </row>
    <row r="187" spans="3:11" ht="13.5" customHeight="1" x14ac:dyDescent="0.2">
      <c r="C187" s="12" t="s">
        <v>170</v>
      </c>
      <c r="D187" s="57" t="s">
        <v>661</v>
      </c>
      <c r="E187" s="60">
        <v>44281</v>
      </c>
      <c r="F187" s="58">
        <v>567</v>
      </c>
      <c r="G187" s="12" t="s">
        <v>1689</v>
      </c>
      <c r="H187" s="61">
        <f t="shared" si="2"/>
        <v>44281</v>
      </c>
      <c r="K187"/>
    </row>
    <row r="188" spans="3:11" ht="13.5" customHeight="1" x14ac:dyDescent="0.2">
      <c r="C188" s="12" t="s">
        <v>83</v>
      </c>
      <c r="D188" s="57" t="s">
        <v>664</v>
      </c>
      <c r="E188" s="60">
        <v>44281</v>
      </c>
      <c r="F188" s="58">
        <v>750</v>
      </c>
      <c r="G188" s="12" t="s">
        <v>1689</v>
      </c>
      <c r="H188" s="61">
        <f t="shared" si="2"/>
        <v>44281</v>
      </c>
      <c r="K188"/>
    </row>
    <row r="189" spans="3:11" ht="13.5" customHeight="1" x14ac:dyDescent="0.2">
      <c r="C189" s="12" t="s">
        <v>83</v>
      </c>
      <c r="D189" s="57" t="s">
        <v>665</v>
      </c>
      <c r="E189" s="60">
        <v>44281</v>
      </c>
      <c r="F189" s="58">
        <v>100</v>
      </c>
      <c r="G189" s="12" t="s">
        <v>1689</v>
      </c>
      <c r="H189" s="61">
        <f t="shared" si="2"/>
        <v>44281</v>
      </c>
      <c r="K189"/>
    </row>
    <row r="190" spans="3:11" ht="13.5" customHeight="1" x14ac:dyDescent="0.2">
      <c r="C190" s="12" t="s">
        <v>187</v>
      </c>
      <c r="D190" s="57" t="s">
        <v>662</v>
      </c>
      <c r="E190" s="60">
        <v>44281</v>
      </c>
      <c r="F190" s="58">
        <v>17.7</v>
      </c>
      <c r="G190" s="12" t="s">
        <v>1689</v>
      </c>
      <c r="H190" s="61">
        <f t="shared" si="2"/>
        <v>44281</v>
      </c>
      <c r="K190"/>
    </row>
    <row r="191" spans="3:11" ht="13.5" customHeight="1" x14ac:dyDescent="0.2">
      <c r="C191" s="12" t="s">
        <v>76</v>
      </c>
      <c r="D191" s="57" t="s">
        <v>643</v>
      </c>
      <c r="E191" s="60">
        <v>44281</v>
      </c>
      <c r="F191" s="58">
        <v>1745.46</v>
      </c>
      <c r="G191" s="12" t="s">
        <v>1689</v>
      </c>
      <c r="H191" s="61">
        <f t="shared" si="2"/>
        <v>44281</v>
      </c>
      <c r="K191"/>
    </row>
    <row r="192" spans="3:11" ht="13.5" customHeight="1" x14ac:dyDescent="0.2">
      <c r="C192" s="12" t="s">
        <v>56</v>
      </c>
      <c r="D192" s="57" t="s">
        <v>663</v>
      </c>
      <c r="E192" s="60">
        <v>44281</v>
      </c>
      <c r="F192" s="58">
        <v>4029</v>
      </c>
      <c r="G192" s="12" t="s">
        <v>1689</v>
      </c>
      <c r="H192" s="61">
        <f t="shared" si="2"/>
        <v>44281</v>
      </c>
      <c r="K192"/>
    </row>
    <row r="193" spans="3:11" ht="13.5" customHeight="1" x14ac:dyDescent="0.2">
      <c r="C193" s="12" t="s">
        <v>96</v>
      </c>
      <c r="D193" s="57" t="s">
        <v>421</v>
      </c>
      <c r="E193" s="60">
        <v>44282</v>
      </c>
      <c r="F193" s="58">
        <v>444.18</v>
      </c>
      <c r="G193" s="12" t="s">
        <v>1676</v>
      </c>
      <c r="H193" s="61">
        <f t="shared" si="2"/>
        <v>44284</v>
      </c>
      <c r="K193"/>
    </row>
    <row r="194" spans="3:11" ht="13.5" customHeight="1" x14ac:dyDescent="0.2">
      <c r="C194" s="12" t="s">
        <v>149</v>
      </c>
      <c r="D194" s="57" t="s">
        <v>627</v>
      </c>
      <c r="E194" s="60">
        <v>44283</v>
      </c>
      <c r="F194" s="58">
        <v>250</v>
      </c>
      <c r="G194" s="12" t="s">
        <v>1676</v>
      </c>
      <c r="H194" s="61">
        <f t="shared" ref="H194:H227" si="3">VLOOKUP(E194,$E$2848:$H$2879,4,FALSE)</f>
        <v>44284</v>
      </c>
      <c r="K194"/>
    </row>
    <row r="195" spans="3:11" ht="13.5" customHeight="1" x14ac:dyDescent="0.2">
      <c r="C195" s="12" t="s">
        <v>74</v>
      </c>
      <c r="D195" s="57" t="s">
        <v>611</v>
      </c>
      <c r="E195" s="60">
        <v>44284</v>
      </c>
      <c r="F195" s="58">
        <v>1319.9</v>
      </c>
      <c r="G195" s="12" t="s">
        <v>1676</v>
      </c>
      <c r="H195" s="61">
        <f t="shared" si="3"/>
        <v>44284</v>
      </c>
      <c r="K195"/>
    </row>
    <row r="196" spans="3:11" ht="13.5" customHeight="1" x14ac:dyDescent="0.2">
      <c r="C196" s="12" t="s">
        <v>164</v>
      </c>
      <c r="D196" s="57" t="s">
        <v>666</v>
      </c>
      <c r="E196" s="60">
        <v>44284</v>
      </c>
      <c r="F196" s="58">
        <v>60</v>
      </c>
      <c r="G196" s="12" t="s">
        <v>1689</v>
      </c>
      <c r="H196" s="61">
        <f t="shared" si="3"/>
        <v>44284</v>
      </c>
      <c r="K196"/>
    </row>
    <row r="197" spans="3:11" ht="13.5" customHeight="1" x14ac:dyDescent="0.2">
      <c r="C197" s="12" t="s">
        <v>164</v>
      </c>
      <c r="D197" s="57" t="s">
        <v>671</v>
      </c>
      <c r="E197" s="60">
        <v>44284</v>
      </c>
      <c r="F197" s="58">
        <v>70</v>
      </c>
      <c r="G197" s="12" t="s">
        <v>1689</v>
      </c>
      <c r="H197" s="61">
        <f t="shared" si="3"/>
        <v>44284</v>
      </c>
      <c r="K197"/>
    </row>
    <row r="198" spans="3:11" ht="13.5" customHeight="1" x14ac:dyDescent="0.2">
      <c r="C198" s="12" t="s">
        <v>159</v>
      </c>
      <c r="D198" s="57" t="s">
        <v>357</v>
      </c>
      <c r="E198" s="60">
        <v>44284</v>
      </c>
      <c r="F198" s="58">
        <v>477.95</v>
      </c>
      <c r="G198" s="12" t="s">
        <v>1689</v>
      </c>
      <c r="H198" s="61">
        <f t="shared" si="3"/>
        <v>44284</v>
      </c>
      <c r="K198"/>
    </row>
    <row r="199" spans="3:11" ht="13.5" customHeight="1" x14ac:dyDescent="0.2">
      <c r="C199" s="12" t="s">
        <v>170</v>
      </c>
      <c r="D199" s="57" t="s">
        <v>514</v>
      </c>
      <c r="E199" s="60">
        <v>44284</v>
      </c>
      <c r="F199" s="58">
        <v>313</v>
      </c>
      <c r="G199" s="12" t="s">
        <v>1689</v>
      </c>
      <c r="H199" s="61">
        <f t="shared" si="3"/>
        <v>44284</v>
      </c>
      <c r="K199"/>
    </row>
    <row r="200" spans="3:11" ht="13.5" customHeight="1" x14ac:dyDescent="0.2">
      <c r="C200" s="12" t="s">
        <v>84</v>
      </c>
      <c r="D200" s="57" t="s">
        <v>675</v>
      </c>
      <c r="E200" s="60">
        <v>44285</v>
      </c>
      <c r="F200" s="58">
        <v>186</v>
      </c>
      <c r="G200" s="12" t="s">
        <v>1676</v>
      </c>
      <c r="H200" s="61">
        <f t="shared" si="3"/>
        <v>44285</v>
      </c>
      <c r="K200"/>
    </row>
    <row r="201" spans="3:11" ht="13.5" customHeight="1" x14ac:dyDescent="0.2">
      <c r="C201" s="12" t="s">
        <v>164</v>
      </c>
      <c r="D201" s="57" t="s">
        <v>676</v>
      </c>
      <c r="E201" s="60">
        <v>44285</v>
      </c>
      <c r="F201" s="58">
        <v>27.66</v>
      </c>
      <c r="G201" s="12" t="s">
        <v>1689</v>
      </c>
      <c r="H201" s="61">
        <f t="shared" si="3"/>
        <v>44285</v>
      </c>
      <c r="K201"/>
    </row>
    <row r="202" spans="3:11" ht="13.5" customHeight="1" x14ac:dyDescent="0.2">
      <c r="C202" s="12" t="s">
        <v>76</v>
      </c>
      <c r="D202" s="57" t="s">
        <v>517</v>
      </c>
      <c r="E202" s="60">
        <v>44285</v>
      </c>
      <c r="F202" s="58">
        <v>1410</v>
      </c>
      <c r="G202" s="12" t="s">
        <v>1676</v>
      </c>
      <c r="H202" s="61">
        <f t="shared" si="3"/>
        <v>44285</v>
      </c>
      <c r="K202"/>
    </row>
    <row r="203" spans="3:11" ht="13.5" customHeight="1" x14ac:dyDescent="0.2">
      <c r="C203" s="12" t="s">
        <v>83</v>
      </c>
      <c r="D203" s="57" t="s">
        <v>549</v>
      </c>
      <c r="E203" s="60">
        <v>44285</v>
      </c>
      <c r="F203" s="58">
        <v>2624</v>
      </c>
      <c r="G203" s="12" t="s">
        <v>1689</v>
      </c>
      <c r="H203" s="61">
        <f t="shared" si="3"/>
        <v>44285</v>
      </c>
      <c r="K203"/>
    </row>
    <row r="204" spans="3:11" ht="13.5" customHeight="1" x14ac:dyDescent="0.2">
      <c r="C204" s="12" t="s">
        <v>170</v>
      </c>
      <c r="D204" s="57" t="s">
        <v>514</v>
      </c>
      <c r="E204" s="60">
        <v>44285</v>
      </c>
      <c r="F204" s="58">
        <v>58</v>
      </c>
      <c r="G204" s="12" t="s">
        <v>1689</v>
      </c>
      <c r="H204" s="61">
        <f t="shared" si="3"/>
        <v>44285</v>
      </c>
      <c r="K204"/>
    </row>
    <row r="205" spans="3:11" ht="13.5" customHeight="1" x14ac:dyDescent="0.2">
      <c r="C205" s="12" t="s">
        <v>678</v>
      </c>
      <c r="D205" s="57" t="s">
        <v>679</v>
      </c>
      <c r="E205" s="60">
        <v>44285</v>
      </c>
      <c r="F205" s="58">
        <v>320</v>
      </c>
      <c r="G205" s="12" t="s">
        <v>1689</v>
      </c>
      <c r="H205" s="61">
        <f t="shared" si="3"/>
        <v>44285</v>
      </c>
      <c r="K205"/>
    </row>
    <row r="206" spans="3:11" ht="13.5" customHeight="1" x14ac:dyDescent="0.2">
      <c r="C206" s="12" t="s">
        <v>159</v>
      </c>
      <c r="D206" s="57" t="s">
        <v>214</v>
      </c>
      <c r="E206" s="60">
        <v>44286</v>
      </c>
      <c r="F206" s="58">
        <v>1214</v>
      </c>
      <c r="G206" s="12" t="s">
        <v>1689</v>
      </c>
      <c r="H206" s="61">
        <f t="shared" si="3"/>
        <v>44286</v>
      </c>
      <c r="K206"/>
    </row>
    <row r="207" spans="3:11" ht="13.5" customHeight="1" x14ac:dyDescent="0.2">
      <c r="C207" s="12" t="s">
        <v>97</v>
      </c>
      <c r="D207" s="57" t="s">
        <v>612</v>
      </c>
      <c r="E207" s="60">
        <v>44286</v>
      </c>
      <c r="F207" s="58">
        <v>706</v>
      </c>
      <c r="G207" s="12" t="s">
        <v>1689</v>
      </c>
      <c r="H207" s="61">
        <f t="shared" si="3"/>
        <v>44286</v>
      </c>
      <c r="K207"/>
    </row>
    <row r="208" spans="3:11" ht="13.5" customHeight="1" x14ac:dyDescent="0.2">
      <c r="C208" s="12" t="s">
        <v>97</v>
      </c>
      <c r="D208" s="57" t="s">
        <v>620</v>
      </c>
      <c r="E208" s="60">
        <v>44286</v>
      </c>
      <c r="F208" s="58">
        <v>406.26</v>
      </c>
      <c r="G208" s="12" t="s">
        <v>1689</v>
      </c>
      <c r="H208" s="61">
        <f t="shared" si="3"/>
        <v>44286</v>
      </c>
      <c r="K208"/>
    </row>
    <row r="209" spans="3:11" ht="13.5" customHeight="1" x14ac:dyDescent="0.2">
      <c r="C209" s="12" t="s">
        <v>243</v>
      </c>
      <c r="D209" s="57" t="s">
        <v>623</v>
      </c>
      <c r="E209" s="60">
        <v>44286</v>
      </c>
      <c r="F209" s="58">
        <v>800</v>
      </c>
      <c r="G209" s="12" t="s">
        <v>1689</v>
      </c>
      <c r="H209" s="61">
        <f t="shared" si="3"/>
        <v>44286</v>
      </c>
      <c r="K209"/>
    </row>
    <row r="210" spans="3:11" ht="13.5" customHeight="1" x14ac:dyDescent="0.2">
      <c r="C210" s="12" t="s">
        <v>159</v>
      </c>
      <c r="D210" s="57" t="s">
        <v>376</v>
      </c>
      <c r="E210" s="60">
        <v>44286</v>
      </c>
      <c r="F210" s="58">
        <v>1643.58</v>
      </c>
      <c r="G210" s="12" t="s">
        <v>1689</v>
      </c>
      <c r="H210" s="61">
        <f t="shared" si="3"/>
        <v>44286</v>
      </c>
      <c r="K210"/>
    </row>
    <row r="211" spans="3:11" ht="13.5" customHeight="1" x14ac:dyDescent="0.2">
      <c r="C211" s="12" t="s">
        <v>135</v>
      </c>
      <c r="D211" s="57" t="s">
        <v>642</v>
      </c>
      <c r="E211" s="60">
        <v>44286</v>
      </c>
      <c r="F211" s="58">
        <v>757.27</v>
      </c>
      <c r="G211" s="12" t="s">
        <v>1689</v>
      </c>
      <c r="H211" s="61">
        <f t="shared" si="3"/>
        <v>44286</v>
      </c>
      <c r="K211"/>
    </row>
    <row r="212" spans="3:11" ht="13.5" customHeight="1" x14ac:dyDescent="0.2">
      <c r="C212" s="12" t="s">
        <v>72</v>
      </c>
      <c r="D212" s="57" t="s">
        <v>1754</v>
      </c>
      <c r="E212" s="60">
        <v>44286</v>
      </c>
      <c r="F212" s="58">
        <v>930.04</v>
      </c>
      <c r="G212" s="12" t="s">
        <v>1688</v>
      </c>
      <c r="H212" s="61">
        <f t="shared" si="3"/>
        <v>44286</v>
      </c>
      <c r="K212"/>
    </row>
    <row r="213" spans="3:11" ht="13.5" customHeight="1" x14ac:dyDescent="0.2">
      <c r="C213" s="12" t="s">
        <v>170</v>
      </c>
      <c r="D213" s="57" t="s">
        <v>683</v>
      </c>
      <c r="E213" s="60">
        <v>44286</v>
      </c>
      <c r="F213" s="58">
        <v>99.33</v>
      </c>
      <c r="G213" s="12" t="s">
        <v>1676</v>
      </c>
      <c r="H213" s="61">
        <f t="shared" si="3"/>
        <v>44286</v>
      </c>
      <c r="K213"/>
    </row>
    <row r="214" spans="3:11" ht="13.5" customHeight="1" x14ac:dyDescent="0.2">
      <c r="C214" s="12" t="s">
        <v>135</v>
      </c>
      <c r="D214" s="57" t="s">
        <v>682</v>
      </c>
      <c r="E214" s="60">
        <v>44286</v>
      </c>
      <c r="F214" s="58">
        <v>1600</v>
      </c>
      <c r="G214" s="12" t="s">
        <v>1676</v>
      </c>
      <c r="H214" s="61">
        <f t="shared" si="3"/>
        <v>44286</v>
      </c>
      <c r="K214"/>
    </row>
    <row r="215" spans="3:11" ht="13.5" customHeight="1" x14ac:dyDescent="0.2">
      <c r="C215" s="12" t="s">
        <v>72</v>
      </c>
      <c r="D215" s="57" t="s">
        <v>1721</v>
      </c>
      <c r="E215" s="60">
        <v>44286</v>
      </c>
      <c r="F215" s="58">
        <v>1479.8</v>
      </c>
      <c r="G215" s="12" t="s">
        <v>1688</v>
      </c>
      <c r="H215" s="61">
        <f t="shared" si="3"/>
        <v>44286</v>
      </c>
      <c r="K215"/>
    </row>
    <row r="216" spans="3:11" ht="13.5" customHeight="1" x14ac:dyDescent="0.2">
      <c r="C216" s="12" t="s">
        <v>80</v>
      </c>
      <c r="D216" s="57" t="s">
        <v>637</v>
      </c>
      <c r="E216" s="60">
        <v>44286</v>
      </c>
      <c r="F216" s="58">
        <v>150</v>
      </c>
      <c r="G216" s="12" t="s">
        <v>1688</v>
      </c>
      <c r="H216" s="61">
        <f t="shared" si="3"/>
        <v>44286</v>
      </c>
      <c r="K216"/>
    </row>
    <row r="217" spans="3:11" ht="13.5" customHeight="1" x14ac:dyDescent="0.2">
      <c r="C217" s="12" t="s">
        <v>76</v>
      </c>
      <c r="D217" s="57" t="s">
        <v>558</v>
      </c>
      <c r="E217" s="60">
        <v>44286</v>
      </c>
      <c r="F217" s="58">
        <v>3369.36</v>
      </c>
      <c r="G217" s="12" t="s">
        <v>1676</v>
      </c>
      <c r="H217" s="61">
        <f t="shared" si="3"/>
        <v>44286</v>
      </c>
      <c r="K217"/>
    </row>
    <row r="218" spans="3:11" ht="13.5" customHeight="1" x14ac:dyDescent="0.2">
      <c r="C218" s="12" t="s">
        <v>83</v>
      </c>
      <c r="D218" s="57" t="s">
        <v>535</v>
      </c>
      <c r="E218" s="60">
        <v>44286</v>
      </c>
      <c r="F218" s="58">
        <v>573</v>
      </c>
      <c r="G218" s="12" t="s">
        <v>1689</v>
      </c>
      <c r="H218" s="61">
        <f t="shared" si="3"/>
        <v>44286</v>
      </c>
      <c r="K218"/>
    </row>
    <row r="219" spans="3:11" ht="13.5" customHeight="1" x14ac:dyDescent="0.2">
      <c r="C219" s="12" t="s">
        <v>170</v>
      </c>
      <c r="D219" s="57" t="s">
        <v>684</v>
      </c>
      <c r="E219" s="60">
        <v>44286</v>
      </c>
      <c r="F219" s="58">
        <v>900</v>
      </c>
      <c r="G219" s="12" t="s">
        <v>1676</v>
      </c>
      <c r="H219" s="61">
        <f t="shared" si="3"/>
        <v>44286</v>
      </c>
      <c r="K219"/>
    </row>
    <row r="220" spans="3:11" ht="13.5" customHeight="1" x14ac:dyDescent="0.2">
      <c r="C220" s="12" t="s">
        <v>149</v>
      </c>
      <c r="D220" s="57" t="s">
        <v>327</v>
      </c>
      <c r="E220" s="60">
        <v>44286</v>
      </c>
      <c r="F220" s="58">
        <v>198.96</v>
      </c>
      <c r="G220" s="12" t="s">
        <v>1676</v>
      </c>
      <c r="H220" s="61">
        <f t="shared" si="3"/>
        <v>44286</v>
      </c>
      <c r="K220"/>
    </row>
    <row r="221" spans="3:11" ht="13.5" customHeight="1" x14ac:dyDescent="0.2">
      <c r="C221" s="12" t="s">
        <v>159</v>
      </c>
      <c r="D221" s="57" t="s">
        <v>357</v>
      </c>
      <c r="E221" s="60">
        <v>44286</v>
      </c>
      <c r="F221" s="58">
        <v>144.83000000000001</v>
      </c>
      <c r="G221" s="12" t="s">
        <v>1689</v>
      </c>
      <c r="H221" s="61">
        <f t="shared" si="3"/>
        <v>44286</v>
      </c>
      <c r="K221"/>
    </row>
    <row r="222" spans="3:11" ht="13.5" customHeight="1" x14ac:dyDescent="0.2">
      <c r="C222" s="12" t="s">
        <v>72</v>
      </c>
      <c r="D222" s="57" t="s">
        <v>1755</v>
      </c>
      <c r="E222" s="60">
        <v>44286</v>
      </c>
      <c r="F222" s="58">
        <v>57.11</v>
      </c>
      <c r="G222" s="12" t="s">
        <v>1688</v>
      </c>
      <c r="H222" s="61">
        <f t="shared" si="3"/>
        <v>44286</v>
      </c>
      <c r="K222"/>
    </row>
    <row r="223" spans="3:11" ht="13.5" customHeight="1" x14ac:dyDescent="0.2">
      <c r="C223" s="12" t="s">
        <v>82</v>
      </c>
      <c r="D223" s="12" t="s">
        <v>307</v>
      </c>
      <c r="E223" s="60">
        <v>44286</v>
      </c>
      <c r="F223" s="58">
        <v>1033.72</v>
      </c>
      <c r="G223" s="12" t="s">
        <v>1676</v>
      </c>
      <c r="H223" s="61">
        <f t="shared" si="3"/>
        <v>44286</v>
      </c>
      <c r="K223"/>
    </row>
    <row r="224" spans="3:11" ht="13.5" customHeight="1" x14ac:dyDescent="0.2">
      <c r="C224" s="12" t="s">
        <v>97</v>
      </c>
      <c r="D224" s="57" t="s">
        <v>673</v>
      </c>
      <c r="E224" s="60">
        <v>44286</v>
      </c>
      <c r="F224" s="58">
        <v>1262.3499999999999</v>
      </c>
      <c r="G224" s="12" t="s">
        <v>1689</v>
      </c>
      <c r="H224" s="61">
        <f t="shared" si="3"/>
        <v>44286</v>
      </c>
      <c r="K224"/>
    </row>
    <row r="225" spans="3:11" ht="13.5" customHeight="1" x14ac:dyDescent="0.2">
      <c r="C225" s="12" t="s">
        <v>97</v>
      </c>
      <c r="D225" s="57" t="s">
        <v>672</v>
      </c>
      <c r="E225" s="60">
        <v>44286</v>
      </c>
      <c r="F225" s="58">
        <v>611.66999999999996</v>
      </c>
      <c r="G225" s="12" t="s">
        <v>1689</v>
      </c>
      <c r="H225" s="61">
        <f t="shared" si="3"/>
        <v>44286</v>
      </c>
      <c r="K225"/>
    </row>
    <row r="226" spans="3:11" ht="13.5" customHeight="1" x14ac:dyDescent="0.2">
      <c r="C226" s="12" t="s">
        <v>97</v>
      </c>
      <c r="D226" s="57" t="s">
        <v>371</v>
      </c>
      <c r="E226" s="60">
        <v>44286</v>
      </c>
      <c r="F226" s="58">
        <v>10398.84</v>
      </c>
      <c r="G226" s="12" t="s">
        <v>1689</v>
      </c>
      <c r="H226" s="61">
        <f t="shared" si="3"/>
        <v>44286</v>
      </c>
      <c r="K226"/>
    </row>
    <row r="227" spans="3:11" ht="13.5" customHeight="1" x14ac:dyDescent="0.2">
      <c r="C227" s="12" t="s">
        <v>97</v>
      </c>
      <c r="D227" s="57" t="s">
        <v>348</v>
      </c>
      <c r="E227" s="60">
        <v>44286</v>
      </c>
      <c r="F227" s="58">
        <v>523.5</v>
      </c>
      <c r="G227" s="12" t="s">
        <v>1689</v>
      </c>
      <c r="H227" s="61">
        <f t="shared" si="3"/>
        <v>44286</v>
      </c>
      <c r="K227"/>
    </row>
    <row r="228" spans="3:11" ht="13.5" customHeight="1" x14ac:dyDescent="0.2">
      <c r="E228" s="52"/>
      <c r="H228" s="61"/>
      <c r="K228"/>
    </row>
    <row r="229" spans="3:11" ht="13.5" customHeight="1" x14ac:dyDescent="0.2">
      <c r="E229" s="52"/>
      <c r="H229" s="61"/>
      <c r="K229"/>
    </row>
    <row r="230" spans="3:11" ht="13.5" customHeight="1" x14ac:dyDescent="0.2">
      <c r="E230" s="52"/>
      <c r="H230" s="61"/>
      <c r="K230"/>
    </row>
    <row r="231" spans="3:11" ht="13.5" customHeight="1" x14ac:dyDescent="0.2">
      <c r="E231" s="52"/>
      <c r="H231" s="61"/>
      <c r="K231"/>
    </row>
    <row r="232" spans="3:11" ht="13.5" customHeight="1" x14ac:dyDescent="0.2">
      <c r="E232" s="52"/>
      <c r="H232" s="61"/>
      <c r="K232"/>
    </row>
    <row r="233" spans="3:11" ht="13.5" customHeight="1" x14ac:dyDescent="0.2">
      <c r="E233" s="52"/>
      <c r="H233" s="61"/>
      <c r="K233"/>
    </row>
    <row r="234" spans="3:11" ht="13.5" customHeight="1" x14ac:dyDescent="0.2">
      <c r="E234" s="52"/>
      <c r="H234" s="61"/>
      <c r="K234"/>
    </row>
    <row r="235" spans="3:11" ht="13.5" customHeight="1" x14ac:dyDescent="0.2">
      <c r="E235" s="52"/>
      <c r="H235" s="61"/>
      <c r="K235"/>
    </row>
    <row r="236" spans="3:11" ht="13.5" customHeight="1" x14ac:dyDescent="0.2">
      <c r="E236" s="52"/>
      <c r="H236" s="61"/>
      <c r="K236"/>
    </row>
    <row r="237" spans="3:11" ht="13.5" customHeight="1" x14ac:dyDescent="0.2">
      <c r="E237" s="52"/>
      <c r="H237" s="61"/>
      <c r="K237"/>
    </row>
    <row r="238" spans="3:11" ht="13.5" customHeight="1" x14ac:dyDescent="0.2">
      <c r="E238" s="52"/>
      <c r="H238" s="61"/>
      <c r="K238"/>
    </row>
    <row r="239" spans="3:11" ht="13.5" customHeight="1" x14ac:dyDescent="0.2">
      <c r="E239" s="52"/>
      <c r="H239" s="61"/>
      <c r="K239"/>
    </row>
    <row r="240" spans="3:11" ht="13.5" customHeight="1" x14ac:dyDescent="0.2">
      <c r="E240" s="52"/>
      <c r="H240" s="61"/>
      <c r="K240"/>
    </row>
    <row r="241" spans="5:11" ht="13.5" customHeight="1" x14ac:dyDescent="0.2">
      <c r="E241" s="52"/>
      <c r="H241" s="61"/>
      <c r="K241"/>
    </row>
    <row r="242" spans="5:11" ht="13.5" customHeight="1" x14ac:dyDescent="0.2">
      <c r="E242" s="52"/>
      <c r="H242" s="61"/>
      <c r="K242"/>
    </row>
    <row r="243" spans="5:11" ht="13.5" customHeight="1" x14ac:dyDescent="0.2">
      <c r="E243" s="52"/>
      <c r="H243" s="61"/>
      <c r="K243"/>
    </row>
    <row r="244" spans="5:11" ht="13.5" customHeight="1" x14ac:dyDescent="0.2">
      <c r="E244" s="52"/>
      <c r="H244" s="61"/>
      <c r="K244"/>
    </row>
    <row r="245" spans="5:11" ht="13.5" customHeight="1" x14ac:dyDescent="0.2">
      <c r="E245" s="52"/>
      <c r="H245" s="61"/>
      <c r="K245"/>
    </row>
    <row r="246" spans="5:11" ht="13.5" customHeight="1" x14ac:dyDescent="0.2">
      <c r="E246" s="52"/>
      <c r="H246" s="61"/>
      <c r="K246"/>
    </row>
    <row r="247" spans="5:11" ht="13.5" customHeight="1" x14ac:dyDescent="0.2">
      <c r="E247" s="52"/>
      <c r="H247" s="61"/>
      <c r="K247"/>
    </row>
    <row r="248" spans="5:11" ht="13.5" customHeight="1" x14ac:dyDescent="0.2">
      <c r="E248" s="52"/>
      <c r="H248" s="61"/>
      <c r="K248"/>
    </row>
    <row r="249" spans="5:11" ht="13.5" customHeight="1" x14ac:dyDescent="0.2">
      <c r="E249" s="52"/>
      <c r="H249" s="61"/>
      <c r="K249"/>
    </row>
    <row r="250" spans="5:11" ht="13.5" customHeight="1" x14ac:dyDescent="0.2">
      <c r="E250" s="52"/>
      <c r="H250" s="61"/>
      <c r="K250"/>
    </row>
    <row r="251" spans="5:11" ht="13.5" customHeight="1" x14ac:dyDescent="0.2">
      <c r="E251" s="52"/>
      <c r="H251" s="61"/>
      <c r="K251"/>
    </row>
    <row r="252" spans="5:11" ht="13.5" customHeight="1" x14ac:dyDescent="0.2">
      <c r="E252" s="52"/>
      <c r="H252" s="61"/>
      <c r="K252"/>
    </row>
    <row r="253" spans="5:11" ht="13.5" customHeight="1" x14ac:dyDescent="0.2">
      <c r="E253" s="52"/>
      <c r="H253" s="61"/>
      <c r="K253"/>
    </row>
    <row r="254" spans="5:11" ht="13.5" customHeight="1" x14ac:dyDescent="0.2">
      <c r="E254" s="52"/>
      <c r="H254" s="61"/>
      <c r="K254"/>
    </row>
    <row r="255" spans="5:11" ht="13.5" customHeight="1" x14ac:dyDescent="0.2">
      <c r="E255" s="52"/>
      <c r="H255" s="61"/>
      <c r="K255"/>
    </row>
    <row r="256" spans="5:11" ht="13.5" customHeight="1" x14ac:dyDescent="0.2">
      <c r="E256" s="52"/>
      <c r="H256" s="61"/>
      <c r="K256"/>
    </row>
    <row r="257" spans="5:11" ht="13.5" customHeight="1" x14ac:dyDescent="0.2">
      <c r="E257" s="52"/>
      <c r="H257" s="61"/>
      <c r="K257"/>
    </row>
    <row r="258" spans="5:11" ht="13.5" customHeight="1" x14ac:dyDescent="0.2">
      <c r="E258" s="52"/>
      <c r="H258" s="61"/>
      <c r="K258"/>
    </row>
    <row r="259" spans="5:11" ht="13.5" customHeight="1" x14ac:dyDescent="0.2">
      <c r="E259" s="52"/>
      <c r="H259" s="61"/>
      <c r="K259"/>
    </row>
    <row r="260" spans="5:11" ht="13.5" customHeight="1" x14ac:dyDescent="0.2">
      <c r="E260" s="52"/>
      <c r="H260" s="61"/>
      <c r="K260"/>
    </row>
    <row r="261" spans="5:11" ht="13.5" customHeight="1" x14ac:dyDescent="0.2">
      <c r="E261" s="52"/>
      <c r="H261" s="61"/>
      <c r="K261"/>
    </row>
    <row r="262" spans="5:11" ht="13.5" customHeight="1" x14ac:dyDescent="0.2">
      <c r="E262" s="52"/>
      <c r="H262" s="61"/>
      <c r="K262"/>
    </row>
    <row r="263" spans="5:11" ht="13.5" customHeight="1" x14ac:dyDescent="0.2">
      <c r="E263" s="52"/>
      <c r="H263" s="61"/>
      <c r="K263"/>
    </row>
    <row r="264" spans="5:11" ht="13.5" customHeight="1" x14ac:dyDescent="0.2">
      <c r="E264" s="52"/>
      <c r="H264" s="61"/>
      <c r="K264"/>
    </row>
    <row r="265" spans="5:11" ht="13.5" customHeight="1" x14ac:dyDescent="0.2">
      <c r="E265" s="52"/>
      <c r="H265" s="61"/>
      <c r="K265"/>
    </row>
    <row r="266" spans="5:11" ht="13.5" customHeight="1" x14ac:dyDescent="0.2">
      <c r="E266" s="52"/>
      <c r="H266" s="61"/>
      <c r="K266"/>
    </row>
    <row r="267" spans="5:11" ht="13.5" customHeight="1" x14ac:dyDescent="0.2">
      <c r="E267" s="52"/>
      <c r="H267" s="61"/>
      <c r="K267"/>
    </row>
    <row r="268" spans="5:11" ht="13.5" customHeight="1" x14ac:dyDescent="0.2">
      <c r="E268" s="52"/>
      <c r="H268" s="61"/>
      <c r="K268"/>
    </row>
    <row r="269" spans="5:11" ht="13.5" customHeight="1" x14ac:dyDescent="0.2">
      <c r="E269" s="52"/>
      <c r="H269" s="61"/>
      <c r="K269"/>
    </row>
    <row r="270" spans="5:11" ht="13.5" customHeight="1" x14ac:dyDescent="0.2">
      <c r="E270" s="52"/>
      <c r="H270" s="61"/>
      <c r="K270"/>
    </row>
    <row r="271" spans="5:11" ht="13.5" customHeight="1" x14ac:dyDescent="0.2">
      <c r="E271" s="52"/>
      <c r="H271" s="61"/>
      <c r="K271"/>
    </row>
    <row r="272" spans="5:11" ht="13.5" customHeight="1" x14ac:dyDescent="0.2">
      <c r="E272" s="52"/>
      <c r="H272" s="61"/>
      <c r="K272"/>
    </row>
    <row r="273" spans="5:11" ht="13.5" customHeight="1" x14ac:dyDescent="0.2">
      <c r="E273" s="52"/>
      <c r="H273" s="61"/>
      <c r="K273"/>
    </row>
    <row r="274" spans="5:11" ht="13.5" customHeight="1" x14ac:dyDescent="0.2">
      <c r="E274" s="52"/>
      <c r="H274" s="61"/>
      <c r="K274"/>
    </row>
    <row r="275" spans="5:11" ht="13.5" customHeight="1" x14ac:dyDescent="0.2">
      <c r="E275" s="52"/>
      <c r="H275" s="61"/>
      <c r="K275"/>
    </row>
    <row r="276" spans="5:11" ht="13.5" customHeight="1" x14ac:dyDescent="0.2">
      <c r="E276" s="52"/>
      <c r="H276" s="61"/>
      <c r="K276"/>
    </row>
    <row r="277" spans="5:11" ht="13.5" customHeight="1" x14ac:dyDescent="0.2">
      <c r="E277" s="52"/>
      <c r="H277" s="61"/>
      <c r="K277"/>
    </row>
    <row r="278" spans="5:11" ht="13.5" customHeight="1" x14ac:dyDescent="0.2">
      <c r="E278" s="52"/>
      <c r="H278" s="61"/>
      <c r="K278"/>
    </row>
    <row r="279" spans="5:11" ht="13.5" customHeight="1" x14ac:dyDescent="0.2">
      <c r="E279" s="52"/>
      <c r="H279" s="61"/>
      <c r="K279"/>
    </row>
    <row r="280" spans="5:11" ht="13.5" customHeight="1" x14ac:dyDescent="0.2">
      <c r="E280" s="52"/>
      <c r="H280" s="61"/>
      <c r="K280"/>
    </row>
    <row r="281" spans="5:11" ht="13.5" customHeight="1" x14ac:dyDescent="0.2">
      <c r="E281" s="52"/>
      <c r="H281" s="61"/>
      <c r="K281"/>
    </row>
    <row r="282" spans="5:11" ht="13.5" customHeight="1" x14ac:dyDescent="0.2">
      <c r="E282" s="52"/>
      <c r="H282" s="61"/>
      <c r="K282"/>
    </row>
    <row r="283" spans="5:11" ht="13.5" customHeight="1" x14ac:dyDescent="0.2">
      <c r="E283" s="52"/>
      <c r="H283" s="61"/>
      <c r="K283"/>
    </row>
    <row r="284" spans="5:11" ht="13.5" customHeight="1" x14ac:dyDescent="0.2">
      <c r="E284" s="52"/>
      <c r="H284" s="61"/>
      <c r="K284"/>
    </row>
    <row r="285" spans="5:11" ht="13.5" customHeight="1" x14ac:dyDescent="0.2">
      <c r="E285" s="52"/>
      <c r="H285" s="61"/>
      <c r="K285"/>
    </row>
    <row r="286" spans="5:11" ht="13.5" customHeight="1" x14ac:dyDescent="0.2">
      <c r="E286" s="52"/>
      <c r="H286" s="61"/>
      <c r="K286"/>
    </row>
    <row r="287" spans="5:11" ht="13.5" customHeight="1" x14ac:dyDescent="0.2">
      <c r="E287" s="52"/>
      <c r="H287" s="61"/>
      <c r="K287"/>
    </row>
    <row r="288" spans="5:11" ht="13.5" customHeight="1" x14ac:dyDescent="0.2">
      <c r="E288" s="52"/>
      <c r="H288" s="61"/>
      <c r="K288"/>
    </row>
    <row r="289" spans="5:11" ht="13.5" customHeight="1" x14ac:dyDescent="0.2">
      <c r="E289" s="52"/>
      <c r="H289" s="61"/>
      <c r="K289"/>
    </row>
    <row r="290" spans="5:11" ht="13.5" customHeight="1" x14ac:dyDescent="0.2">
      <c r="E290" s="52"/>
      <c r="H290" s="61"/>
      <c r="K290"/>
    </row>
    <row r="291" spans="5:11" ht="13.5" customHeight="1" x14ac:dyDescent="0.2">
      <c r="E291" s="52"/>
      <c r="H291" s="61"/>
      <c r="K291"/>
    </row>
    <row r="292" spans="5:11" ht="13.5" customHeight="1" x14ac:dyDescent="0.2">
      <c r="E292" s="52"/>
      <c r="H292" s="61"/>
      <c r="K292"/>
    </row>
    <row r="293" spans="5:11" ht="13.5" customHeight="1" x14ac:dyDescent="0.2">
      <c r="E293" s="52"/>
      <c r="H293" s="61"/>
      <c r="K293"/>
    </row>
    <row r="294" spans="5:11" ht="13.5" customHeight="1" x14ac:dyDescent="0.2">
      <c r="E294" s="52"/>
      <c r="H294" s="61"/>
      <c r="K294"/>
    </row>
    <row r="295" spans="5:11" ht="13.5" customHeight="1" x14ac:dyDescent="0.2">
      <c r="E295" s="52"/>
      <c r="H295" s="61"/>
      <c r="K295"/>
    </row>
    <row r="296" spans="5:11" ht="13.5" customHeight="1" x14ac:dyDescent="0.2">
      <c r="E296" s="52"/>
      <c r="H296" s="61"/>
      <c r="K296"/>
    </row>
    <row r="297" spans="5:11" ht="13.5" customHeight="1" x14ac:dyDescent="0.2">
      <c r="E297" s="52"/>
      <c r="H297" s="61"/>
      <c r="K297"/>
    </row>
    <row r="298" spans="5:11" ht="13.5" customHeight="1" x14ac:dyDescent="0.2">
      <c r="E298" s="52"/>
      <c r="H298" s="61"/>
      <c r="K298"/>
    </row>
    <row r="299" spans="5:11" ht="13.5" customHeight="1" x14ac:dyDescent="0.2">
      <c r="E299" s="52"/>
      <c r="H299" s="61"/>
      <c r="K299"/>
    </row>
    <row r="300" spans="5:11" ht="13.5" customHeight="1" x14ac:dyDescent="0.2">
      <c r="E300" s="52"/>
      <c r="H300" s="61"/>
      <c r="K300"/>
    </row>
    <row r="301" spans="5:11" ht="13.5" customHeight="1" x14ac:dyDescent="0.2">
      <c r="E301" s="52"/>
      <c r="H301" s="61"/>
      <c r="K301"/>
    </row>
    <row r="302" spans="5:11" ht="13.5" customHeight="1" x14ac:dyDescent="0.2">
      <c r="E302" s="52"/>
      <c r="H302" s="61"/>
      <c r="K302"/>
    </row>
    <row r="303" spans="5:11" ht="13.5" customHeight="1" x14ac:dyDescent="0.2">
      <c r="E303" s="52"/>
      <c r="H303" s="61"/>
      <c r="K303"/>
    </row>
    <row r="304" spans="5:11" ht="13.5" customHeight="1" x14ac:dyDescent="0.2">
      <c r="E304" s="52"/>
      <c r="H304" s="61"/>
      <c r="K304"/>
    </row>
    <row r="305" spans="5:11" ht="13.5" customHeight="1" x14ac:dyDescent="0.2">
      <c r="E305" s="52"/>
      <c r="H305" s="61"/>
      <c r="K305"/>
    </row>
    <row r="306" spans="5:11" ht="13.5" customHeight="1" x14ac:dyDescent="0.2">
      <c r="E306" s="52"/>
      <c r="H306" s="61"/>
      <c r="K306"/>
    </row>
    <row r="307" spans="5:11" ht="13.5" customHeight="1" x14ac:dyDescent="0.2">
      <c r="E307" s="52"/>
      <c r="H307" s="61"/>
      <c r="K307"/>
    </row>
    <row r="308" spans="5:11" ht="13.5" customHeight="1" x14ac:dyDescent="0.2">
      <c r="E308" s="52"/>
      <c r="H308" s="61"/>
      <c r="K308"/>
    </row>
    <row r="309" spans="5:11" ht="13.5" customHeight="1" x14ac:dyDescent="0.2">
      <c r="E309" s="52"/>
      <c r="H309" s="61"/>
      <c r="K309"/>
    </row>
    <row r="310" spans="5:11" ht="13.5" customHeight="1" x14ac:dyDescent="0.2">
      <c r="E310" s="52"/>
      <c r="H310" s="61"/>
      <c r="K310"/>
    </row>
    <row r="311" spans="5:11" ht="13.5" customHeight="1" x14ac:dyDescent="0.2">
      <c r="E311" s="52"/>
      <c r="H311" s="61"/>
      <c r="K311"/>
    </row>
    <row r="312" spans="5:11" ht="13.5" customHeight="1" x14ac:dyDescent="0.2">
      <c r="E312" s="52"/>
      <c r="H312" s="61"/>
      <c r="K312"/>
    </row>
    <row r="313" spans="5:11" ht="13.5" customHeight="1" x14ac:dyDescent="0.2">
      <c r="E313" s="52"/>
      <c r="H313" s="61"/>
      <c r="K313"/>
    </row>
    <row r="314" spans="5:11" ht="13.5" customHeight="1" x14ac:dyDescent="0.2">
      <c r="E314" s="52"/>
      <c r="H314" s="61"/>
      <c r="K314"/>
    </row>
    <row r="315" spans="5:11" ht="13.5" customHeight="1" x14ac:dyDescent="0.2">
      <c r="E315" s="52"/>
      <c r="H315" s="61"/>
      <c r="K315"/>
    </row>
    <row r="316" spans="5:11" ht="13.5" customHeight="1" x14ac:dyDescent="0.2">
      <c r="E316" s="52"/>
      <c r="H316" s="61"/>
      <c r="K316"/>
    </row>
    <row r="317" spans="5:11" ht="13.5" customHeight="1" x14ac:dyDescent="0.2">
      <c r="E317" s="52"/>
      <c r="H317" s="61"/>
      <c r="K317"/>
    </row>
    <row r="318" spans="5:11" ht="13.5" customHeight="1" x14ac:dyDescent="0.2">
      <c r="E318" s="52"/>
      <c r="H318" s="61"/>
      <c r="K318"/>
    </row>
    <row r="319" spans="5:11" ht="13.5" customHeight="1" x14ac:dyDescent="0.2">
      <c r="E319" s="52"/>
      <c r="H319" s="61"/>
      <c r="K319"/>
    </row>
    <row r="320" spans="5:11" ht="13.5" customHeight="1" x14ac:dyDescent="0.2">
      <c r="E320" s="52"/>
      <c r="H320" s="61"/>
      <c r="K320"/>
    </row>
    <row r="321" spans="5:11" ht="13.5" customHeight="1" x14ac:dyDescent="0.2">
      <c r="E321" s="52"/>
      <c r="H321" s="61"/>
      <c r="K321"/>
    </row>
    <row r="322" spans="5:11" ht="13.5" customHeight="1" x14ac:dyDescent="0.2">
      <c r="E322" s="52"/>
      <c r="H322" s="61"/>
      <c r="K322"/>
    </row>
    <row r="323" spans="5:11" ht="13.5" customHeight="1" x14ac:dyDescent="0.2">
      <c r="E323" s="52"/>
      <c r="H323" s="61"/>
      <c r="K323"/>
    </row>
    <row r="324" spans="5:11" ht="13.5" customHeight="1" x14ac:dyDescent="0.2">
      <c r="E324" s="52"/>
      <c r="H324" s="61"/>
      <c r="K324"/>
    </row>
    <row r="325" spans="5:11" ht="13.5" customHeight="1" x14ac:dyDescent="0.2">
      <c r="E325" s="52"/>
      <c r="H325" s="61"/>
      <c r="K325"/>
    </row>
    <row r="326" spans="5:11" ht="13.5" customHeight="1" x14ac:dyDescent="0.2">
      <c r="E326" s="52"/>
      <c r="H326" s="61"/>
      <c r="K326"/>
    </row>
    <row r="327" spans="5:11" ht="13.5" customHeight="1" x14ac:dyDescent="0.2">
      <c r="E327" s="52"/>
      <c r="H327" s="61"/>
      <c r="K327"/>
    </row>
    <row r="328" spans="5:11" ht="13.5" customHeight="1" x14ac:dyDescent="0.2">
      <c r="E328" s="52"/>
      <c r="H328" s="61"/>
      <c r="K328"/>
    </row>
    <row r="329" spans="5:11" ht="13.5" customHeight="1" x14ac:dyDescent="0.2">
      <c r="E329" s="52"/>
      <c r="H329" s="61"/>
      <c r="K329"/>
    </row>
    <row r="330" spans="5:11" ht="13.5" customHeight="1" x14ac:dyDescent="0.2">
      <c r="E330" s="52"/>
      <c r="H330" s="61"/>
      <c r="K330"/>
    </row>
    <row r="331" spans="5:11" ht="14.25" customHeight="1" x14ac:dyDescent="0.2">
      <c r="E331" s="52"/>
      <c r="H331" s="61"/>
      <c r="K331"/>
    </row>
    <row r="332" spans="5:11" ht="14.25" customHeight="1" x14ac:dyDescent="0.2">
      <c r="E332" s="52"/>
      <c r="H332" s="61"/>
      <c r="K332"/>
    </row>
    <row r="333" spans="5:11" ht="14.25" customHeight="1" x14ac:dyDescent="0.2">
      <c r="E333" s="52"/>
      <c r="H333" s="61"/>
      <c r="K333"/>
    </row>
    <row r="334" spans="5:11" ht="14.25" customHeight="1" x14ac:dyDescent="0.2">
      <c r="E334" s="52"/>
      <c r="H334" s="61"/>
      <c r="K334"/>
    </row>
    <row r="335" spans="5:11" ht="14.25" customHeight="1" x14ac:dyDescent="0.2">
      <c r="E335" s="52"/>
      <c r="H335" s="61"/>
      <c r="K335"/>
    </row>
    <row r="336" spans="5:11" ht="14.25" customHeight="1" x14ac:dyDescent="0.2">
      <c r="E336" s="52"/>
      <c r="H336" s="61"/>
      <c r="K336"/>
    </row>
    <row r="337" spans="5:11" ht="14.25" customHeight="1" x14ac:dyDescent="0.2">
      <c r="E337" s="52"/>
      <c r="H337" s="61"/>
      <c r="K337"/>
    </row>
    <row r="338" spans="5:11" ht="14.25" customHeight="1" x14ac:dyDescent="0.2">
      <c r="E338" s="52"/>
      <c r="H338" s="61"/>
      <c r="K338"/>
    </row>
    <row r="339" spans="5:11" ht="14.25" customHeight="1" x14ac:dyDescent="0.2">
      <c r="E339" s="52"/>
      <c r="H339" s="61"/>
      <c r="K339"/>
    </row>
    <row r="340" spans="5:11" ht="14.25" customHeight="1" x14ac:dyDescent="0.2">
      <c r="E340" s="52"/>
      <c r="H340" s="61"/>
      <c r="K340"/>
    </row>
    <row r="341" spans="5:11" ht="14.25" customHeight="1" x14ac:dyDescent="0.2">
      <c r="E341" s="52"/>
      <c r="H341" s="61"/>
      <c r="K341"/>
    </row>
    <row r="342" spans="5:11" ht="14.25" customHeight="1" x14ac:dyDescent="0.2">
      <c r="E342" s="52"/>
      <c r="H342" s="61"/>
      <c r="K342"/>
    </row>
    <row r="343" spans="5:11" ht="14.25" customHeight="1" x14ac:dyDescent="0.2">
      <c r="E343" s="52"/>
      <c r="H343" s="61"/>
      <c r="K343"/>
    </row>
    <row r="344" spans="5:11" ht="14.25" customHeight="1" x14ac:dyDescent="0.2">
      <c r="E344" s="52"/>
      <c r="H344" s="61"/>
      <c r="K344"/>
    </row>
    <row r="345" spans="5:11" ht="14.25" customHeight="1" x14ac:dyDescent="0.2">
      <c r="E345" s="52"/>
      <c r="H345" s="61"/>
      <c r="K345"/>
    </row>
    <row r="346" spans="5:11" ht="14.25" customHeight="1" x14ac:dyDescent="0.2">
      <c r="E346" s="52"/>
      <c r="H346" s="61"/>
      <c r="K346"/>
    </row>
    <row r="347" spans="5:11" ht="14.25" customHeight="1" x14ac:dyDescent="0.2">
      <c r="E347" s="52"/>
      <c r="H347" s="61"/>
      <c r="K347"/>
    </row>
    <row r="348" spans="5:11" ht="14.25" customHeight="1" x14ac:dyDescent="0.2">
      <c r="E348" s="52"/>
      <c r="H348" s="61"/>
      <c r="K348"/>
    </row>
    <row r="349" spans="5:11" ht="14.25" customHeight="1" x14ac:dyDescent="0.2">
      <c r="E349" s="52"/>
      <c r="H349" s="61"/>
      <c r="K349"/>
    </row>
    <row r="350" spans="5:11" ht="14.25" customHeight="1" x14ac:dyDescent="0.2">
      <c r="E350" s="52"/>
      <c r="H350" s="61"/>
      <c r="K350"/>
    </row>
    <row r="351" spans="5:11" ht="14.25" customHeight="1" x14ac:dyDescent="0.2">
      <c r="E351" s="52"/>
      <c r="H351" s="61"/>
      <c r="K351"/>
    </row>
    <row r="352" spans="5:11" ht="14.25" customHeight="1" x14ac:dyDescent="0.2">
      <c r="E352" s="52"/>
      <c r="H352" s="61"/>
      <c r="K352"/>
    </row>
    <row r="353" spans="5:11" ht="14.25" customHeight="1" x14ac:dyDescent="0.2">
      <c r="E353" s="52"/>
      <c r="H353" s="61"/>
      <c r="K353"/>
    </row>
    <row r="354" spans="5:11" ht="14.25" customHeight="1" x14ac:dyDescent="0.2">
      <c r="E354" s="52"/>
      <c r="H354" s="61"/>
      <c r="K354"/>
    </row>
    <row r="355" spans="5:11" ht="14.25" customHeight="1" x14ac:dyDescent="0.2">
      <c r="E355" s="52"/>
      <c r="H355" s="61"/>
      <c r="K355"/>
    </row>
    <row r="356" spans="5:11" ht="14.25" customHeight="1" x14ac:dyDescent="0.2">
      <c r="E356" s="52"/>
      <c r="H356" s="61"/>
      <c r="K356"/>
    </row>
    <row r="357" spans="5:11" ht="14.25" customHeight="1" x14ac:dyDescent="0.2">
      <c r="E357" s="52"/>
      <c r="H357" s="61"/>
      <c r="K357"/>
    </row>
    <row r="358" spans="5:11" ht="14.25" customHeight="1" x14ac:dyDescent="0.2">
      <c r="E358" s="52"/>
      <c r="H358" s="61"/>
      <c r="K358"/>
    </row>
    <row r="359" spans="5:11" ht="14.25" customHeight="1" x14ac:dyDescent="0.2">
      <c r="E359" s="52"/>
      <c r="H359" s="61"/>
      <c r="K359"/>
    </row>
    <row r="360" spans="5:11" ht="14.25" customHeight="1" x14ac:dyDescent="0.2">
      <c r="E360" s="52"/>
      <c r="H360" s="61"/>
      <c r="K360"/>
    </row>
    <row r="361" spans="5:11" ht="14.25" customHeight="1" x14ac:dyDescent="0.2">
      <c r="E361" s="52"/>
      <c r="H361" s="61"/>
      <c r="K361"/>
    </row>
    <row r="362" spans="5:11" ht="14.25" customHeight="1" x14ac:dyDescent="0.2">
      <c r="E362" s="52"/>
      <c r="H362" s="61"/>
      <c r="K362"/>
    </row>
    <row r="363" spans="5:11" ht="14.25" customHeight="1" x14ac:dyDescent="0.2">
      <c r="E363" s="52"/>
      <c r="H363" s="61"/>
      <c r="K363"/>
    </row>
    <row r="364" spans="5:11" ht="14.25" customHeight="1" x14ac:dyDescent="0.2">
      <c r="E364" s="52"/>
      <c r="H364" s="61"/>
      <c r="K364"/>
    </row>
    <row r="365" spans="5:11" ht="14.25" customHeight="1" x14ac:dyDescent="0.2">
      <c r="E365" s="52"/>
      <c r="H365" s="61"/>
      <c r="K365"/>
    </row>
    <row r="366" spans="5:11" ht="14.25" customHeight="1" x14ac:dyDescent="0.2">
      <c r="E366" s="52"/>
      <c r="H366" s="61"/>
      <c r="K366"/>
    </row>
    <row r="367" spans="5:11" ht="14.25" customHeight="1" x14ac:dyDescent="0.2">
      <c r="E367" s="52"/>
      <c r="H367" s="61"/>
      <c r="K367"/>
    </row>
    <row r="368" spans="5:11" ht="14.25" customHeight="1" x14ac:dyDescent="0.2">
      <c r="E368" s="52"/>
      <c r="H368" s="61"/>
      <c r="K368"/>
    </row>
    <row r="369" spans="5:11" ht="14.25" customHeight="1" x14ac:dyDescent="0.2">
      <c r="E369" s="52"/>
      <c r="H369" s="61"/>
      <c r="K369"/>
    </row>
    <row r="370" spans="5:11" ht="14.25" customHeight="1" x14ac:dyDescent="0.2">
      <c r="E370" s="52"/>
      <c r="H370" s="61"/>
      <c r="K370"/>
    </row>
    <row r="371" spans="5:11" ht="14.25" customHeight="1" x14ac:dyDescent="0.2">
      <c r="E371" s="52"/>
      <c r="H371" s="61"/>
      <c r="K371"/>
    </row>
    <row r="372" spans="5:11" ht="14.25" customHeight="1" x14ac:dyDescent="0.2">
      <c r="E372" s="52"/>
      <c r="H372" s="61"/>
      <c r="K372"/>
    </row>
    <row r="373" spans="5:11" ht="14.25" customHeight="1" x14ac:dyDescent="0.2">
      <c r="E373" s="52"/>
      <c r="H373" s="61"/>
      <c r="K373"/>
    </row>
    <row r="374" spans="5:11" ht="14.25" customHeight="1" x14ac:dyDescent="0.2">
      <c r="E374" s="52"/>
      <c r="H374" s="61"/>
      <c r="K374"/>
    </row>
    <row r="375" spans="5:11" ht="14.25" customHeight="1" x14ac:dyDescent="0.2">
      <c r="E375" s="52"/>
      <c r="H375" s="61"/>
      <c r="K375"/>
    </row>
    <row r="376" spans="5:11" ht="14.25" customHeight="1" x14ac:dyDescent="0.2">
      <c r="E376" s="52"/>
      <c r="H376" s="61"/>
      <c r="K376"/>
    </row>
    <row r="377" spans="5:11" ht="14.25" customHeight="1" x14ac:dyDescent="0.2">
      <c r="E377" s="52"/>
      <c r="H377" s="61"/>
      <c r="K377"/>
    </row>
    <row r="378" spans="5:11" ht="14.25" customHeight="1" x14ac:dyDescent="0.2">
      <c r="E378" s="52"/>
      <c r="H378" s="61"/>
      <c r="K378"/>
    </row>
    <row r="379" spans="5:11" ht="14.25" customHeight="1" x14ac:dyDescent="0.2">
      <c r="E379" s="52"/>
      <c r="H379" s="61"/>
      <c r="K379"/>
    </row>
    <row r="380" spans="5:11" ht="14.25" customHeight="1" x14ac:dyDescent="0.2">
      <c r="E380" s="52"/>
      <c r="H380" s="61"/>
      <c r="K380"/>
    </row>
    <row r="381" spans="5:11" ht="14.25" customHeight="1" x14ac:dyDescent="0.2">
      <c r="E381" s="52"/>
      <c r="H381" s="61"/>
      <c r="K381"/>
    </row>
    <row r="382" spans="5:11" ht="14.25" customHeight="1" x14ac:dyDescent="0.2">
      <c r="E382" s="52"/>
      <c r="H382" s="61"/>
      <c r="K382"/>
    </row>
    <row r="383" spans="5:11" ht="14.25" customHeight="1" x14ac:dyDescent="0.2">
      <c r="E383" s="52"/>
      <c r="H383" s="61"/>
      <c r="K383"/>
    </row>
    <row r="384" spans="5:11" ht="14.25" customHeight="1" x14ac:dyDescent="0.2">
      <c r="E384" s="52"/>
      <c r="H384" s="61"/>
      <c r="K384"/>
    </row>
    <row r="385" spans="5:11" ht="14.25" customHeight="1" x14ac:dyDescent="0.2">
      <c r="E385" s="52"/>
      <c r="H385" s="61"/>
      <c r="K385"/>
    </row>
    <row r="386" spans="5:11" ht="14.25" customHeight="1" x14ac:dyDescent="0.2">
      <c r="E386" s="52"/>
      <c r="H386" s="61"/>
      <c r="K386"/>
    </row>
    <row r="387" spans="5:11" ht="14.25" customHeight="1" x14ac:dyDescent="0.2">
      <c r="E387" s="52"/>
      <c r="H387" s="61"/>
      <c r="K387"/>
    </row>
    <row r="388" spans="5:11" ht="14.25" customHeight="1" x14ac:dyDescent="0.2">
      <c r="E388" s="52"/>
      <c r="H388" s="61"/>
      <c r="K388"/>
    </row>
    <row r="389" spans="5:11" ht="14.25" customHeight="1" x14ac:dyDescent="0.2">
      <c r="E389" s="52"/>
      <c r="H389" s="61"/>
      <c r="K389"/>
    </row>
    <row r="390" spans="5:11" ht="14.25" customHeight="1" x14ac:dyDescent="0.2">
      <c r="E390" s="52"/>
      <c r="H390" s="61"/>
      <c r="K390"/>
    </row>
    <row r="391" spans="5:11" ht="14.25" customHeight="1" x14ac:dyDescent="0.2">
      <c r="E391" s="52"/>
      <c r="H391" s="61"/>
      <c r="K391"/>
    </row>
    <row r="392" spans="5:11" ht="14.25" customHeight="1" x14ac:dyDescent="0.2">
      <c r="E392" s="52"/>
      <c r="H392" s="61"/>
      <c r="K392"/>
    </row>
    <row r="393" spans="5:11" ht="14.25" customHeight="1" x14ac:dyDescent="0.2">
      <c r="E393" s="52"/>
      <c r="H393" s="61"/>
      <c r="K393"/>
    </row>
    <row r="394" spans="5:11" ht="14.25" customHeight="1" x14ac:dyDescent="0.2">
      <c r="E394" s="52"/>
      <c r="H394" s="61"/>
      <c r="K394"/>
    </row>
    <row r="395" spans="5:11" ht="14.25" customHeight="1" x14ac:dyDescent="0.2">
      <c r="E395" s="52"/>
      <c r="H395" s="61"/>
      <c r="K395"/>
    </row>
    <row r="396" spans="5:11" ht="14.25" customHeight="1" x14ac:dyDescent="0.2">
      <c r="E396" s="52"/>
      <c r="H396" s="61"/>
      <c r="K396"/>
    </row>
    <row r="397" spans="5:11" ht="14.25" customHeight="1" x14ac:dyDescent="0.2">
      <c r="E397" s="52"/>
      <c r="H397" s="61"/>
      <c r="K397"/>
    </row>
    <row r="398" spans="5:11" ht="14.25" customHeight="1" x14ac:dyDescent="0.2">
      <c r="E398" s="52"/>
      <c r="H398" s="61"/>
      <c r="K398"/>
    </row>
    <row r="399" spans="5:11" ht="14.25" customHeight="1" x14ac:dyDescent="0.2">
      <c r="E399" s="52"/>
      <c r="H399" s="61"/>
      <c r="K399"/>
    </row>
    <row r="400" spans="5:11" ht="14.25" customHeight="1" x14ac:dyDescent="0.2">
      <c r="E400" s="52"/>
      <c r="H400" s="61"/>
      <c r="K400"/>
    </row>
    <row r="401" spans="5:11" ht="14.25" customHeight="1" x14ac:dyDescent="0.2">
      <c r="E401" s="52"/>
      <c r="H401" s="61"/>
      <c r="K401"/>
    </row>
    <row r="402" spans="5:11" ht="14.25" customHeight="1" x14ac:dyDescent="0.2">
      <c r="E402" s="52"/>
      <c r="H402" s="61"/>
      <c r="K402"/>
    </row>
    <row r="403" spans="5:11" ht="14.25" customHeight="1" x14ac:dyDescent="0.2">
      <c r="E403" s="52"/>
      <c r="H403" s="61"/>
      <c r="K403"/>
    </row>
    <row r="404" spans="5:11" ht="14.25" customHeight="1" x14ac:dyDescent="0.2">
      <c r="E404" s="52"/>
      <c r="H404" s="61"/>
      <c r="K404"/>
    </row>
    <row r="405" spans="5:11" ht="14.25" customHeight="1" x14ac:dyDescent="0.2">
      <c r="E405" s="52"/>
      <c r="H405" s="61"/>
      <c r="K405"/>
    </row>
    <row r="406" spans="5:11" ht="14.25" customHeight="1" x14ac:dyDescent="0.2">
      <c r="E406" s="52"/>
      <c r="H406" s="61"/>
      <c r="K406"/>
    </row>
    <row r="407" spans="5:11" ht="14.25" customHeight="1" x14ac:dyDescent="0.2">
      <c r="E407" s="52"/>
      <c r="H407" s="61"/>
      <c r="K407"/>
    </row>
    <row r="408" spans="5:11" ht="14.25" customHeight="1" x14ac:dyDescent="0.2">
      <c r="E408" s="52"/>
      <c r="H408" s="61"/>
      <c r="K408"/>
    </row>
    <row r="409" spans="5:11" ht="14.25" customHeight="1" x14ac:dyDescent="0.2">
      <c r="E409" s="52"/>
      <c r="H409" s="61"/>
      <c r="K409"/>
    </row>
    <row r="410" spans="5:11" ht="14.25" customHeight="1" x14ac:dyDescent="0.2">
      <c r="E410" s="52"/>
      <c r="H410" s="61"/>
      <c r="K410"/>
    </row>
    <row r="411" spans="5:11" ht="14.25" customHeight="1" x14ac:dyDescent="0.2">
      <c r="E411" s="52"/>
      <c r="H411" s="61"/>
      <c r="K411"/>
    </row>
    <row r="412" spans="5:11" ht="14.25" customHeight="1" x14ac:dyDescent="0.2">
      <c r="E412" s="52"/>
      <c r="H412" s="61"/>
      <c r="K412"/>
    </row>
    <row r="413" spans="5:11" ht="14.25" customHeight="1" x14ac:dyDescent="0.2">
      <c r="E413" s="52"/>
      <c r="H413" s="61"/>
      <c r="K413"/>
    </row>
    <row r="414" spans="5:11" ht="14.25" customHeight="1" x14ac:dyDescent="0.2">
      <c r="E414" s="52"/>
      <c r="H414" s="61"/>
      <c r="K414"/>
    </row>
    <row r="415" spans="5:11" ht="14.25" customHeight="1" x14ac:dyDescent="0.2">
      <c r="E415" s="52"/>
      <c r="H415" s="61"/>
      <c r="K415"/>
    </row>
    <row r="416" spans="5:11" ht="14.25" customHeight="1" x14ac:dyDescent="0.2">
      <c r="E416" s="52"/>
      <c r="H416" s="61"/>
      <c r="K416"/>
    </row>
    <row r="417" spans="5:11" ht="14.25" customHeight="1" x14ac:dyDescent="0.2">
      <c r="E417" s="52"/>
      <c r="H417" s="61"/>
      <c r="K417"/>
    </row>
    <row r="418" spans="5:11" ht="14.25" customHeight="1" x14ac:dyDescent="0.2">
      <c r="E418" s="52"/>
      <c r="H418" s="61"/>
      <c r="K418"/>
    </row>
    <row r="419" spans="5:11" ht="14.25" customHeight="1" x14ac:dyDescent="0.2">
      <c r="E419" s="52"/>
      <c r="H419" s="61"/>
      <c r="K419"/>
    </row>
    <row r="420" spans="5:11" ht="14.25" customHeight="1" x14ac:dyDescent="0.2">
      <c r="E420" s="52"/>
      <c r="H420" s="61"/>
      <c r="K420"/>
    </row>
    <row r="421" spans="5:11" ht="14.25" customHeight="1" x14ac:dyDescent="0.2">
      <c r="E421" s="52"/>
      <c r="H421" s="61"/>
      <c r="K421"/>
    </row>
    <row r="422" spans="5:11" ht="14.25" customHeight="1" x14ac:dyDescent="0.2">
      <c r="E422" s="52"/>
      <c r="H422" s="61"/>
      <c r="K422"/>
    </row>
    <row r="423" spans="5:11" ht="14.25" customHeight="1" x14ac:dyDescent="0.2">
      <c r="E423" s="52"/>
      <c r="H423" s="61"/>
      <c r="K423"/>
    </row>
    <row r="424" spans="5:11" ht="14.25" customHeight="1" x14ac:dyDescent="0.2">
      <c r="E424" s="52"/>
      <c r="H424" s="61"/>
      <c r="K424"/>
    </row>
    <row r="425" spans="5:11" ht="14.25" customHeight="1" x14ac:dyDescent="0.2">
      <c r="E425" s="52"/>
      <c r="H425" s="61"/>
      <c r="K425"/>
    </row>
    <row r="426" spans="5:11" ht="14.25" customHeight="1" x14ac:dyDescent="0.2">
      <c r="E426" s="52"/>
      <c r="H426" s="61"/>
      <c r="K426"/>
    </row>
    <row r="427" spans="5:11" ht="14.25" customHeight="1" x14ac:dyDescent="0.2">
      <c r="E427" s="52"/>
      <c r="H427" s="61"/>
      <c r="K427"/>
    </row>
    <row r="428" spans="5:11" ht="14.25" customHeight="1" x14ac:dyDescent="0.2">
      <c r="E428" s="52"/>
      <c r="H428" s="61"/>
      <c r="K428"/>
    </row>
    <row r="429" spans="5:11" ht="14.25" customHeight="1" x14ac:dyDescent="0.2">
      <c r="E429" s="52"/>
      <c r="H429" s="61"/>
      <c r="K429"/>
    </row>
    <row r="430" spans="5:11" ht="14.25" customHeight="1" x14ac:dyDescent="0.2">
      <c r="E430" s="52"/>
      <c r="H430" s="61"/>
      <c r="K430"/>
    </row>
    <row r="431" spans="5:11" ht="14.25" customHeight="1" x14ac:dyDescent="0.2">
      <c r="E431" s="52"/>
      <c r="H431" s="61"/>
      <c r="K431"/>
    </row>
    <row r="432" spans="5:11" ht="14.25" customHeight="1" x14ac:dyDescent="0.2">
      <c r="E432" s="52"/>
      <c r="H432" s="61"/>
      <c r="K432"/>
    </row>
    <row r="433" spans="5:11" ht="14.25" customHeight="1" x14ac:dyDescent="0.2">
      <c r="E433" s="52"/>
      <c r="H433" s="61"/>
      <c r="K433"/>
    </row>
    <row r="434" spans="5:11" ht="14.25" customHeight="1" x14ac:dyDescent="0.2">
      <c r="E434" s="52"/>
      <c r="H434" s="61"/>
      <c r="K434"/>
    </row>
    <row r="435" spans="5:11" ht="14.25" customHeight="1" x14ac:dyDescent="0.2">
      <c r="E435" s="52"/>
      <c r="H435" s="61"/>
      <c r="K435"/>
    </row>
    <row r="436" spans="5:11" ht="14.25" customHeight="1" x14ac:dyDescent="0.2">
      <c r="E436" s="52"/>
      <c r="H436" s="61"/>
      <c r="K436"/>
    </row>
    <row r="437" spans="5:11" ht="14.25" customHeight="1" x14ac:dyDescent="0.2">
      <c r="E437" s="52"/>
      <c r="H437" s="61"/>
      <c r="K437"/>
    </row>
    <row r="438" spans="5:11" ht="14.25" customHeight="1" x14ac:dyDescent="0.2">
      <c r="E438" s="52"/>
      <c r="H438" s="61"/>
      <c r="K438"/>
    </row>
    <row r="439" spans="5:11" ht="14.25" customHeight="1" x14ac:dyDescent="0.2">
      <c r="E439" s="52"/>
      <c r="H439" s="61"/>
      <c r="K439"/>
    </row>
    <row r="440" spans="5:11" ht="14.25" customHeight="1" x14ac:dyDescent="0.2">
      <c r="E440" s="52"/>
      <c r="H440" s="61"/>
      <c r="K440"/>
    </row>
    <row r="441" spans="5:11" ht="14.25" customHeight="1" x14ac:dyDescent="0.2">
      <c r="E441" s="52"/>
      <c r="H441" s="61"/>
      <c r="K441"/>
    </row>
    <row r="442" spans="5:11" ht="14.25" customHeight="1" x14ac:dyDescent="0.2">
      <c r="E442" s="52"/>
      <c r="H442" s="61"/>
      <c r="K442"/>
    </row>
    <row r="443" spans="5:11" ht="14.25" customHeight="1" x14ac:dyDescent="0.2">
      <c r="E443" s="52"/>
      <c r="H443" s="61"/>
      <c r="K443"/>
    </row>
    <row r="444" spans="5:11" ht="14.25" customHeight="1" x14ac:dyDescent="0.2">
      <c r="E444" s="52"/>
      <c r="H444" s="61"/>
      <c r="K444"/>
    </row>
    <row r="445" spans="5:11" ht="14.25" customHeight="1" x14ac:dyDescent="0.2">
      <c r="E445" s="52"/>
      <c r="H445" s="61"/>
      <c r="K445"/>
    </row>
    <row r="446" spans="5:11" ht="14.25" customHeight="1" x14ac:dyDescent="0.2">
      <c r="E446" s="52"/>
      <c r="H446" s="61"/>
      <c r="K446"/>
    </row>
    <row r="447" spans="5:11" ht="14.25" customHeight="1" x14ac:dyDescent="0.2">
      <c r="E447" s="52"/>
      <c r="H447" s="61"/>
      <c r="K447"/>
    </row>
    <row r="448" spans="5:11" ht="14.25" customHeight="1" x14ac:dyDescent="0.2">
      <c r="E448" s="52"/>
      <c r="H448" s="61"/>
      <c r="K448"/>
    </row>
    <row r="449" spans="5:11" ht="14.25" customHeight="1" x14ac:dyDescent="0.2">
      <c r="E449" s="52"/>
      <c r="H449" s="61"/>
      <c r="K449"/>
    </row>
    <row r="450" spans="5:11" ht="14.25" customHeight="1" x14ac:dyDescent="0.2">
      <c r="E450" s="52"/>
      <c r="H450" s="61"/>
      <c r="K450"/>
    </row>
    <row r="451" spans="5:11" ht="14.25" customHeight="1" x14ac:dyDescent="0.2">
      <c r="E451" s="52"/>
      <c r="H451" s="61"/>
      <c r="K451"/>
    </row>
    <row r="452" spans="5:11" ht="14.25" customHeight="1" x14ac:dyDescent="0.2">
      <c r="E452" s="52"/>
      <c r="H452" s="61"/>
      <c r="K452"/>
    </row>
    <row r="453" spans="5:11" ht="14.25" customHeight="1" x14ac:dyDescent="0.2">
      <c r="E453" s="52"/>
      <c r="H453" s="61"/>
      <c r="K453"/>
    </row>
    <row r="454" spans="5:11" ht="14.25" customHeight="1" x14ac:dyDescent="0.2">
      <c r="E454" s="52"/>
      <c r="H454" s="61"/>
      <c r="K454"/>
    </row>
    <row r="455" spans="5:11" ht="14.25" customHeight="1" x14ac:dyDescent="0.2">
      <c r="E455" s="52"/>
      <c r="H455" s="61"/>
      <c r="K455"/>
    </row>
    <row r="456" spans="5:11" ht="14.25" customHeight="1" x14ac:dyDescent="0.2">
      <c r="E456" s="52"/>
      <c r="H456" s="61"/>
      <c r="K456"/>
    </row>
    <row r="457" spans="5:11" ht="14.25" customHeight="1" x14ac:dyDescent="0.2">
      <c r="E457" s="52"/>
      <c r="H457" s="61"/>
      <c r="K457"/>
    </row>
    <row r="458" spans="5:11" ht="14.25" customHeight="1" x14ac:dyDescent="0.2">
      <c r="E458" s="52"/>
      <c r="H458" s="61"/>
      <c r="K458"/>
    </row>
    <row r="459" spans="5:11" ht="14.25" customHeight="1" x14ac:dyDescent="0.2">
      <c r="E459" s="52"/>
      <c r="H459" s="61"/>
      <c r="K459"/>
    </row>
    <row r="460" spans="5:11" ht="14.25" customHeight="1" x14ac:dyDescent="0.2">
      <c r="E460" s="52"/>
      <c r="H460" s="61"/>
      <c r="K460"/>
    </row>
    <row r="461" spans="5:11" ht="14.25" customHeight="1" x14ac:dyDescent="0.2">
      <c r="E461" s="52"/>
      <c r="H461" s="61"/>
      <c r="K461"/>
    </row>
    <row r="462" spans="5:11" ht="14.25" customHeight="1" x14ac:dyDescent="0.2">
      <c r="E462" s="52"/>
      <c r="H462" s="61"/>
      <c r="K462"/>
    </row>
    <row r="463" spans="5:11" ht="14.25" customHeight="1" x14ac:dyDescent="0.2">
      <c r="E463" s="52"/>
      <c r="F463" s="41"/>
      <c r="H463" s="61"/>
      <c r="K463"/>
    </row>
    <row r="464" spans="5:11" ht="14.25" customHeight="1" x14ac:dyDescent="0.2">
      <c r="E464" s="52"/>
      <c r="F464" s="41"/>
      <c r="H464" s="61"/>
      <c r="K464"/>
    </row>
    <row r="465" spans="5:11" ht="14.25" customHeight="1" x14ac:dyDescent="0.2">
      <c r="E465" s="52"/>
      <c r="F465" s="41"/>
      <c r="H465" s="61"/>
      <c r="K465"/>
    </row>
    <row r="466" spans="5:11" ht="14.25" customHeight="1" x14ac:dyDescent="0.2">
      <c r="E466" s="52"/>
      <c r="F466" s="41"/>
      <c r="H466" s="61"/>
      <c r="K466"/>
    </row>
    <row r="467" spans="5:11" ht="14.25" customHeight="1" x14ac:dyDescent="0.2">
      <c r="E467" s="52"/>
      <c r="F467" s="41"/>
      <c r="H467" s="61"/>
      <c r="K467"/>
    </row>
    <row r="468" spans="5:11" ht="14.25" customHeight="1" x14ac:dyDescent="0.2">
      <c r="E468" s="52"/>
      <c r="F468" s="41"/>
      <c r="H468" s="61"/>
      <c r="K468"/>
    </row>
    <row r="469" spans="5:11" ht="14.25" customHeight="1" x14ac:dyDescent="0.2">
      <c r="E469" s="52"/>
      <c r="F469" s="41"/>
      <c r="H469" s="61"/>
      <c r="K469"/>
    </row>
    <row r="470" spans="5:11" ht="14.25" customHeight="1" x14ac:dyDescent="0.2">
      <c r="E470" s="52"/>
      <c r="F470" s="41"/>
      <c r="H470" s="61"/>
      <c r="K470"/>
    </row>
    <row r="471" spans="5:11" ht="14.25" customHeight="1" x14ac:dyDescent="0.2">
      <c r="E471" s="52"/>
      <c r="F471" s="41"/>
      <c r="H471" s="61"/>
      <c r="K471"/>
    </row>
    <row r="472" spans="5:11" ht="14.25" customHeight="1" x14ac:dyDescent="0.2">
      <c r="E472" s="52"/>
      <c r="F472" s="41"/>
      <c r="H472" s="61"/>
      <c r="K472"/>
    </row>
    <row r="473" spans="5:11" ht="14.25" customHeight="1" x14ac:dyDescent="0.2">
      <c r="E473" s="52"/>
      <c r="F473" s="41"/>
      <c r="H473" s="61"/>
      <c r="K473"/>
    </row>
    <row r="474" spans="5:11" ht="14.25" customHeight="1" x14ac:dyDescent="0.2">
      <c r="E474" s="52"/>
      <c r="F474" s="41"/>
      <c r="H474" s="61"/>
      <c r="K474"/>
    </row>
    <row r="475" spans="5:11" ht="13.5" customHeight="1" x14ac:dyDescent="0.2">
      <c r="E475" s="52"/>
      <c r="F475" s="41"/>
      <c r="H475" s="61"/>
      <c r="K475"/>
    </row>
    <row r="476" spans="5:11" ht="13.5" customHeight="1" x14ac:dyDescent="0.2">
      <c r="E476" s="52"/>
      <c r="F476" s="41"/>
      <c r="H476" s="61"/>
      <c r="K476"/>
    </row>
    <row r="477" spans="5:11" ht="13.5" customHeight="1" x14ac:dyDescent="0.2">
      <c r="E477" s="52"/>
      <c r="F477" s="41"/>
      <c r="H477" s="61"/>
      <c r="K477"/>
    </row>
    <row r="478" spans="5:11" ht="13.5" customHeight="1" x14ac:dyDescent="0.2">
      <c r="E478" s="52"/>
      <c r="F478" s="41"/>
      <c r="H478" s="61"/>
      <c r="K478"/>
    </row>
    <row r="479" spans="5:11" ht="13.5" customHeight="1" x14ac:dyDescent="0.2">
      <c r="E479" s="52"/>
      <c r="F479" s="41"/>
      <c r="H479" s="61"/>
      <c r="K479"/>
    </row>
    <row r="480" spans="5:11" ht="13.5" customHeight="1" x14ac:dyDescent="0.2">
      <c r="E480" s="52"/>
      <c r="F480" s="41"/>
      <c r="H480" s="61"/>
      <c r="K480"/>
    </row>
    <row r="481" spans="5:11" ht="13.5" customHeight="1" x14ac:dyDescent="0.2">
      <c r="E481" s="52"/>
      <c r="F481" s="41"/>
      <c r="H481" s="61"/>
      <c r="K481"/>
    </row>
    <row r="482" spans="5:11" ht="13.5" customHeight="1" x14ac:dyDescent="0.2">
      <c r="E482" s="52"/>
      <c r="F482" s="41"/>
      <c r="H482" s="61"/>
      <c r="K482"/>
    </row>
    <row r="483" spans="5:11" ht="13.5" customHeight="1" x14ac:dyDescent="0.2">
      <c r="E483" s="52"/>
      <c r="F483" s="41"/>
      <c r="H483" s="61"/>
      <c r="K483"/>
    </row>
    <row r="484" spans="5:11" ht="13.5" customHeight="1" x14ac:dyDescent="0.2">
      <c r="E484" s="52"/>
      <c r="F484" s="41"/>
      <c r="H484" s="61"/>
      <c r="K484"/>
    </row>
    <row r="485" spans="5:11" ht="13.5" customHeight="1" x14ac:dyDescent="0.2">
      <c r="E485" s="52"/>
      <c r="F485" s="41"/>
      <c r="H485" s="61"/>
      <c r="K485"/>
    </row>
    <row r="486" spans="5:11" ht="13.5" customHeight="1" x14ac:dyDescent="0.2">
      <c r="E486" s="52"/>
      <c r="F486" s="41"/>
      <c r="H486" s="61"/>
      <c r="K486"/>
    </row>
    <row r="487" spans="5:11" ht="13.5" customHeight="1" x14ac:dyDescent="0.2">
      <c r="E487" s="52"/>
      <c r="F487" s="41"/>
      <c r="H487" s="61"/>
      <c r="K487"/>
    </row>
    <row r="488" spans="5:11" ht="13.5" customHeight="1" x14ac:dyDescent="0.2">
      <c r="E488" s="52"/>
      <c r="F488" s="41"/>
      <c r="H488" s="61"/>
      <c r="K488"/>
    </row>
    <row r="489" spans="5:11" ht="13.5" customHeight="1" x14ac:dyDescent="0.2">
      <c r="E489" s="52"/>
      <c r="F489" s="41"/>
      <c r="H489" s="61"/>
      <c r="K489"/>
    </row>
    <row r="490" spans="5:11" ht="13.5" customHeight="1" x14ac:dyDescent="0.2">
      <c r="E490" s="52"/>
      <c r="F490" s="41"/>
      <c r="H490" s="61"/>
      <c r="K490"/>
    </row>
    <row r="491" spans="5:11" ht="13.5" customHeight="1" x14ac:dyDescent="0.2">
      <c r="E491" s="52"/>
      <c r="F491" s="41"/>
      <c r="H491" s="61"/>
      <c r="K491"/>
    </row>
    <row r="492" spans="5:11" ht="13.5" customHeight="1" x14ac:dyDescent="0.2">
      <c r="E492" s="52"/>
      <c r="F492" s="41"/>
      <c r="H492" s="61"/>
      <c r="K492"/>
    </row>
    <row r="493" spans="5:11" ht="13.5" customHeight="1" x14ac:dyDescent="0.2">
      <c r="E493" s="52"/>
      <c r="F493" s="41"/>
      <c r="H493" s="61"/>
      <c r="K493"/>
    </row>
    <row r="494" spans="5:11" ht="13.5" customHeight="1" x14ac:dyDescent="0.2">
      <c r="E494" s="52"/>
      <c r="F494" s="41"/>
      <c r="H494" s="61"/>
      <c r="K494"/>
    </row>
    <row r="495" spans="5:11" ht="13.5" customHeight="1" x14ac:dyDescent="0.2">
      <c r="E495" s="52"/>
      <c r="F495" s="41"/>
      <c r="H495" s="61"/>
      <c r="K495"/>
    </row>
    <row r="496" spans="5:11" ht="13.5" customHeight="1" x14ac:dyDescent="0.2">
      <c r="E496" s="52"/>
      <c r="F496" s="41"/>
      <c r="H496" s="61"/>
      <c r="K496"/>
    </row>
    <row r="497" spans="5:11" ht="13.5" customHeight="1" x14ac:dyDescent="0.2">
      <c r="E497" s="52"/>
      <c r="F497" s="41"/>
      <c r="H497" s="61"/>
      <c r="K497"/>
    </row>
    <row r="498" spans="5:11" ht="13.5" customHeight="1" x14ac:dyDescent="0.2">
      <c r="E498" s="52"/>
      <c r="F498" s="41"/>
      <c r="H498" s="61"/>
      <c r="K498"/>
    </row>
    <row r="499" spans="5:11" ht="13.5" customHeight="1" x14ac:dyDescent="0.2">
      <c r="E499" s="52"/>
      <c r="H499" s="61"/>
      <c r="K499"/>
    </row>
    <row r="500" spans="5:11" ht="13.5" customHeight="1" x14ac:dyDescent="0.2">
      <c r="E500" s="52"/>
      <c r="H500" s="61"/>
      <c r="K500"/>
    </row>
    <row r="501" spans="5:11" ht="13.5" customHeight="1" x14ac:dyDescent="0.2">
      <c r="E501" s="52"/>
      <c r="H501" s="61"/>
      <c r="K501"/>
    </row>
    <row r="502" spans="5:11" ht="13.5" customHeight="1" x14ac:dyDescent="0.2">
      <c r="E502" s="52"/>
      <c r="H502" s="61"/>
      <c r="K502"/>
    </row>
    <row r="503" spans="5:11" ht="13.5" customHeight="1" x14ac:dyDescent="0.2">
      <c r="E503" s="52"/>
      <c r="H503" s="61"/>
      <c r="K503"/>
    </row>
    <row r="504" spans="5:11" ht="13.5" customHeight="1" x14ac:dyDescent="0.2">
      <c r="E504" s="52"/>
      <c r="H504" s="61"/>
      <c r="K504"/>
    </row>
    <row r="505" spans="5:11" ht="13.5" customHeight="1" x14ac:dyDescent="0.2">
      <c r="E505" s="52"/>
      <c r="H505" s="61"/>
      <c r="K505"/>
    </row>
    <row r="506" spans="5:11" ht="13.5" customHeight="1" x14ac:dyDescent="0.2">
      <c r="E506" s="52"/>
      <c r="H506" s="61"/>
      <c r="K506"/>
    </row>
    <row r="507" spans="5:11" ht="13.5" customHeight="1" x14ac:dyDescent="0.2">
      <c r="E507" s="52"/>
      <c r="H507" s="61"/>
      <c r="K507"/>
    </row>
    <row r="508" spans="5:11" ht="13.5" customHeight="1" x14ac:dyDescent="0.2">
      <c r="E508" s="52"/>
      <c r="H508" s="61"/>
      <c r="K508"/>
    </row>
    <row r="509" spans="5:11" ht="13.5" customHeight="1" x14ac:dyDescent="0.2">
      <c r="E509" s="52"/>
      <c r="H509" s="61"/>
      <c r="K509"/>
    </row>
    <row r="510" spans="5:11" ht="13.5" customHeight="1" x14ac:dyDescent="0.2">
      <c r="E510" s="52"/>
      <c r="H510" s="61"/>
      <c r="K510"/>
    </row>
    <row r="511" spans="5:11" ht="13.5" customHeight="1" x14ac:dyDescent="0.2">
      <c r="E511" s="52"/>
      <c r="H511" s="61"/>
      <c r="K511"/>
    </row>
    <row r="512" spans="5:11" ht="13.5" customHeight="1" x14ac:dyDescent="0.2">
      <c r="E512" s="52"/>
      <c r="H512" s="61"/>
      <c r="K512"/>
    </row>
    <row r="513" spans="5:11" ht="13.5" customHeight="1" x14ac:dyDescent="0.2">
      <c r="E513" s="52"/>
      <c r="H513" s="61"/>
      <c r="K513"/>
    </row>
    <row r="514" spans="5:11" ht="13.5" customHeight="1" x14ac:dyDescent="0.2">
      <c r="E514" s="52"/>
      <c r="H514" s="61"/>
      <c r="K514"/>
    </row>
    <row r="515" spans="5:11" ht="13.5" customHeight="1" x14ac:dyDescent="0.2">
      <c r="E515" s="52"/>
      <c r="H515" s="61"/>
      <c r="K515"/>
    </row>
    <row r="516" spans="5:11" ht="13.5" customHeight="1" x14ac:dyDescent="0.2">
      <c r="E516" s="52"/>
      <c r="H516" s="61"/>
      <c r="K516"/>
    </row>
    <row r="517" spans="5:11" ht="13.5" customHeight="1" x14ac:dyDescent="0.2">
      <c r="E517" s="52"/>
      <c r="H517" s="61"/>
      <c r="K517"/>
    </row>
    <row r="518" spans="5:11" ht="13.5" customHeight="1" x14ac:dyDescent="0.2">
      <c r="E518" s="52"/>
      <c r="H518" s="61"/>
      <c r="K518"/>
    </row>
    <row r="519" spans="5:11" ht="13.5" customHeight="1" x14ac:dyDescent="0.2">
      <c r="E519" s="52"/>
      <c r="H519" s="61"/>
      <c r="K519"/>
    </row>
    <row r="520" spans="5:11" ht="13.5" customHeight="1" x14ac:dyDescent="0.2">
      <c r="E520" s="52"/>
      <c r="H520" s="61"/>
      <c r="K520"/>
    </row>
    <row r="521" spans="5:11" ht="13.5" customHeight="1" x14ac:dyDescent="0.2">
      <c r="E521" s="52"/>
      <c r="H521" s="61"/>
      <c r="K521"/>
    </row>
    <row r="522" spans="5:11" ht="13.5" customHeight="1" x14ac:dyDescent="0.2">
      <c r="E522" s="52"/>
      <c r="H522" s="61"/>
      <c r="K522"/>
    </row>
    <row r="523" spans="5:11" ht="13.5" customHeight="1" x14ac:dyDescent="0.2">
      <c r="E523" s="52"/>
      <c r="H523" s="61"/>
      <c r="K523"/>
    </row>
    <row r="524" spans="5:11" ht="13.5" customHeight="1" x14ac:dyDescent="0.2">
      <c r="E524" s="52"/>
      <c r="H524" s="61"/>
      <c r="K524"/>
    </row>
    <row r="525" spans="5:11" ht="13.5" customHeight="1" x14ac:dyDescent="0.2">
      <c r="E525" s="52"/>
      <c r="H525" s="61"/>
      <c r="K525"/>
    </row>
    <row r="526" spans="5:11" ht="13.5" customHeight="1" x14ac:dyDescent="0.2">
      <c r="E526" s="52"/>
      <c r="H526" s="61"/>
      <c r="K526"/>
    </row>
    <row r="527" spans="5:11" ht="13.5" customHeight="1" x14ac:dyDescent="0.2">
      <c r="E527" s="52"/>
      <c r="H527" s="61"/>
      <c r="K527"/>
    </row>
    <row r="528" spans="5:11" ht="13.5" customHeight="1" x14ac:dyDescent="0.2">
      <c r="E528" s="52"/>
      <c r="H528" s="61"/>
      <c r="K528"/>
    </row>
    <row r="529" spans="5:11" ht="13.5" customHeight="1" x14ac:dyDescent="0.2">
      <c r="E529" s="52"/>
      <c r="H529" s="61"/>
      <c r="K529"/>
    </row>
    <row r="530" spans="5:11" ht="13.5" customHeight="1" x14ac:dyDescent="0.2">
      <c r="E530" s="52"/>
      <c r="H530" s="61"/>
      <c r="K530"/>
    </row>
    <row r="531" spans="5:11" ht="13.5" customHeight="1" x14ac:dyDescent="0.2">
      <c r="E531" s="52"/>
      <c r="H531" s="61"/>
      <c r="K531"/>
    </row>
    <row r="532" spans="5:11" ht="13.5" customHeight="1" x14ac:dyDescent="0.2">
      <c r="E532" s="52"/>
      <c r="H532" s="61"/>
      <c r="K532"/>
    </row>
    <row r="533" spans="5:11" ht="13.5" customHeight="1" x14ac:dyDescent="0.2">
      <c r="E533" s="52"/>
      <c r="H533" s="61"/>
      <c r="K533"/>
    </row>
    <row r="534" spans="5:11" ht="13.5" customHeight="1" x14ac:dyDescent="0.2">
      <c r="E534" s="52"/>
      <c r="H534" s="61"/>
      <c r="K534"/>
    </row>
    <row r="535" spans="5:11" ht="13.5" customHeight="1" x14ac:dyDescent="0.2">
      <c r="E535" s="52"/>
      <c r="H535" s="61"/>
      <c r="K535"/>
    </row>
    <row r="536" spans="5:11" ht="13.5" customHeight="1" x14ac:dyDescent="0.2">
      <c r="E536" s="52"/>
      <c r="H536" s="61"/>
      <c r="K536"/>
    </row>
    <row r="537" spans="5:11" ht="13.5" customHeight="1" x14ac:dyDescent="0.2">
      <c r="E537" s="52"/>
      <c r="H537" s="61"/>
      <c r="K537"/>
    </row>
    <row r="538" spans="5:11" ht="13.5" customHeight="1" x14ac:dyDescent="0.2">
      <c r="E538" s="52"/>
      <c r="H538" s="61"/>
      <c r="K538"/>
    </row>
    <row r="539" spans="5:11" ht="13.5" customHeight="1" x14ac:dyDescent="0.2">
      <c r="E539" s="52"/>
      <c r="H539" s="61"/>
      <c r="K539"/>
    </row>
    <row r="540" spans="5:11" ht="13.5" customHeight="1" x14ac:dyDescent="0.2">
      <c r="E540" s="52"/>
      <c r="H540" s="61"/>
      <c r="K540"/>
    </row>
    <row r="541" spans="5:11" ht="13.5" customHeight="1" x14ac:dyDescent="0.2">
      <c r="E541" s="52"/>
      <c r="H541" s="61"/>
      <c r="K541"/>
    </row>
    <row r="542" spans="5:11" ht="13.5" customHeight="1" x14ac:dyDescent="0.2">
      <c r="E542" s="52"/>
      <c r="H542" s="61"/>
      <c r="K542"/>
    </row>
    <row r="543" spans="5:11" ht="13.5" customHeight="1" x14ac:dyDescent="0.2">
      <c r="E543" s="52"/>
      <c r="H543" s="61"/>
      <c r="K543"/>
    </row>
    <row r="544" spans="5:11" ht="13.5" customHeight="1" x14ac:dyDescent="0.2">
      <c r="E544" s="52"/>
      <c r="H544" s="61"/>
      <c r="K544"/>
    </row>
    <row r="545" spans="5:11" ht="13.5" customHeight="1" x14ac:dyDescent="0.2">
      <c r="E545" s="52"/>
      <c r="H545" s="61"/>
      <c r="K545"/>
    </row>
    <row r="546" spans="5:11" ht="13.5" customHeight="1" x14ac:dyDescent="0.2">
      <c r="E546" s="52"/>
      <c r="H546" s="61"/>
      <c r="K546"/>
    </row>
    <row r="547" spans="5:11" ht="13.5" customHeight="1" x14ac:dyDescent="0.2">
      <c r="E547" s="52"/>
      <c r="H547" s="61"/>
      <c r="K547"/>
    </row>
    <row r="548" spans="5:11" ht="13.5" customHeight="1" x14ac:dyDescent="0.2">
      <c r="E548" s="52"/>
      <c r="H548" s="61"/>
      <c r="K548"/>
    </row>
    <row r="549" spans="5:11" ht="13.5" customHeight="1" x14ac:dyDescent="0.2">
      <c r="E549" s="52"/>
      <c r="H549" s="61"/>
      <c r="K549"/>
    </row>
    <row r="550" spans="5:11" ht="13.5" customHeight="1" x14ac:dyDescent="0.2">
      <c r="E550" s="52"/>
      <c r="H550" s="61"/>
      <c r="K550"/>
    </row>
    <row r="551" spans="5:11" ht="13.5" customHeight="1" x14ac:dyDescent="0.2">
      <c r="E551" s="52"/>
      <c r="H551" s="61"/>
      <c r="K551"/>
    </row>
    <row r="552" spans="5:11" ht="13.5" customHeight="1" x14ac:dyDescent="0.2">
      <c r="E552" s="52"/>
      <c r="H552" s="61"/>
      <c r="K552"/>
    </row>
    <row r="553" spans="5:11" ht="13.5" customHeight="1" x14ac:dyDescent="0.2">
      <c r="E553" s="52"/>
      <c r="H553" s="61"/>
      <c r="K553"/>
    </row>
    <row r="554" spans="5:11" ht="13.5" customHeight="1" x14ac:dyDescent="0.2">
      <c r="E554" s="52"/>
      <c r="H554" s="61"/>
      <c r="K554"/>
    </row>
    <row r="555" spans="5:11" ht="13.5" customHeight="1" x14ac:dyDescent="0.2">
      <c r="E555" s="52"/>
      <c r="H555" s="61"/>
      <c r="K555"/>
    </row>
    <row r="556" spans="5:11" ht="13.5" customHeight="1" x14ac:dyDescent="0.2">
      <c r="E556" s="52"/>
      <c r="H556" s="61"/>
      <c r="K556"/>
    </row>
    <row r="557" spans="5:11" ht="13.5" customHeight="1" x14ac:dyDescent="0.2">
      <c r="E557" s="52"/>
      <c r="H557" s="61"/>
      <c r="K557"/>
    </row>
    <row r="558" spans="5:11" ht="13.5" customHeight="1" x14ac:dyDescent="0.2">
      <c r="E558" s="52"/>
      <c r="H558" s="61"/>
      <c r="K558"/>
    </row>
    <row r="559" spans="5:11" ht="13.5" customHeight="1" x14ac:dyDescent="0.2">
      <c r="E559" s="52"/>
      <c r="H559" s="61"/>
      <c r="K559"/>
    </row>
    <row r="560" spans="5:11" ht="13.5" customHeight="1" x14ac:dyDescent="0.2">
      <c r="E560" s="52"/>
      <c r="H560" s="61"/>
      <c r="K560"/>
    </row>
    <row r="561" spans="5:11" ht="13.5" customHeight="1" x14ac:dyDescent="0.2">
      <c r="E561" s="52"/>
      <c r="H561" s="61"/>
      <c r="K561"/>
    </row>
    <row r="562" spans="5:11" ht="13.5" customHeight="1" x14ac:dyDescent="0.2">
      <c r="E562" s="52"/>
      <c r="H562" s="61"/>
      <c r="K562"/>
    </row>
    <row r="563" spans="5:11" ht="13.5" customHeight="1" x14ac:dyDescent="0.2">
      <c r="E563" s="52"/>
      <c r="H563" s="61"/>
      <c r="K563"/>
    </row>
    <row r="564" spans="5:11" ht="13.5" customHeight="1" x14ac:dyDescent="0.2">
      <c r="E564" s="52"/>
      <c r="H564" s="61"/>
      <c r="K564"/>
    </row>
    <row r="565" spans="5:11" ht="13.5" customHeight="1" x14ac:dyDescent="0.2">
      <c r="E565" s="52"/>
      <c r="H565" s="61"/>
      <c r="K565"/>
    </row>
    <row r="566" spans="5:11" ht="13.5" customHeight="1" x14ac:dyDescent="0.2">
      <c r="E566" s="52"/>
      <c r="H566" s="61"/>
      <c r="K566"/>
    </row>
    <row r="567" spans="5:11" ht="13.5" customHeight="1" x14ac:dyDescent="0.2">
      <c r="E567" s="52"/>
      <c r="H567" s="61"/>
      <c r="K567"/>
    </row>
    <row r="568" spans="5:11" ht="13.5" customHeight="1" x14ac:dyDescent="0.2">
      <c r="E568" s="52"/>
      <c r="H568" s="61"/>
      <c r="K568"/>
    </row>
    <row r="569" spans="5:11" ht="13.5" customHeight="1" x14ac:dyDescent="0.2">
      <c r="E569" s="52"/>
      <c r="H569" s="61"/>
      <c r="K569"/>
    </row>
    <row r="570" spans="5:11" ht="13.5" customHeight="1" x14ac:dyDescent="0.2">
      <c r="E570" s="52"/>
      <c r="H570" s="61"/>
      <c r="K570"/>
    </row>
    <row r="571" spans="5:11" ht="13.5" customHeight="1" x14ac:dyDescent="0.2">
      <c r="E571" s="52"/>
      <c r="H571" s="61"/>
      <c r="K571"/>
    </row>
    <row r="572" spans="5:11" ht="13.5" customHeight="1" x14ac:dyDescent="0.2">
      <c r="E572" s="52"/>
      <c r="H572" s="61"/>
      <c r="K572"/>
    </row>
    <row r="573" spans="5:11" ht="13.5" customHeight="1" x14ac:dyDescent="0.2">
      <c r="E573" s="52"/>
      <c r="H573" s="61"/>
      <c r="K573"/>
    </row>
    <row r="574" spans="5:11" ht="13.5" customHeight="1" x14ac:dyDescent="0.2">
      <c r="E574" s="52"/>
      <c r="H574" s="61"/>
      <c r="K574"/>
    </row>
    <row r="575" spans="5:11" ht="13.5" customHeight="1" x14ac:dyDescent="0.2">
      <c r="E575" s="52"/>
      <c r="H575" s="61"/>
      <c r="K575"/>
    </row>
    <row r="576" spans="5:11" ht="13.5" customHeight="1" x14ac:dyDescent="0.2">
      <c r="E576" s="52"/>
      <c r="H576" s="61"/>
      <c r="K576"/>
    </row>
    <row r="577" spans="5:11" ht="13.5" customHeight="1" x14ac:dyDescent="0.2">
      <c r="E577" s="52"/>
      <c r="H577" s="61"/>
      <c r="K577"/>
    </row>
    <row r="578" spans="5:11" ht="13.5" customHeight="1" x14ac:dyDescent="0.2">
      <c r="E578" s="52"/>
      <c r="H578" s="61"/>
      <c r="K578"/>
    </row>
    <row r="579" spans="5:11" ht="13.5" customHeight="1" x14ac:dyDescent="0.2">
      <c r="E579" s="52"/>
      <c r="H579" s="61"/>
      <c r="K579"/>
    </row>
    <row r="580" spans="5:11" ht="13.5" customHeight="1" x14ac:dyDescent="0.2">
      <c r="E580" s="52"/>
      <c r="H580" s="61"/>
      <c r="K580"/>
    </row>
    <row r="581" spans="5:11" ht="13.5" customHeight="1" x14ac:dyDescent="0.2">
      <c r="E581" s="52"/>
      <c r="H581" s="61"/>
      <c r="K581"/>
    </row>
    <row r="582" spans="5:11" ht="13.5" customHeight="1" x14ac:dyDescent="0.2">
      <c r="E582" s="52"/>
      <c r="H582" s="61"/>
      <c r="K582"/>
    </row>
    <row r="583" spans="5:11" ht="13.5" customHeight="1" x14ac:dyDescent="0.2">
      <c r="E583" s="52"/>
      <c r="H583" s="61"/>
      <c r="K583"/>
    </row>
    <row r="584" spans="5:11" ht="13.5" customHeight="1" x14ac:dyDescent="0.2">
      <c r="E584" s="52"/>
      <c r="H584" s="61"/>
      <c r="K584"/>
    </row>
    <row r="585" spans="5:11" ht="13.5" customHeight="1" x14ac:dyDescent="0.2">
      <c r="E585" s="52"/>
      <c r="H585" s="61"/>
      <c r="K585"/>
    </row>
    <row r="586" spans="5:11" ht="13.5" customHeight="1" x14ac:dyDescent="0.2">
      <c r="E586" s="52"/>
      <c r="H586" s="61"/>
      <c r="K586"/>
    </row>
    <row r="587" spans="5:11" ht="13.5" customHeight="1" x14ac:dyDescent="0.2">
      <c r="E587" s="52"/>
      <c r="H587" s="61"/>
      <c r="K587"/>
    </row>
    <row r="588" spans="5:11" ht="13.5" customHeight="1" x14ac:dyDescent="0.2">
      <c r="E588" s="52"/>
      <c r="H588" s="61"/>
      <c r="K588"/>
    </row>
    <row r="589" spans="5:11" ht="13.5" customHeight="1" x14ac:dyDescent="0.2">
      <c r="E589" s="52"/>
      <c r="H589" s="61"/>
      <c r="K589"/>
    </row>
    <row r="590" spans="5:11" ht="13.5" customHeight="1" x14ac:dyDescent="0.2">
      <c r="E590" s="52"/>
      <c r="H590" s="61"/>
      <c r="K590"/>
    </row>
    <row r="591" spans="5:11" ht="13.5" customHeight="1" x14ac:dyDescent="0.2">
      <c r="E591" s="52"/>
      <c r="H591" s="61"/>
      <c r="K591"/>
    </row>
    <row r="592" spans="5:11" ht="13.5" customHeight="1" x14ac:dyDescent="0.2">
      <c r="E592" s="52"/>
      <c r="H592" s="61"/>
      <c r="K592"/>
    </row>
    <row r="593" spans="5:11" ht="13.5" customHeight="1" x14ac:dyDescent="0.2">
      <c r="E593" s="52"/>
      <c r="H593" s="61"/>
      <c r="K593"/>
    </row>
    <row r="594" spans="5:11" ht="13.5" customHeight="1" x14ac:dyDescent="0.2">
      <c r="E594" s="52"/>
      <c r="H594" s="61"/>
      <c r="K594"/>
    </row>
    <row r="595" spans="5:11" ht="13.5" customHeight="1" x14ac:dyDescent="0.2">
      <c r="E595" s="52"/>
      <c r="H595" s="61"/>
      <c r="K595"/>
    </row>
    <row r="596" spans="5:11" ht="13.5" customHeight="1" x14ac:dyDescent="0.2">
      <c r="E596" s="52"/>
      <c r="H596" s="61"/>
      <c r="K596"/>
    </row>
    <row r="597" spans="5:11" ht="13.5" customHeight="1" x14ac:dyDescent="0.2">
      <c r="E597" s="52"/>
      <c r="H597" s="61"/>
      <c r="K597"/>
    </row>
    <row r="598" spans="5:11" ht="13.5" customHeight="1" x14ac:dyDescent="0.2">
      <c r="E598" s="52"/>
      <c r="H598" s="61"/>
      <c r="K598"/>
    </row>
    <row r="599" spans="5:11" ht="13.5" customHeight="1" x14ac:dyDescent="0.2">
      <c r="E599" s="52"/>
      <c r="H599" s="61"/>
      <c r="K599"/>
    </row>
    <row r="600" spans="5:11" ht="13.5" customHeight="1" x14ac:dyDescent="0.2">
      <c r="E600" s="52"/>
      <c r="H600" s="61"/>
      <c r="K600"/>
    </row>
    <row r="601" spans="5:11" ht="13.5" customHeight="1" x14ac:dyDescent="0.2">
      <c r="E601" s="52"/>
      <c r="H601" s="61"/>
      <c r="K601"/>
    </row>
    <row r="602" spans="5:11" ht="13.5" customHeight="1" x14ac:dyDescent="0.2">
      <c r="E602" s="52"/>
      <c r="H602" s="61"/>
      <c r="K602"/>
    </row>
    <row r="603" spans="5:11" ht="13.5" customHeight="1" x14ac:dyDescent="0.2">
      <c r="E603" s="52"/>
      <c r="H603" s="61"/>
      <c r="K603"/>
    </row>
    <row r="604" spans="5:11" ht="13.5" customHeight="1" x14ac:dyDescent="0.2">
      <c r="E604" s="52"/>
      <c r="H604" s="61"/>
      <c r="K604"/>
    </row>
    <row r="605" spans="5:11" ht="13.5" customHeight="1" x14ac:dyDescent="0.2">
      <c r="E605" s="52"/>
      <c r="H605" s="61"/>
      <c r="K605"/>
    </row>
    <row r="606" spans="5:11" ht="13.5" customHeight="1" x14ac:dyDescent="0.2">
      <c r="E606" s="52"/>
      <c r="H606" s="61"/>
      <c r="K606"/>
    </row>
    <row r="607" spans="5:11" ht="13.5" customHeight="1" x14ac:dyDescent="0.2">
      <c r="E607" s="52"/>
      <c r="H607" s="61"/>
      <c r="K607"/>
    </row>
    <row r="608" spans="5:11" ht="13.5" customHeight="1" x14ac:dyDescent="0.2">
      <c r="E608" s="52"/>
      <c r="H608" s="61"/>
      <c r="K608"/>
    </row>
    <row r="609" spans="5:11" ht="13.5" customHeight="1" x14ac:dyDescent="0.2">
      <c r="E609" s="52"/>
      <c r="H609" s="61"/>
      <c r="K609"/>
    </row>
    <row r="610" spans="5:11" ht="13.5" customHeight="1" x14ac:dyDescent="0.2">
      <c r="E610" s="52"/>
      <c r="H610" s="61"/>
      <c r="K610"/>
    </row>
    <row r="611" spans="5:11" ht="13.5" customHeight="1" x14ac:dyDescent="0.2">
      <c r="E611" s="52"/>
      <c r="H611" s="61"/>
      <c r="K611"/>
    </row>
    <row r="612" spans="5:11" ht="13.5" customHeight="1" x14ac:dyDescent="0.2">
      <c r="E612" s="52"/>
      <c r="H612" s="61"/>
      <c r="K612"/>
    </row>
    <row r="613" spans="5:11" ht="13.5" customHeight="1" x14ac:dyDescent="0.2">
      <c r="E613" s="52"/>
      <c r="H613" s="61"/>
      <c r="K613"/>
    </row>
    <row r="614" spans="5:11" ht="13.5" customHeight="1" x14ac:dyDescent="0.2">
      <c r="E614" s="52"/>
      <c r="H614" s="61"/>
      <c r="K614"/>
    </row>
    <row r="615" spans="5:11" ht="13.5" customHeight="1" x14ac:dyDescent="0.2">
      <c r="E615" s="52"/>
      <c r="H615" s="61"/>
      <c r="K615"/>
    </row>
    <row r="616" spans="5:11" ht="13.5" customHeight="1" x14ac:dyDescent="0.2">
      <c r="E616" s="52"/>
      <c r="H616" s="61"/>
      <c r="K616"/>
    </row>
    <row r="617" spans="5:11" ht="13.5" customHeight="1" x14ac:dyDescent="0.2">
      <c r="E617" s="52"/>
      <c r="H617" s="61"/>
      <c r="K617"/>
    </row>
    <row r="618" spans="5:11" ht="13.5" customHeight="1" x14ac:dyDescent="0.2">
      <c r="E618" s="52"/>
      <c r="H618" s="61"/>
      <c r="K618"/>
    </row>
    <row r="619" spans="5:11" ht="13.5" customHeight="1" x14ac:dyDescent="0.2">
      <c r="E619" s="52"/>
      <c r="H619" s="61"/>
      <c r="K619"/>
    </row>
    <row r="620" spans="5:11" ht="13.5" customHeight="1" x14ac:dyDescent="0.2">
      <c r="E620" s="52"/>
      <c r="H620" s="61"/>
      <c r="K620"/>
    </row>
    <row r="621" spans="5:11" ht="13.5" customHeight="1" x14ac:dyDescent="0.2">
      <c r="E621" s="52"/>
      <c r="H621" s="61"/>
      <c r="K621"/>
    </row>
    <row r="622" spans="5:11" ht="13.5" customHeight="1" x14ac:dyDescent="0.2">
      <c r="E622" s="52"/>
      <c r="H622" s="61"/>
      <c r="K622"/>
    </row>
    <row r="623" spans="5:11" ht="13.5" customHeight="1" x14ac:dyDescent="0.2">
      <c r="E623" s="52"/>
      <c r="H623" s="61"/>
      <c r="K623"/>
    </row>
    <row r="624" spans="5:11" ht="13.5" customHeight="1" x14ac:dyDescent="0.2">
      <c r="E624" s="52"/>
      <c r="H624" s="61"/>
      <c r="K624"/>
    </row>
    <row r="625" spans="5:11" ht="13.5" customHeight="1" x14ac:dyDescent="0.2">
      <c r="E625" s="52"/>
      <c r="H625" s="61"/>
      <c r="K625"/>
    </row>
    <row r="626" spans="5:11" ht="13.5" customHeight="1" x14ac:dyDescent="0.2">
      <c r="E626" s="52"/>
      <c r="H626" s="61"/>
      <c r="K626"/>
    </row>
    <row r="627" spans="5:11" ht="13.5" customHeight="1" x14ac:dyDescent="0.2">
      <c r="E627" s="52"/>
      <c r="H627" s="61"/>
      <c r="K627"/>
    </row>
    <row r="628" spans="5:11" ht="13.5" customHeight="1" x14ac:dyDescent="0.2">
      <c r="E628" s="52"/>
      <c r="H628" s="61"/>
      <c r="K628"/>
    </row>
    <row r="629" spans="5:11" ht="13.5" customHeight="1" x14ac:dyDescent="0.2">
      <c r="E629" s="52"/>
      <c r="H629" s="61"/>
      <c r="K629"/>
    </row>
    <row r="630" spans="5:11" ht="13.5" customHeight="1" x14ac:dyDescent="0.2">
      <c r="E630" s="52"/>
      <c r="H630" s="61"/>
      <c r="K630"/>
    </row>
    <row r="631" spans="5:11" ht="13.5" customHeight="1" x14ac:dyDescent="0.2">
      <c r="E631" s="52"/>
      <c r="H631" s="61"/>
      <c r="K631"/>
    </row>
    <row r="632" spans="5:11" ht="13.5" customHeight="1" x14ac:dyDescent="0.2">
      <c r="E632" s="52"/>
      <c r="H632" s="61"/>
      <c r="K632"/>
    </row>
    <row r="633" spans="5:11" ht="13.5" customHeight="1" x14ac:dyDescent="0.2">
      <c r="E633" s="52"/>
      <c r="H633" s="61"/>
      <c r="K633"/>
    </row>
    <row r="634" spans="5:11" ht="13.5" customHeight="1" x14ac:dyDescent="0.2">
      <c r="E634" s="52"/>
      <c r="H634" s="61"/>
      <c r="K634"/>
    </row>
    <row r="635" spans="5:11" ht="13.5" customHeight="1" x14ac:dyDescent="0.2">
      <c r="E635" s="52"/>
      <c r="H635" s="61"/>
      <c r="K635"/>
    </row>
    <row r="636" spans="5:11" ht="13.5" customHeight="1" x14ac:dyDescent="0.2">
      <c r="E636" s="52"/>
      <c r="H636" s="61"/>
      <c r="K636"/>
    </row>
    <row r="637" spans="5:11" ht="13.5" customHeight="1" x14ac:dyDescent="0.2">
      <c r="E637" s="52"/>
      <c r="H637" s="61"/>
      <c r="K637"/>
    </row>
    <row r="638" spans="5:11" ht="13.5" customHeight="1" x14ac:dyDescent="0.2">
      <c r="E638" s="52"/>
      <c r="H638" s="61"/>
      <c r="K638"/>
    </row>
    <row r="639" spans="5:11" ht="13.5" customHeight="1" x14ac:dyDescent="0.2">
      <c r="E639" s="52"/>
      <c r="H639" s="61"/>
      <c r="K639"/>
    </row>
    <row r="640" spans="5:11" ht="13.5" customHeight="1" x14ac:dyDescent="0.2">
      <c r="E640" s="52"/>
      <c r="H640" s="61"/>
      <c r="K640"/>
    </row>
    <row r="641" spans="5:11" ht="13.5" customHeight="1" x14ac:dyDescent="0.2">
      <c r="E641" s="52"/>
      <c r="H641" s="61"/>
      <c r="K641"/>
    </row>
    <row r="642" spans="5:11" ht="13.5" customHeight="1" x14ac:dyDescent="0.2">
      <c r="E642" s="52"/>
      <c r="H642" s="61"/>
      <c r="K642"/>
    </row>
    <row r="643" spans="5:11" ht="13.5" customHeight="1" x14ac:dyDescent="0.2">
      <c r="E643" s="52"/>
      <c r="H643" s="61"/>
      <c r="K643"/>
    </row>
    <row r="644" spans="5:11" ht="13.5" customHeight="1" x14ac:dyDescent="0.2">
      <c r="E644" s="52"/>
      <c r="H644" s="61"/>
      <c r="K644"/>
    </row>
    <row r="645" spans="5:11" ht="13.5" customHeight="1" x14ac:dyDescent="0.2">
      <c r="E645" s="52"/>
      <c r="H645" s="61"/>
      <c r="K645"/>
    </row>
    <row r="646" spans="5:11" ht="13.5" customHeight="1" x14ac:dyDescent="0.2">
      <c r="E646" s="52"/>
      <c r="H646" s="61"/>
      <c r="K646"/>
    </row>
    <row r="647" spans="5:11" ht="13.5" customHeight="1" x14ac:dyDescent="0.2">
      <c r="E647" s="52"/>
      <c r="H647" s="61"/>
      <c r="K647"/>
    </row>
    <row r="648" spans="5:11" ht="13.5" customHeight="1" x14ac:dyDescent="0.2">
      <c r="E648" s="52"/>
      <c r="H648" s="61"/>
      <c r="K648"/>
    </row>
    <row r="649" spans="5:11" ht="13.5" customHeight="1" x14ac:dyDescent="0.2">
      <c r="E649" s="52"/>
      <c r="H649" s="61"/>
      <c r="K649"/>
    </row>
    <row r="650" spans="5:11" ht="13.5" customHeight="1" x14ac:dyDescent="0.2">
      <c r="E650" s="52"/>
      <c r="H650" s="61"/>
      <c r="K650"/>
    </row>
    <row r="651" spans="5:11" ht="13.5" customHeight="1" x14ac:dyDescent="0.2">
      <c r="E651" s="52"/>
      <c r="H651" s="61"/>
      <c r="K651"/>
    </row>
    <row r="652" spans="5:11" ht="13.5" customHeight="1" x14ac:dyDescent="0.2">
      <c r="E652" s="52"/>
      <c r="H652" s="61"/>
      <c r="K652"/>
    </row>
    <row r="653" spans="5:11" ht="13.5" customHeight="1" x14ac:dyDescent="0.2">
      <c r="E653" s="52"/>
      <c r="H653" s="61"/>
      <c r="K653"/>
    </row>
    <row r="654" spans="5:11" ht="13.5" customHeight="1" x14ac:dyDescent="0.2">
      <c r="E654" s="52"/>
      <c r="H654" s="61"/>
      <c r="K654"/>
    </row>
    <row r="655" spans="5:11" ht="13.5" customHeight="1" x14ac:dyDescent="0.2">
      <c r="E655" s="52"/>
      <c r="H655" s="61"/>
      <c r="K655"/>
    </row>
    <row r="656" spans="5:11" ht="13.5" customHeight="1" x14ac:dyDescent="0.2">
      <c r="E656" s="52"/>
      <c r="H656" s="61"/>
      <c r="K656"/>
    </row>
    <row r="657" spans="5:11" ht="13.5" customHeight="1" x14ac:dyDescent="0.2">
      <c r="E657" s="52"/>
      <c r="H657" s="61"/>
      <c r="K657"/>
    </row>
    <row r="658" spans="5:11" ht="13.5" customHeight="1" x14ac:dyDescent="0.2">
      <c r="E658" s="52"/>
      <c r="H658" s="61"/>
      <c r="K658"/>
    </row>
    <row r="659" spans="5:11" ht="13.5" customHeight="1" x14ac:dyDescent="0.2">
      <c r="E659" s="52"/>
      <c r="H659" s="61"/>
      <c r="K659"/>
    </row>
    <row r="660" spans="5:11" ht="13.5" customHeight="1" x14ac:dyDescent="0.2">
      <c r="E660" s="52"/>
      <c r="H660" s="61"/>
      <c r="K660"/>
    </row>
    <row r="661" spans="5:11" ht="13.5" customHeight="1" x14ac:dyDescent="0.2">
      <c r="E661" s="52"/>
      <c r="H661" s="61"/>
      <c r="K661"/>
    </row>
    <row r="662" spans="5:11" ht="13.5" customHeight="1" x14ac:dyDescent="0.2">
      <c r="E662" s="52"/>
      <c r="H662" s="61"/>
      <c r="K662"/>
    </row>
    <row r="663" spans="5:11" ht="13.5" customHeight="1" x14ac:dyDescent="0.2">
      <c r="E663" s="52"/>
      <c r="H663" s="61"/>
      <c r="K663"/>
    </row>
    <row r="664" spans="5:11" ht="13.5" customHeight="1" x14ac:dyDescent="0.2">
      <c r="E664" s="52"/>
      <c r="H664" s="61"/>
      <c r="K664"/>
    </row>
    <row r="665" spans="5:11" ht="13.5" customHeight="1" x14ac:dyDescent="0.2">
      <c r="E665" s="52"/>
      <c r="H665" s="61"/>
      <c r="K665"/>
    </row>
    <row r="666" spans="5:11" ht="13.5" customHeight="1" x14ac:dyDescent="0.2">
      <c r="E666" s="52"/>
      <c r="H666" s="61"/>
      <c r="K666"/>
    </row>
    <row r="667" spans="5:11" ht="13.5" customHeight="1" x14ac:dyDescent="0.2">
      <c r="E667" s="52"/>
      <c r="H667" s="61"/>
      <c r="K667"/>
    </row>
    <row r="668" spans="5:11" ht="13.5" customHeight="1" x14ac:dyDescent="0.2">
      <c r="E668" s="52"/>
      <c r="H668" s="61"/>
      <c r="K668"/>
    </row>
    <row r="669" spans="5:11" ht="13.5" customHeight="1" x14ac:dyDescent="0.2">
      <c r="E669" s="52"/>
      <c r="H669" s="61"/>
      <c r="K669"/>
    </row>
    <row r="670" spans="5:11" ht="13.5" customHeight="1" x14ac:dyDescent="0.2">
      <c r="E670" s="52"/>
      <c r="H670" s="61"/>
      <c r="K670"/>
    </row>
    <row r="671" spans="5:11" ht="13.5" customHeight="1" x14ac:dyDescent="0.2">
      <c r="E671" s="52"/>
      <c r="H671" s="61"/>
      <c r="K671"/>
    </row>
    <row r="672" spans="5:11" ht="13.5" customHeight="1" x14ac:dyDescent="0.2">
      <c r="E672" s="52"/>
      <c r="H672" s="61"/>
      <c r="K672"/>
    </row>
    <row r="673" spans="5:11" ht="13.5" customHeight="1" x14ac:dyDescent="0.2">
      <c r="E673" s="52"/>
      <c r="H673" s="61"/>
      <c r="K673"/>
    </row>
    <row r="674" spans="5:11" ht="13.5" customHeight="1" x14ac:dyDescent="0.2">
      <c r="E674" s="52"/>
      <c r="H674" s="61"/>
      <c r="K674"/>
    </row>
    <row r="675" spans="5:11" ht="13.5" customHeight="1" x14ac:dyDescent="0.2">
      <c r="E675" s="52"/>
      <c r="H675" s="61"/>
      <c r="K675"/>
    </row>
    <row r="676" spans="5:11" ht="13.5" customHeight="1" x14ac:dyDescent="0.2">
      <c r="E676" s="52"/>
      <c r="H676" s="61"/>
      <c r="K676"/>
    </row>
    <row r="677" spans="5:11" ht="13.5" customHeight="1" x14ac:dyDescent="0.2">
      <c r="E677" s="52"/>
      <c r="H677" s="61"/>
      <c r="K677"/>
    </row>
    <row r="678" spans="5:11" ht="13.5" customHeight="1" x14ac:dyDescent="0.2">
      <c r="E678" s="52"/>
      <c r="H678" s="61"/>
      <c r="K678"/>
    </row>
    <row r="679" spans="5:11" ht="13.5" customHeight="1" x14ac:dyDescent="0.2">
      <c r="E679" s="52"/>
      <c r="H679" s="61"/>
      <c r="K679"/>
    </row>
    <row r="680" spans="5:11" ht="13.5" customHeight="1" x14ac:dyDescent="0.2">
      <c r="E680" s="52"/>
      <c r="H680" s="61"/>
      <c r="K680"/>
    </row>
    <row r="681" spans="5:11" ht="13.5" customHeight="1" x14ac:dyDescent="0.2">
      <c r="E681" s="52"/>
      <c r="H681" s="61"/>
      <c r="K681"/>
    </row>
    <row r="682" spans="5:11" ht="13.5" customHeight="1" x14ac:dyDescent="0.2">
      <c r="E682" s="52"/>
      <c r="H682" s="61"/>
      <c r="K682"/>
    </row>
    <row r="683" spans="5:11" ht="13.5" customHeight="1" x14ac:dyDescent="0.2">
      <c r="E683" s="52"/>
      <c r="H683" s="61"/>
      <c r="K683"/>
    </row>
    <row r="684" spans="5:11" ht="13.5" customHeight="1" x14ac:dyDescent="0.2">
      <c r="E684" s="52"/>
      <c r="H684" s="61"/>
      <c r="K684"/>
    </row>
    <row r="685" spans="5:11" ht="13.5" customHeight="1" x14ac:dyDescent="0.2">
      <c r="E685" s="52"/>
      <c r="H685" s="61"/>
      <c r="K685"/>
    </row>
    <row r="686" spans="5:11" ht="13.5" customHeight="1" x14ac:dyDescent="0.2">
      <c r="E686" s="52"/>
      <c r="H686" s="61"/>
      <c r="K686"/>
    </row>
    <row r="687" spans="5:11" ht="13.5" customHeight="1" x14ac:dyDescent="0.2">
      <c r="E687" s="52"/>
      <c r="H687" s="61"/>
      <c r="K687"/>
    </row>
    <row r="688" spans="5:11" ht="13.5" customHeight="1" x14ac:dyDescent="0.2">
      <c r="E688" s="52"/>
      <c r="H688" s="61"/>
      <c r="K688"/>
    </row>
    <row r="689" spans="5:11" ht="13.5" customHeight="1" x14ac:dyDescent="0.2">
      <c r="E689" s="52"/>
      <c r="H689" s="61"/>
      <c r="K689"/>
    </row>
    <row r="690" spans="5:11" ht="13.5" customHeight="1" x14ac:dyDescent="0.2">
      <c r="E690" s="52"/>
      <c r="H690" s="61"/>
      <c r="K690"/>
    </row>
    <row r="691" spans="5:11" ht="13.5" customHeight="1" x14ac:dyDescent="0.2">
      <c r="E691" s="52"/>
      <c r="H691" s="61"/>
      <c r="K691"/>
    </row>
    <row r="692" spans="5:11" ht="13.5" customHeight="1" x14ac:dyDescent="0.2">
      <c r="E692" s="52"/>
      <c r="H692" s="61"/>
      <c r="K692"/>
    </row>
    <row r="693" spans="5:11" ht="13.5" customHeight="1" x14ac:dyDescent="0.2">
      <c r="E693" s="52"/>
      <c r="H693" s="61"/>
      <c r="K693"/>
    </row>
    <row r="694" spans="5:11" ht="13.5" customHeight="1" x14ac:dyDescent="0.2">
      <c r="E694" s="52"/>
      <c r="H694" s="61"/>
      <c r="K694"/>
    </row>
    <row r="695" spans="5:11" ht="13.5" customHeight="1" x14ac:dyDescent="0.2">
      <c r="E695" s="52"/>
      <c r="H695" s="61"/>
      <c r="K695"/>
    </row>
    <row r="696" spans="5:11" ht="13.5" customHeight="1" x14ac:dyDescent="0.2">
      <c r="E696" s="52"/>
      <c r="H696" s="61"/>
      <c r="K696"/>
    </row>
    <row r="697" spans="5:11" ht="13.5" customHeight="1" x14ac:dyDescent="0.2">
      <c r="E697" s="52"/>
      <c r="H697" s="61"/>
      <c r="K697"/>
    </row>
    <row r="698" spans="5:11" ht="13.5" customHeight="1" x14ac:dyDescent="0.2">
      <c r="E698" s="52"/>
      <c r="H698" s="61"/>
      <c r="K698"/>
    </row>
    <row r="699" spans="5:11" ht="13.5" customHeight="1" x14ac:dyDescent="0.2">
      <c r="E699" s="52"/>
      <c r="H699" s="61"/>
      <c r="K699"/>
    </row>
    <row r="700" spans="5:11" ht="13.5" customHeight="1" x14ac:dyDescent="0.2">
      <c r="E700" s="52"/>
      <c r="H700" s="61"/>
      <c r="K700"/>
    </row>
    <row r="701" spans="5:11" ht="13.5" customHeight="1" x14ac:dyDescent="0.2">
      <c r="E701" s="52"/>
      <c r="H701" s="61"/>
      <c r="K701"/>
    </row>
    <row r="702" spans="5:11" ht="13.5" customHeight="1" x14ac:dyDescent="0.2">
      <c r="E702" s="52"/>
      <c r="H702" s="61"/>
      <c r="K702"/>
    </row>
    <row r="703" spans="5:11" ht="13.5" customHeight="1" x14ac:dyDescent="0.2">
      <c r="E703" s="52"/>
      <c r="H703" s="61"/>
      <c r="K703"/>
    </row>
    <row r="704" spans="5:11" ht="13.5" customHeight="1" x14ac:dyDescent="0.2">
      <c r="E704" s="52"/>
      <c r="H704" s="61"/>
      <c r="K704"/>
    </row>
    <row r="705" spans="5:11" ht="13.5" customHeight="1" x14ac:dyDescent="0.2">
      <c r="E705" s="52"/>
      <c r="H705" s="61"/>
      <c r="K705"/>
    </row>
    <row r="706" spans="5:11" ht="13.5" customHeight="1" x14ac:dyDescent="0.2">
      <c r="E706" s="52"/>
      <c r="H706" s="61"/>
      <c r="K706"/>
    </row>
    <row r="707" spans="5:11" ht="13.5" customHeight="1" x14ac:dyDescent="0.2">
      <c r="E707" s="52"/>
      <c r="H707" s="61"/>
      <c r="K707"/>
    </row>
    <row r="708" spans="5:11" ht="13.5" customHeight="1" x14ac:dyDescent="0.2">
      <c r="E708" s="52"/>
      <c r="H708" s="61"/>
      <c r="K708"/>
    </row>
    <row r="709" spans="5:11" ht="13.5" customHeight="1" x14ac:dyDescent="0.2">
      <c r="E709" s="52"/>
      <c r="H709" s="61"/>
      <c r="K709"/>
    </row>
    <row r="710" spans="5:11" ht="13.5" customHeight="1" x14ac:dyDescent="0.2">
      <c r="E710" s="52"/>
      <c r="H710" s="61"/>
      <c r="K710"/>
    </row>
    <row r="711" spans="5:11" ht="13.5" customHeight="1" x14ac:dyDescent="0.2">
      <c r="E711" s="52"/>
      <c r="H711" s="61"/>
      <c r="K711"/>
    </row>
    <row r="712" spans="5:11" ht="13.5" customHeight="1" x14ac:dyDescent="0.2">
      <c r="E712" s="52"/>
      <c r="H712" s="61"/>
      <c r="K712"/>
    </row>
    <row r="713" spans="5:11" ht="13.5" customHeight="1" x14ac:dyDescent="0.2">
      <c r="E713" s="52"/>
      <c r="H713" s="61"/>
      <c r="K713"/>
    </row>
    <row r="714" spans="5:11" ht="13.5" customHeight="1" x14ac:dyDescent="0.2">
      <c r="E714" s="52"/>
      <c r="H714" s="61"/>
      <c r="K714"/>
    </row>
    <row r="715" spans="5:11" ht="13.5" customHeight="1" x14ac:dyDescent="0.2">
      <c r="E715" s="52"/>
      <c r="H715" s="61"/>
      <c r="K715"/>
    </row>
    <row r="716" spans="5:11" ht="13.5" customHeight="1" x14ac:dyDescent="0.2">
      <c r="E716" s="52"/>
      <c r="H716" s="61"/>
      <c r="K716"/>
    </row>
    <row r="717" spans="5:11" ht="13.5" customHeight="1" x14ac:dyDescent="0.2">
      <c r="E717" s="52"/>
      <c r="H717" s="61"/>
      <c r="K717"/>
    </row>
    <row r="718" spans="5:11" ht="13.5" customHeight="1" x14ac:dyDescent="0.2">
      <c r="E718" s="52"/>
      <c r="H718" s="61"/>
      <c r="K718"/>
    </row>
    <row r="719" spans="5:11" ht="13.5" customHeight="1" x14ac:dyDescent="0.2">
      <c r="E719" s="52"/>
      <c r="H719" s="61"/>
      <c r="K719"/>
    </row>
    <row r="720" spans="5:11" ht="13.5" customHeight="1" x14ac:dyDescent="0.2">
      <c r="E720" s="52"/>
      <c r="H720" s="61"/>
      <c r="K720"/>
    </row>
    <row r="721" spans="5:11" ht="13.5" customHeight="1" x14ac:dyDescent="0.2">
      <c r="E721" s="52"/>
      <c r="H721" s="61"/>
      <c r="K721"/>
    </row>
    <row r="722" spans="5:11" ht="13.5" customHeight="1" x14ac:dyDescent="0.2">
      <c r="E722" s="52"/>
      <c r="H722" s="61"/>
      <c r="K722"/>
    </row>
    <row r="723" spans="5:11" ht="13.5" customHeight="1" x14ac:dyDescent="0.2">
      <c r="E723" s="52"/>
      <c r="H723" s="61"/>
      <c r="K723"/>
    </row>
    <row r="724" spans="5:11" ht="13.5" customHeight="1" x14ac:dyDescent="0.2">
      <c r="E724" s="52"/>
      <c r="H724" s="61"/>
      <c r="K724"/>
    </row>
    <row r="725" spans="5:11" ht="13.5" customHeight="1" x14ac:dyDescent="0.2">
      <c r="E725" s="52"/>
      <c r="H725" s="61"/>
      <c r="K725"/>
    </row>
    <row r="726" spans="5:11" ht="13.5" customHeight="1" x14ac:dyDescent="0.2">
      <c r="E726" s="52"/>
      <c r="H726" s="61"/>
      <c r="K726"/>
    </row>
    <row r="727" spans="5:11" ht="13.5" customHeight="1" x14ac:dyDescent="0.2">
      <c r="E727" s="52"/>
      <c r="H727" s="61"/>
      <c r="K727"/>
    </row>
    <row r="728" spans="5:11" ht="13.5" customHeight="1" x14ac:dyDescent="0.2">
      <c r="E728" s="52"/>
      <c r="H728" s="61"/>
      <c r="K728"/>
    </row>
    <row r="729" spans="5:11" ht="13.5" customHeight="1" x14ac:dyDescent="0.2">
      <c r="E729" s="52"/>
      <c r="H729" s="61"/>
      <c r="K729"/>
    </row>
    <row r="730" spans="5:11" ht="13.5" customHeight="1" x14ac:dyDescent="0.2">
      <c r="E730" s="52"/>
      <c r="H730" s="61"/>
      <c r="K730"/>
    </row>
    <row r="731" spans="5:11" ht="13.5" customHeight="1" x14ac:dyDescent="0.2">
      <c r="E731" s="52"/>
      <c r="H731" s="61"/>
      <c r="K731"/>
    </row>
    <row r="732" spans="5:11" ht="13.5" customHeight="1" x14ac:dyDescent="0.2">
      <c r="E732" s="52"/>
      <c r="H732" s="61"/>
      <c r="K732"/>
    </row>
    <row r="733" spans="5:11" ht="13.5" customHeight="1" x14ac:dyDescent="0.2">
      <c r="E733" s="52"/>
      <c r="H733" s="61"/>
      <c r="K733"/>
    </row>
    <row r="734" spans="5:11" ht="13.5" customHeight="1" x14ac:dyDescent="0.2">
      <c r="E734" s="52"/>
      <c r="H734" s="61"/>
      <c r="K734"/>
    </row>
    <row r="735" spans="5:11" ht="13.5" customHeight="1" x14ac:dyDescent="0.2">
      <c r="E735" s="52"/>
      <c r="H735" s="61"/>
      <c r="K735"/>
    </row>
    <row r="736" spans="5:11" ht="13.5" customHeight="1" x14ac:dyDescent="0.2">
      <c r="E736" s="52"/>
      <c r="H736" s="61"/>
      <c r="K736"/>
    </row>
    <row r="737" spans="5:11" ht="13.5" customHeight="1" x14ac:dyDescent="0.2">
      <c r="E737" s="52"/>
      <c r="H737" s="61"/>
      <c r="K737"/>
    </row>
    <row r="738" spans="5:11" ht="13.5" customHeight="1" x14ac:dyDescent="0.2">
      <c r="E738" s="52"/>
      <c r="H738" s="61"/>
      <c r="K738"/>
    </row>
    <row r="739" spans="5:11" ht="13.5" customHeight="1" x14ac:dyDescent="0.2">
      <c r="E739" s="52"/>
      <c r="H739" s="61"/>
      <c r="K739"/>
    </row>
    <row r="740" spans="5:11" ht="13.5" customHeight="1" x14ac:dyDescent="0.2">
      <c r="E740" s="52"/>
      <c r="H740" s="61"/>
      <c r="K740"/>
    </row>
    <row r="741" spans="5:11" ht="13.5" customHeight="1" x14ac:dyDescent="0.2">
      <c r="E741" s="52"/>
      <c r="H741" s="61"/>
      <c r="K741"/>
    </row>
    <row r="742" spans="5:11" ht="13.5" customHeight="1" x14ac:dyDescent="0.2">
      <c r="E742" s="52"/>
      <c r="H742" s="61"/>
      <c r="K742"/>
    </row>
    <row r="743" spans="5:11" ht="13.5" customHeight="1" x14ac:dyDescent="0.2">
      <c r="E743" s="52"/>
      <c r="H743" s="61"/>
      <c r="K743"/>
    </row>
    <row r="744" spans="5:11" ht="13.5" customHeight="1" x14ac:dyDescent="0.2">
      <c r="E744" s="52"/>
      <c r="H744" s="61"/>
      <c r="K744"/>
    </row>
    <row r="745" spans="5:11" ht="13.5" customHeight="1" x14ac:dyDescent="0.2">
      <c r="E745" s="52"/>
      <c r="H745" s="61"/>
      <c r="K745"/>
    </row>
    <row r="746" spans="5:11" ht="13.5" customHeight="1" x14ac:dyDescent="0.2">
      <c r="E746" s="52"/>
      <c r="H746" s="61"/>
      <c r="K746"/>
    </row>
    <row r="747" spans="5:11" ht="13.5" customHeight="1" x14ac:dyDescent="0.2">
      <c r="E747" s="52"/>
      <c r="H747" s="61"/>
      <c r="K747"/>
    </row>
    <row r="748" spans="5:11" ht="13.5" customHeight="1" x14ac:dyDescent="0.2">
      <c r="E748" s="52"/>
      <c r="H748" s="61"/>
      <c r="K748"/>
    </row>
    <row r="749" spans="5:11" ht="13.5" customHeight="1" x14ac:dyDescent="0.2">
      <c r="E749" s="52"/>
      <c r="H749" s="61"/>
      <c r="K749"/>
    </row>
    <row r="750" spans="5:11" ht="13.5" customHeight="1" x14ac:dyDescent="0.2">
      <c r="E750" s="52"/>
      <c r="H750" s="61"/>
      <c r="K750"/>
    </row>
    <row r="751" spans="5:11" ht="13.5" customHeight="1" x14ac:dyDescent="0.2">
      <c r="E751" s="52"/>
      <c r="H751" s="61"/>
      <c r="K751"/>
    </row>
    <row r="752" spans="5:11" ht="13.5" customHeight="1" x14ac:dyDescent="0.2">
      <c r="E752" s="52"/>
      <c r="H752" s="61"/>
      <c r="K752"/>
    </row>
    <row r="753" spans="5:11" ht="13.5" customHeight="1" x14ac:dyDescent="0.2">
      <c r="E753" s="52"/>
      <c r="H753" s="61"/>
      <c r="K753"/>
    </row>
    <row r="754" spans="5:11" ht="13.5" customHeight="1" x14ac:dyDescent="0.2">
      <c r="E754" s="52"/>
      <c r="H754" s="61"/>
      <c r="K754"/>
    </row>
    <row r="755" spans="5:11" ht="13.5" customHeight="1" x14ac:dyDescent="0.2">
      <c r="E755" s="52"/>
      <c r="H755" s="61"/>
      <c r="K755"/>
    </row>
    <row r="756" spans="5:11" ht="13.5" customHeight="1" x14ac:dyDescent="0.2">
      <c r="E756" s="52"/>
      <c r="H756" s="61"/>
      <c r="K756"/>
    </row>
    <row r="757" spans="5:11" ht="13.5" customHeight="1" x14ac:dyDescent="0.2">
      <c r="E757" s="52"/>
      <c r="H757" s="61"/>
      <c r="K757"/>
    </row>
    <row r="758" spans="5:11" ht="13.5" customHeight="1" x14ac:dyDescent="0.2">
      <c r="E758" s="52"/>
      <c r="H758" s="61"/>
      <c r="K758"/>
    </row>
    <row r="759" spans="5:11" ht="13.5" customHeight="1" x14ac:dyDescent="0.2">
      <c r="E759" s="52"/>
      <c r="H759" s="61"/>
      <c r="K759"/>
    </row>
    <row r="760" spans="5:11" ht="13.5" customHeight="1" x14ac:dyDescent="0.2">
      <c r="E760" s="52"/>
      <c r="H760" s="61"/>
      <c r="K760"/>
    </row>
    <row r="761" spans="5:11" ht="13.5" customHeight="1" x14ac:dyDescent="0.2">
      <c r="E761" s="52"/>
      <c r="H761" s="61"/>
      <c r="K761"/>
    </row>
    <row r="762" spans="5:11" ht="13.5" customHeight="1" x14ac:dyDescent="0.2">
      <c r="E762" s="52"/>
      <c r="H762" s="61"/>
      <c r="K762"/>
    </row>
    <row r="763" spans="5:11" ht="13.5" customHeight="1" x14ac:dyDescent="0.2">
      <c r="E763" s="52"/>
      <c r="H763" s="61"/>
      <c r="K763"/>
    </row>
    <row r="764" spans="5:11" ht="13.5" customHeight="1" x14ac:dyDescent="0.2">
      <c r="E764" s="52"/>
      <c r="H764" s="61"/>
      <c r="K764"/>
    </row>
    <row r="765" spans="5:11" ht="13.5" customHeight="1" x14ac:dyDescent="0.2">
      <c r="E765" s="52"/>
      <c r="H765" s="61"/>
      <c r="K765"/>
    </row>
    <row r="766" spans="5:11" ht="13.5" customHeight="1" x14ac:dyDescent="0.2">
      <c r="E766" s="52"/>
      <c r="H766" s="61"/>
      <c r="K766"/>
    </row>
    <row r="767" spans="5:11" ht="13.5" customHeight="1" x14ac:dyDescent="0.2">
      <c r="E767" s="52"/>
      <c r="H767" s="61"/>
      <c r="K767"/>
    </row>
    <row r="768" spans="5:11" ht="13.5" customHeight="1" x14ac:dyDescent="0.2">
      <c r="E768" s="52"/>
      <c r="H768" s="61"/>
      <c r="K768"/>
    </row>
    <row r="769" spans="5:11" ht="13.5" customHeight="1" x14ac:dyDescent="0.2">
      <c r="E769" s="52"/>
      <c r="H769" s="61"/>
      <c r="K769"/>
    </row>
    <row r="770" spans="5:11" ht="13.5" customHeight="1" x14ac:dyDescent="0.2">
      <c r="E770" s="52"/>
      <c r="H770" s="61"/>
      <c r="K770"/>
    </row>
    <row r="771" spans="5:11" ht="13.5" customHeight="1" x14ac:dyDescent="0.2">
      <c r="E771" s="52"/>
      <c r="H771" s="61"/>
      <c r="K771"/>
    </row>
    <row r="772" spans="5:11" ht="13.5" customHeight="1" x14ac:dyDescent="0.2">
      <c r="E772" s="52"/>
      <c r="H772" s="61"/>
      <c r="K772"/>
    </row>
    <row r="773" spans="5:11" ht="13.5" customHeight="1" x14ac:dyDescent="0.2">
      <c r="E773" s="52"/>
      <c r="H773" s="61"/>
      <c r="K773"/>
    </row>
    <row r="774" spans="5:11" ht="13.5" customHeight="1" x14ac:dyDescent="0.2">
      <c r="E774" s="52"/>
      <c r="H774" s="61"/>
      <c r="K774"/>
    </row>
    <row r="775" spans="5:11" ht="13.5" customHeight="1" x14ac:dyDescent="0.2">
      <c r="E775" s="52"/>
      <c r="H775" s="61"/>
      <c r="K775"/>
    </row>
    <row r="776" spans="5:11" ht="13.5" customHeight="1" x14ac:dyDescent="0.2">
      <c r="E776" s="52"/>
      <c r="H776" s="61"/>
      <c r="K776"/>
    </row>
    <row r="777" spans="5:11" ht="13.5" customHeight="1" x14ac:dyDescent="0.2">
      <c r="E777" s="52"/>
      <c r="H777" s="61"/>
      <c r="K777"/>
    </row>
    <row r="778" spans="5:11" ht="13.5" customHeight="1" x14ac:dyDescent="0.2">
      <c r="E778" s="52"/>
      <c r="H778" s="61"/>
      <c r="K778"/>
    </row>
    <row r="779" spans="5:11" ht="13.5" customHeight="1" x14ac:dyDescent="0.2">
      <c r="E779" s="52"/>
      <c r="H779" s="61"/>
      <c r="K779"/>
    </row>
    <row r="780" spans="5:11" ht="13.5" customHeight="1" x14ac:dyDescent="0.2">
      <c r="E780" s="52"/>
      <c r="H780" s="61"/>
      <c r="K780"/>
    </row>
    <row r="781" spans="5:11" ht="13.5" customHeight="1" x14ac:dyDescent="0.2">
      <c r="E781" s="50"/>
      <c r="H781" s="61"/>
      <c r="K781"/>
    </row>
    <row r="782" spans="5:11" ht="13.5" customHeight="1" x14ac:dyDescent="0.2">
      <c r="E782" s="50"/>
      <c r="H782" s="61"/>
      <c r="K782"/>
    </row>
    <row r="783" spans="5:11" ht="13.5" customHeight="1" x14ac:dyDescent="0.2">
      <c r="E783" s="50"/>
      <c r="H783" s="61"/>
      <c r="K783"/>
    </row>
    <row r="784" spans="5:11" ht="13.5" customHeight="1" x14ac:dyDescent="0.2">
      <c r="E784" s="50"/>
      <c r="H784" s="61"/>
      <c r="K784"/>
    </row>
    <row r="785" spans="5:11" ht="13.5" customHeight="1" x14ac:dyDescent="0.2">
      <c r="E785" s="50"/>
      <c r="H785" s="61"/>
      <c r="K785"/>
    </row>
    <row r="786" spans="5:11" ht="13.5" customHeight="1" x14ac:dyDescent="0.2">
      <c r="E786" s="50"/>
      <c r="H786" s="61"/>
      <c r="K786"/>
    </row>
    <row r="787" spans="5:11" ht="13.5" customHeight="1" x14ac:dyDescent="0.2">
      <c r="E787" s="50"/>
      <c r="H787" s="61"/>
      <c r="K787"/>
    </row>
    <row r="788" spans="5:11" ht="13.5" customHeight="1" x14ac:dyDescent="0.2">
      <c r="E788" s="50"/>
      <c r="H788" s="61"/>
      <c r="K788"/>
    </row>
    <row r="789" spans="5:11" ht="13.5" customHeight="1" x14ac:dyDescent="0.2">
      <c r="E789" s="50"/>
      <c r="H789" s="61"/>
      <c r="K789"/>
    </row>
    <row r="790" spans="5:11" ht="13.5" customHeight="1" x14ac:dyDescent="0.2">
      <c r="E790" s="50"/>
      <c r="H790" s="61"/>
      <c r="K790"/>
    </row>
    <row r="791" spans="5:11" ht="13.5" customHeight="1" x14ac:dyDescent="0.2">
      <c r="E791" s="50"/>
      <c r="H791" s="61"/>
      <c r="K791"/>
    </row>
    <row r="792" spans="5:11" ht="13.5" customHeight="1" x14ac:dyDescent="0.2">
      <c r="E792" s="50"/>
      <c r="H792" s="61"/>
      <c r="K792"/>
    </row>
    <row r="793" spans="5:11" ht="13.5" customHeight="1" x14ac:dyDescent="0.2">
      <c r="E793" s="50"/>
      <c r="H793" s="61"/>
      <c r="K793"/>
    </row>
    <row r="794" spans="5:11" ht="13.5" customHeight="1" x14ac:dyDescent="0.2">
      <c r="E794" s="50"/>
      <c r="H794" s="61"/>
      <c r="K794"/>
    </row>
    <row r="795" spans="5:11" ht="13.5" customHeight="1" x14ac:dyDescent="0.2">
      <c r="E795" s="50"/>
      <c r="H795" s="61"/>
      <c r="K795"/>
    </row>
    <row r="796" spans="5:11" ht="13.5" customHeight="1" x14ac:dyDescent="0.2">
      <c r="E796" s="50"/>
      <c r="H796" s="61"/>
      <c r="K796"/>
    </row>
    <row r="797" spans="5:11" ht="13.5" customHeight="1" x14ac:dyDescent="0.2">
      <c r="E797" s="50"/>
      <c r="H797" s="61"/>
      <c r="K797"/>
    </row>
    <row r="798" spans="5:11" ht="13.5" customHeight="1" x14ac:dyDescent="0.2">
      <c r="E798" s="50"/>
      <c r="H798" s="61"/>
      <c r="K798"/>
    </row>
    <row r="799" spans="5:11" ht="13.5" customHeight="1" x14ac:dyDescent="0.2">
      <c r="E799" s="50"/>
      <c r="H799" s="61"/>
      <c r="K799"/>
    </row>
    <row r="800" spans="5:11" ht="13.5" customHeight="1" x14ac:dyDescent="0.2">
      <c r="E800" s="50"/>
      <c r="H800" s="61"/>
      <c r="K800"/>
    </row>
    <row r="801" spans="5:11" ht="13.5" customHeight="1" x14ac:dyDescent="0.2">
      <c r="E801" s="50"/>
      <c r="H801" s="61"/>
      <c r="K801"/>
    </row>
    <row r="802" spans="5:11" ht="13.5" customHeight="1" x14ac:dyDescent="0.2">
      <c r="E802" s="50"/>
      <c r="H802" s="61"/>
      <c r="K802"/>
    </row>
    <row r="803" spans="5:11" ht="13.5" customHeight="1" x14ac:dyDescent="0.2">
      <c r="E803" s="50"/>
      <c r="H803" s="61"/>
      <c r="K803"/>
    </row>
    <row r="804" spans="5:11" ht="13.5" customHeight="1" x14ac:dyDescent="0.2">
      <c r="E804" s="50"/>
      <c r="H804" s="61"/>
      <c r="K804"/>
    </row>
    <row r="805" spans="5:11" ht="13.5" customHeight="1" x14ac:dyDescent="0.2">
      <c r="E805" s="50"/>
      <c r="H805" s="61"/>
      <c r="K805"/>
    </row>
    <row r="806" spans="5:11" ht="13.5" customHeight="1" x14ac:dyDescent="0.2">
      <c r="E806" s="50"/>
      <c r="H806" s="61"/>
      <c r="K806"/>
    </row>
    <row r="807" spans="5:11" ht="13.5" customHeight="1" x14ac:dyDescent="0.2">
      <c r="E807" s="50"/>
      <c r="H807" s="61"/>
      <c r="K807"/>
    </row>
    <row r="808" spans="5:11" ht="13.5" customHeight="1" x14ac:dyDescent="0.2">
      <c r="E808" s="50"/>
      <c r="H808" s="61"/>
      <c r="K808"/>
    </row>
    <row r="809" spans="5:11" ht="13.5" customHeight="1" x14ac:dyDescent="0.2">
      <c r="E809" s="50"/>
      <c r="H809" s="61"/>
      <c r="K809"/>
    </row>
    <row r="810" spans="5:11" ht="13.5" customHeight="1" x14ac:dyDescent="0.2">
      <c r="E810" s="50"/>
      <c r="H810" s="61"/>
      <c r="K810"/>
    </row>
    <row r="811" spans="5:11" ht="13.5" customHeight="1" x14ac:dyDescent="0.2">
      <c r="E811" s="50"/>
      <c r="H811" s="61"/>
      <c r="K811"/>
    </row>
    <row r="812" spans="5:11" ht="13.5" customHeight="1" x14ac:dyDescent="0.2">
      <c r="E812" s="50"/>
      <c r="H812" s="61"/>
      <c r="K812"/>
    </row>
    <row r="813" spans="5:11" ht="13.5" customHeight="1" x14ac:dyDescent="0.2">
      <c r="E813" s="50"/>
      <c r="H813" s="61"/>
      <c r="K813"/>
    </row>
    <row r="814" spans="5:11" ht="13.5" customHeight="1" x14ac:dyDescent="0.2">
      <c r="E814" s="50"/>
      <c r="H814" s="61"/>
      <c r="K814"/>
    </row>
    <row r="815" spans="5:11" ht="13.5" customHeight="1" x14ac:dyDescent="0.2">
      <c r="E815" s="50"/>
      <c r="H815" s="61"/>
      <c r="K815"/>
    </row>
    <row r="816" spans="5:11" ht="13.5" customHeight="1" x14ac:dyDescent="0.2">
      <c r="E816" s="50"/>
      <c r="H816" s="61"/>
      <c r="K816"/>
    </row>
    <row r="817" spans="5:11" ht="13.5" customHeight="1" x14ac:dyDescent="0.2">
      <c r="E817" s="50"/>
      <c r="H817" s="61"/>
      <c r="K817"/>
    </row>
    <row r="818" spans="5:11" ht="13.5" customHeight="1" x14ac:dyDescent="0.2">
      <c r="E818" s="50"/>
      <c r="H818" s="61"/>
      <c r="K818"/>
    </row>
    <row r="819" spans="5:11" ht="13.5" customHeight="1" x14ac:dyDescent="0.2">
      <c r="E819" s="50"/>
      <c r="H819" s="61"/>
      <c r="K819"/>
    </row>
    <row r="820" spans="5:11" ht="13.5" customHeight="1" x14ac:dyDescent="0.2">
      <c r="E820" s="50"/>
      <c r="H820" s="61"/>
      <c r="K820"/>
    </row>
    <row r="821" spans="5:11" ht="13.5" customHeight="1" x14ac:dyDescent="0.2">
      <c r="E821" s="50"/>
      <c r="H821" s="61"/>
      <c r="K821"/>
    </row>
    <row r="822" spans="5:11" ht="13.5" customHeight="1" x14ac:dyDescent="0.2">
      <c r="E822" s="50"/>
      <c r="H822" s="61"/>
      <c r="K822"/>
    </row>
    <row r="823" spans="5:11" ht="13.5" customHeight="1" x14ac:dyDescent="0.2">
      <c r="E823" s="50"/>
      <c r="H823" s="61"/>
      <c r="K823"/>
    </row>
    <row r="824" spans="5:11" ht="13.5" customHeight="1" x14ac:dyDescent="0.2">
      <c r="E824" s="50"/>
      <c r="H824" s="61"/>
      <c r="K824"/>
    </row>
    <row r="825" spans="5:11" ht="13.5" customHeight="1" x14ac:dyDescent="0.2">
      <c r="E825" s="50"/>
      <c r="H825" s="61"/>
      <c r="K825"/>
    </row>
    <row r="826" spans="5:11" ht="13.5" customHeight="1" x14ac:dyDescent="0.2">
      <c r="E826" s="50"/>
      <c r="H826" s="61"/>
      <c r="K826"/>
    </row>
    <row r="827" spans="5:11" ht="13.5" customHeight="1" x14ac:dyDescent="0.2">
      <c r="E827" s="50"/>
      <c r="H827" s="61"/>
      <c r="K827"/>
    </row>
    <row r="828" spans="5:11" ht="13.5" customHeight="1" x14ac:dyDescent="0.2">
      <c r="E828" s="50"/>
      <c r="H828" s="61"/>
      <c r="K828"/>
    </row>
    <row r="829" spans="5:11" ht="13.5" customHeight="1" x14ac:dyDescent="0.2">
      <c r="E829" s="50"/>
      <c r="H829" s="61"/>
      <c r="K829"/>
    </row>
    <row r="830" spans="5:11" ht="13.5" customHeight="1" x14ac:dyDescent="0.2">
      <c r="E830" s="50"/>
      <c r="H830" s="61"/>
      <c r="K830"/>
    </row>
    <row r="831" spans="5:11" ht="13.5" customHeight="1" x14ac:dyDescent="0.2">
      <c r="E831" s="50"/>
      <c r="H831" s="61"/>
      <c r="K831"/>
    </row>
    <row r="832" spans="5:11" ht="13.5" customHeight="1" x14ac:dyDescent="0.2">
      <c r="E832" s="50"/>
      <c r="H832" s="61"/>
      <c r="K832"/>
    </row>
    <row r="833" spans="5:11" ht="13.5" customHeight="1" x14ac:dyDescent="0.2">
      <c r="E833" s="50"/>
      <c r="H833" s="61"/>
      <c r="K833"/>
    </row>
    <row r="834" spans="5:11" ht="13.5" customHeight="1" x14ac:dyDescent="0.2">
      <c r="E834" s="50"/>
      <c r="H834" s="61"/>
      <c r="K834"/>
    </row>
    <row r="835" spans="5:11" ht="13.5" customHeight="1" x14ac:dyDescent="0.2">
      <c r="E835" s="50"/>
      <c r="H835" s="12"/>
      <c r="K835"/>
    </row>
    <row r="836" spans="5:11" ht="13.5" customHeight="1" x14ac:dyDescent="0.2">
      <c r="E836" s="50"/>
      <c r="H836" s="12"/>
      <c r="K836"/>
    </row>
    <row r="837" spans="5:11" ht="13.5" customHeight="1" x14ac:dyDescent="0.2">
      <c r="E837" s="50"/>
      <c r="H837" s="12"/>
      <c r="K837"/>
    </row>
    <row r="838" spans="5:11" ht="13.5" customHeight="1" x14ac:dyDescent="0.2">
      <c r="E838" s="50"/>
      <c r="H838" s="12"/>
      <c r="K838"/>
    </row>
    <row r="839" spans="5:11" ht="13.5" customHeight="1" x14ac:dyDescent="0.2">
      <c r="E839" s="50"/>
      <c r="H839" s="12"/>
      <c r="K839"/>
    </row>
    <row r="840" spans="5:11" ht="13.5" customHeight="1" x14ac:dyDescent="0.2">
      <c r="E840" s="50"/>
      <c r="H840" s="12"/>
      <c r="K840"/>
    </row>
    <row r="841" spans="5:11" ht="13.5" customHeight="1" x14ac:dyDescent="0.2">
      <c r="E841" s="50"/>
      <c r="H841" s="12"/>
      <c r="K841"/>
    </row>
    <row r="842" spans="5:11" ht="13.5" customHeight="1" x14ac:dyDescent="0.2">
      <c r="E842" s="50"/>
      <c r="H842" s="12"/>
      <c r="K842"/>
    </row>
    <row r="843" spans="5:11" ht="13.5" customHeight="1" x14ac:dyDescent="0.2">
      <c r="E843" s="50"/>
      <c r="H843" s="12"/>
      <c r="K843"/>
    </row>
    <row r="844" spans="5:11" ht="13.5" customHeight="1" x14ac:dyDescent="0.2">
      <c r="E844" s="50"/>
      <c r="H844" s="12"/>
      <c r="K844"/>
    </row>
    <row r="845" spans="5:11" ht="13.5" customHeight="1" x14ac:dyDescent="0.2">
      <c r="E845" s="50"/>
      <c r="H845" s="12"/>
      <c r="K845"/>
    </row>
    <row r="846" spans="5:11" ht="13.5" customHeight="1" x14ac:dyDescent="0.2">
      <c r="E846" s="50"/>
      <c r="H846" s="12"/>
      <c r="K846"/>
    </row>
    <row r="847" spans="5:11" ht="13.5" customHeight="1" x14ac:dyDescent="0.2">
      <c r="E847" s="50"/>
      <c r="H847" s="12"/>
      <c r="K847"/>
    </row>
    <row r="848" spans="5:11" ht="13.5" customHeight="1" x14ac:dyDescent="0.2">
      <c r="E848" s="50"/>
      <c r="H848" s="12"/>
      <c r="K848"/>
    </row>
    <row r="849" spans="5:11" ht="13.5" customHeight="1" x14ac:dyDescent="0.2">
      <c r="E849" s="50"/>
      <c r="H849" s="12"/>
      <c r="K849"/>
    </row>
    <row r="850" spans="5:11" ht="13.5" customHeight="1" x14ac:dyDescent="0.2">
      <c r="E850" s="50"/>
      <c r="H850" s="12"/>
      <c r="K850"/>
    </row>
    <row r="851" spans="5:11" ht="13.5" customHeight="1" x14ac:dyDescent="0.2">
      <c r="E851" s="50"/>
      <c r="H851" s="12"/>
      <c r="K851"/>
    </row>
    <row r="852" spans="5:11" ht="13.5" customHeight="1" x14ac:dyDescent="0.2">
      <c r="E852" s="50"/>
      <c r="H852" s="12"/>
      <c r="K852"/>
    </row>
    <row r="853" spans="5:11" ht="13.5" customHeight="1" x14ac:dyDescent="0.2">
      <c r="E853" s="50"/>
      <c r="H853" s="12"/>
      <c r="K853"/>
    </row>
    <row r="854" spans="5:11" ht="13.5" customHeight="1" x14ac:dyDescent="0.2">
      <c r="E854" s="50"/>
      <c r="H854" s="12"/>
      <c r="K854"/>
    </row>
    <row r="855" spans="5:11" ht="13.5" customHeight="1" x14ac:dyDescent="0.2">
      <c r="E855" s="50"/>
      <c r="H855" s="12"/>
      <c r="K855"/>
    </row>
    <row r="856" spans="5:11" ht="13.5" customHeight="1" x14ac:dyDescent="0.2">
      <c r="E856" s="50"/>
      <c r="H856" s="12"/>
      <c r="K856"/>
    </row>
    <row r="857" spans="5:11" ht="13.5" customHeight="1" x14ac:dyDescent="0.2">
      <c r="E857" s="50"/>
      <c r="H857" s="12"/>
      <c r="K857"/>
    </row>
    <row r="858" spans="5:11" ht="13.5" customHeight="1" x14ac:dyDescent="0.2">
      <c r="E858" s="50"/>
      <c r="H858" s="12"/>
      <c r="K858"/>
    </row>
    <row r="859" spans="5:11" ht="13.5" customHeight="1" x14ac:dyDescent="0.2">
      <c r="E859" s="50"/>
      <c r="H859" s="12"/>
      <c r="K859"/>
    </row>
    <row r="860" spans="5:11" ht="13.5" customHeight="1" x14ac:dyDescent="0.2">
      <c r="E860" s="50"/>
      <c r="H860" s="12"/>
      <c r="K860"/>
    </row>
    <row r="861" spans="5:11" ht="13.5" customHeight="1" x14ac:dyDescent="0.2">
      <c r="E861" s="50"/>
      <c r="H861" s="12"/>
      <c r="K861"/>
    </row>
    <row r="862" spans="5:11" ht="13.5" customHeight="1" x14ac:dyDescent="0.2">
      <c r="E862" s="50"/>
      <c r="H862" s="12"/>
      <c r="K862"/>
    </row>
    <row r="863" spans="5:11" ht="13.5" customHeight="1" x14ac:dyDescent="0.2">
      <c r="E863" s="50"/>
      <c r="H863" s="12"/>
      <c r="K863"/>
    </row>
    <row r="864" spans="5:11" ht="13.5" customHeight="1" x14ac:dyDescent="0.2">
      <c r="E864" s="50"/>
      <c r="H864" s="12"/>
      <c r="K864"/>
    </row>
    <row r="865" spans="5:11" ht="13.5" customHeight="1" x14ac:dyDescent="0.2">
      <c r="E865" s="50"/>
      <c r="H865" s="12"/>
      <c r="K865"/>
    </row>
    <row r="866" spans="5:11" ht="13.5" customHeight="1" x14ac:dyDescent="0.2">
      <c r="E866" s="50"/>
      <c r="H866" s="12"/>
      <c r="K866"/>
    </row>
    <row r="867" spans="5:11" ht="13.5" customHeight="1" x14ac:dyDescent="0.2">
      <c r="E867" s="50"/>
      <c r="H867" s="12"/>
      <c r="K867"/>
    </row>
    <row r="868" spans="5:11" ht="13.5" customHeight="1" x14ac:dyDescent="0.2">
      <c r="E868" s="50"/>
      <c r="H868" s="12"/>
      <c r="K868"/>
    </row>
    <row r="869" spans="5:11" ht="13.5" customHeight="1" x14ac:dyDescent="0.2">
      <c r="E869" s="50"/>
      <c r="H869" s="12"/>
      <c r="K869"/>
    </row>
    <row r="870" spans="5:11" ht="13.5" customHeight="1" x14ac:dyDescent="0.2">
      <c r="E870" s="50"/>
      <c r="H870" s="12"/>
      <c r="K870"/>
    </row>
    <row r="871" spans="5:11" ht="13.5" customHeight="1" x14ac:dyDescent="0.2">
      <c r="E871" s="50"/>
      <c r="H871" s="12"/>
      <c r="K871"/>
    </row>
    <row r="872" spans="5:11" ht="13.5" customHeight="1" x14ac:dyDescent="0.2">
      <c r="E872" s="50"/>
      <c r="H872" s="12"/>
      <c r="K872"/>
    </row>
    <row r="873" spans="5:11" ht="13.5" customHeight="1" x14ac:dyDescent="0.2">
      <c r="E873" s="50"/>
      <c r="H873" s="12"/>
      <c r="K873"/>
    </row>
    <row r="874" spans="5:11" ht="13.5" customHeight="1" x14ac:dyDescent="0.2">
      <c r="E874" s="50"/>
      <c r="H874" s="12"/>
      <c r="K874"/>
    </row>
    <row r="875" spans="5:11" ht="13.5" customHeight="1" x14ac:dyDescent="0.2">
      <c r="E875" s="50"/>
      <c r="H875" s="12"/>
      <c r="K875"/>
    </row>
    <row r="876" spans="5:11" ht="13.5" customHeight="1" x14ac:dyDescent="0.2">
      <c r="E876" s="50"/>
      <c r="H876" s="12"/>
      <c r="K876"/>
    </row>
    <row r="877" spans="5:11" ht="13.5" customHeight="1" x14ac:dyDescent="0.2">
      <c r="E877" s="50"/>
      <c r="H877" s="12"/>
      <c r="K877"/>
    </row>
    <row r="878" spans="5:11" ht="13.5" customHeight="1" x14ac:dyDescent="0.2">
      <c r="E878" s="50"/>
      <c r="H878" s="12"/>
      <c r="K878"/>
    </row>
    <row r="879" spans="5:11" ht="13.5" customHeight="1" x14ac:dyDescent="0.2">
      <c r="E879" s="50"/>
      <c r="H879" s="12"/>
      <c r="K879"/>
    </row>
    <row r="880" spans="5:11" ht="13.5" customHeight="1" x14ac:dyDescent="0.2">
      <c r="E880" s="50"/>
      <c r="H880" s="12"/>
      <c r="K880"/>
    </row>
    <row r="881" spans="5:11" ht="13.5" customHeight="1" x14ac:dyDescent="0.2">
      <c r="E881" s="50"/>
      <c r="H881" s="12"/>
      <c r="K881"/>
    </row>
    <row r="882" spans="5:11" ht="13.5" customHeight="1" x14ac:dyDescent="0.2">
      <c r="E882" s="50"/>
      <c r="H882" s="12"/>
      <c r="K882"/>
    </row>
    <row r="883" spans="5:11" ht="13.5" customHeight="1" x14ac:dyDescent="0.2">
      <c r="E883" s="50"/>
      <c r="H883" s="12"/>
      <c r="K883"/>
    </row>
    <row r="884" spans="5:11" ht="13.5" customHeight="1" x14ac:dyDescent="0.2">
      <c r="E884" s="50"/>
      <c r="H884" s="12"/>
      <c r="K884"/>
    </row>
    <row r="885" spans="5:11" ht="13.5" customHeight="1" x14ac:dyDescent="0.2">
      <c r="E885" s="50"/>
      <c r="H885" s="12"/>
      <c r="K885"/>
    </row>
    <row r="886" spans="5:11" ht="13.5" customHeight="1" x14ac:dyDescent="0.2">
      <c r="E886" s="50"/>
      <c r="H886" s="12"/>
      <c r="K886"/>
    </row>
    <row r="887" spans="5:11" ht="13.5" customHeight="1" x14ac:dyDescent="0.2">
      <c r="E887" s="50"/>
      <c r="H887" s="12"/>
      <c r="K887"/>
    </row>
    <row r="888" spans="5:11" ht="13.5" customHeight="1" x14ac:dyDescent="0.2">
      <c r="E888" s="50"/>
      <c r="H888" s="12"/>
      <c r="K888"/>
    </row>
    <row r="889" spans="5:11" ht="13.5" customHeight="1" x14ac:dyDescent="0.2">
      <c r="E889" s="50"/>
      <c r="H889" s="12"/>
      <c r="K889"/>
    </row>
    <row r="890" spans="5:11" ht="13.5" customHeight="1" x14ac:dyDescent="0.2">
      <c r="E890" s="50"/>
      <c r="H890" s="12"/>
      <c r="K890"/>
    </row>
    <row r="891" spans="5:11" ht="13.5" customHeight="1" x14ac:dyDescent="0.2">
      <c r="E891" s="50"/>
      <c r="H891" s="12"/>
      <c r="K891"/>
    </row>
    <row r="892" spans="5:11" ht="13.5" customHeight="1" x14ac:dyDescent="0.2">
      <c r="E892" s="50"/>
      <c r="H892" s="12"/>
      <c r="K892"/>
    </row>
    <row r="893" spans="5:11" ht="13.5" customHeight="1" x14ac:dyDescent="0.2">
      <c r="E893" s="50"/>
      <c r="H893" s="12"/>
      <c r="K893"/>
    </row>
    <row r="894" spans="5:11" ht="13.5" customHeight="1" x14ac:dyDescent="0.2">
      <c r="E894" s="50"/>
      <c r="H894" s="12"/>
      <c r="K894"/>
    </row>
    <row r="895" spans="5:11" ht="13.5" customHeight="1" x14ac:dyDescent="0.2">
      <c r="E895" s="50"/>
      <c r="H895" s="12"/>
      <c r="K895"/>
    </row>
    <row r="896" spans="5:11" ht="13.5" customHeight="1" x14ac:dyDescent="0.2">
      <c r="E896" s="50"/>
      <c r="H896" s="12"/>
      <c r="K896"/>
    </row>
    <row r="897" spans="5:11" ht="13.5" customHeight="1" x14ac:dyDescent="0.2">
      <c r="E897" s="50"/>
      <c r="H897" s="12"/>
      <c r="K897"/>
    </row>
    <row r="898" spans="5:11" ht="13.5" customHeight="1" x14ac:dyDescent="0.2">
      <c r="E898" s="50"/>
      <c r="H898" s="12"/>
      <c r="K898"/>
    </row>
    <row r="899" spans="5:11" ht="13.5" customHeight="1" x14ac:dyDescent="0.2">
      <c r="E899" s="50"/>
      <c r="H899" s="12"/>
      <c r="K899"/>
    </row>
    <row r="900" spans="5:11" ht="13.5" customHeight="1" x14ac:dyDescent="0.2">
      <c r="E900" s="50"/>
      <c r="H900" s="12"/>
      <c r="K900"/>
    </row>
    <row r="901" spans="5:11" ht="13.5" customHeight="1" x14ac:dyDescent="0.2">
      <c r="E901" s="50"/>
      <c r="H901" s="12"/>
      <c r="K901"/>
    </row>
    <row r="902" spans="5:11" ht="13.5" customHeight="1" x14ac:dyDescent="0.2">
      <c r="E902" s="50"/>
      <c r="H902" s="12"/>
      <c r="K902"/>
    </row>
    <row r="903" spans="5:11" ht="13.5" customHeight="1" x14ac:dyDescent="0.2">
      <c r="E903" s="50"/>
      <c r="H903" s="12"/>
      <c r="K903"/>
    </row>
    <row r="904" spans="5:11" ht="13.5" customHeight="1" x14ac:dyDescent="0.2">
      <c r="E904" s="50"/>
      <c r="H904" s="12"/>
      <c r="K904"/>
    </row>
    <row r="905" spans="5:11" ht="13.5" customHeight="1" x14ac:dyDescent="0.2">
      <c r="E905" s="50"/>
      <c r="H905" s="12"/>
      <c r="K905"/>
    </row>
    <row r="906" spans="5:11" ht="13.5" customHeight="1" x14ac:dyDescent="0.2">
      <c r="E906" s="50"/>
      <c r="H906" s="12"/>
      <c r="K906"/>
    </row>
    <row r="907" spans="5:11" ht="13.5" customHeight="1" x14ac:dyDescent="0.2">
      <c r="E907" s="50"/>
      <c r="H907" s="12"/>
      <c r="K907"/>
    </row>
    <row r="908" spans="5:11" ht="13.5" customHeight="1" x14ac:dyDescent="0.2">
      <c r="E908" s="50"/>
      <c r="H908" s="12"/>
      <c r="K908"/>
    </row>
    <row r="909" spans="5:11" ht="13.5" customHeight="1" x14ac:dyDescent="0.2">
      <c r="E909" s="50"/>
      <c r="H909" s="12"/>
      <c r="K909"/>
    </row>
    <row r="910" spans="5:11" ht="13.5" customHeight="1" x14ac:dyDescent="0.2">
      <c r="E910" s="50"/>
      <c r="H910" s="12"/>
      <c r="K910"/>
    </row>
    <row r="911" spans="5:11" ht="13.5" customHeight="1" x14ac:dyDescent="0.2">
      <c r="E911" s="50"/>
      <c r="H911" s="12"/>
      <c r="K911"/>
    </row>
    <row r="912" spans="5:11" ht="13.5" customHeight="1" x14ac:dyDescent="0.2">
      <c r="E912" s="50"/>
      <c r="H912" s="12"/>
      <c r="K912"/>
    </row>
    <row r="913" spans="5:11" ht="13.5" customHeight="1" x14ac:dyDescent="0.2">
      <c r="E913" s="50"/>
      <c r="H913" s="12"/>
      <c r="K913"/>
    </row>
    <row r="914" spans="5:11" ht="13.5" customHeight="1" x14ac:dyDescent="0.2">
      <c r="E914" s="50"/>
      <c r="H914" s="12"/>
      <c r="K914"/>
    </row>
    <row r="915" spans="5:11" ht="13.5" customHeight="1" x14ac:dyDescent="0.2">
      <c r="E915" s="50"/>
      <c r="H915" s="12"/>
      <c r="K915"/>
    </row>
    <row r="916" spans="5:11" ht="13.5" customHeight="1" x14ac:dyDescent="0.2">
      <c r="E916" s="50"/>
      <c r="H916" s="12"/>
      <c r="K916"/>
    </row>
    <row r="917" spans="5:11" ht="13.5" customHeight="1" x14ac:dyDescent="0.2">
      <c r="E917" s="50"/>
      <c r="H917" s="12"/>
      <c r="K917"/>
    </row>
    <row r="918" spans="5:11" ht="13.5" customHeight="1" x14ac:dyDescent="0.2">
      <c r="E918" s="50"/>
      <c r="H918" s="12"/>
      <c r="K918"/>
    </row>
    <row r="919" spans="5:11" ht="13.5" customHeight="1" x14ac:dyDescent="0.2">
      <c r="E919" s="50"/>
      <c r="H919" s="12"/>
      <c r="K919"/>
    </row>
    <row r="920" spans="5:11" ht="13.5" customHeight="1" x14ac:dyDescent="0.2">
      <c r="E920" s="50"/>
      <c r="H920" s="12"/>
      <c r="K920"/>
    </row>
    <row r="921" spans="5:11" ht="13.5" customHeight="1" x14ac:dyDescent="0.2">
      <c r="E921" s="50"/>
      <c r="H921" s="12"/>
      <c r="K921"/>
    </row>
    <row r="922" spans="5:11" ht="13.5" customHeight="1" x14ac:dyDescent="0.2">
      <c r="E922" s="50"/>
      <c r="H922" s="12"/>
      <c r="K922"/>
    </row>
    <row r="923" spans="5:11" ht="13.5" customHeight="1" x14ac:dyDescent="0.2">
      <c r="E923" s="50"/>
      <c r="H923" s="12"/>
      <c r="K923"/>
    </row>
    <row r="924" spans="5:11" ht="13.5" customHeight="1" x14ac:dyDescent="0.2">
      <c r="E924" s="50"/>
      <c r="H924" s="12"/>
      <c r="K924"/>
    </row>
    <row r="925" spans="5:11" ht="13.5" customHeight="1" x14ac:dyDescent="0.2">
      <c r="E925" s="50"/>
      <c r="H925" s="12"/>
      <c r="K925"/>
    </row>
    <row r="926" spans="5:11" ht="13.5" customHeight="1" x14ac:dyDescent="0.2">
      <c r="E926" s="50"/>
      <c r="H926" s="12"/>
      <c r="K926"/>
    </row>
    <row r="927" spans="5:11" ht="13.5" customHeight="1" x14ac:dyDescent="0.2">
      <c r="E927" s="50"/>
      <c r="H927" s="12"/>
      <c r="K927"/>
    </row>
    <row r="928" spans="5:11" ht="13.5" customHeight="1" x14ac:dyDescent="0.2">
      <c r="E928" s="50"/>
      <c r="H928" s="12"/>
      <c r="K928"/>
    </row>
    <row r="929" spans="5:11" ht="13.5" customHeight="1" x14ac:dyDescent="0.2">
      <c r="E929" s="50"/>
      <c r="H929" s="12"/>
      <c r="K929"/>
    </row>
    <row r="930" spans="5:11" ht="13.5" customHeight="1" x14ac:dyDescent="0.2">
      <c r="E930" s="50"/>
      <c r="H930" s="12"/>
      <c r="K930"/>
    </row>
    <row r="931" spans="5:11" ht="13.5" customHeight="1" x14ac:dyDescent="0.2">
      <c r="E931" s="50"/>
      <c r="H931" s="12"/>
      <c r="K931"/>
    </row>
    <row r="932" spans="5:11" ht="13.5" customHeight="1" x14ac:dyDescent="0.2">
      <c r="E932" s="50"/>
      <c r="H932" s="12"/>
      <c r="K932"/>
    </row>
    <row r="933" spans="5:11" ht="13.5" customHeight="1" x14ac:dyDescent="0.2">
      <c r="E933" s="50"/>
      <c r="H933" s="12"/>
      <c r="K933"/>
    </row>
    <row r="934" spans="5:11" ht="13.5" customHeight="1" x14ac:dyDescent="0.2">
      <c r="E934" s="50"/>
      <c r="H934" s="12"/>
      <c r="K934"/>
    </row>
    <row r="935" spans="5:11" ht="13.5" customHeight="1" x14ac:dyDescent="0.2">
      <c r="E935" s="50"/>
      <c r="H935" s="12"/>
      <c r="K935"/>
    </row>
    <row r="936" spans="5:11" ht="14.25" customHeight="1" x14ac:dyDescent="0.2">
      <c r="E936" s="50"/>
      <c r="H936" s="12"/>
      <c r="K936"/>
    </row>
    <row r="937" spans="5:11" ht="13.5" customHeight="1" x14ac:dyDescent="0.2">
      <c r="E937" s="50"/>
      <c r="H937" s="12"/>
      <c r="K937"/>
    </row>
    <row r="938" spans="5:11" ht="13.5" customHeight="1" x14ac:dyDescent="0.2">
      <c r="E938" s="50"/>
      <c r="H938" s="12"/>
      <c r="K938"/>
    </row>
    <row r="939" spans="5:11" ht="13.5" customHeight="1" x14ac:dyDescent="0.2">
      <c r="E939" s="50"/>
      <c r="H939" s="12"/>
      <c r="K939"/>
    </row>
    <row r="940" spans="5:11" ht="13.5" customHeight="1" x14ac:dyDescent="0.2">
      <c r="E940" s="50"/>
      <c r="H940" s="12"/>
      <c r="K940"/>
    </row>
    <row r="941" spans="5:11" ht="13.5" customHeight="1" x14ac:dyDescent="0.2">
      <c r="E941" s="50"/>
      <c r="H941" s="12"/>
      <c r="K941"/>
    </row>
    <row r="942" spans="5:11" ht="13.5" customHeight="1" x14ac:dyDescent="0.2">
      <c r="E942" s="50"/>
      <c r="H942" s="12"/>
      <c r="K942"/>
    </row>
    <row r="943" spans="5:11" ht="13.5" customHeight="1" x14ac:dyDescent="0.2">
      <c r="E943" s="50"/>
      <c r="H943" s="12"/>
      <c r="K943"/>
    </row>
    <row r="944" spans="5:11" ht="13.5" customHeight="1" x14ac:dyDescent="0.2">
      <c r="E944" s="50"/>
      <c r="H944" s="12"/>
      <c r="K944"/>
    </row>
    <row r="945" spans="5:11" ht="13.5" customHeight="1" x14ac:dyDescent="0.2">
      <c r="E945" s="50"/>
      <c r="H945" s="12"/>
      <c r="K945"/>
    </row>
    <row r="946" spans="5:11" ht="13.5" customHeight="1" x14ac:dyDescent="0.2">
      <c r="E946" s="50"/>
      <c r="H946" s="12"/>
      <c r="K946"/>
    </row>
    <row r="947" spans="5:11" ht="13.5" customHeight="1" x14ac:dyDescent="0.2">
      <c r="E947" s="50"/>
      <c r="H947" s="12"/>
      <c r="K947"/>
    </row>
    <row r="948" spans="5:11" ht="13.5" customHeight="1" x14ac:dyDescent="0.2">
      <c r="E948" s="50"/>
      <c r="H948" s="12"/>
      <c r="K948"/>
    </row>
    <row r="949" spans="5:11" ht="13.5" customHeight="1" x14ac:dyDescent="0.2">
      <c r="E949" s="50"/>
      <c r="H949" s="12"/>
      <c r="K949"/>
    </row>
    <row r="950" spans="5:11" ht="13.5" customHeight="1" x14ac:dyDescent="0.2">
      <c r="E950" s="50"/>
      <c r="H950" s="12"/>
      <c r="K950"/>
    </row>
    <row r="951" spans="5:11" ht="13.5" customHeight="1" x14ac:dyDescent="0.2">
      <c r="E951" s="50"/>
      <c r="H951" s="12"/>
      <c r="K951"/>
    </row>
    <row r="952" spans="5:11" ht="13.5" customHeight="1" x14ac:dyDescent="0.2">
      <c r="E952" s="50"/>
      <c r="H952" s="12"/>
      <c r="K952"/>
    </row>
    <row r="953" spans="5:11" ht="13.5" customHeight="1" x14ac:dyDescent="0.2">
      <c r="E953" s="50"/>
      <c r="H953" s="12"/>
      <c r="K953"/>
    </row>
    <row r="954" spans="5:11" ht="13.5" customHeight="1" x14ac:dyDescent="0.2">
      <c r="E954" s="50"/>
      <c r="H954" s="12"/>
      <c r="K954"/>
    </row>
    <row r="955" spans="5:11" ht="13.5" customHeight="1" x14ac:dyDescent="0.2">
      <c r="E955" s="50"/>
      <c r="H955" s="12"/>
      <c r="K955"/>
    </row>
    <row r="956" spans="5:11" ht="13.5" customHeight="1" x14ac:dyDescent="0.2">
      <c r="E956" s="50"/>
      <c r="H956" s="12"/>
      <c r="K956"/>
    </row>
    <row r="957" spans="5:11" ht="13.5" customHeight="1" x14ac:dyDescent="0.2">
      <c r="E957" s="50"/>
      <c r="H957" s="12"/>
      <c r="K957"/>
    </row>
    <row r="958" spans="5:11" ht="13.5" customHeight="1" x14ac:dyDescent="0.2">
      <c r="E958" s="50"/>
      <c r="H958" s="12"/>
      <c r="K958"/>
    </row>
    <row r="959" spans="5:11" ht="13.5" customHeight="1" x14ac:dyDescent="0.2">
      <c r="E959" s="50"/>
      <c r="H959" s="12"/>
      <c r="K959"/>
    </row>
    <row r="960" spans="5:11" ht="13.5" customHeight="1" x14ac:dyDescent="0.2">
      <c r="E960" s="50"/>
      <c r="H960" s="12"/>
      <c r="K960"/>
    </row>
    <row r="961" spans="5:11" ht="13.5" customHeight="1" x14ac:dyDescent="0.2">
      <c r="E961" s="50"/>
      <c r="H961" s="12"/>
      <c r="K961"/>
    </row>
    <row r="962" spans="5:11" ht="13.5" customHeight="1" x14ac:dyDescent="0.2">
      <c r="E962" s="50"/>
      <c r="H962" s="12"/>
      <c r="K962"/>
    </row>
    <row r="963" spans="5:11" ht="13.5" customHeight="1" x14ac:dyDescent="0.2">
      <c r="E963" s="50"/>
      <c r="H963" s="12"/>
      <c r="K963"/>
    </row>
    <row r="964" spans="5:11" ht="13.5" customHeight="1" x14ac:dyDescent="0.2">
      <c r="E964" s="50"/>
      <c r="H964" s="12"/>
      <c r="K964"/>
    </row>
    <row r="965" spans="5:11" ht="13.5" customHeight="1" x14ac:dyDescent="0.2">
      <c r="E965" s="50"/>
      <c r="H965" s="12"/>
      <c r="K965"/>
    </row>
    <row r="966" spans="5:11" ht="13.5" customHeight="1" x14ac:dyDescent="0.2">
      <c r="E966" s="50"/>
      <c r="H966" s="12"/>
      <c r="K966"/>
    </row>
    <row r="967" spans="5:11" ht="13.5" customHeight="1" x14ac:dyDescent="0.2">
      <c r="E967" s="50"/>
      <c r="H967" s="12"/>
      <c r="K967"/>
    </row>
    <row r="968" spans="5:11" ht="13.5" customHeight="1" x14ac:dyDescent="0.2">
      <c r="E968" s="50"/>
      <c r="H968" s="12"/>
      <c r="K968"/>
    </row>
    <row r="969" spans="5:11" ht="13.5" customHeight="1" x14ac:dyDescent="0.2">
      <c r="E969" s="50"/>
      <c r="H969" s="12"/>
      <c r="K969"/>
    </row>
    <row r="970" spans="5:11" ht="13.5" customHeight="1" x14ac:dyDescent="0.2">
      <c r="E970" s="50"/>
      <c r="H970" s="12"/>
      <c r="K970"/>
    </row>
    <row r="971" spans="5:11" ht="13.5" customHeight="1" x14ac:dyDescent="0.2">
      <c r="E971" s="50"/>
      <c r="H971" s="12"/>
      <c r="K971"/>
    </row>
    <row r="972" spans="5:11" ht="13.5" customHeight="1" x14ac:dyDescent="0.2">
      <c r="E972" s="50"/>
      <c r="H972" s="12"/>
      <c r="K972"/>
    </row>
    <row r="973" spans="5:11" ht="13.5" customHeight="1" x14ac:dyDescent="0.2">
      <c r="E973" s="50"/>
      <c r="H973" s="12"/>
      <c r="K973"/>
    </row>
    <row r="974" spans="5:11" ht="13.5" customHeight="1" x14ac:dyDescent="0.2">
      <c r="E974" s="50"/>
      <c r="H974" s="12"/>
      <c r="K974"/>
    </row>
    <row r="975" spans="5:11" ht="13.5" customHeight="1" x14ac:dyDescent="0.2">
      <c r="E975" s="50"/>
      <c r="H975" s="12"/>
      <c r="K975"/>
    </row>
    <row r="976" spans="5:11" ht="13.5" customHeight="1" x14ac:dyDescent="0.2">
      <c r="E976" s="50"/>
      <c r="H976" s="12"/>
      <c r="K976"/>
    </row>
    <row r="977" spans="5:11" ht="13.5" customHeight="1" x14ac:dyDescent="0.2">
      <c r="E977" s="50"/>
      <c r="H977" s="12"/>
      <c r="K977"/>
    </row>
    <row r="978" spans="5:11" ht="13.5" customHeight="1" x14ac:dyDescent="0.2">
      <c r="E978" s="50"/>
      <c r="H978" s="12"/>
      <c r="K978"/>
    </row>
    <row r="979" spans="5:11" ht="13.5" customHeight="1" x14ac:dyDescent="0.2">
      <c r="E979" s="50"/>
      <c r="H979" s="12"/>
      <c r="K979"/>
    </row>
    <row r="980" spans="5:11" ht="13.5" customHeight="1" x14ac:dyDescent="0.2">
      <c r="E980" s="50"/>
      <c r="H980" s="12"/>
      <c r="K980"/>
    </row>
    <row r="981" spans="5:11" ht="13.5" customHeight="1" x14ac:dyDescent="0.2">
      <c r="E981" s="50"/>
      <c r="H981" s="12"/>
      <c r="K981"/>
    </row>
    <row r="982" spans="5:11" ht="13.5" customHeight="1" x14ac:dyDescent="0.2">
      <c r="E982" s="50"/>
      <c r="H982" s="12"/>
      <c r="K982"/>
    </row>
    <row r="983" spans="5:11" ht="13.5" customHeight="1" x14ac:dyDescent="0.2">
      <c r="E983" s="50"/>
      <c r="H983" s="12"/>
      <c r="K983"/>
    </row>
    <row r="984" spans="5:11" ht="13.5" customHeight="1" x14ac:dyDescent="0.2">
      <c r="E984" s="50"/>
      <c r="H984" s="12"/>
      <c r="K984"/>
    </row>
    <row r="985" spans="5:11" ht="13.5" customHeight="1" x14ac:dyDescent="0.2">
      <c r="E985" s="50"/>
      <c r="H985" s="12"/>
      <c r="K985"/>
    </row>
    <row r="986" spans="5:11" ht="13.5" customHeight="1" x14ac:dyDescent="0.2">
      <c r="E986" s="50"/>
      <c r="H986" s="12"/>
      <c r="K986"/>
    </row>
    <row r="987" spans="5:11" ht="13.5" customHeight="1" x14ac:dyDescent="0.2">
      <c r="E987" s="50"/>
      <c r="H987" s="12"/>
      <c r="K987"/>
    </row>
    <row r="988" spans="5:11" ht="13.5" customHeight="1" x14ac:dyDescent="0.2">
      <c r="E988" s="50"/>
      <c r="H988" s="12"/>
      <c r="K988"/>
    </row>
    <row r="989" spans="5:11" ht="13.5" customHeight="1" x14ac:dyDescent="0.2">
      <c r="E989" s="50"/>
      <c r="H989" s="12"/>
      <c r="K989"/>
    </row>
    <row r="990" spans="5:11" ht="13.5" customHeight="1" x14ac:dyDescent="0.2">
      <c r="E990" s="50"/>
      <c r="H990" s="12"/>
      <c r="K990"/>
    </row>
    <row r="991" spans="5:11" ht="13.5" customHeight="1" x14ac:dyDescent="0.2">
      <c r="E991" s="50"/>
      <c r="H991" s="12"/>
      <c r="K991"/>
    </row>
    <row r="992" spans="5:11" ht="13.5" customHeight="1" x14ac:dyDescent="0.2">
      <c r="E992" s="50"/>
      <c r="H992" s="12"/>
      <c r="K992"/>
    </row>
    <row r="993" spans="5:11" ht="13.5" customHeight="1" x14ac:dyDescent="0.2">
      <c r="E993" s="50"/>
      <c r="H993" s="12"/>
      <c r="K993"/>
    </row>
    <row r="994" spans="5:11" ht="13.5" customHeight="1" x14ac:dyDescent="0.2">
      <c r="E994" s="50"/>
      <c r="H994" s="12"/>
      <c r="K994"/>
    </row>
    <row r="995" spans="5:11" ht="13.5" customHeight="1" x14ac:dyDescent="0.2">
      <c r="E995" s="50"/>
      <c r="H995" s="12"/>
      <c r="K995"/>
    </row>
    <row r="996" spans="5:11" ht="13.5" customHeight="1" x14ac:dyDescent="0.2">
      <c r="E996" s="50"/>
      <c r="H996" s="12"/>
      <c r="K996"/>
    </row>
    <row r="997" spans="5:11" ht="13.5" customHeight="1" x14ac:dyDescent="0.2">
      <c r="E997" s="50"/>
      <c r="H997" s="12"/>
      <c r="K997"/>
    </row>
    <row r="998" spans="5:11" ht="13.5" customHeight="1" x14ac:dyDescent="0.2">
      <c r="E998" s="50"/>
      <c r="H998" s="12"/>
      <c r="K998"/>
    </row>
    <row r="999" spans="5:11" ht="13.5" customHeight="1" x14ac:dyDescent="0.2">
      <c r="E999" s="50"/>
      <c r="H999" s="12"/>
      <c r="K999"/>
    </row>
    <row r="1000" spans="5:11" ht="13.5" customHeight="1" x14ac:dyDescent="0.2">
      <c r="E1000" s="50"/>
      <c r="H1000" s="12"/>
      <c r="K1000"/>
    </row>
    <row r="1001" spans="5:11" ht="13.5" customHeight="1" x14ac:dyDescent="0.2">
      <c r="E1001" s="50"/>
      <c r="H1001" s="12"/>
      <c r="K1001"/>
    </row>
    <row r="1002" spans="5:11" ht="13.5" customHeight="1" x14ac:dyDescent="0.2">
      <c r="E1002" s="50"/>
      <c r="H1002" s="12"/>
      <c r="K1002"/>
    </row>
    <row r="1003" spans="5:11" ht="13.5" customHeight="1" x14ac:dyDescent="0.2">
      <c r="E1003" s="50"/>
      <c r="H1003" s="12"/>
      <c r="K1003"/>
    </row>
    <row r="1004" spans="5:11" ht="13.5" customHeight="1" x14ac:dyDescent="0.2">
      <c r="E1004" s="50"/>
      <c r="H1004" s="12"/>
      <c r="K1004"/>
    </row>
    <row r="1005" spans="5:11" ht="13.5" customHeight="1" x14ac:dyDescent="0.2">
      <c r="E1005" s="50"/>
      <c r="H1005" s="12"/>
      <c r="K1005"/>
    </row>
    <row r="1006" spans="5:11" ht="12.75" customHeight="1" x14ac:dyDescent="0.2">
      <c r="E1006" s="50"/>
      <c r="H1006" s="12"/>
      <c r="K1006"/>
    </row>
    <row r="1007" spans="5:11" ht="12.75" customHeight="1" x14ac:dyDescent="0.2">
      <c r="E1007" s="50"/>
      <c r="H1007" s="12"/>
      <c r="K1007"/>
    </row>
    <row r="1008" spans="5:11" ht="12.75" customHeight="1" x14ac:dyDescent="0.2">
      <c r="E1008" s="50"/>
      <c r="H1008" s="12"/>
      <c r="K1008"/>
    </row>
    <row r="1009" spans="5:11" ht="12.75" customHeight="1" x14ac:dyDescent="0.2">
      <c r="E1009" s="50"/>
      <c r="H1009" s="12"/>
      <c r="K1009"/>
    </row>
    <row r="1010" spans="5:11" ht="12.75" customHeight="1" x14ac:dyDescent="0.2">
      <c r="E1010" s="50"/>
      <c r="H1010" s="12"/>
      <c r="K1010"/>
    </row>
    <row r="1011" spans="5:11" ht="12.75" customHeight="1" x14ac:dyDescent="0.2">
      <c r="E1011" s="50"/>
      <c r="H1011" s="12"/>
      <c r="K1011"/>
    </row>
    <row r="1012" spans="5:11" ht="12.75" customHeight="1" x14ac:dyDescent="0.2">
      <c r="E1012" s="50"/>
      <c r="H1012" s="12"/>
      <c r="K1012"/>
    </row>
    <row r="1013" spans="5:11" ht="12.75" customHeight="1" x14ac:dyDescent="0.2">
      <c r="E1013" s="50"/>
      <c r="H1013" s="12"/>
      <c r="K1013"/>
    </row>
    <row r="1014" spans="5:11" ht="12.75" customHeight="1" x14ac:dyDescent="0.2">
      <c r="E1014" s="50"/>
      <c r="H1014" s="12"/>
      <c r="K1014"/>
    </row>
    <row r="1015" spans="5:11" ht="12.75" customHeight="1" x14ac:dyDescent="0.2">
      <c r="E1015" s="50"/>
      <c r="H1015" s="12"/>
      <c r="K1015"/>
    </row>
    <row r="1016" spans="5:11" ht="12.75" customHeight="1" x14ac:dyDescent="0.2">
      <c r="E1016" s="50"/>
      <c r="H1016" s="12"/>
      <c r="K1016"/>
    </row>
    <row r="1017" spans="5:11" ht="12.75" customHeight="1" x14ac:dyDescent="0.2">
      <c r="E1017" s="50"/>
      <c r="H1017" s="12"/>
      <c r="K1017"/>
    </row>
    <row r="1018" spans="5:11" ht="12.75" customHeight="1" x14ac:dyDescent="0.2">
      <c r="E1018" s="50"/>
      <c r="H1018" s="12"/>
      <c r="K1018"/>
    </row>
    <row r="1019" spans="5:11" ht="12.75" customHeight="1" x14ac:dyDescent="0.2">
      <c r="E1019" s="50"/>
      <c r="H1019" s="12"/>
      <c r="K1019"/>
    </row>
    <row r="1020" spans="5:11" ht="12.75" customHeight="1" x14ac:dyDescent="0.2">
      <c r="E1020" s="50"/>
      <c r="H1020" s="12"/>
      <c r="K1020"/>
    </row>
    <row r="1021" spans="5:11" ht="12.75" customHeight="1" x14ac:dyDescent="0.2">
      <c r="E1021" s="50"/>
      <c r="H1021" s="12"/>
      <c r="K1021"/>
    </row>
    <row r="1022" spans="5:11" ht="12.75" customHeight="1" x14ac:dyDescent="0.2">
      <c r="E1022" s="50"/>
      <c r="H1022" s="12"/>
      <c r="K1022"/>
    </row>
    <row r="1023" spans="5:11" ht="12.75" customHeight="1" x14ac:dyDescent="0.2">
      <c r="E1023" s="50"/>
      <c r="H1023" s="12"/>
      <c r="K1023"/>
    </row>
    <row r="1024" spans="5:11" ht="12.75" customHeight="1" x14ac:dyDescent="0.2">
      <c r="E1024" s="50"/>
      <c r="H1024" s="12"/>
      <c r="K1024"/>
    </row>
    <row r="1025" spans="5:11" ht="12.75" customHeight="1" x14ac:dyDescent="0.2">
      <c r="E1025" s="50"/>
      <c r="H1025" s="12"/>
      <c r="K1025"/>
    </row>
    <row r="1026" spans="5:11" ht="12.75" customHeight="1" x14ac:dyDescent="0.2">
      <c r="E1026" s="50"/>
      <c r="H1026" s="12"/>
      <c r="K1026"/>
    </row>
    <row r="1027" spans="5:11" ht="12.75" customHeight="1" x14ac:dyDescent="0.2">
      <c r="E1027" s="50"/>
      <c r="H1027" s="12"/>
      <c r="K1027"/>
    </row>
    <row r="1028" spans="5:11" ht="12.75" customHeight="1" x14ac:dyDescent="0.2">
      <c r="E1028" s="50"/>
      <c r="H1028" s="12"/>
      <c r="K1028"/>
    </row>
    <row r="1029" spans="5:11" ht="12.75" customHeight="1" x14ac:dyDescent="0.2">
      <c r="E1029" s="50"/>
      <c r="H1029" s="12"/>
      <c r="K1029"/>
    </row>
    <row r="1030" spans="5:11" ht="12.75" customHeight="1" x14ac:dyDescent="0.2">
      <c r="E1030" s="50"/>
      <c r="H1030" s="12"/>
      <c r="K1030"/>
    </row>
    <row r="1031" spans="5:11" ht="12.75" customHeight="1" x14ac:dyDescent="0.2">
      <c r="E1031" s="50"/>
      <c r="H1031" s="12"/>
      <c r="K1031"/>
    </row>
    <row r="1032" spans="5:11" ht="12.75" customHeight="1" x14ac:dyDescent="0.2">
      <c r="E1032" s="50"/>
      <c r="H1032" s="12"/>
      <c r="K1032"/>
    </row>
    <row r="1033" spans="5:11" ht="12.75" customHeight="1" x14ac:dyDescent="0.2">
      <c r="E1033" s="50"/>
      <c r="H1033" s="12"/>
      <c r="K1033"/>
    </row>
    <row r="1034" spans="5:11" ht="12.75" customHeight="1" x14ac:dyDescent="0.2">
      <c r="E1034" s="50"/>
      <c r="H1034" s="12"/>
      <c r="K1034"/>
    </row>
    <row r="1035" spans="5:11" ht="12.75" customHeight="1" x14ac:dyDescent="0.2">
      <c r="E1035" s="50"/>
      <c r="H1035" s="12"/>
      <c r="K1035"/>
    </row>
    <row r="1036" spans="5:11" ht="12.75" customHeight="1" x14ac:dyDescent="0.2">
      <c r="E1036" s="50"/>
      <c r="H1036" s="12"/>
      <c r="K1036"/>
    </row>
    <row r="1037" spans="5:11" ht="12.75" customHeight="1" x14ac:dyDescent="0.2">
      <c r="E1037" s="50"/>
      <c r="H1037" s="12"/>
      <c r="K1037"/>
    </row>
    <row r="1038" spans="5:11" ht="12.75" customHeight="1" x14ac:dyDescent="0.2">
      <c r="E1038" s="50"/>
      <c r="H1038" s="12"/>
      <c r="K1038"/>
    </row>
    <row r="1039" spans="5:11" ht="12.75" customHeight="1" x14ac:dyDescent="0.2">
      <c r="E1039" s="50"/>
      <c r="H1039" s="12"/>
      <c r="K1039"/>
    </row>
    <row r="1040" spans="5:11" ht="12.75" customHeight="1" x14ac:dyDescent="0.2">
      <c r="E1040" s="50"/>
      <c r="H1040" s="12"/>
      <c r="K1040"/>
    </row>
    <row r="1041" spans="5:11" ht="12.75" customHeight="1" x14ac:dyDescent="0.2">
      <c r="E1041" s="50"/>
      <c r="H1041" s="12"/>
      <c r="K1041"/>
    </row>
    <row r="1042" spans="5:11" ht="12.75" customHeight="1" x14ac:dyDescent="0.2">
      <c r="E1042" s="50"/>
      <c r="H1042" s="12"/>
      <c r="K1042"/>
    </row>
    <row r="1043" spans="5:11" ht="12.75" customHeight="1" x14ac:dyDescent="0.2">
      <c r="E1043" s="50"/>
      <c r="H1043" s="12"/>
      <c r="K1043"/>
    </row>
    <row r="1044" spans="5:11" ht="12.75" customHeight="1" x14ac:dyDescent="0.2">
      <c r="E1044" s="50"/>
      <c r="H1044" s="12"/>
      <c r="K1044"/>
    </row>
    <row r="1045" spans="5:11" ht="12.75" customHeight="1" x14ac:dyDescent="0.2">
      <c r="E1045" s="50"/>
      <c r="H1045" s="12"/>
      <c r="K1045"/>
    </row>
    <row r="1046" spans="5:11" ht="12.75" customHeight="1" x14ac:dyDescent="0.2">
      <c r="E1046" s="50"/>
      <c r="H1046" s="12"/>
      <c r="K1046"/>
    </row>
    <row r="1047" spans="5:11" ht="12.75" customHeight="1" x14ac:dyDescent="0.2">
      <c r="E1047" s="50"/>
      <c r="H1047" s="12"/>
      <c r="K1047"/>
    </row>
    <row r="1048" spans="5:11" ht="12.75" customHeight="1" x14ac:dyDescent="0.2">
      <c r="E1048" s="50"/>
      <c r="H1048" s="12"/>
      <c r="K1048"/>
    </row>
    <row r="1049" spans="5:11" ht="12.75" customHeight="1" x14ac:dyDescent="0.2">
      <c r="E1049" s="50"/>
      <c r="H1049" s="12"/>
      <c r="K1049"/>
    </row>
    <row r="1050" spans="5:11" ht="12.75" customHeight="1" x14ac:dyDescent="0.2">
      <c r="E1050" s="50"/>
      <c r="H1050" s="12"/>
      <c r="K1050"/>
    </row>
    <row r="1051" spans="5:11" ht="12.75" customHeight="1" x14ac:dyDescent="0.2">
      <c r="E1051" s="50"/>
      <c r="H1051" s="12"/>
      <c r="K1051"/>
    </row>
    <row r="1052" spans="5:11" ht="12.75" customHeight="1" x14ac:dyDescent="0.2">
      <c r="E1052" s="50"/>
      <c r="H1052" s="12"/>
      <c r="K1052"/>
    </row>
    <row r="1053" spans="5:11" ht="12.75" customHeight="1" x14ac:dyDescent="0.2">
      <c r="E1053" s="50"/>
      <c r="H1053" s="12"/>
      <c r="K1053"/>
    </row>
    <row r="1054" spans="5:11" ht="12.75" customHeight="1" x14ac:dyDescent="0.2">
      <c r="E1054" s="50"/>
      <c r="H1054" s="12"/>
      <c r="K1054"/>
    </row>
    <row r="1055" spans="5:11" ht="12.75" customHeight="1" x14ac:dyDescent="0.2">
      <c r="E1055" s="50"/>
      <c r="H1055" s="12"/>
      <c r="K1055"/>
    </row>
    <row r="1056" spans="5:11" ht="12.75" customHeight="1" x14ac:dyDescent="0.2">
      <c r="E1056" s="50"/>
      <c r="H1056" s="12"/>
      <c r="K1056"/>
    </row>
    <row r="1057" spans="5:11" ht="12.75" customHeight="1" x14ac:dyDescent="0.2">
      <c r="E1057" s="50"/>
      <c r="H1057" s="12"/>
      <c r="K1057"/>
    </row>
    <row r="1058" spans="5:11" ht="12.75" customHeight="1" x14ac:dyDescent="0.2">
      <c r="E1058" s="50"/>
      <c r="H1058" s="12"/>
      <c r="K1058"/>
    </row>
    <row r="1059" spans="5:11" ht="12.75" customHeight="1" x14ac:dyDescent="0.2">
      <c r="E1059" s="50"/>
      <c r="H1059" s="12"/>
      <c r="K1059"/>
    </row>
    <row r="1060" spans="5:11" ht="12.75" customHeight="1" x14ac:dyDescent="0.2">
      <c r="E1060" s="50"/>
      <c r="H1060" s="12"/>
      <c r="K1060"/>
    </row>
    <row r="1061" spans="5:11" ht="12.75" customHeight="1" x14ac:dyDescent="0.2">
      <c r="E1061" s="50"/>
      <c r="H1061" s="12"/>
      <c r="K1061"/>
    </row>
    <row r="1062" spans="5:11" ht="12.75" customHeight="1" x14ac:dyDescent="0.2">
      <c r="E1062" s="50"/>
      <c r="H1062" s="12"/>
      <c r="K1062"/>
    </row>
    <row r="1063" spans="5:11" ht="12.75" customHeight="1" x14ac:dyDescent="0.2">
      <c r="E1063" s="50"/>
      <c r="H1063" s="12"/>
      <c r="K1063"/>
    </row>
    <row r="1064" spans="5:11" ht="12.75" customHeight="1" x14ac:dyDescent="0.2">
      <c r="E1064" s="50"/>
      <c r="H1064" s="12"/>
      <c r="K1064"/>
    </row>
    <row r="1065" spans="5:11" ht="12.75" customHeight="1" x14ac:dyDescent="0.2">
      <c r="E1065" s="50"/>
      <c r="H1065" s="12"/>
      <c r="K1065"/>
    </row>
    <row r="1066" spans="5:11" ht="12.75" customHeight="1" x14ac:dyDescent="0.2">
      <c r="E1066" s="50"/>
      <c r="H1066" s="12"/>
      <c r="K1066"/>
    </row>
    <row r="1067" spans="5:11" ht="12.75" customHeight="1" x14ac:dyDescent="0.2">
      <c r="E1067" s="50"/>
      <c r="H1067" s="12"/>
      <c r="K1067"/>
    </row>
    <row r="1068" spans="5:11" ht="12.75" customHeight="1" x14ac:dyDescent="0.2">
      <c r="E1068" s="50"/>
      <c r="H1068" s="12"/>
      <c r="K1068"/>
    </row>
    <row r="1069" spans="5:11" ht="12.75" customHeight="1" x14ac:dyDescent="0.2">
      <c r="E1069" s="50"/>
      <c r="H1069" s="12"/>
      <c r="K1069"/>
    </row>
    <row r="1070" spans="5:11" ht="12.75" customHeight="1" x14ac:dyDescent="0.2">
      <c r="E1070" s="50"/>
      <c r="H1070" s="12"/>
      <c r="K1070"/>
    </row>
    <row r="1071" spans="5:11" ht="12.75" customHeight="1" x14ac:dyDescent="0.2">
      <c r="E1071" s="50"/>
      <c r="H1071" s="12"/>
      <c r="K1071"/>
    </row>
    <row r="1072" spans="5:11" ht="12.75" customHeight="1" x14ac:dyDescent="0.2">
      <c r="E1072" s="50"/>
      <c r="H1072" s="12"/>
      <c r="K1072"/>
    </row>
    <row r="1073" spans="5:11" ht="12.75" customHeight="1" x14ac:dyDescent="0.2">
      <c r="E1073" s="50"/>
      <c r="H1073" s="12"/>
      <c r="K1073"/>
    </row>
    <row r="1074" spans="5:11" ht="12.75" customHeight="1" x14ac:dyDescent="0.2">
      <c r="E1074" s="50"/>
      <c r="H1074" s="12"/>
      <c r="K1074"/>
    </row>
    <row r="1075" spans="5:11" ht="12.75" customHeight="1" x14ac:dyDescent="0.2">
      <c r="E1075" s="50"/>
      <c r="H1075" s="12"/>
      <c r="K1075"/>
    </row>
    <row r="1076" spans="5:11" ht="12.75" customHeight="1" x14ac:dyDescent="0.2">
      <c r="E1076" s="50"/>
      <c r="H1076" s="12"/>
      <c r="K1076"/>
    </row>
    <row r="1077" spans="5:11" ht="12.75" customHeight="1" x14ac:dyDescent="0.2">
      <c r="E1077" s="50"/>
      <c r="H1077" s="12"/>
      <c r="K1077"/>
    </row>
    <row r="1078" spans="5:11" ht="12.75" customHeight="1" x14ac:dyDescent="0.2">
      <c r="E1078" s="50"/>
      <c r="H1078" s="12"/>
      <c r="K1078"/>
    </row>
    <row r="1079" spans="5:11" ht="12.75" customHeight="1" x14ac:dyDescent="0.2">
      <c r="E1079" s="50"/>
      <c r="H1079" s="12"/>
      <c r="K1079"/>
    </row>
    <row r="1080" spans="5:11" ht="12.75" customHeight="1" x14ac:dyDescent="0.2">
      <c r="E1080" s="50"/>
      <c r="H1080" s="12"/>
      <c r="K1080"/>
    </row>
    <row r="1081" spans="5:11" ht="12.75" customHeight="1" x14ac:dyDescent="0.2">
      <c r="E1081" s="50"/>
      <c r="H1081" s="12"/>
      <c r="K1081"/>
    </row>
    <row r="1082" spans="5:11" ht="12.75" customHeight="1" x14ac:dyDescent="0.2">
      <c r="E1082" s="50"/>
      <c r="H1082" s="12"/>
      <c r="K1082"/>
    </row>
    <row r="1083" spans="5:11" ht="12.75" customHeight="1" x14ac:dyDescent="0.2">
      <c r="E1083" s="50"/>
      <c r="H1083" s="12"/>
      <c r="K1083"/>
    </row>
    <row r="1084" spans="5:11" ht="12.75" customHeight="1" x14ac:dyDescent="0.2">
      <c r="E1084" s="50"/>
      <c r="H1084" s="12"/>
      <c r="K1084"/>
    </row>
    <row r="1085" spans="5:11" ht="12.75" customHeight="1" x14ac:dyDescent="0.2">
      <c r="E1085" s="50"/>
      <c r="H1085" s="12"/>
      <c r="K1085"/>
    </row>
    <row r="1086" spans="5:11" ht="12.75" customHeight="1" x14ac:dyDescent="0.2">
      <c r="E1086" s="50"/>
      <c r="H1086" s="12"/>
      <c r="K1086"/>
    </row>
    <row r="1087" spans="5:11" ht="12.75" customHeight="1" x14ac:dyDescent="0.2">
      <c r="E1087" s="50"/>
      <c r="H1087" s="12"/>
      <c r="K1087"/>
    </row>
    <row r="1088" spans="5:11" ht="12.75" customHeight="1" x14ac:dyDescent="0.2">
      <c r="E1088" s="50"/>
      <c r="H1088" s="12"/>
      <c r="K1088"/>
    </row>
    <row r="1089" spans="5:11" ht="12.75" customHeight="1" x14ac:dyDescent="0.2">
      <c r="E1089" s="50"/>
      <c r="H1089" s="12"/>
      <c r="K1089"/>
    </row>
    <row r="1090" spans="5:11" ht="12.75" customHeight="1" x14ac:dyDescent="0.2">
      <c r="E1090" s="50"/>
      <c r="H1090" s="12"/>
      <c r="K1090"/>
    </row>
    <row r="1091" spans="5:11" ht="12.75" customHeight="1" x14ac:dyDescent="0.2">
      <c r="E1091" s="50"/>
      <c r="H1091" s="12"/>
      <c r="K1091"/>
    </row>
    <row r="1092" spans="5:11" ht="12.75" customHeight="1" x14ac:dyDescent="0.2">
      <c r="E1092" s="50"/>
      <c r="H1092" s="12"/>
      <c r="K1092"/>
    </row>
    <row r="1093" spans="5:11" ht="12.75" customHeight="1" x14ac:dyDescent="0.2">
      <c r="E1093" s="50"/>
      <c r="H1093" s="12"/>
      <c r="K1093"/>
    </row>
    <row r="1094" spans="5:11" ht="12.75" customHeight="1" x14ac:dyDescent="0.2">
      <c r="E1094" s="50"/>
      <c r="H1094" s="12"/>
      <c r="K1094"/>
    </row>
    <row r="1095" spans="5:11" ht="12.75" customHeight="1" x14ac:dyDescent="0.2">
      <c r="E1095" s="50"/>
      <c r="H1095" s="12"/>
      <c r="K1095"/>
    </row>
    <row r="1096" spans="5:11" ht="12.75" customHeight="1" x14ac:dyDescent="0.2">
      <c r="E1096" s="50"/>
      <c r="H1096" s="12"/>
      <c r="K1096"/>
    </row>
    <row r="1097" spans="5:11" ht="12.75" customHeight="1" x14ac:dyDescent="0.2">
      <c r="E1097" s="50"/>
      <c r="H1097" s="12"/>
      <c r="K1097"/>
    </row>
    <row r="1098" spans="5:11" ht="12.75" customHeight="1" x14ac:dyDescent="0.2">
      <c r="E1098" s="50"/>
      <c r="H1098" s="12"/>
      <c r="K1098"/>
    </row>
    <row r="1099" spans="5:11" ht="12.75" customHeight="1" x14ac:dyDescent="0.2">
      <c r="E1099" s="50"/>
      <c r="H1099" s="12"/>
      <c r="K1099"/>
    </row>
    <row r="1100" spans="5:11" ht="12.75" customHeight="1" x14ac:dyDescent="0.2">
      <c r="E1100" s="50"/>
      <c r="H1100" s="12"/>
      <c r="K1100"/>
    </row>
    <row r="1101" spans="5:11" ht="12.75" customHeight="1" x14ac:dyDescent="0.2">
      <c r="E1101" s="50"/>
      <c r="H1101" s="12"/>
      <c r="K1101"/>
    </row>
    <row r="1102" spans="5:11" ht="12.75" customHeight="1" x14ac:dyDescent="0.2">
      <c r="E1102" s="50"/>
      <c r="H1102" s="12"/>
      <c r="K1102"/>
    </row>
    <row r="1103" spans="5:11" ht="12.75" customHeight="1" x14ac:dyDescent="0.2">
      <c r="E1103" s="50"/>
      <c r="H1103" s="12"/>
      <c r="K1103"/>
    </row>
    <row r="1104" spans="5:11" ht="12.75" customHeight="1" x14ac:dyDescent="0.2">
      <c r="E1104" s="50"/>
      <c r="H1104" s="12"/>
      <c r="K1104"/>
    </row>
    <row r="1105" spans="5:11" ht="12.75" customHeight="1" x14ac:dyDescent="0.2">
      <c r="E1105" s="50"/>
      <c r="H1105" s="12"/>
      <c r="K1105"/>
    </row>
    <row r="1106" spans="5:11" ht="12.75" customHeight="1" x14ac:dyDescent="0.2">
      <c r="E1106" s="50"/>
      <c r="H1106" s="12"/>
      <c r="K1106"/>
    </row>
    <row r="1107" spans="5:11" ht="12.75" customHeight="1" x14ac:dyDescent="0.2">
      <c r="E1107" s="50"/>
      <c r="H1107" s="12"/>
      <c r="K1107"/>
    </row>
    <row r="1108" spans="5:11" ht="12.75" customHeight="1" x14ac:dyDescent="0.2">
      <c r="E1108" s="50"/>
      <c r="H1108" s="12"/>
      <c r="K1108"/>
    </row>
    <row r="1109" spans="5:11" ht="12.75" customHeight="1" x14ac:dyDescent="0.2">
      <c r="E1109" s="50"/>
      <c r="H1109" s="12"/>
      <c r="K1109"/>
    </row>
    <row r="1110" spans="5:11" ht="12.75" customHeight="1" x14ac:dyDescent="0.2">
      <c r="E1110" s="50"/>
      <c r="H1110" s="12"/>
      <c r="K1110"/>
    </row>
    <row r="1111" spans="5:11" ht="12.75" customHeight="1" x14ac:dyDescent="0.2">
      <c r="E1111" s="50"/>
      <c r="H1111" s="12"/>
      <c r="K1111"/>
    </row>
    <row r="1112" spans="5:11" ht="12.75" customHeight="1" x14ac:dyDescent="0.2">
      <c r="E1112" s="50"/>
      <c r="H1112" s="12"/>
      <c r="K1112"/>
    </row>
    <row r="1113" spans="5:11" ht="12.75" customHeight="1" x14ac:dyDescent="0.2">
      <c r="E1113" s="50"/>
      <c r="H1113" s="12"/>
      <c r="K1113"/>
    </row>
    <row r="1114" spans="5:11" ht="12.75" customHeight="1" x14ac:dyDescent="0.2">
      <c r="E1114" s="50"/>
      <c r="H1114" s="12"/>
      <c r="K1114"/>
    </row>
    <row r="1115" spans="5:11" ht="12.75" customHeight="1" x14ac:dyDescent="0.2">
      <c r="E1115" s="50"/>
      <c r="H1115" s="12"/>
      <c r="K1115"/>
    </row>
    <row r="1116" spans="5:11" ht="12.75" customHeight="1" x14ac:dyDescent="0.2">
      <c r="E1116" s="50"/>
      <c r="H1116" s="12"/>
      <c r="K1116"/>
    </row>
    <row r="1117" spans="5:11" ht="12.75" customHeight="1" x14ac:dyDescent="0.2">
      <c r="E1117" s="50"/>
      <c r="H1117" s="12"/>
      <c r="K1117"/>
    </row>
    <row r="1118" spans="5:11" ht="12.75" customHeight="1" x14ac:dyDescent="0.2">
      <c r="E1118" s="50"/>
      <c r="H1118" s="12"/>
      <c r="K1118"/>
    </row>
    <row r="1119" spans="5:11" ht="12.75" customHeight="1" x14ac:dyDescent="0.2">
      <c r="E1119" s="50"/>
      <c r="H1119" s="12"/>
      <c r="K1119"/>
    </row>
    <row r="1120" spans="5:11" ht="12.75" customHeight="1" x14ac:dyDescent="0.2">
      <c r="E1120" s="50"/>
      <c r="H1120" s="12"/>
      <c r="K1120"/>
    </row>
    <row r="1121" spans="5:11" ht="12.75" customHeight="1" x14ac:dyDescent="0.2">
      <c r="E1121" s="50"/>
      <c r="H1121" s="12"/>
      <c r="K1121"/>
    </row>
    <row r="1122" spans="5:11" ht="12.75" customHeight="1" x14ac:dyDescent="0.2">
      <c r="E1122" s="50"/>
      <c r="H1122" s="12"/>
      <c r="K1122"/>
    </row>
    <row r="1123" spans="5:11" ht="12.75" customHeight="1" x14ac:dyDescent="0.2">
      <c r="E1123" s="50"/>
      <c r="H1123" s="12"/>
      <c r="K1123"/>
    </row>
    <row r="1124" spans="5:11" ht="12.75" customHeight="1" x14ac:dyDescent="0.2">
      <c r="E1124" s="50"/>
      <c r="H1124" s="12"/>
      <c r="K1124"/>
    </row>
    <row r="1125" spans="5:11" ht="12.75" customHeight="1" x14ac:dyDescent="0.2">
      <c r="E1125" s="50"/>
      <c r="H1125" s="12"/>
      <c r="K1125"/>
    </row>
    <row r="1126" spans="5:11" ht="12.75" customHeight="1" x14ac:dyDescent="0.2">
      <c r="E1126" s="50"/>
      <c r="H1126" s="12"/>
      <c r="K1126"/>
    </row>
    <row r="1127" spans="5:11" ht="12.75" customHeight="1" x14ac:dyDescent="0.2">
      <c r="E1127" s="50"/>
      <c r="H1127" s="12"/>
      <c r="K1127"/>
    </row>
    <row r="1128" spans="5:11" ht="12.75" customHeight="1" x14ac:dyDescent="0.2">
      <c r="E1128" s="50"/>
      <c r="H1128" s="12"/>
      <c r="K1128"/>
    </row>
    <row r="1129" spans="5:11" ht="12.75" customHeight="1" x14ac:dyDescent="0.2">
      <c r="E1129" s="50"/>
      <c r="H1129" s="12"/>
      <c r="K1129"/>
    </row>
    <row r="1130" spans="5:11" ht="12.75" customHeight="1" x14ac:dyDescent="0.2">
      <c r="E1130" s="50"/>
      <c r="H1130" s="12"/>
      <c r="K1130"/>
    </row>
    <row r="1131" spans="5:11" ht="12.75" customHeight="1" x14ac:dyDescent="0.2">
      <c r="E1131" s="50"/>
      <c r="H1131" s="12"/>
      <c r="K1131"/>
    </row>
    <row r="1132" spans="5:11" ht="12.75" customHeight="1" x14ac:dyDescent="0.2">
      <c r="E1132" s="50"/>
      <c r="H1132" s="12"/>
      <c r="K1132"/>
    </row>
    <row r="1133" spans="5:11" ht="12.75" customHeight="1" x14ac:dyDescent="0.2">
      <c r="E1133" s="50"/>
      <c r="H1133" s="12"/>
      <c r="K1133"/>
    </row>
    <row r="1134" spans="5:11" ht="12.75" customHeight="1" x14ac:dyDescent="0.2">
      <c r="E1134" s="50"/>
      <c r="H1134" s="12"/>
      <c r="K1134"/>
    </row>
    <row r="1135" spans="5:11" ht="12.75" customHeight="1" x14ac:dyDescent="0.2">
      <c r="E1135" s="50"/>
      <c r="H1135" s="12"/>
      <c r="K1135"/>
    </row>
    <row r="1136" spans="5:11" ht="12.75" customHeight="1" x14ac:dyDescent="0.2">
      <c r="E1136" s="50"/>
      <c r="H1136" s="12"/>
      <c r="K1136"/>
    </row>
    <row r="1137" spans="5:11" ht="12.75" customHeight="1" x14ac:dyDescent="0.2">
      <c r="E1137" s="50"/>
      <c r="H1137" s="12"/>
      <c r="K1137"/>
    </row>
    <row r="1138" spans="5:11" ht="12.75" customHeight="1" x14ac:dyDescent="0.2">
      <c r="E1138" s="50"/>
      <c r="H1138" s="12"/>
      <c r="K1138"/>
    </row>
    <row r="1139" spans="5:11" ht="12.75" customHeight="1" x14ac:dyDescent="0.2">
      <c r="E1139" s="50"/>
      <c r="H1139" s="12"/>
      <c r="K1139"/>
    </row>
    <row r="1140" spans="5:11" ht="12.75" customHeight="1" x14ac:dyDescent="0.2">
      <c r="E1140" s="50"/>
      <c r="H1140" s="12"/>
      <c r="K1140"/>
    </row>
    <row r="1141" spans="5:11" ht="12.75" customHeight="1" x14ac:dyDescent="0.2">
      <c r="E1141" s="50"/>
      <c r="H1141" s="12"/>
      <c r="K1141"/>
    </row>
    <row r="1142" spans="5:11" ht="12.75" customHeight="1" x14ac:dyDescent="0.2">
      <c r="E1142" s="50"/>
      <c r="H1142" s="12"/>
      <c r="K1142"/>
    </row>
    <row r="1143" spans="5:11" ht="12.75" customHeight="1" x14ac:dyDescent="0.2">
      <c r="E1143" s="50"/>
      <c r="H1143" s="12"/>
      <c r="K1143"/>
    </row>
    <row r="1144" spans="5:11" ht="12.75" customHeight="1" x14ac:dyDescent="0.2">
      <c r="E1144" s="50"/>
      <c r="H1144" s="12"/>
      <c r="K1144"/>
    </row>
    <row r="1145" spans="5:11" ht="12.75" customHeight="1" x14ac:dyDescent="0.2">
      <c r="E1145" s="50"/>
      <c r="H1145" s="12"/>
      <c r="K1145"/>
    </row>
    <row r="1146" spans="5:11" ht="12.75" customHeight="1" x14ac:dyDescent="0.2">
      <c r="E1146" s="50"/>
      <c r="H1146" s="12"/>
      <c r="K1146"/>
    </row>
    <row r="1147" spans="5:11" ht="12.75" customHeight="1" x14ac:dyDescent="0.2">
      <c r="E1147" s="50"/>
      <c r="H1147" s="12"/>
      <c r="K1147"/>
    </row>
    <row r="1148" spans="5:11" ht="12.75" customHeight="1" x14ac:dyDescent="0.2">
      <c r="E1148" s="50"/>
      <c r="H1148" s="12"/>
      <c r="K1148"/>
    </row>
    <row r="1149" spans="5:11" ht="12.75" customHeight="1" x14ac:dyDescent="0.2">
      <c r="E1149" s="50"/>
      <c r="H1149" s="12"/>
      <c r="K1149"/>
    </row>
    <row r="1150" spans="5:11" ht="12.75" customHeight="1" x14ac:dyDescent="0.2">
      <c r="E1150" s="50"/>
      <c r="H1150" s="12"/>
      <c r="K1150"/>
    </row>
    <row r="1151" spans="5:11" ht="12.75" customHeight="1" x14ac:dyDescent="0.2">
      <c r="E1151" s="50"/>
      <c r="H1151" s="12"/>
      <c r="K1151"/>
    </row>
    <row r="1152" spans="5:11" ht="12.75" customHeight="1" x14ac:dyDescent="0.2">
      <c r="E1152" s="50"/>
      <c r="H1152" s="12"/>
      <c r="K1152"/>
    </row>
    <row r="1153" spans="5:11" ht="12.75" customHeight="1" x14ac:dyDescent="0.2">
      <c r="E1153" s="50"/>
      <c r="H1153" s="12"/>
      <c r="K1153"/>
    </row>
    <row r="1154" spans="5:11" ht="12.75" customHeight="1" x14ac:dyDescent="0.2">
      <c r="E1154" s="50"/>
      <c r="H1154" s="12"/>
      <c r="K1154"/>
    </row>
    <row r="1155" spans="5:11" ht="12.75" customHeight="1" x14ac:dyDescent="0.2">
      <c r="E1155" s="50"/>
      <c r="H1155" s="12"/>
      <c r="K1155"/>
    </row>
    <row r="1156" spans="5:11" ht="12.75" customHeight="1" x14ac:dyDescent="0.2">
      <c r="E1156" s="50"/>
      <c r="H1156" s="12"/>
      <c r="K1156"/>
    </row>
    <row r="1157" spans="5:11" ht="12.75" customHeight="1" x14ac:dyDescent="0.2">
      <c r="E1157" s="50"/>
      <c r="H1157" s="12"/>
      <c r="K1157"/>
    </row>
    <row r="1158" spans="5:11" ht="12.75" customHeight="1" x14ac:dyDescent="0.2">
      <c r="E1158" s="50"/>
      <c r="H1158" s="12"/>
      <c r="K1158"/>
    </row>
    <row r="1159" spans="5:11" ht="12.75" customHeight="1" x14ac:dyDescent="0.2">
      <c r="E1159" s="50"/>
      <c r="H1159" s="12"/>
      <c r="K1159"/>
    </row>
    <row r="1160" spans="5:11" ht="12.75" customHeight="1" x14ac:dyDescent="0.2">
      <c r="E1160" s="50"/>
      <c r="H1160" s="12"/>
      <c r="K1160"/>
    </row>
    <row r="1161" spans="5:11" ht="12.75" customHeight="1" x14ac:dyDescent="0.2">
      <c r="E1161" s="50"/>
      <c r="H1161" s="12"/>
      <c r="K1161"/>
    </row>
    <row r="1162" spans="5:11" ht="12.75" customHeight="1" x14ac:dyDescent="0.2">
      <c r="E1162" s="50"/>
      <c r="H1162" s="12"/>
      <c r="K1162"/>
    </row>
    <row r="1163" spans="5:11" ht="12.75" customHeight="1" x14ac:dyDescent="0.2">
      <c r="E1163" s="50"/>
      <c r="H1163" s="12"/>
      <c r="K1163"/>
    </row>
    <row r="1164" spans="5:11" ht="12.75" customHeight="1" x14ac:dyDescent="0.2">
      <c r="E1164" s="50"/>
      <c r="H1164" s="12"/>
      <c r="K1164"/>
    </row>
    <row r="1165" spans="5:11" ht="12.75" customHeight="1" x14ac:dyDescent="0.2">
      <c r="E1165" s="50"/>
      <c r="H1165" s="12"/>
      <c r="K1165"/>
    </row>
    <row r="1166" spans="5:11" ht="12.75" customHeight="1" x14ac:dyDescent="0.2">
      <c r="E1166" s="50"/>
      <c r="H1166" s="12"/>
      <c r="K1166"/>
    </row>
    <row r="1167" spans="5:11" ht="12.75" customHeight="1" x14ac:dyDescent="0.2">
      <c r="E1167" s="50"/>
      <c r="H1167" s="12"/>
      <c r="K1167"/>
    </row>
    <row r="1168" spans="5:11" ht="12.75" customHeight="1" x14ac:dyDescent="0.2">
      <c r="E1168" s="50"/>
      <c r="H1168" s="12"/>
      <c r="K1168"/>
    </row>
    <row r="1169" spans="5:11" ht="12.75" customHeight="1" x14ac:dyDescent="0.2">
      <c r="E1169" s="50"/>
      <c r="H1169" s="12"/>
      <c r="K1169"/>
    </row>
    <row r="1170" spans="5:11" ht="12.75" customHeight="1" x14ac:dyDescent="0.2">
      <c r="E1170" s="50"/>
      <c r="H1170" s="12"/>
      <c r="K1170"/>
    </row>
    <row r="1171" spans="5:11" ht="12.75" customHeight="1" x14ac:dyDescent="0.2">
      <c r="E1171" s="50"/>
      <c r="H1171" s="12"/>
      <c r="K1171"/>
    </row>
    <row r="1172" spans="5:11" ht="12.75" customHeight="1" x14ac:dyDescent="0.2">
      <c r="E1172" s="50"/>
      <c r="H1172" s="12"/>
      <c r="K1172"/>
    </row>
    <row r="1173" spans="5:11" ht="12.75" customHeight="1" x14ac:dyDescent="0.2">
      <c r="E1173" s="50"/>
      <c r="H1173" s="12"/>
      <c r="K1173"/>
    </row>
    <row r="1174" spans="5:11" ht="12.75" customHeight="1" x14ac:dyDescent="0.2">
      <c r="E1174" s="50"/>
      <c r="H1174" s="12"/>
      <c r="K1174"/>
    </row>
    <row r="1175" spans="5:11" ht="12.75" customHeight="1" x14ac:dyDescent="0.2">
      <c r="E1175" s="50"/>
      <c r="H1175" s="12"/>
      <c r="K1175"/>
    </row>
    <row r="1176" spans="5:11" ht="12.75" customHeight="1" x14ac:dyDescent="0.2">
      <c r="E1176" s="50"/>
      <c r="H1176" s="12"/>
      <c r="K1176"/>
    </row>
    <row r="1177" spans="5:11" ht="12.75" customHeight="1" x14ac:dyDescent="0.2">
      <c r="E1177" s="50"/>
      <c r="H1177" s="12"/>
      <c r="K1177"/>
    </row>
    <row r="1178" spans="5:11" ht="12.75" customHeight="1" x14ac:dyDescent="0.2">
      <c r="E1178" s="50"/>
      <c r="H1178" s="12"/>
      <c r="K1178"/>
    </row>
    <row r="1179" spans="5:11" ht="12.75" customHeight="1" x14ac:dyDescent="0.2">
      <c r="E1179" s="50"/>
      <c r="H1179" s="12"/>
      <c r="K1179"/>
    </row>
    <row r="1180" spans="5:11" ht="12.75" customHeight="1" x14ac:dyDescent="0.2">
      <c r="E1180" s="50"/>
      <c r="H1180" s="12"/>
      <c r="K1180"/>
    </row>
    <row r="1181" spans="5:11" ht="12.75" customHeight="1" x14ac:dyDescent="0.2">
      <c r="E1181" s="50"/>
      <c r="H1181" s="12"/>
      <c r="K1181"/>
    </row>
    <row r="1182" spans="5:11" ht="12.75" customHeight="1" x14ac:dyDescent="0.2">
      <c r="E1182" s="50"/>
      <c r="H1182" s="12"/>
      <c r="K1182"/>
    </row>
    <row r="1183" spans="5:11" ht="12.75" customHeight="1" x14ac:dyDescent="0.2">
      <c r="E1183" s="50"/>
      <c r="H1183" s="12"/>
      <c r="K1183"/>
    </row>
    <row r="1184" spans="5:11" ht="12.75" customHeight="1" x14ac:dyDescent="0.2">
      <c r="E1184" s="50"/>
      <c r="H1184" s="12"/>
      <c r="K1184"/>
    </row>
    <row r="1185" spans="5:11" ht="12.75" customHeight="1" x14ac:dyDescent="0.2">
      <c r="E1185" s="50"/>
      <c r="H1185" s="12"/>
      <c r="K1185"/>
    </row>
    <row r="1186" spans="5:11" ht="12.75" customHeight="1" x14ac:dyDescent="0.2">
      <c r="E1186" s="50"/>
      <c r="H1186" s="12"/>
      <c r="K1186"/>
    </row>
    <row r="1187" spans="5:11" ht="12.75" customHeight="1" x14ac:dyDescent="0.2">
      <c r="E1187" s="50"/>
      <c r="H1187" s="12"/>
      <c r="K1187"/>
    </row>
    <row r="1188" spans="5:11" ht="12.75" customHeight="1" x14ac:dyDescent="0.2">
      <c r="E1188" s="50"/>
      <c r="H1188" s="12"/>
      <c r="K1188"/>
    </row>
    <row r="1189" spans="5:11" ht="12.75" customHeight="1" x14ac:dyDescent="0.2">
      <c r="E1189" s="50"/>
      <c r="H1189" s="12"/>
      <c r="K1189"/>
    </row>
    <row r="1190" spans="5:11" ht="12.75" customHeight="1" x14ac:dyDescent="0.2">
      <c r="E1190" s="50"/>
      <c r="H1190" s="12"/>
      <c r="K1190"/>
    </row>
    <row r="1191" spans="5:11" ht="12.75" customHeight="1" x14ac:dyDescent="0.2">
      <c r="E1191" s="50"/>
      <c r="H1191" s="12"/>
      <c r="K1191"/>
    </row>
    <row r="1192" spans="5:11" ht="12.75" customHeight="1" x14ac:dyDescent="0.2">
      <c r="E1192" s="50"/>
      <c r="H1192" s="12"/>
      <c r="K1192"/>
    </row>
    <row r="1193" spans="5:11" ht="12.75" customHeight="1" x14ac:dyDescent="0.2">
      <c r="E1193" s="50"/>
      <c r="H1193" s="12"/>
      <c r="K1193"/>
    </row>
    <row r="1194" spans="5:11" ht="12.75" customHeight="1" x14ac:dyDescent="0.2">
      <c r="E1194" s="50"/>
      <c r="H1194" s="12"/>
      <c r="K1194"/>
    </row>
    <row r="1195" spans="5:11" ht="12.75" customHeight="1" x14ac:dyDescent="0.2">
      <c r="E1195" s="50"/>
      <c r="H1195" s="12"/>
      <c r="K1195"/>
    </row>
    <row r="1196" spans="5:11" ht="12.75" customHeight="1" x14ac:dyDescent="0.2">
      <c r="E1196" s="50"/>
      <c r="H1196" s="12"/>
      <c r="K1196"/>
    </row>
    <row r="1197" spans="5:11" ht="12.75" customHeight="1" x14ac:dyDescent="0.2">
      <c r="E1197" s="50"/>
      <c r="H1197" s="12"/>
      <c r="K1197"/>
    </row>
    <row r="1198" spans="5:11" ht="12.75" customHeight="1" x14ac:dyDescent="0.2">
      <c r="E1198" s="50"/>
      <c r="H1198" s="12"/>
      <c r="K1198"/>
    </row>
    <row r="1199" spans="5:11" ht="12.75" customHeight="1" x14ac:dyDescent="0.2">
      <c r="E1199" s="50"/>
      <c r="H1199" s="12"/>
      <c r="K1199"/>
    </row>
    <row r="1200" spans="5:11" ht="12.75" customHeight="1" x14ac:dyDescent="0.2">
      <c r="E1200" s="50"/>
      <c r="H1200" s="12"/>
      <c r="K1200"/>
    </row>
    <row r="1201" spans="5:11" ht="12.75" customHeight="1" x14ac:dyDescent="0.2">
      <c r="E1201" s="50"/>
      <c r="H1201" s="12"/>
      <c r="K1201"/>
    </row>
    <row r="1202" spans="5:11" ht="12.75" customHeight="1" x14ac:dyDescent="0.2">
      <c r="E1202" s="50"/>
      <c r="H1202" s="12"/>
      <c r="K1202"/>
    </row>
    <row r="1203" spans="5:11" ht="12.75" customHeight="1" x14ac:dyDescent="0.2">
      <c r="E1203" s="50"/>
      <c r="H1203" s="12"/>
      <c r="K1203"/>
    </row>
    <row r="1204" spans="5:11" ht="12.75" customHeight="1" x14ac:dyDescent="0.2">
      <c r="E1204" s="50"/>
      <c r="H1204" s="12"/>
      <c r="K1204"/>
    </row>
    <row r="1205" spans="5:11" ht="12.75" customHeight="1" x14ac:dyDescent="0.2">
      <c r="E1205" s="50"/>
      <c r="H1205" s="12"/>
      <c r="K1205"/>
    </row>
    <row r="1206" spans="5:11" ht="12.75" customHeight="1" x14ac:dyDescent="0.2">
      <c r="E1206" s="50"/>
      <c r="H1206" s="12"/>
      <c r="K1206"/>
    </row>
    <row r="1207" spans="5:11" ht="12.75" customHeight="1" x14ac:dyDescent="0.2">
      <c r="E1207" s="50"/>
      <c r="H1207" s="12"/>
      <c r="K1207"/>
    </row>
    <row r="1208" spans="5:11" ht="12.75" customHeight="1" x14ac:dyDescent="0.2">
      <c r="E1208" s="50"/>
      <c r="H1208" s="12"/>
      <c r="K1208"/>
    </row>
    <row r="1209" spans="5:11" ht="12.75" customHeight="1" x14ac:dyDescent="0.2">
      <c r="E1209" s="50"/>
      <c r="H1209" s="12"/>
      <c r="K1209"/>
    </row>
    <row r="1210" spans="5:11" ht="12.75" customHeight="1" x14ac:dyDescent="0.2">
      <c r="E1210" s="50"/>
      <c r="H1210" s="12"/>
      <c r="K1210"/>
    </row>
    <row r="1211" spans="5:11" ht="12.75" customHeight="1" x14ac:dyDescent="0.2">
      <c r="E1211" s="50"/>
      <c r="H1211" s="12"/>
      <c r="K1211"/>
    </row>
    <row r="1212" spans="5:11" ht="12.75" customHeight="1" x14ac:dyDescent="0.2">
      <c r="E1212" s="50"/>
      <c r="H1212" s="12"/>
      <c r="K1212"/>
    </row>
    <row r="1213" spans="5:11" ht="12.75" customHeight="1" x14ac:dyDescent="0.2">
      <c r="E1213" s="50"/>
      <c r="H1213" s="12"/>
      <c r="K1213"/>
    </row>
    <row r="1214" spans="5:11" ht="12.75" customHeight="1" x14ac:dyDescent="0.2">
      <c r="E1214" s="50"/>
      <c r="H1214" s="12"/>
      <c r="K1214"/>
    </row>
    <row r="1215" spans="5:11" ht="12.75" customHeight="1" x14ac:dyDescent="0.2">
      <c r="E1215" s="50"/>
      <c r="H1215" s="12"/>
      <c r="K1215"/>
    </row>
    <row r="1216" spans="5:11" ht="12.75" customHeight="1" x14ac:dyDescent="0.2">
      <c r="E1216" s="50"/>
      <c r="H1216" s="12"/>
      <c r="K1216"/>
    </row>
    <row r="1217" spans="5:11" ht="12.75" customHeight="1" x14ac:dyDescent="0.2">
      <c r="E1217" s="50"/>
      <c r="H1217" s="12"/>
      <c r="K1217"/>
    </row>
    <row r="1218" spans="5:11" ht="12.75" customHeight="1" x14ac:dyDescent="0.2">
      <c r="E1218" s="50"/>
      <c r="H1218" s="12"/>
      <c r="K1218"/>
    </row>
    <row r="1219" spans="5:11" ht="12.75" customHeight="1" x14ac:dyDescent="0.2">
      <c r="E1219" s="50"/>
      <c r="H1219" s="12"/>
      <c r="K1219"/>
    </row>
    <row r="1220" spans="5:11" ht="12.75" customHeight="1" x14ac:dyDescent="0.2">
      <c r="E1220" s="50"/>
      <c r="H1220" s="12"/>
      <c r="K1220"/>
    </row>
    <row r="1221" spans="5:11" ht="12.75" customHeight="1" x14ac:dyDescent="0.2">
      <c r="E1221" s="50"/>
      <c r="H1221" s="12"/>
      <c r="K1221"/>
    </row>
    <row r="1222" spans="5:11" ht="12.75" customHeight="1" x14ac:dyDescent="0.2">
      <c r="E1222" s="50"/>
      <c r="H1222" s="12"/>
      <c r="K1222"/>
    </row>
    <row r="1223" spans="5:11" ht="12.75" customHeight="1" x14ac:dyDescent="0.2">
      <c r="E1223" s="50"/>
      <c r="H1223" s="12"/>
      <c r="K1223"/>
    </row>
    <row r="1224" spans="5:11" ht="12.75" customHeight="1" x14ac:dyDescent="0.2">
      <c r="E1224" s="50"/>
      <c r="H1224" s="12"/>
      <c r="K1224"/>
    </row>
    <row r="1225" spans="5:11" ht="12.75" customHeight="1" x14ac:dyDescent="0.2">
      <c r="E1225" s="50"/>
      <c r="H1225" s="12"/>
      <c r="K1225"/>
    </row>
    <row r="1226" spans="5:11" ht="12.75" customHeight="1" x14ac:dyDescent="0.2">
      <c r="E1226" s="50"/>
      <c r="H1226" s="12"/>
      <c r="K1226"/>
    </row>
    <row r="1227" spans="5:11" ht="12.75" customHeight="1" x14ac:dyDescent="0.2">
      <c r="E1227" s="50"/>
      <c r="H1227" s="12"/>
      <c r="K1227"/>
    </row>
    <row r="1228" spans="5:11" ht="12.75" customHeight="1" x14ac:dyDescent="0.2">
      <c r="E1228" s="50"/>
      <c r="H1228" s="12"/>
      <c r="K1228"/>
    </row>
    <row r="1229" spans="5:11" ht="12.75" customHeight="1" x14ac:dyDescent="0.2">
      <c r="E1229" s="50"/>
      <c r="H1229" s="12"/>
      <c r="K1229"/>
    </row>
    <row r="1230" spans="5:11" ht="12.75" customHeight="1" x14ac:dyDescent="0.2">
      <c r="E1230" s="50"/>
      <c r="H1230" s="12"/>
      <c r="K1230"/>
    </row>
    <row r="1231" spans="5:11" ht="12.75" customHeight="1" x14ac:dyDescent="0.2">
      <c r="E1231" s="50"/>
      <c r="H1231" s="12"/>
      <c r="K1231"/>
    </row>
    <row r="1232" spans="5:11" ht="12.75" customHeight="1" x14ac:dyDescent="0.2">
      <c r="E1232" s="50"/>
      <c r="H1232" s="12"/>
      <c r="K1232"/>
    </row>
    <row r="1233" spans="5:11" ht="12.75" customHeight="1" x14ac:dyDescent="0.2">
      <c r="E1233" s="50"/>
      <c r="H1233" s="12"/>
      <c r="K1233"/>
    </row>
    <row r="1234" spans="5:11" ht="12.75" customHeight="1" x14ac:dyDescent="0.2">
      <c r="E1234" s="50"/>
      <c r="H1234" s="12"/>
      <c r="K1234"/>
    </row>
    <row r="1235" spans="5:11" ht="12.75" customHeight="1" x14ac:dyDescent="0.2">
      <c r="E1235" s="50"/>
      <c r="H1235" s="12"/>
      <c r="K1235"/>
    </row>
    <row r="1236" spans="5:11" ht="12.75" customHeight="1" x14ac:dyDescent="0.2">
      <c r="E1236" s="50"/>
      <c r="H1236" s="12"/>
      <c r="K1236"/>
    </row>
    <row r="1237" spans="5:11" ht="12.75" customHeight="1" x14ac:dyDescent="0.2">
      <c r="E1237" s="50"/>
      <c r="H1237" s="12"/>
      <c r="K1237"/>
    </row>
    <row r="1238" spans="5:11" ht="12.75" customHeight="1" x14ac:dyDescent="0.2">
      <c r="E1238" s="50"/>
      <c r="H1238" s="12"/>
      <c r="K1238"/>
    </row>
    <row r="1239" spans="5:11" ht="12.75" customHeight="1" x14ac:dyDescent="0.2">
      <c r="E1239" s="50"/>
      <c r="H1239" s="12"/>
      <c r="K1239"/>
    </row>
    <row r="1240" spans="5:11" ht="12.75" customHeight="1" x14ac:dyDescent="0.2">
      <c r="E1240" s="50"/>
      <c r="H1240" s="12"/>
      <c r="K1240"/>
    </row>
    <row r="1241" spans="5:11" ht="12.75" customHeight="1" x14ac:dyDescent="0.2">
      <c r="E1241" s="50"/>
      <c r="H1241" s="12"/>
      <c r="K1241"/>
    </row>
    <row r="1242" spans="5:11" ht="12.75" customHeight="1" x14ac:dyDescent="0.2">
      <c r="E1242" s="50"/>
      <c r="H1242" s="12"/>
      <c r="K1242"/>
    </row>
    <row r="1243" spans="5:11" ht="12.75" customHeight="1" x14ac:dyDescent="0.2">
      <c r="E1243" s="50"/>
      <c r="H1243" s="12"/>
      <c r="K1243"/>
    </row>
    <row r="1244" spans="5:11" ht="12.75" customHeight="1" x14ac:dyDescent="0.2">
      <c r="E1244" s="50"/>
      <c r="H1244" s="12"/>
      <c r="K1244"/>
    </row>
    <row r="1245" spans="5:11" ht="12.75" customHeight="1" x14ac:dyDescent="0.2">
      <c r="E1245" s="50"/>
      <c r="H1245" s="12"/>
      <c r="K1245"/>
    </row>
    <row r="1246" spans="5:11" ht="12.75" customHeight="1" x14ac:dyDescent="0.2">
      <c r="E1246" s="50"/>
      <c r="H1246" s="12"/>
      <c r="K1246"/>
    </row>
    <row r="1247" spans="5:11" ht="12.75" customHeight="1" x14ac:dyDescent="0.2">
      <c r="E1247" s="50"/>
      <c r="H1247" s="12"/>
      <c r="K1247"/>
    </row>
    <row r="1248" spans="5:11" ht="12.75" customHeight="1" x14ac:dyDescent="0.2">
      <c r="E1248" s="50"/>
      <c r="H1248" s="12"/>
      <c r="K1248"/>
    </row>
    <row r="1249" spans="5:11" ht="12.75" customHeight="1" x14ac:dyDescent="0.2">
      <c r="E1249" s="50"/>
      <c r="H1249" s="12"/>
      <c r="K1249"/>
    </row>
    <row r="1250" spans="5:11" ht="12.75" customHeight="1" x14ac:dyDescent="0.2">
      <c r="E1250" s="50"/>
      <c r="H1250" s="12"/>
      <c r="K1250"/>
    </row>
    <row r="1251" spans="5:11" ht="12.75" customHeight="1" x14ac:dyDescent="0.2">
      <c r="E1251" s="50"/>
      <c r="H1251" s="12"/>
      <c r="K1251"/>
    </row>
    <row r="1252" spans="5:11" ht="12.75" customHeight="1" x14ac:dyDescent="0.2">
      <c r="E1252" s="50"/>
      <c r="H1252" s="12"/>
      <c r="K1252"/>
    </row>
    <row r="1253" spans="5:11" ht="12.75" customHeight="1" x14ac:dyDescent="0.2">
      <c r="E1253" s="50"/>
      <c r="H1253" s="12"/>
      <c r="K1253"/>
    </row>
    <row r="1254" spans="5:11" ht="12.75" customHeight="1" x14ac:dyDescent="0.2">
      <c r="E1254" s="50"/>
      <c r="H1254" s="12"/>
      <c r="K1254"/>
    </row>
    <row r="1255" spans="5:11" ht="12.75" customHeight="1" x14ac:dyDescent="0.2">
      <c r="E1255" s="50"/>
      <c r="H1255" s="12"/>
      <c r="K1255"/>
    </row>
    <row r="1256" spans="5:11" ht="12.75" customHeight="1" x14ac:dyDescent="0.2">
      <c r="E1256" s="50"/>
      <c r="H1256" s="12"/>
      <c r="K1256"/>
    </row>
    <row r="1257" spans="5:11" ht="12.75" customHeight="1" x14ac:dyDescent="0.2">
      <c r="E1257" s="50"/>
      <c r="H1257" s="12"/>
      <c r="K1257"/>
    </row>
    <row r="1258" spans="5:11" ht="12.75" customHeight="1" x14ac:dyDescent="0.2">
      <c r="E1258" s="50"/>
      <c r="H1258" s="12"/>
      <c r="K1258"/>
    </row>
    <row r="1259" spans="5:11" ht="12.75" customHeight="1" x14ac:dyDescent="0.2">
      <c r="E1259" s="50"/>
      <c r="H1259" s="12"/>
      <c r="K1259"/>
    </row>
    <row r="1260" spans="5:11" ht="12.75" customHeight="1" x14ac:dyDescent="0.2">
      <c r="E1260" s="50"/>
      <c r="H1260" s="12"/>
      <c r="K1260"/>
    </row>
    <row r="1261" spans="5:11" ht="12.75" customHeight="1" x14ac:dyDescent="0.2">
      <c r="E1261" s="50"/>
      <c r="H1261" s="12"/>
      <c r="K1261"/>
    </row>
    <row r="1262" spans="5:11" ht="12.75" customHeight="1" x14ac:dyDescent="0.2">
      <c r="E1262" s="50"/>
      <c r="H1262" s="12"/>
      <c r="K1262"/>
    </row>
    <row r="1263" spans="5:11" ht="12.75" customHeight="1" x14ac:dyDescent="0.2">
      <c r="E1263" s="50"/>
      <c r="H1263" s="12"/>
      <c r="K1263"/>
    </row>
    <row r="1264" spans="5:11" ht="12.75" customHeight="1" x14ac:dyDescent="0.2">
      <c r="E1264" s="50"/>
      <c r="H1264" s="12"/>
      <c r="K1264"/>
    </row>
    <row r="1265" spans="5:11" ht="12.75" customHeight="1" x14ac:dyDescent="0.2">
      <c r="E1265" s="50"/>
      <c r="H1265" s="12"/>
      <c r="K1265"/>
    </row>
    <row r="1266" spans="5:11" ht="12.75" customHeight="1" x14ac:dyDescent="0.2">
      <c r="E1266" s="50"/>
      <c r="H1266" s="12"/>
      <c r="K1266"/>
    </row>
    <row r="1267" spans="5:11" ht="12.75" customHeight="1" x14ac:dyDescent="0.2">
      <c r="E1267" s="50"/>
      <c r="H1267" s="12"/>
      <c r="K1267"/>
    </row>
    <row r="1268" spans="5:11" ht="12.75" customHeight="1" x14ac:dyDescent="0.2">
      <c r="E1268" s="50"/>
      <c r="H1268" s="12"/>
      <c r="K1268"/>
    </row>
    <row r="1269" spans="5:11" ht="12.75" customHeight="1" x14ac:dyDescent="0.2">
      <c r="E1269" s="50"/>
      <c r="H1269" s="12"/>
      <c r="K1269"/>
    </row>
    <row r="1270" spans="5:11" ht="12.75" customHeight="1" x14ac:dyDescent="0.2">
      <c r="E1270" s="50"/>
      <c r="H1270" s="12"/>
      <c r="K1270"/>
    </row>
    <row r="1271" spans="5:11" ht="12.75" customHeight="1" x14ac:dyDescent="0.2">
      <c r="E1271" s="50"/>
      <c r="H1271" s="12"/>
      <c r="K1271"/>
    </row>
    <row r="1272" spans="5:11" ht="12.75" customHeight="1" x14ac:dyDescent="0.2">
      <c r="E1272" s="50"/>
      <c r="H1272" s="12"/>
      <c r="K1272"/>
    </row>
    <row r="1273" spans="5:11" ht="12.75" customHeight="1" x14ac:dyDescent="0.2">
      <c r="E1273" s="50"/>
      <c r="H1273" s="12"/>
      <c r="K1273"/>
    </row>
    <row r="1274" spans="5:11" ht="12.75" customHeight="1" x14ac:dyDescent="0.2">
      <c r="E1274" s="50"/>
      <c r="H1274" s="12"/>
      <c r="K1274"/>
    </row>
    <row r="1275" spans="5:11" ht="12.75" customHeight="1" x14ac:dyDescent="0.2">
      <c r="E1275" s="50"/>
      <c r="H1275" s="12"/>
      <c r="K1275"/>
    </row>
    <row r="1276" spans="5:11" ht="12.75" customHeight="1" x14ac:dyDescent="0.2">
      <c r="E1276" s="50"/>
      <c r="H1276" s="12"/>
      <c r="K1276"/>
    </row>
    <row r="1277" spans="5:11" ht="12.75" customHeight="1" x14ac:dyDescent="0.2">
      <c r="E1277" s="50"/>
      <c r="H1277" s="12"/>
      <c r="K1277"/>
    </row>
    <row r="1278" spans="5:11" ht="12.75" customHeight="1" x14ac:dyDescent="0.2">
      <c r="E1278" s="50"/>
      <c r="H1278" s="12"/>
      <c r="K1278"/>
    </row>
    <row r="1279" spans="5:11" ht="12.75" customHeight="1" x14ac:dyDescent="0.2">
      <c r="E1279" s="50"/>
      <c r="H1279" s="12"/>
      <c r="K1279"/>
    </row>
    <row r="1280" spans="5:11" ht="12.75" customHeight="1" x14ac:dyDescent="0.2">
      <c r="E1280" s="50"/>
      <c r="H1280" s="12"/>
      <c r="K1280"/>
    </row>
    <row r="1281" spans="5:11" ht="12.75" customHeight="1" x14ac:dyDescent="0.2">
      <c r="E1281" s="50"/>
      <c r="H1281" s="12"/>
      <c r="K1281"/>
    </row>
    <row r="1282" spans="5:11" ht="14.25" customHeight="1" x14ac:dyDescent="0.2">
      <c r="E1282" s="50"/>
      <c r="H1282" s="12"/>
      <c r="K1282"/>
    </row>
    <row r="1283" spans="5:11" ht="13.5" customHeight="1" x14ac:dyDescent="0.2">
      <c r="E1283" s="50"/>
      <c r="H1283" s="12"/>
      <c r="K1283"/>
    </row>
    <row r="1284" spans="5:11" ht="13.5" customHeight="1" x14ac:dyDescent="0.2">
      <c r="E1284" s="50"/>
      <c r="H1284" s="12"/>
      <c r="K1284"/>
    </row>
    <row r="1285" spans="5:11" ht="13.5" customHeight="1" x14ac:dyDescent="0.2">
      <c r="E1285" s="50"/>
      <c r="H1285" s="12"/>
      <c r="K1285"/>
    </row>
    <row r="1286" spans="5:11" ht="13.5" customHeight="1" x14ac:dyDescent="0.2">
      <c r="E1286" s="50"/>
      <c r="H1286" s="12"/>
      <c r="K1286"/>
    </row>
    <row r="1287" spans="5:11" ht="13.5" customHeight="1" x14ac:dyDescent="0.2">
      <c r="E1287" s="50"/>
      <c r="H1287" s="12"/>
      <c r="K1287"/>
    </row>
    <row r="1288" spans="5:11" ht="13.5" customHeight="1" x14ac:dyDescent="0.2">
      <c r="E1288" s="50"/>
      <c r="H1288" s="12"/>
      <c r="K1288"/>
    </row>
    <row r="1289" spans="5:11" ht="13.5" customHeight="1" x14ac:dyDescent="0.2">
      <c r="E1289" s="50"/>
      <c r="H1289" s="12"/>
      <c r="K1289"/>
    </row>
    <row r="1290" spans="5:11" ht="13.5" customHeight="1" x14ac:dyDescent="0.2">
      <c r="E1290" s="50"/>
      <c r="H1290" s="12"/>
      <c r="K1290"/>
    </row>
    <row r="1291" spans="5:11" ht="13.5" customHeight="1" x14ac:dyDescent="0.2">
      <c r="E1291" s="50"/>
      <c r="H1291" s="12"/>
      <c r="K1291"/>
    </row>
    <row r="1292" spans="5:11" ht="13.5" customHeight="1" x14ac:dyDescent="0.2">
      <c r="E1292" s="50"/>
      <c r="H1292" s="12"/>
      <c r="K1292"/>
    </row>
    <row r="1293" spans="5:11" ht="13.5" customHeight="1" x14ac:dyDescent="0.2">
      <c r="E1293" s="50"/>
      <c r="H1293" s="12"/>
      <c r="K1293"/>
    </row>
    <row r="1294" spans="5:11" ht="13.5" customHeight="1" x14ac:dyDescent="0.2">
      <c r="E1294" s="50"/>
      <c r="H1294" s="12"/>
      <c r="K1294"/>
    </row>
    <row r="1295" spans="5:11" ht="13.5" customHeight="1" x14ac:dyDescent="0.2">
      <c r="E1295" s="50"/>
      <c r="H1295" s="12"/>
      <c r="K1295"/>
    </row>
    <row r="1296" spans="5:11" ht="13.5" customHeight="1" x14ac:dyDescent="0.2">
      <c r="E1296" s="50"/>
      <c r="H1296" s="12"/>
      <c r="K1296"/>
    </row>
    <row r="1297" spans="5:11" ht="13.5" customHeight="1" x14ac:dyDescent="0.2">
      <c r="E1297" s="50"/>
      <c r="H1297" s="12"/>
      <c r="K1297"/>
    </row>
    <row r="1298" spans="5:11" ht="13.5" customHeight="1" x14ac:dyDescent="0.2">
      <c r="E1298" s="50"/>
      <c r="H1298" s="12"/>
      <c r="K1298"/>
    </row>
    <row r="1299" spans="5:11" ht="13.5" customHeight="1" x14ac:dyDescent="0.2">
      <c r="E1299" s="50"/>
      <c r="H1299" s="12"/>
      <c r="K1299"/>
    </row>
    <row r="1300" spans="5:11" ht="13.5" customHeight="1" x14ac:dyDescent="0.2">
      <c r="E1300" s="50"/>
      <c r="H1300" s="12"/>
      <c r="K1300"/>
    </row>
    <row r="1301" spans="5:11" ht="13.5" customHeight="1" x14ac:dyDescent="0.2">
      <c r="E1301" s="50"/>
      <c r="H1301" s="12"/>
      <c r="K1301"/>
    </row>
    <row r="1302" spans="5:11" ht="13.5" customHeight="1" x14ac:dyDescent="0.2">
      <c r="E1302" s="50"/>
      <c r="H1302" s="12"/>
      <c r="K1302"/>
    </row>
    <row r="1303" spans="5:11" ht="13.5" customHeight="1" x14ac:dyDescent="0.2">
      <c r="E1303" s="50"/>
      <c r="H1303" s="12"/>
      <c r="K1303"/>
    </row>
    <row r="1304" spans="5:11" ht="13.5" customHeight="1" x14ac:dyDescent="0.2">
      <c r="E1304" s="50"/>
      <c r="H1304" s="12"/>
      <c r="K1304"/>
    </row>
    <row r="1305" spans="5:11" ht="13.5" customHeight="1" x14ac:dyDescent="0.2">
      <c r="E1305" s="50"/>
      <c r="H1305" s="12"/>
      <c r="K1305"/>
    </row>
    <row r="1306" spans="5:11" ht="13.5" customHeight="1" x14ac:dyDescent="0.2">
      <c r="E1306" s="50"/>
      <c r="H1306" s="12"/>
      <c r="K1306"/>
    </row>
    <row r="1307" spans="5:11" ht="13.5" customHeight="1" x14ac:dyDescent="0.2">
      <c r="E1307" s="50"/>
      <c r="H1307" s="12"/>
      <c r="K1307"/>
    </row>
    <row r="1308" spans="5:11" ht="13.5" customHeight="1" x14ac:dyDescent="0.2">
      <c r="E1308" s="50"/>
      <c r="H1308" s="12"/>
      <c r="K1308"/>
    </row>
    <row r="1309" spans="5:11" ht="13.5" customHeight="1" x14ac:dyDescent="0.2">
      <c r="E1309" s="50"/>
      <c r="H1309" s="12"/>
      <c r="K1309"/>
    </row>
    <row r="1310" spans="5:11" ht="13.5" customHeight="1" x14ac:dyDescent="0.2">
      <c r="E1310" s="50"/>
      <c r="H1310" s="12"/>
      <c r="K1310"/>
    </row>
    <row r="1311" spans="5:11" ht="13.5" customHeight="1" x14ac:dyDescent="0.2">
      <c r="E1311" s="50"/>
      <c r="H1311" s="12"/>
      <c r="K1311"/>
    </row>
    <row r="1312" spans="5:11" ht="13.5" customHeight="1" x14ac:dyDescent="0.2">
      <c r="E1312" s="50"/>
      <c r="H1312" s="12"/>
      <c r="K1312"/>
    </row>
    <row r="1313" spans="5:11" ht="13.5" customHeight="1" x14ac:dyDescent="0.2">
      <c r="E1313" s="50"/>
      <c r="H1313" s="12"/>
      <c r="K1313"/>
    </row>
    <row r="1314" spans="5:11" ht="13.5" customHeight="1" x14ac:dyDescent="0.2">
      <c r="E1314" s="50"/>
      <c r="H1314" s="12"/>
      <c r="K1314"/>
    </row>
    <row r="1315" spans="5:11" ht="13.5" customHeight="1" x14ac:dyDescent="0.2">
      <c r="E1315" s="50"/>
      <c r="H1315" s="12"/>
      <c r="K1315"/>
    </row>
    <row r="1316" spans="5:11" ht="13.5" customHeight="1" x14ac:dyDescent="0.2">
      <c r="E1316" s="50"/>
      <c r="H1316" s="12"/>
      <c r="K1316"/>
    </row>
    <row r="1317" spans="5:11" ht="13.5" customHeight="1" x14ac:dyDescent="0.2">
      <c r="E1317" s="50"/>
      <c r="H1317" s="12"/>
      <c r="K1317"/>
    </row>
    <row r="1318" spans="5:11" ht="13.5" customHeight="1" x14ac:dyDescent="0.2">
      <c r="E1318" s="50"/>
      <c r="H1318" s="12"/>
      <c r="K1318"/>
    </row>
    <row r="1319" spans="5:11" ht="13.5" customHeight="1" x14ac:dyDescent="0.2">
      <c r="E1319" s="50"/>
      <c r="H1319" s="12"/>
      <c r="K1319"/>
    </row>
    <row r="1320" spans="5:11" ht="13.5" customHeight="1" x14ac:dyDescent="0.2">
      <c r="E1320" s="50"/>
      <c r="H1320" s="12"/>
      <c r="K1320"/>
    </row>
    <row r="1321" spans="5:11" ht="13.5" customHeight="1" x14ac:dyDescent="0.2">
      <c r="E1321" s="50"/>
      <c r="H1321" s="12"/>
      <c r="K1321"/>
    </row>
    <row r="1322" spans="5:11" ht="13.5" customHeight="1" x14ac:dyDescent="0.2">
      <c r="E1322" s="50"/>
      <c r="H1322" s="12"/>
      <c r="K1322"/>
    </row>
    <row r="1323" spans="5:11" ht="13.5" customHeight="1" x14ac:dyDescent="0.2">
      <c r="E1323" s="50"/>
      <c r="H1323" s="12"/>
      <c r="K1323"/>
    </row>
    <row r="1324" spans="5:11" ht="13.5" customHeight="1" x14ac:dyDescent="0.2">
      <c r="E1324" s="50"/>
      <c r="H1324" s="12"/>
      <c r="K1324"/>
    </row>
    <row r="1325" spans="5:11" ht="13.5" customHeight="1" x14ac:dyDescent="0.2">
      <c r="E1325" s="50"/>
      <c r="H1325" s="12"/>
      <c r="K1325"/>
    </row>
    <row r="1326" spans="5:11" ht="13.5" customHeight="1" x14ac:dyDescent="0.2">
      <c r="E1326" s="50"/>
      <c r="H1326" s="12"/>
      <c r="K1326"/>
    </row>
    <row r="1327" spans="5:11" ht="13.5" customHeight="1" x14ac:dyDescent="0.2">
      <c r="E1327" s="50"/>
      <c r="H1327" s="12"/>
      <c r="K1327"/>
    </row>
    <row r="1328" spans="5:11" ht="13.5" customHeight="1" x14ac:dyDescent="0.2">
      <c r="E1328" s="50"/>
      <c r="H1328" s="12"/>
      <c r="K1328"/>
    </row>
    <row r="1329" spans="5:11" ht="13.5" customHeight="1" x14ac:dyDescent="0.2">
      <c r="E1329" s="50"/>
      <c r="H1329" s="12"/>
      <c r="K1329"/>
    </row>
    <row r="1330" spans="5:11" ht="13.5" customHeight="1" x14ac:dyDescent="0.2">
      <c r="E1330" s="50"/>
      <c r="H1330" s="12"/>
      <c r="K1330"/>
    </row>
    <row r="1331" spans="5:11" ht="13.5" customHeight="1" x14ac:dyDescent="0.2">
      <c r="E1331" s="50"/>
      <c r="H1331" s="12"/>
      <c r="K1331"/>
    </row>
    <row r="1332" spans="5:11" ht="13.5" customHeight="1" x14ac:dyDescent="0.2">
      <c r="E1332" s="50"/>
      <c r="H1332" s="12"/>
      <c r="K1332"/>
    </row>
    <row r="1333" spans="5:11" ht="13.5" customHeight="1" x14ac:dyDescent="0.2">
      <c r="E1333" s="50"/>
      <c r="H1333" s="12"/>
      <c r="K1333"/>
    </row>
    <row r="1334" spans="5:11" ht="13.5" customHeight="1" x14ac:dyDescent="0.2">
      <c r="E1334" s="50"/>
      <c r="H1334" s="12"/>
      <c r="K1334"/>
    </row>
    <row r="1335" spans="5:11" ht="13.5" customHeight="1" x14ac:dyDescent="0.2">
      <c r="E1335" s="50"/>
      <c r="H1335" s="12"/>
      <c r="K1335"/>
    </row>
    <row r="1336" spans="5:11" ht="13.5" customHeight="1" x14ac:dyDescent="0.2">
      <c r="E1336" s="50"/>
      <c r="H1336" s="12"/>
      <c r="K1336"/>
    </row>
    <row r="1337" spans="5:11" ht="13.5" customHeight="1" x14ac:dyDescent="0.2">
      <c r="E1337" s="50"/>
      <c r="H1337" s="12"/>
      <c r="K1337"/>
    </row>
    <row r="1338" spans="5:11" ht="13.5" customHeight="1" x14ac:dyDescent="0.2">
      <c r="E1338" s="50"/>
      <c r="H1338" s="12"/>
      <c r="K1338"/>
    </row>
    <row r="1339" spans="5:11" ht="13.5" customHeight="1" x14ac:dyDescent="0.2">
      <c r="E1339" s="50"/>
      <c r="H1339" s="12"/>
      <c r="K1339"/>
    </row>
    <row r="1340" spans="5:11" x14ac:dyDescent="0.2">
      <c r="E1340" s="50"/>
      <c r="H1340" s="12"/>
      <c r="K1340"/>
    </row>
    <row r="1341" spans="5:11" x14ac:dyDescent="0.2">
      <c r="E1341" s="50"/>
      <c r="H1341" s="12"/>
      <c r="K1341"/>
    </row>
    <row r="1342" spans="5:11" x14ac:dyDescent="0.2">
      <c r="E1342" s="50"/>
      <c r="H1342" s="12"/>
      <c r="K1342"/>
    </row>
    <row r="1343" spans="5:11" x14ac:dyDescent="0.2">
      <c r="E1343" s="50"/>
      <c r="H1343" s="12"/>
      <c r="K1343"/>
    </row>
    <row r="1344" spans="5:11" x14ac:dyDescent="0.2">
      <c r="E1344" s="50"/>
      <c r="H1344" s="12"/>
      <c r="K1344"/>
    </row>
    <row r="1345" spans="5:11" x14ac:dyDescent="0.2">
      <c r="E1345" s="50"/>
      <c r="H1345" s="12"/>
      <c r="K1345"/>
    </row>
    <row r="1346" spans="5:11" x14ac:dyDescent="0.2">
      <c r="E1346" s="50"/>
      <c r="H1346" s="12"/>
      <c r="K1346"/>
    </row>
    <row r="1347" spans="5:11" x14ac:dyDescent="0.2">
      <c r="E1347" s="50"/>
      <c r="H1347" s="12"/>
      <c r="K1347"/>
    </row>
    <row r="1348" spans="5:11" x14ac:dyDescent="0.2">
      <c r="E1348" s="50"/>
      <c r="H1348" s="12"/>
      <c r="K1348"/>
    </row>
    <row r="1349" spans="5:11" x14ac:dyDescent="0.2">
      <c r="E1349" s="50"/>
      <c r="H1349" s="12"/>
      <c r="K1349"/>
    </row>
    <row r="1350" spans="5:11" x14ac:dyDescent="0.2">
      <c r="E1350" s="50"/>
      <c r="H1350" s="12"/>
      <c r="K1350"/>
    </row>
    <row r="1351" spans="5:11" x14ac:dyDescent="0.2">
      <c r="E1351" s="50"/>
      <c r="H1351" s="12"/>
      <c r="K1351"/>
    </row>
    <row r="1352" spans="5:11" x14ac:dyDescent="0.2">
      <c r="E1352" s="50"/>
      <c r="H1352" s="12"/>
      <c r="K1352"/>
    </row>
    <row r="1353" spans="5:11" x14ac:dyDescent="0.2">
      <c r="E1353" s="50"/>
      <c r="H1353" s="12"/>
      <c r="K1353"/>
    </row>
    <row r="1354" spans="5:11" x14ac:dyDescent="0.2">
      <c r="E1354" s="50"/>
      <c r="H1354" s="12"/>
      <c r="K1354"/>
    </row>
    <row r="1355" spans="5:11" x14ac:dyDescent="0.2">
      <c r="E1355" s="50"/>
      <c r="H1355" s="12"/>
      <c r="K1355"/>
    </row>
    <row r="1356" spans="5:11" x14ac:dyDescent="0.2">
      <c r="E1356" s="50"/>
      <c r="H1356" s="12"/>
      <c r="K1356"/>
    </row>
    <row r="1357" spans="5:11" x14ac:dyDescent="0.2">
      <c r="E1357" s="50"/>
      <c r="H1357" s="12"/>
      <c r="K1357"/>
    </row>
    <row r="1358" spans="5:11" x14ac:dyDescent="0.2">
      <c r="E1358" s="50"/>
      <c r="H1358" s="12"/>
      <c r="K1358"/>
    </row>
    <row r="1359" spans="5:11" x14ac:dyDescent="0.2">
      <c r="E1359" s="50"/>
      <c r="H1359" s="12"/>
      <c r="K1359"/>
    </row>
    <row r="1360" spans="5:11" x14ac:dyDescent="0.2">
      <c r="E1360" s="50"/>
      <c r="H1360" s="12"/>
      <c r="K1360"/>
    </row>
    <row r="1361" spans="5:11" x14ac:dyDescent="0.2">
      <c r="E1361" s="50"/>
      <c r="H1361" s="12"/>
      <c r="K1361"/>
    </row>
    <row r="1362" spans="5:11" x14ac:dyDescent="0.2">
      <c r="E1362" s="50"/>
      <c r="H1362" s="12"/>
      <c r="K1362"/>
    </row>
    <row r="1363" spans="5:11" x14ac:dyDescent="0.2">
      <c r="E1363" s="50"/>
      <c r="H1363" s="12"/>
      <c r="K1363"/>
    </row>
    <row r="1364" spans="5:11" x14ac:dyDescent="0.2">
      <c r="E1364" s="50"/>
      <c r="H1364" s="12"/>
      <c r="K1364"/>
    </row>
    <row r="1365" spans="5:11" x14ac:dyDescent="0.2">
      <c r="E1365" s="50"/>
      <c r="H1365" s="12"/>
      <c r="K1365"/>
    </row>
    <row r="1366" spans="5:11" x14ac:dyDescent="0.2">
      <c r="E1366" s="50"/>
      <c r="H1366" s="12"/>
      <c r="K1366"/>
    </row>
    <row r="1367" spans="5:11" x14ac:dyDescent="0.2">
      <c r="E1367" s="50"/>
      <c r="H1367" s="12"/>
      <c r="K1367"/>
    </row>
    <row r="1368" spans="5:11" x14ac:dyDescent="0.2">
      <c r="E1368" s="50"/>
      <c r="H1368" s="12"/>
      <c r="K1368"/>
    </row>
    <row r="1369" spans="5:11" x14ac:dyDescent="0.2">
      <c r="E1369" s="50"/>
      <c r="H1369" s="12"/>
      <c r="K1369"/>
    </row>
    <row r="1370" spans="5:11" x14ac:dyDescent="0.2">
      <c r="E1370" s="50"/>
      <c r="H1370" s="12"/>
      <c r="K1370"/>
    </row>
    <row r="1371" spans="5:11" x14ac:dyDescent="0.2">
      <c r="E1371" s="50"/>
      <c r="H1371" s="12"/>
      <c r="K1371"/>
    </row>
    <row r="1372" spans="5:11" x14ac:dyDescent="0.2">
      <c r="E1372" s="50"/>
      <c r="H1372" s="12"/>
      <c r="K1372"/>
    </row>
    <row r="1373" spans="5:11" x14ac:dyDescent="0.2">
      <c r="E1373" s="50"/>
      <c r="H1373" s="12"/>
      <c r="K1373"/>
    </row>
    <row r="1374" spans="5:11" x14ac:dyDescent="0.2">
      <c r="E1374" s="50"/>
      <c r="H1374" s="12"/>
      <c r="K1374"/>
    </row>
    <row r="1375" spans="5:11" x14ac:dyDescent="0.2">
      <c r="E1375" s="50"/>
      <c r="H1375" s="12"/>
      <c r="K1375"/>
    </row>
    <row r="1376" spans="5:11" x14ac:dyDescent="0.2">
      <c r="E1376" s="50"/>
      <c r="H1376" s="12"/>
      <c r="K1376"/>
    </row>
    <row r="1377" spans="5:11" x14ac:dyDescent="0.2">
      <c r="E1377" s="50"/>
      <c r="H1377" s="12"/>
      <c r="K1377"/>
    </row>
    <row r="1378" spans="5:11" x14ac:dyDescent="0.2">
      <c r="E1378" s="50"/>
      <c r="H1378" s="12"/>
      <c r="K1378"/>
    </row>
    <row r="1379" spans="5:11" x14ac:dyDescent="0.2">
      <c r="E1379" s="50"/>
      <c r="H1379" s="12"/>
      <c r="K1379"/>
    </row>
    <row r="1380" spans="5:11" x14ac:dyDescent="0.2">
      <c r="E1380" s="50"/>
      <c r="H1380" s="12"/>
      <c r="K1380"/>
    </row>
    <row r="1381" spans="5:11" x14ac:dyDescent="0.2">
      <c r="E1381" s="50"/>
      <c r="H1381" s="12"/>
      <c r="K1381"/>
    </row>
    <row r="1382" spans="5:11" x14ac:dyDescent="0.2">
      <c r="E1382" s="50"/>
      <c r="H1382" s="12"/>
      <c r="K1382"/>
    </row>
    <row r="1383" spans="5:11" x14ac:dyDescent="0.2">
      <c r="E1383" s="50"/>
      <c r="H1383" s="12"/>
      <c r="K1383"/>
    </row>
    <row r="1384" spans="5:11" x14ac:dyDescent="0.2">
      <c r="E1384" s="50"/>
      <c r="H1384" s="12"/>
      <c r="K1384"/>
    </row>
    <row r="1385" spans="5:11" x14ac:dyDescent="0.2">
      <c r="E1385" s="50"/>
      <c r="H1385" s="12"/>
      <c r="K1385"/>
    </row>
    <row r="1386" spans="5:11" x14ac:dyDescent="0.2">
      <c r="E1386" s="50"/>
      <c r="H1386" s="12"/>
      <c r="K1386"/>
    </row>
    <row r="1387" spans="5:11" x14ac:dyDescent="0.2">
      <c r="E1387" s="50"/>
      <c r="H1387" s="12"/>
      <c r="K1387"/>
    </row>
    <row r="1388" spans="5:11" x14ac:dyDescent="0.2">
      <c r="E1388" s="50"/>
      <c r="H1388" s="12"/>
      <c r="K1388"/>
    </row>
    <row r="1389" spans="5:11" x14ac:dyDescent="0.2">
      <c r="E1389" s="50"/>
      <c r="H1389" s="12"/>
      <c r="K1389"/>
    </row>
    <row r="1390" spans="5:11" x14ac:dyDescent="0.2">
      <c r="E1390" s="50"/>
      <c r="H1390" s="12"/>
      <c r="K1390"/>
    </row>
    <row r="1391" spans="5:11" x14ac:dyDescent="0.2">
      <c r="E1391" s="50"/>
      <c r="H1391" s="12"/>
      <c r="K1391"/>
    </row>
    <row r="1392" spans="5:11" x14ac:dyDescent="0.2">
      <c r="E1392" s="50"/>
      <c r="H1392" s="12"/>
      <c r="K1392"/>
    </row>
    <row r="1393" spans="5:11" x14ac:dyDescent="0.2">
      <c r="E1393" s="50"/>
      <c r="H1393" s="12"/>
      <c r="K1393"/>
    </row>
    <row r="1394" spans="5:11" x14ac:dyDescent="0.2">
      <c r="E1394" s="50"/>
      <c r="H1394" s="12"/>
      <c r="K1394"/>
    </row>
    <row r="1395" spans="5:11" x14ac:dyDescent="0.2">
      <c r="E1395" s="50"/>
      <c r="H1395" s="12"/>
      <c r="K1395"/>
    </row>
    <row r="1396" spans="5:11" x14ac:dyDescent="0.2">
      <c r="E1396" s="50"/>
      <c r="H1396" s="12"/>
      <c r="K1396"/>
    </row>
    <row r="1397" spans="5:11" x14ac:dyDescent="0.2">
      <c r="E1397" s="50"/>
      <c r="H1397" s="12"/>
      <c r="K1397"/>
    </row>
    <row r="1398" spans="5:11" x14ac:dyDescent="0.2">
      <c r="E1398" s="50"/>
      <c r="H1398" s="12"/>
      <c r="K1398"/>
    </row>
    <row r="1399" spans="5:11" x14ac:dyDescent="0.2">
      <c r="E1399" s="50"/>
      <c r="H1399" s="12"/>
      <c r="K1399"/>
    </row>
    <row r="1400" spans="5:11" x14ac:dyDescent="0.2">
      <c r="E1400" s="50"/>
      <c r="H1400" s="12"/>
      <c r="K1400"/>
    </row>
    <row r="1401" spans="5:11" x14ac:dyDescent="0.2">
      <c r="E1401" s="50"/>
      <c r="H1401" s="12"/>
      <c r="K1401"/>
    </row>
    <row r="1402" spans="5:11" x14ac:dyDescent="0.2">
      <c r="E1402" s="50"/>
      <c r="H1402" s="12"/>
      <c r="K1402"/>
    </row>
    <row r="1403" spans="5:11" x14ac:dyDescent="0.2">
      <c r="E1403" s="50"/>
      <c r="H1403" s="12"/>
      <c r="K1403"/>
    </row>
    <row r="1404" spans="5:11" x14ac:dyDescent="0.2">
      <c r="E1404" s="50"/>
      <c r="H1404" s="12"/>
      <c r="K1404"/>
    </row>
    <row r="1405" spans="5:11" x14ac:dyDescent="0.2">
      <c r="E1405" s="50"/>
      <c r="H1405" s="12"/>
      <c r="K1405"/>
    </row>
    <row r="1406" spans="5:11" x14ac:dyDescent="0.2">
      <c r="E1406" s="50"/>
      <c r="H1406" s="12"/>
      <c r="K1406"/>
    </row>
    <row r="1407" spans="5:11" x14ac:dyDescent="0.2">
      <c r="E1407" s="50"/>
      <c r="H1407" s="12"/>
      <c r="K1407"/>
    </row>
    <row r="1408" spans="5:11" x14ac:dyDescent="0.2">
      <c r="E1408" s="50"/>
      <c r="H1408" s="12"/>
      <c r="K1408"/>
    </row>
    <row r="1409" spans="5:11" x14ac:dyDescent="0.2">
      <c r="E1409" s="50"/>
      <c r="H1409" s="12"/>
      <c r="K1409"/>
    </row>
    <row r="1410" spans="5:11" x14ac:dyDescent="0.2">
      <c r="E1410" s="50"/>
      <c r="H1410" s="12"/>
      <c r="K1410"/>
    </row>
    <row r="1411" spans="5:11" x14ac:dyDescent="0.2">
      <c r="E1411" s="50"/>
      <c r="H1411" s="12"/>
      <c r="K1411"/>
    </row>
    <row r="1412" spans="5:11" x14ac:dyDescent="0.2">
      <c r="E1412" s="50"/>
      <c r="H1412" s="12"/>
      <c r="K1412"/>
    </row>
    <row r="1413" spans="5:11" x14ac:dyDescent="0.2">
      <c r="E1413" s="50"/>
      <c r="H1413" s="12"/>
      <c r="K1413"/>
    </row>
    <row r="1414" spans="5:11" x14ac:dyDescent="0.2">
      <c r="E1414" s="50"/>
      <c r="H1414" s="12"/>
      <c r="K1414"/>
    </row>
    <row r="1415" spans="5:11" x14ac:dyDescent="0.2">
      <c r="E1415" s="50"/>
      <c r="H1415" s="12"/>
      <c r="K1415"/>
    </row>
    <row r="1416" spans="5:11" x14ac:dyDescent="0.2">
      <c r="E1416" s="50"/>
      <c r="H1416" s="12"/>
      <c r="K1416"/>
    </row>
    <row r="1417" spans="5:11" x14ac:dyDescent="0.2">
      <c r="E1417" s="50"/>
      <c r="H1417" s="12"/>
      <c r="K1417"/>
    </row>
    <row r="1418" spans="5:11" x14ac:dyDescent="0.2">
      <c r="E1418" s="50"/>
      <c r="H1418" s="12"/>
      <c r="K1418"/>
    </row>
    <row r="1419" spans="5:11" x14ac:dyDescent="0.2">
      <c r="E1419" s="50"/>
      <c r="H1419" s="12"/>
      <c r="K1419"/>
    </row>
    <row r="1420" spans="5:11" x14ac:dyDescent="0.2">
      <c r="E1420" s="50"/>
      <c r="H1420" s="12"/>
      <c r="K1420"/>
    </row>
    <row r="1421" spans="5:11" x14ac:dyDescent="0.2">
      <c r="E1421" s="50"/>
      <c r="H1421" s="12"/>
      <c r="K1421"/>
    </row>
    <row r="1422" spans="5:11" x14ac:dyDescent="0.2">
      <c r="E1422" s="50"/>
      <c r="H1422" s="12"/>
      <c r="K1422"/>
    </row>
    <row r="1423" spans="5:11" x14ac:dyDescent="0.2">
      <c r="E1423" s="50"/>
      <c r="H1423" s="12"/>
      <c r="K1423"/>
    </row>
    <row r="1424" spans="5:11" x14ac:dyDescent="0.2">
      <c r="E1424" s="50"/>
      <c r="H1424" s="12"/>
      <c r="K1424"/>
    </row>
    <row r="1425" spans="5:11" x14ac:dyDescent="0.2">
      <c r="E1425" s="50"/>
      <c r="H1425" s="12"/>
      <c r="K1425"/>
    </row>
    <row r="1426" spans="5:11" x14ac:dyDescent="0.2">
      <c r="E1426" s="50"/>
      <c r="H1426" s="12"/>
      <c r="K1426"/>
    </row>
    <row r="1427" spans="5:11" x14ac:dyDescent="0.2">
      <c r="E1427" s="50"/>
      <c r="H1427" s="12"/>
      <c r="K1427"/>
    </row>
    <row r="1428" spans="5:11" x14ac:dyDescent="0.2">
      <c r="E1428" s="50"/>
      <c r="H1428" s="12"/>
      <c r="K1428"/>
    </row>
    <row r="1429" spans="5:11" x14ac:dyDescent="0.2">
      <c r="E1429" s="50"/>
      <c r="H1429" s="12"/>
      <c r="K1429"/>
    </row>
    <row r="1430" spans="5:11" x14ac:dyDescent="0.2">
      <c r="E1430" s="50"/>
      <c r="H1430" s="12"/>
      <c r="K1430"/>
    </row>
    <row r="1431" spans="5:11" x14ac:dyDescent="0.2">
      <c r="E1431" s="50"/>
      <c r="H1431" s="12"/>
      <c r="K1431"/>
    </row>
    <row r="1432" spans="5:11" x14ac:dyDescent="0.2">
      <c r="E1432" s="50"/>
      <c r="H1432" s="12"/>
      <c r="K1432"/>
    </row>
    <row r="1433" spans="5:11" x14ac:dyDescent="0.2">
      <c r="E1433" s="50"/>
      <c r="H1433" s="12"/>
      <c r="K1433"/>
    </row>
    <row r="1434" spans="5:11" x14ac:dyDescent="0.2">
      <c r="E1434" s="50"/>
      <c r="H1434" s="12"/>
      <c r="K1434"/>
    </row>
    <row r="1435" spans="5:11" x14ac:dyDescent="0.2">
      <c r="E1435" s="50"/>
      <c r="H1435" s="12"/>
      <c r="K1435"/>
    </row>
    <row r="1436" spans="5:11" x14ac:dyDescent="0.2">
      <c r="E1436" s="50"/>
      <c r="H1436" s="12"/>
      <c r="K1436"/>
    </row>
    <row r="1437" spans="5:11" x14ac:dyDescent="0.2">
      <c r="E1437" s="50"/>
      <c r="H1437" s="12"/>
      <c r="K1437"/>
    </row>
    <row r="1438" spans="5:11" x14ac:dyDescent="0.2">
      <c r="E1438" s="50"/>
      <c r="H1438" s="12"/>
      <c r="K1438"/>
    </row>
    <row r="1439" spans="5:11" x14ac:dyDescent="0.2">
      <c r="E1439" s="50"/>
      <c r="H1439" s="12"/>
      <c r="K1439"/>
    </row>
    <row r="1440" spans="5:11" x14ac:dyDescent="0.2">
      <c r="E1440" s="50"/>
      <c r="H1440" s="12"/>
      <c r="K1440"/>
    </row>
    <row r="1441" spans="5:11" x14ac:dyDescent="0.2">
      <c r="E1441" s="50"/>
      <c r="H1441" s="12"/>
      <c r="K1441"/>
    </row>
    <row r="1442" spans="5:11" x14ac:dyDescent="0.2">
      <c r="E1442" s="50"/>
      <c r="H1442" s="12"/>
      <c r="K1442"/>
    </row>
    <row r="1443" spans="5:11" x14ac:dyDescent="0.2">
      <c r="E1443" s="50"/>
      <c r="H1443" s="12"/>
      <c r="K1443"/>
    </row>
    <row r="1444" spans="5:11" x14ac:dyDescent="0.2">
      <c r="E1444" s="50"/>
      <c r="H1444" s="12"/>
      <c r="K1444"/>
    </row>
    <row r="1445" spans="5:11" x14ac:dyDescent="0.2">
      <c r="E1445" s="50"/>
      <c r="H1445" s="12"/>
      <c r="K1445"/>
    </row>
    <row r="1446" spans="5:11" x14ac:dyDescent="0.2">
      <c r="E1446" s="50"/>
      <c r="H1446" s="12"/>
      <c r="K1446"/>
    </row>
    <row r="1447" spans="5:11" x14ac:dyDescent="0.2">
      <c r="E1447" s="50"/>
      <c r="H1447" s="12"/>
      <c r="K1447"/>
    </row>
    <row r="1448" spans="5:11" x14ac:dyDescent="0.2">
      <c r="E1448" s="50"/>
      <c r="H1448" s="12"/>
      <c r="K1448"/>
    </row>
    <row r="1449" spans="5:11" x14ac:dyDescent="0.2">
      <c r="E1449" s="50"/>
      <c r="H1449" s="12"/>
      <c r="K1449"/>
    </row>
    <row r="1450" spans="5:11" x14ac:dyDescent="0.2">
      <c r="E1450" s="50"/>
      <c r="H1450" s="12"/>
      <c r="K1450"/>
    </row>
    <row r="1451" spans="5:11" x14ac:dyDescent="0.2">
      <c r="E1451" s="50"/>
      <c r="H1451" s="12"/>
      <c r="K1451"/>
    </row>
    <row r="1452" spans="5:11" x14ac:dyDescent="0.2">
      <c r="E1452" s="50"/>
      <c r="H1452" s="12"/>
      <c r="K1452"/>
    </row>
    <row r="1453" spans="5:11" x14ac:dyDescent="0.2">
      <c r="E1453" s="50"/>
      <c r="H1453" s="12"/>
      <c r="K1453"/>
    </row>
    <row r="1454" spans="5:11" x14ac:dyDescent="0.2">
      <c r="E1454" s="50"/>
      <c r="H1454" s="12"/>
      <c r="K1454"/>
    </row>
    <row r="1455" spans="5:11" x14ac:dyDescent="0.2">
      <c r="E1455" s="50"/>
      <c r="H1455" s="12"/>
      <c r="K1455"/>
    </row>
    <row r="1456" spans="5:11" x14ac:dyDescent="0.2">
      <c r="E1456" s="50"/>
      <c r="H1456" s="12"/>
      <c r="K1456"/>
    </row>
    <row r="1457" spans="5:11" x14ac:dyDescent="0.2">
      <c r="E1457" s="50"/>
      <c r="H1457" s="12"/>
      <c r="K1457"/>
    </row>
    <row r="1458" spans="5:11" x14ac:dyDescent="0.2">
      <c r="E1458" s="50"/>
      <c r="H1458" s="12"/>
      <c r="K1458"/>
    </row>
    <row r="1459" spans="5:11" x14ac:dyDescent="0.2">
      <c r="E1459" s="50"/>
      <c r="H1459" s="12"/>
      <c r="K1459"/>
    </row>
    <row r="1460" spans="5:11" x14ac:dyDescent="0.2">
      <c r="E1460" s="50"/>
      <c r="H1460" s="12"/>
      <c r="K1460"/>
    </row>
    <row r="1461" spans="5:11" x14ac:dyDescent="0.2">
      <c r="E1461" s="50"/>
      <c r="H1461" s="12"/>
      <c r="K1461"/>
    </row>
    <row r="1462" spans="5:11" x14ac:dyDescent="0.2">
      <c r="E1462" s="50"/>
      <c r="H1462" s="12"/>
      <c r="K1462"/>
    </row>
    <row r="1463" spans="5:11" x14ac:dyDescent="0.2">
      <c r="E1463" s="50"/>
      <c r="H1463" s="12"/>
      <c r="K1463"/>
    </row>
    <row r="1464" spans="5:11" x14ac:dyDescent="0.2">
      <c r="E1464" s="50"/>
      <c r="H1464" s="12"/>
      <c r="K1464"/>
    </row>
    <row r="1465" spans="5:11" x14ac:dyDescent="0.2">
      <c r="E1465" s="50"/>
      <c r="H1465" s="12"/>
      <c r="K1465"/>
    </row>
    <row r="1466" spans="5:11" x14ac:dyDescent="0.2">
      <c r="E1466" s="50"/>
      <c r="H1466" s="12"/>
      <c r="K1466"/>
    </row>
    <row r="1467" spans="5:11" x14ac:dyDescent="0.2">
      <c r="E1467" s="50"/>
      <c r="H1467" s="12"/>
      <c r="K1467"/>
    </row>
    <row r="1468" spans="5:11" x14ac:dyDescent="0.2">
      <c r="E1468" s="50"/>
      <c r="H1468" s="12"/>
      <c r="K1468"/>
    </row>
    <row r="1469" spans="5:11" x14ac:dyDescent="0.2">
      <c r="E1469" s="50"/>
      <c r="H1469" s="12"/>
      <c r="K1469"/>
    </row>
    <row r="1470" spans="5:11" x14ac:dyDescent="0.2">
      <c r="E1470" s="50"/>
      <c r="H1470" s="12"/>
      <c r="K1470"/>
    </row>
    <row r="1471" spans="5:11" x14ac:dyDescent="0.2">
      <c r="E1471" s="50"/>
      <c r="H1471" s="12"/>
      <c r="K1471"/>
    </row>
    <row r="1472" spans="5:11" x14ac:dyDescent="0.2">
      <c r="E1472" s="50"/>
      <c r="H1472" s="12"/>
      <c r="K1472"/>
    </row>
    <row r="1473" spans="5:11" x14ac:dyDescent="0.2">
      <c r="E1473" s="50"/>
      <c r="H1473" s="12"/>
      <c r="K1473"/>
    </row>
    <row r="1474" spans="5:11" x14ac:dyDescent="0.2">
      <c r="E1474" s="50"/>
      <c r="H1474" s="12"/>
      <c r="K1474"/>
    </row>
    <row r="1475" spans="5:11" x14ac:dyDescent="0.2">
      <c r="E1475" s="50"/>
      <c r="H1475" s="12"/>
      <c r="K1475"/>
    </row>
    <row r="1476" spans="5:11" x14ac:dyDescent="0.2">
      <c r="E1476" s="50"/>
      <c r="H1476" s="12"/>
      <c r="K1476"/>
    </row>
    <row r="1477" spans="5:11" x14ac:dyDescent="0.2">
      <c r="E1477" s="50"/>
      <c r="H1477" s="12"/>
      <c r="K1477"/>
    </row>
    <row r="1478" spans="5:11" x14ac:dyDescent="0.2">
      <c r="E1478" s="50"/>
      <c r="H1478" s="12"/>
      <c r="K1478"/>
    </row>
    <row r="1479" spans="5:11" x14ac:dyDescent="0.2">
      <c r="E1479" s="50"/>
      <c r="H1479" s="12"/>
      <c r="K1479"/>
    </row>
    <row r="1480" spans="5:11" x14ac:dyDescent="0.2">
      <c r="E1480" s="50"/>
      <c r="H1480" s="12"/>
      <c r="K1480"/>
    </row>
    <row r="1481" spans="5:11" x14ac:dyDescent="0.2">
      <c r="E1481" s="50"/>
      <c r="H1481" s="12"/>
      <c r="K1481"/>
    </row>
    <row r="1482" spans="5:11" x14ac:dyDescent="0.2">
      <c r="E1482" s="50"/>
      <c r="H1482" s="12"/>
      <c r="K1482"/>
    </row>
    <row r="1483" spans="5:11" x14ac:dyDescent="0.2">
      <c r="E1483" s="50"/>
      <c r="H1483" s="12"/>
      <c r="K1483"/>
    </row>
    <row r="1484" spans="5:11" x14ac:dyDescent="0.2">
      <c r="E1484" s="50"/>
      <c r="H1484" s="12"/>
      <c r="K1484"/>
    </row>
    <row r="1485" spans="5:11" x14ac:dyDescent="0.2">
      <c r="E1485" s="50"/>
      <c r="H1485" s="12"/>
      <c r="K1485"/>
    </row>
    <row r="1486" spans="5:11" x14ac:dyDescent="0.2">
      <c r="E1486" s="50"/>
      <c r="H1486" s="12"/>
      <c r="K1486"/>
    </row>
    <row r="1487" spans="5:11" x14ac:dyDescent="0.2">
      <c r="E1487" s="50"/>
      <c r="H1487" s="12"/>
      <c r="K1487"/>
    </row>
    <row r="1488" spans="5:11" x14ac:dyDescent="0.2">
      <c r="E1488" s="50"/>
      <c r="H1488" s="12"/>
      <c r="K1488"/>
    </row>
    <row r="1489" spans="5:11" x14ac:dyDescent="0.2">
      <c r="E1489" s="50"/>
      <c r="H1489" s="12"/>
      <c r="K1489"/>
    </row>
    <row r="1490" spans="5:11" x14ac:dyDescent="0.2">
      <c r="E1490" s="50"/>
      <c r="H1490" s="12"/>
      <c r="K1490"/>
    </row>
    <row r="1491" spans="5:11" x14ac:dyDescent="0.2">
      <c r="E1491" s="50"/>
      <c r="H1491" s="12"/>
      <c r="K1491"/>
    </row>
    <row r="1492" spans="5:11" x14ac:dyDescent="0.2">
      <c r="E1492" s="50"/>
      <c r="H1492" s="12"/>
      <c r="K1492"/>
    </row>
    <row r="1493" spans="5:11" x14ac:dyDescent="0.2">
      <c r="E1493" s="50"/>
      <c r="H1493" s="12"/>
      <c r="K1493"/>
    </row>
    <row r="1494" spans="5:11" x14ac:dyDescent="0.2">
      <c r="E1494" s="50"/>
      <c r="H1494" s="12"/>
      <c r="K1494"/>
    </row>
    <row r="1495" spans="5:11" x14ac:dyDescent="0.2">
      <c r="E1495" s="50"/>
      <c r="H1495" s="12"/>
      <c r="K1495"/>
    </row>
    <row r="1496" spans="5:11" x14ac:dyDescent="0.2">
      <c r="E1496" s="50"/>
      <c r="H1496" s="12"/>
      <c r="K1496"/>
    </row>
    <row r="1497" spans="5:11" x14ac:dyDescent="0.2">
      <c r="E1497" s="50"/>
      <c r="H1497" s="12"/>
      <c r="K1497"/>
    </row>
    <row r="1498" spans="5:11" x14ac:dyDescent="0.2">
      <c r="E1498" s="50"/>
      <c r="H1498" s="12"/>
      <c r="K1498"/>
    </row>
    <row r="1499" spans="5:11" x14ac:dyDescent="0.2">
      <c r="E1499" s="50"/>
      <c r="H1499" s="12"/>
      <c r="K1499"/>
    </row>
    <row r="1500" spans="5:11" x14ac:dyDescent="0.2">
      <c r="E1500" s="50"/>
      <c r="H1500" s="12"/>
      <c r="K1500"/>
    </row>
    <row r="1501" spans="5:11" x14ac:dyDescent="0.2">
      <c r="E1501" s="50"/>
      <c r="H1501" s="12"/>
      <c r="K1501"/>
    </row>
    <row r="1502" spans="5:11" x14ac:dyDescent="0.2">
      <c r="E1502" s="50"/>
      <c r="H1502" s="12"/>
      <c r="K1502"/>
    </row>
    <row r="1503" spans="5:11" x14ac:dyDescent="0.2">
      <c r="E1503" s="50"/>
      <c r="H1503" s="12"/>
      <c r="K1503"/>
    </row>
    <row r="1504" spans="5:11" x14ac:dyDescent="0.2">
      <c r="E1504" s="50"/>
      <c r="H1504" s="12"/>
      <c r="K1504"/>
    </row>
    <row r="1505" spans="5:11" x14ac:dyDescent="0.2">
      <c r="E1505" s="50"/>
      <c r="H1505" s="12"/>
      <c r="K1505"/>
    </row>
    <row r="1506" spans="5:11" x14ac:dyDescent="0.2">
      <c r="E1506" s="50"/>
      <c r="H1506" s="12"/>
      <c r="K1506"/>
    </row>
    <row r="1507" spans="5:11" x14ac:dyDescent="0.2">
      <c r="E1507" s="50"/>
      <c r="H1507" s="12"/>
      <c r="K1507"/>
    </row>
    <row r="1508" spans="5:11" x14ac:dyDescent="0.2">
      <c r="E1508" s="50"/>
      <c r="H1508" s="12"/>
      <c r="K1508"/>
    </row>
    <row r="1509" spans="5:11" x14ac:dyDescent="0.2">
      <c r="E1509" s="50"/>
      <c r="H1509" s="12"/>
      <c r="K1509"/>
    </row>
    <row r="1510" spans="5:11" x14ac:dyDescent="0.2">
      <c r="E1510" s="50"/>
      <c r="H1510" s="12"/>
      <c r="K1510"/>
    </row>
    <row r="1511" spans="5:11" x14ac:dyDescent="0.2">
      <c r="E1511" s="50"/>
      <c r="H1511" s="12"/>
      <c r="K1511"/>
    </row>
    <row r="1512" spans="5:11" x14ac:dyDescent="0.2">
      <c r="E1512" s="50"/>
      <c r="H1512" s="12"/>
      <c r="K1512"/>
    </row>
    <row r="1513" spans="5:11" x14ac:dyDescent="0.2">
      <c r="E1513" s="50"/>
      <c r="H1513" s="12"/>
      <c r="K1513"/>
    </row>
    <row r="1514" spans="5:11" x14ac:dyDescent="0.2">
      <c r="E1514" s="50"/>
      <c r="H1514" s="12"/>
      <c r="K1514"/>
    </row>
    <row r="1515" spans="5:11" x14ac:dyDescent="0.2">
      <c r="E1515" s="50"/>
      <c r="H1515" s="12"/>
      <c r="K1515"/>
    </row>
    <row r="1516" spans="5:11" x14ac:dyDescent="0.2">
      <c r="E1516" s="50"/>
      <c r="H1516" s="12"/>
      <c r="K1516"/>
    </row>
    <row r="1517" spans="5:11" x14ac:dyDescent="0.2">
      <c r="E1517" s="50"/>
      <c r="H1517" s="12"/>
      <c r="K1517"/>
    </row>
    <row r="1518" spans="5:11" x14ac:dyDescent="0.2">
      <c r="E1518" s="50"/>
      <c r="H1518" s="12"/>
      <c r="K1518"/>
    </row>
    <row r="1519" spans="5:11" x14ac:dyDescent="0.2">
      <c r="E1519" s="50"/>
      <c r="H1519" s="12"/>
      <c r="K1519"/>
    </row>
    <row r="1520" spans="5:11" x14ac:dyDescent="0.2">
      <c r="E1520" s="50"/>
      <c r="H1520" s="12"/>
      <c r="K1520"/>
    </row>
    <row r="1521" spans="5:11" x14ac:dyDescent="0.2">
      <c r="E1521" s="50"/>
      <c r="H1521" s="12"/>
      <c r="K1521"/>
    </row>
    <row r="1522" spans="5:11" x14ac:dyDescent="0.2">
      <c r="E1522" s="50"/>
      <c r="H1522" s="12"/>
      <c r="K1522"/>
    </row>
    <row r="1523" spans="5:11" x14ac:dyDescent="0.2">
      <c r="E1523" s="50"/>
      <c r="H1523" s="12"/>
      <c r="K1523"/>
    </row>
    <row r="1524" spans="5:11" x14ac:dyDescent="0.2">
      <c r="E1524" s="50"/>
      <c r="H1524" s="12"/>
      <c r="K1524"/>
    </row>
    <row r="1525" spans="5:11" x14ac:dyDescent="0.2">
      <c r="E1525" s="50"/>
      <c r="H1525" s="12"/>
      <c r="K1525"/>
    </row>
    <row r="1526" spans="5:11" x14ac:dyDescent="0.2">
      <c r="E1526" s="50"/>
      <c r="H1526" s="12"/>
      <c r="K1526"/>
    </row>
    <row r="1527" spans="5:11" x14ac:dyDescent="0.2">
      <c r="E1527" s="50"/>
      <c r="H1527" s="12"/>
      <c r="K1527"/>
    </row>
    <row r="1528" spans="5:11" x14ac:dyDescent="0.2">
      <c r="E1528" s="50"/>
      <c r="H1528" s="12"/>
      <c r="K1528"/>
    </row>
    <row r="1529" spans="5:11" x14ac:dyDescent="0.2">
      <c r="E1529" s="50"/>
      <c r="H1529" s="12"/>
      <c r="K1529"/>
    </row>
    <row r="1530" spans="5:11" x14ac:dyDescent="0.2">
      <c r="E1530" s="50"/>
      <c r="H1530" s="12"/>
      <c r="K1530"/>
    </row>
    <row r="1531" spans="5:11" x14ac:dyDescent="0.2">
      <c r="E1531" s="50"/>
      <c r="H1531" s="12"/>
      <c r="K1531"/>
    </row>
    <row r="1532" spans="5:11" x14ac:dyDescent="0.2">
      <c r="E1532" s="50"/>
      <c r="H1532" s="12"/>
      <c r="K1532"/>
    </row>
    <row r="1533" spans="5:11" x14ac:dyDescent="0.2">
      <c r="E1533" s="50"/>
      <c r="H1533" s="12"/>
      <c r="K1533"/>
    </row>
    <row r="1534" spans="5:11" x14ac:dyDescent="0.2">
      <c r="E1534" s="50"/>
      <c r="H1534" s="12"/>
      <c r="K1534"/>
    </row>
    <row r="1535" spans="5:11" x14ac:dyDescent="0.2">
      <c r="E1535" s="50"/>
      <c r="H1535" s="12"/>
      <c r="K1535"/>
    </row>
    <row r="1536" spans="5:11" x14ac:dyDescent="0.2">
      <c r="E1536" s="50"/>
      <c r="H1536" s="12"/>
      <c r="K1536"/>
    </row>
    <row r="1537" spans="5:11" x14ac:dyDescent="0.2">
      <c r="E1537" s="50"/>
      <c r="H1537" s="12"/>
      <c r="K1537"/>
    </row>
    <row r="1538" spans="5:11" x14ac:dyDescent="0.2">
      <c r="E1538" s="50"/>
      <c r="H1538" s="12"/>
      <c r="K1538"/>
    </row>
    <row r="1539" spans="5:11" x14ac:dyDescent="0.2">
      <c r="E1539" s="50"/>
      <c r="H1539" s="12"/>
      <c r="K1539"/>
    </row>
    <row r="1540" spans="5:11" x14ac:dyDescent="0.2">
      <c r="E1540" s="50"/>
      <c r="H1540" s="12"/>
      <c r="K1540"/>
    </row>
    <row r="1541" spans="5:11" x14ac:dyDescent="0.2">
      <c r="E1541" s="50"/>
      <c r="H1541" s="12"/>
      <c r="K1541"/>
    </row>
    <row r="1542" spans="5:11" x14ac:dyDescent="0.2">
      <c r="E1542" s="50"/>
      <c r="H1542" s="12"/>
      <c r="K1542"/>
    </row>
    <row r="1543" spans="5:11" x14ac:dyDescent="0.2">
      <c r="E1543" s="50"/>
      <c r="H1543" s="12"/>
      <c r="K1543"/>
    </row>
    <row r="1544" spans="5:11" x14ac:dyDescent="0.2">
      <c r="E1544" s="50"/>
      <c r="H1544" s="12"/>
      <c r="K1544"/>
    </row>
    <row r="1545" spans="5:11" x14ac:dyDescent="0.2">
      <c r="E1545" s="50"/>
      <c r="H1545" s="12"/>
      <c r="K1545"/>
    </row>
    <row r="1546" spans="5:11" x14ac:dyDescent="0.2">
      <c r="E1546" s="50"/>
      <c r="H1546" s="12"/>
      <c r="K1546"/>
    </row>
    <row r="1547" spans="5:11" x14ac:dyDescent="0.2">
      <c r="E1547" s="50"/>
      <c r="H1547" s="12"/>
      <c r="K1547"/>
    </row>
    <row r="1548" spans="5:11" x14ac:dyDescent="0.2">
      <c r="E1548" s="50"/>
      <c r="H1548" s="12"/>
      <c r="K1548"/>
    </row>
    <row r="1549" spans="5:11" x14ac:dyDescent="0.2">
      <c r="E1549" s="50"/>
      <c r="H1549" s="12"/>
      <c r="K1549"/>
    </row>
    <row r="1550" spans="5:11" x14ac:dyDescent="0.2">
      <c r="E1550" s="50"/>
      <c r="H1550" s="12"/>
      <c r="K1550"/>
    </row>
    <row r="1551" spans="5:11" x14ac:dyDescent="0.2">
      <c r="E1551" s="50"/>
      <c r="H1551" s="12"/>
      <c r="K1551"/>
    </row>
    <row r="1552" spans="5:11" x14ac:dyDescent="0.2">
      <c r="E1552" s="50"/>
      <c r="H1552" s="12"/>
      <c r="K1552"/>
    </row>
    <row r="1553" spans="5:11" x14ac:dyDescent="0.2">
      <c r="E1553" s="50"/>
      <c r="H1553" s="12"/>
      <c r="K1553"/>
    </row>
    <row r="1554" spans="5:11" x14ac:dyDescent="0.2">
      <c r="E1554" s="50"/>
      <c r="H1554" s="12"/>
      <c r="K1554"/>
    </row>
    <row r="1555" spans="5:11" x14ac:dyDescent="0.2">
      <c r="E1555" s="50"/>
      <c r="H1555" s="12"/>
      <c r="K1555"/>
    </row>
    <row r="1556" spans="5:11" x14ac:dyDescent="0.2">
      <c r="E1556" s="50"/>
      <c r="H1556" s="12"/>
      <c r="K1556"/>
    </row>
    <row r="1557" spans="5:11" x14ac:dyDescent="0.2">
      <c r="E1557" s="50"/>
      <c r="H1557" s="12"/>
      <c r="K1557"/>
    </row>
    <row r="1558" spans="5:11" x14ac:dyDescent="0.2">
      <c r="E1558" s="50"/>
      <c r="H1558" s="12"/>
      <c r="K1558"/>
    </row>
    <row r="1559" spans="5:11" x14ac:dyDescent="0.2">
      <c r="E1559" s="50"/>
      <c r="H1559" s="12"/>
      <c r="K1559"/>
    </row>
    <row r="1560" spans="5:11" x14ac:dyDescent="0.2">
      <c r="E1560" s="50"/>
      <c r="H1560" s="12"/>
      <c r="K1560"/>
    </row>
    <row r="1561" spans="5:11" x14ac:dyDescent="0.2">
      <c r="E1561" s="50"/>
      <c r="H1561" s="12"/>
      <c r="K1561"/>
    </row>
    <row r="1562" spans="5:11" x14ac:dyDescent="0.2">
      <c r="E1562" s="50"/>
      <c r="H1562" s="12"/>
      <c r="K1562"/>
    </row>
    <row r="1563" spans="5:11" x14ac:dyDescent="0.2">
      <c r="E1563" s="50"/>
      <c r="H1563" s="12"/>
      <c r="K1563"/>
    </row>
    <row r="1564" spans="5:11" x14ac:dyDescent="0.2">
      <c r="E1564" s="50"/>
      <c r="H1564" s="12"/>
      <c r="K1564"/>
    </row>
    <row r="1565" spans="5:11" x14ac:dyDescent="0.2">
      <c r="E1565" s="50"/>
      <c r="H1565" s="12"/>
      <c r="K1565"/>
    </row>
    <row r="1566" spans="5:11" x14ac:dyDescent="0.2">
      <c r="E1566" s="50"/>
      <c r="H1566" s="12"/>
      <c r="K1566"/>
    </row>
    <row r="1567" spans="5:11" x14ac:dyDescent="0.2">
      <c r="E1567" s="50"/>
      <c r="H1567" s="12"/>
      <c r="K1567"/>
    </row>
    <row r="1568" spans="5:11" x14ac:dyDescent="0.2">
      <c r="E1568" s="50"/>
      <c r="H1568" s="12"/>
      <c r="K1568"/>
    </row>
    <row r="1569" spans="5:11" x14ac:dyDescent="0.2">
      <c r="E1569" s="50"/>
      <c r="H1569" s="12"/>
      <c r="K1569"/>
    </row>
    <row r="1570" spans="5:11" x14ac:dyDescent="0.2">
      <c r="E1570" s="50"/>
      <c r="H1570" s="12"/>
      <c r="K1570"/>
    </row>
    <row r="1571" spans="5:11" x14ac:dyDescent="0.2">
      <c r="E1571" s="50"/>
      <c r="H1571" s="12"/>
      <c r="K1571"/>
    </row>
    <row r="1572" spans="5:11" x14ac:dyDescent="0.2">
      <c r="E1572" s="50"/>
      <c r="H1572" s="12"/>
      <c r="K1572"/>
    </row>
    <row r="1573" spans="5:11" x14ac:dyDescent="0.2">
      <c r="E1573" s="50"/>
      <c r="H1573" s="12"/>
      <c r="K1573"/>
    </row>
    <row r="1574" spans="5:11" x14ac:dyDescent="0.2">
      <c r="E1574" s="50"/>
      <c r="H1574" s="12"/>
      <c r="K1574"/>
    </row>
    <row r="1575" spans="5:11" x14ac:dyDescent="0.2">
      <c r="E1575" s="50"/>
      <c r="H1575" s="12"/>
      <c r="K1575"/>
    </row>
    <row r="1576" spans="5:11" x14ac:dyDescent="0.2">
      <c r="E1576" s="50"/>
      <c r="H1576" s="12"/>
      <c r="K1576"/>
    </row>
    <row r="1577" spans="5:11" x14ac:dyDescent="0.2">
      <c r="E1577" s="50"/>
      <c r="H1577" s="12"/>
      <c r="K1577"/>
    </row>
    <row r="1578" spans="5:11" x14ac:dyDescent="0.2">
      <c r="E1578" s="50"/>
      <c r="H1578" s="12"/>
      <c r="K1578"/>
    </row>
    <row r="1579" spans="5:11" x14ac:dyDescent="0.2">
      <c r="E1579" s="50"/>
      <c r="H1579" s="12"/>
      <c r="K1579"/>
    </row>
    <row r="1580" spans="5:11" x14ac:dyDescent="0.2">
      <c r="E1580" s="50"/>
      <c r="H1580" s="12"/>
      <c r="K1580"/>
    </row>
    <row r="1581" spans="5:11" x14ac:dyDescent="0.2">
      <c r="E1581" s="50"/>
      <c r="H1581" s="12"/>
      <c r="K1581"/>
    </row>
    <row r="1582" spans="5:11" x14ac:dyDescent="0.2">
      <c r="E1582" s="50"/>
      <c r="H1582" s="12"/>
      <c r="K1582"/>
    </row>
    <row r="1583" spans="5:11" x14ac:dyDescent="0.2">
      <c r="E1583" s="50"/>
      <c r="H1583" s="12"/>
      <c r="K1583"/>
    </row>
    <row r="1584" spans="5:11" x14ac:dyDescent="0.2">
      <c r="E1584" s="50"/>
      <c r="H1584" s="12"/>
      <c r="K1584"/>
    </row>
    <row r="1585" spans="5:11" x14ac:dyDescent="0.2">
      <c r="E1585" s="50"/>
      <c r="H1585" s="12"/>
      <c r="K1585"/>
    </row>
    <row r="1586" spans="5:11" x14ac:dyDescent="0.2">
      <c r="E1586" s="50"/>
      <c r="H1586" s="12"/>
      <c r="K1586"/>
    </row>
    <row r="1587" spans="5:11" x14ac:dyDescent="0.2">
      <c r="E1587" s="50"/>
      <c r="H1587" s="12"/>
      <c r="K1587"/>
    </row>
    <row r="1588" spans="5:11" x14ac:dyDescent="0.2">
      <c r="E1588" s="50"/>
      <c r="H1588" s="12"/>
      <c r="K1588"/>
    </row>
    <row r="1589" spans="5:11" x14ac:dyDescent="0.2">
      <c r="E1589" s="50"/>
      <c r="H1589" s="12"/>
      <c r="K1589"/>
    </row>
    <row r="1590" spans="5:11" x14ac:dyDescent="0.2">
      <c r="E1590" s="50"/>
      <c r="H1590" s="12"/>
      <c r="K1590"/>
    </row>
    <row r="1591" spans="5:11" x14ac:dyDescent="0.2">
      <c r="E1591" s="50"/>
      <c r="H1591" s="12"/>
      <c r="K1591"/>
    </row>
    <row r="1592" spans="5:11" x14ac:dyDescent="0.2">
      <c r="E1592" s="50"/>
      <c r="H1592" s="12"/>
      <c r="K1592"/>
    </row>
    <row r="1593" spans="5:11" x14ac:dyDescent="0.2">
      <c r="E1593" s="50"/>
      <c r="H1593" s="12"/>
      <c r="K1593"/>
    </row>
    <row r="1594" spans="5:11" x14ac:dyDescent="0.2">
      <c r="E1594" s="50"/>
      <c r="H1594" s="12"/>
      <c r="K1594"/>
    </row>
    <row r="1595" spans="5:11" x14ac:dyDescent="0.2">
      <c r="E1595" s="50"/>
      <c r="H1595" s="12"/>
      <c r="K1595"/>
    </row>
    <row r="1596" spans="5:11" x14ac:dyDescent="0.2">
      <c r="E1596" s="50"/>
      <c r="H1596" s="12"/>
      <c r="K1596"/>
    </row>
    <row r="1597" spans="5:11" x14ac:dyDescent="0.2">
      <c r="E1597" s="50"/>
      <c r="H1597" s="12"/>
      <c r="K1597"/>
    </row>
    <row r="1598" spans="5:11" x14ac:dyDescent="0.2">
      <c r="E1598" s="50"/>
      <c r="H1598" s="12"/>
      <c r="K1598"/>
    </row>
    <row r="1599" spans="5:11" x14ac:dyDescent="0.2">
      <c r="E1599" s="50"/>
      <c r="H1599" s="12"/>
      <c r="K1599"/>
    </row>
    <row r="1600" spans="5:11" x14ac:dyDescent="0.2">
      <c r="E1600" s="50"/>
      <c r="H1600" s="12"/>
      <c r="K1600"/>
    </row>
    <row r="1601" spans="5:11" x14ac:dyDescent="0.2">
      <c r="E1601" s="50"/>
      <c r="H1601" s="12"/>
      <c r="K1601"/>
    </row>
    <row r="1602" spans="5:11" x14ac:dyDescent="0.2">
      <c r="E1602" s="50"/>
      <c r="H1602" s="12"/>
      <c r="K1602"/>
    </row>
    <row r="1603" spans="5:11" x14ac:dyDescent="0.2">
      <c r="E1603" s="50"/>
      <c r="H1603" s="12"/>
      <c r="K1603"/>
    </row>
    <row r="1604" spans="5:11" x14ac:dyDescent="0.2">
      <c r="E1604" s="50"/>
      <c r="H1604" s="12"/>
      <c r="K1604"/>
    </row>
    <row r="1605" spans="5:11" x14ac:dyDescent="0.2">
      <c r="E1605" s="50"/>
      <c r="H1605" s="12"/>
      <c r="K1605"/>
    </row>
    <row r="1606" spans="5:11" x14ac:dyDescent="0.2">
      <c r="E1606" s="50"/>
      <c r="H1606" s="12"/>
      <c r="K1606"/>
    </row>
    <row r="1607" spans="5:11" x14ac:dyDescent="0.2">
      <c r="E1607" s="50"/>
      <c r="H1607" s="12"/>
      <c r="K1607"/>
    </row>
    <row r="1608" spans="5:11" x14ac:dyDescent="0.2">
      <c r="E1608" s="50"/>
      <c r="H1608" s="12"/>
      <c r="K1608"/>
    </row>
    <row r="1609" spans="5:11" x14ac:dyDescent="0.2">
      <c r="E1609" s="50"/>
      <c r="H1609" s="12"/>
      <c r="K1609"/>
    </row>
    <row r="1610" spans="5:11" x14ac:dyDescent="0.2">
      <c r="E1610" s="50"/>
      <c r="H1610" s="12"/>
      <c r="K1610"/>
    </row>
    <row r="1611" spans="5:11" x14ac:dyDescent="0.2">
      <c r="E1611" s="50"/>
      <c r="H1611" s="12"/>
      <c r="K1611"/>
    </row>
    <row r="1612" spans="5:11" x14ac:dyDescent="0.2">
      <c r="E1612" s="50"/>
      <c r="H1612" s="12"/>
      <c r="K1612"/>
    </row>
    <row r="1613" spans="5:11" x14ac:dyDescent="0.2">
      <c r="E1613" s="50"/>
      <c r="H1613" s="12"/>
      <c r="K1613"/>
    </row>
    <row r="1614" spans="5:11" x14ac:dyDescent="0.2">
      <c r="E1614" s="50"/>
      <c r="H1614" s="12"/>
      <c r="K1614"/>
    </row>
    <row r="1615" spans="5:11" x14ac:dyDescent="0.2">
      <c r="E1615" s="50"/>
      <c r="H1615" s="12"/>
      <c r="K1615"/>
    </row>
    <row r="1616" spans="5:11" x14ac:dyDescent="0.2">
      <c r="E1616" s="50"/>
      <c r="H1616" s="12"/>
      <c r="K1616"/>
    </row>
    <row r="1617" spans="5:11" x14ac:dyDescent="0.2">
      <c r="E1617" s="50"/>
      <c r="H1617" s="12"/>
      <c r="K1617"/>
    </row>
    <row r="1618" spans="5:11" x14ac:dyDescent="0.2">
      <c r="E1618" s="50"/>
      <c r="H1618" s="12"/>
      <c r="K1618"/>
    </row>
    <row r="1619" spans="5:11" x14ac:dyDescent="0.2">
      <c r="E1619" s="50"/>
      <c r="H1619" s="12"/>
      <c r="K1619"/>
    </row>
    <row r="1620" spans="5:11" x14ac:dyDescent="0.2">
      <c r="E1620" s="50"/>
      <c r="H1620" s="12"/>
      <c r="K1620"/>
    </row>
    <row r="1621" spans="5:11" x14ac:dyDescent="0.2">
      <c r="E1621" s="50"/>
      <c r="H1621" s="12"/>
      <c r="K1621"/>
    </row>
    <row r="1622" spans="5:11" x14ac:dyDescent="0.2">
      <c r="E1622" s="50"/>
      <c r="H1622" s="12"/>
      <c r="K1622"/>
    </row>
    <row r="1623" spans="5:11" x14ac:dyDescent="0.2">
      <c r="E1623" s="50"/>
      <c r="H1623" s="12"/>
      <c r="K1623"/>
    </row>
    <row r="1624" spans="5:11" x14ac:dyDescent="0.2">
      <c r="E1624" s="50"/>
      <c r="H1624" s="12"/>
      <c r="K1624"/>
    </row>
    <row r="1625" spans="5:11" x14ac:dyDescent="0.2">
      <c r="E1625" s="50"/>
      <c r="H1625" s="12"/>
      <c r="K1625"/>
    </row>
    <row r="1626" spans="5:11" x14ac:dyDescent="0.2">
      <c r="E1626" s="50"/>
      <c r="H1626" s="12"/>
      <c r="K1626"/>
    </row>
    <row r="1627" spans="5:11" x14ac:dyDescent="0.2">
      <c r="E1627" s="50"/>
      <c r="H1627" s="12"/>
      <c r="K1627"/>
    </row>
    <row r="1628" spans="5:11" x14ac:dyDescent="0.2">
      <c r="E1628" s="50"/>
      <c r="H1628" s="12"/>
      <c r="K1628"/>
    </row>
    <row r="1629" spans="5:11" x14ac:dyDescent="0.2">
      <c r="E1629" s="50"/>
      <c r="H1629" s="12"/>
      <c r="K1629"/>
    </row>
    <row r="1630" spans="5:11" x14ac:dyDescent="0.2">
      <c r="E1630" s="50"/>
      <c r="H1630" s="12"/>
      <c r="K1630"/>
    </row>
    <row r="1631" spans="5:11" x14ac:dyDescent="0.2">
      <c r="E1631" s="50"/>
      <c r="H1631" s="12"/>
      <c r="K1631"/>
    </row>
    <row r="1632" spans="5:11" x14ac:dyDescent="0.2">
      <c r="E1632" s="50"/>
      <c r="H1632" s="12"/>
      <c r="K1632"/>
    </row>
    <row r="1633" spans="5:11" x14ac:dyDescent="0.2">
      <c r="E1633" s="50"/>
      <c r="H1633" s="12"/>
      <c r="K1633"/>
    </row>
    <row r="1634" spans="5:11" x14ac:dyDescent="0.2">
      <c r="E1634" s="50"/>
      <c r="H1634" s="12"/>
      <c r="K1634"/>
    </row>
    <row r="1635" spans="5:11" x14ac:dyDescent="0.2">
      <c r="E1635" s="50"/>
      <c r="H1635" s="12"/>
      <c r="K1635"/>
    </row>
    <row r="1636" spans="5:11" x14ac:dyDescent="0.2">
      <c r="E1636" s="50"/>
      <c r="H1636" s="12"/>
      <c r="K1636"/>
    </row>
    <row r="1637" spans="5:11" x14ac:dyDescent="0.2">
      <c r="E1637" s="50"/>
      <c r="H1637" s="12"/>
      <c r="K1637"/>
    </row>
    <row r="1638" spans="5:11" x14ac:dyDescent="0.2">
      <c r="E1638" s="50"/>
      <c r="H1638" s="12"/>
      <c r="K1638"/>
    </row>
    <row r="1639" spans="5:11" x14ac:dyDescent="0.2">
      <c r="E1639" s="50"/>
      <c r="H1639" s="12"/>
      <c r="K1639"/>
    </row>
    <row r="1640" spans="5:11" x14ac:dyDescent="0.2">
      <c r="E1640" s="50"/>
      <c r="H1640" s="12"/>
      <c r="K1640"/>
    </row>
    <row r="1641" spans="5:11" x14ac:dyDescent="0.2">
      <c r="E1641" s="50"/>
      <c r="H1641" s="12"/>
      <c r="K1641"/>
    </row>
    <row r="1642" spans="5:11" x14ac:dyDescent="0.2">
      <c r="E1642" s="50"/>
      <c r="H1642" s="12"/>
      <c r="K1642"/>
    </row>
    <row r="1643" spans="5:11" x14ac:dyDescent="0.2">
      <c r="E1643" s="50"/>
      <c r="H1643" s="12"/>
      <c r="K1643"/>
    </row>
    <row r="1644" spans="5:11" x14ac:dyDescent="0.2">
      <c r="E1644" s="50"/>
      <c r="H1644" s="12"/>
      <c r="K1644"/>
    </row>
    <row r="1645" spans="5:11" x14ac:dyDescent="0.2">
      <c r="E1645" s="50"/>
      <c r="H1645" s="12"/>
      <c r="K1645"/>
    </row>
    <row r="1646" spans="5:11" x14ac:dyDescent="0.2">
      <c r="E1646" s="50"/>
      <c r="H1646" s="12"/>
      <c r="K1646"/>
    </row>
    <row r="1647" spans="5:11" x14ac:dyDescent="0.2">
      <c r="E1647" s="50"/>
      <c r="H1647" s="12"/>
      <c r="K1647"/>
    </row>
    <row r="1648" spans="5:11" x14ac:dyDescent="0.2">
      <c r="E1648" s="50"/>
      <c r="H1648" s="12"/>
      <c r="K1648"/>
    </row>
    <row r="1649" spans="5:11" x14ac:dyDescent="0.2">
      <c r="E1649" s="50"/>
      <c r="H1649" s="12"/>
      <c r="K1649"/>
    </row>
    <row r="1650" spans="5:11" x14ac:dyDescent="0.2">
      <c r="E1650" s="50"/>
      <c r="H1650" s="12"/>
      <c r="K1650"/>
    </row>
    <row r="1651" spans="5:11" x14ac:dyDescent="0.2">
      <c r="E1651" s="50"/>
      <c r="H1651" s="12"/>
      <c r="K1651"/>
    </row>
    <row r="1652" spans="5:11" x14ac:dyDescent="0.2">
      <c r="E1652" s="50"/>
      <c r="H1652" s="12"/>
      <c r="K1652"/>
    </row>
    <row r="1653" spans="5:11" x14ac:dyDescent="0.2">
      <c r="E1653" s="50"/>
      <c r="H1653" s="12"/>
      <c r="K1653"/>
    </row>
    <row r="1654" spans="5:11" x14ac:dyDescent="0.2">
      <c r="E1654" s="50"/>
      <c r="H1654" s="12"/>
      <c r="K1654"/>
    </row>
    <row r="1655" spans="5:11" x14ac:dyDescent="0.2">
      <c r="E1655" s="50"/>
      <c r="H1655" s="12"/>
      <c r="K1655"/>
    </row>
    <row r="1656" spans="5:11" x14ac:dyDescent="0.2">
      <c r="E1656" s="50"/>
      <c r="H1656" s="12"/>
      <c r="K1656"/>
    </row>
    <row r="1657" spans="5:11" x14ac:dyDescent="0.2">
      <c r="E1657" s="50"/>
      <c r="H1657" s="12"/>
      <c r="K1657"/>
    </row>
    <row r="1658" spans="5:11" x14ac:dyDescent="0.2">
      <c r="E1658" s="50"/>
      <c r="H1658" s="12"/>
      <c r="K1658"/>
    </row>
    <row r="1659" spans="5:11" x14ac:dyDescent="0.2">
      <c r="E1659" s="50"/>
      <c r="H1659" s="12"/>
      <c r="K1659"/>
    </row>
    <row r="1660" spans="5:11" x14ac:dyDescent="0.2">
      <c r="E1660" s="50"/>
      <c r="H1660" s="12"/>
      <c r="K1660"/>
    </row>
    <row r="1661" spans="5:11" x14ac:dyDescent="0.2">
      <c r="E1661" s="50"/>
      <c r="H1661" s="12"/>
      <c r="K1661"/>
    </row>
    <row r="1662" spans="5:11" x14ac:dyDescent="0.2">
      <c r="E1662" s="50"/>
      <c r="H1662" s="12"/>
      <c r="K1662"/>
    </row>
    <row r="1663" spans="5:11" x14ac:dyDescent="0.2">
      <c r="E1663" s="50"/>
      <c r="H1663" s="12"/>
      <c r="K1663"/>
    </row>
    <row r="1664" spans="5:11" x14ac:dyDescent="0.2">
      <c r="E1664" s="50"/>
      <c r="H1664" s="12"/>
      <c r="K1664"/>
    </row>
    <row r="1665" spans="5:11" x14ac:dyDescent="0.2">
      <c r="E1665" s="50"/>
      <c r="H1665" s="12"/>
      <c r="K1665"/>
    </row>
    <row r="1666" spans="5:11" x14ac:dyDescent="0.2">
      <c r="E1666" s="50"/>
      <c r="H1666" s="12"/>
      <c r="K1666"/>
    </row>
    <row r="1667" spans="5:11" x14ac:dyDescent="0.2">
      <c r="E1667" s="50"/>
      <c r="H1667" s="12"/>
      <c r="K1667"/>
    </row>
    <row r="1668" spans="5:11" x14ac:dyDescent="0.2">
      <c r="E1668" s="50"/>
      <c r="H1668" s="12"/>
      <c r="K1668"/>
    </row>
    <row r="1669" spans="5:11" x14ac:dyDescent="0.2">
      <c r="E1669" s="50"/>
      <c r="H1669" s="12"/>
      <c r="K1669"/>
    </row>
    <row r="1670" spans="5:11" x14ac:dyDescent="0.2">
      <c r="E1670" s="50"/>
      <c r="H1670" s="12"/>
      <c r="K1670"/>
    </row>
    <row r="1671" spans="5:11" x14ac:dyDescent="0.2">
      <c r="E1671" s="50"/>
      <c r="H1671" s="12"/>
      <c r="K1671"/>
    </row>
    <row r="1672" spans="5:11" x14ac:dyDescent="0.2">
      <c r="E1672" s="50"/>
      <c r="H1672" s="12"/>
      <c r="K1672"/>
    </row>
    <row r="1673" spans="5:11" x14ac:dyDescent="0.2">
      <c r="E1673" s="50"/>
      <c r="H1673" s="12"/>
      <c r="K1673"/>
    </row>
    <row r="1674" spans="5:11" x14ac:dyDescent="0.2">
      <c r="E1674" s="50"/>
      <c r="H1674" s="12"/>
      <c r="K1674"/>
    </row>
    <row r="1675" spans="5:11" x14ac:dyDescent="0.2">
      <c r="E1675" s="50"/>
      <c r="H1675" s="12"/>
      <c r="K1675"/>
    </row>
    <row r="1676" spans="5:11" x14ac:dyDescent="0.2">
      <c r="E1676" s="50"/>
      <c r="H1676" s="12"/>
      <c r="K1676"/>
    </row>
    <row r="1677" spans="5:11" x14ac:dyDescent="0.2">
      <c r="E1677" s="50"/>
      <c r="H1677" s="12"/>
      <c r="K1677"/>
    </row>
    <row r="1678" spans="5:11" x14ac:dyDescent="0.2">
      <c r="E1678" s="50"/>
      <c r="H1678" s="12"/>
      <c r="K1678"/>
    </row>
    <row r="1679" spans="5:11" x14ac:dyDescent="0.2">
      <c r="E1679" s="50"/>
      <c r="H1679" s="12"/>
      <c r="K1679"/>
    </row>
    <row r="1680" spans="5:11" x14ac:dyDescent="0.2">
      <c r="E1680" s="50"/>
      <c r="H1680" s="12"/>
      <c r="K1680"/>
    </row>
    <row r="1681" spans="5:11" x14ac:dyDescent="0.2">
      <c r="E1681" s="50"/>
      <c r="H1681" s="12"/>
      <c r="K1681"/>
    </row>
    <row r="1682" spans="5:11" x14ac:dyDescent="0.2">
      <c r="E1682" s="50"/>
      <c r="H1682" s="12"/>
      <c r="K1682"/>
    </row>
    <row r="1683" spans="5:11" x14ac:dyDescent="0.2">
      <c r="E1683" s="50"/>
      <c r="H1683" s="12"/>
      <c r="K1683"/>
    </row>
    <row r="1684" spans="5:11" x14ac:dyDescent="0.2">
      <c r="E1684" s="50"/>
      <c r="H1684" s="12"/>
      <c r="K1684"/>
    </row>
    <row r="1685" spans="5:11" x14ac:dyDescent="0.2">
      <c r="E1685" s="50"/>
      <c r="H1685" s="12"/>
      <c r="K1685"/>
    </row>
    <row r="1686" spans="5:11" x14ac:dyDescent="0.2">
      <c r="E1686" s="50"/>
      <c r="H1686" s="12"/>
      <c r="K1686"/>
    </row>
    <row r="1687" spans="5:11" x14ac:dyDescent="0.2">
      <c r="E1687" s="50"/>
      <c r="H1687" s="12"/>
      <c r="K1687"/>
    </row>
    <row r="1688" spans="5:11" x14ac:dyDescent="0.2">
      <c r="E1688" s="50"/>
      <c r="H1688" s="12"/>
      <c r="K1688"/>
    </row>
    <row r="1689" spans="5:11" x14ac:dyDescent="0.2">
      <c r="E1689" s="50"/>
      <c r="H1689" s="12"/>
      <c r="K1689"/>
    </row>
    <row r="1690" spans="5:11" x14ac:dyDescent="0.2">
      <c r="E1690" s="50"/>
      <c r="H1690" s="12"/>
      <c r="K1690"/>
    </row>
    <row r="1691" spans="5:11" x14ac:dyDescent="0.2">
      <c r="E1691" s="50"/>
      <c r="H1691" s="12"/>
      <c r="K1691"/>
    </row>
    <row r="1692" spans="5:11" x14ac:dyDescent="0.2">
      <c r="E1692" s="50"/>
      <c r="H1692" s="12"/>
      <c r="K1692"/>
    </row>
    <row r="1693" spans="5:11" x14ac:dyDescent="0.2">
      <c r="E1693" s="50"/>
      <c r="H1693" s="12"/>
      <c r="K1693"/>
    </row>
    <row r="1694" spans="5:11" x14ac:dyDescent="0.2">
      <c r="E1694" s="50"/>
      <c r="H1694" s="12"/>
      <c r="K1694"/>
    </row>
    <row r="1695" spans="5:11" x14ac:dyDescent="0.2">
      <c r="E1695" s="50"/>
      <c r="H1695" s="12"/>
      <c r="K1695"/>
    </row>
    <row r="1696" spans="5:11" x14ac:dyDescent="0.2">
      <c r="E1696" s="50"/>
      <c r="H1696" s="12"/>
      <c r="K1696"/>
    </row>
    <row r="1697" spans="5:11" x14ac:dyDescent="0.2">
      <c r="E1697" s="50"/>
      <c r="H1697" s="12"/>
      <c r="K1697"/>
    </row>
    <row r="1698" spans="5:11" x14ac:dyDescent="0.2">
      <c r="E1698" s="50"/>
      <c r="H1698" s="12"/>
      <c r="K1698"/>
    </row>
    <row r="1699" spans="5:11" x14ac:dyDescent="0.2">
      <c r="E1699" s="50"/>
      <c r="H1699" s="12"/>
      <c r="K1699"/>
    </row>
    <row r="1700" spans="5:11" x14ac:dyDescent="0.2">
      <c r="E1700" s="50"/>
      <c r="H1700" s="12"/>
      <c r="K1700"/>
    </row>
    <row r="1701" spans="5:11" x14ac:dyDescent="0.2">
      <c r="E1701" s="50"/>
      <c r="H1701" s="12"/>
      <c r="K1701"/>
    </row>
    <row r="1702" spans="5:11" x14ac:dyDescent="0.2">
      <c r="E1702" s="50"/>
      <c r="H1702" s="12"/>
      <c r="K1702"/>
    </row>
    <row r="1703" spans="5:11" x14ac:dyDescent="0.2">
      <c r="E1703" s="50"/>
      <c r="H1703" s="12"/>
      <c r="K1703"/>
    </row>
    <row r="1704" spans="5:11" x14ac:dyDescent="0.2">
      <c r="E1704" s="50"/>
      <c r="H1704" s="12"/>
      <c r="K1704"/>
    </row>
    <row r="1705" spans="5:11" x14ac:dyDescent="0.2">
      <c r="E1705" s="50"/>
      <c r="H1705" s="12"/>
      <c r="K1705"/>
    </row>
    <row r="1706" spans="5:11" x14ac:dyDescent="0.2">
      <c r="E1706" s="50"/>
      <c r="H1706" s="12"/>
      <c r="K1706"/>
    </row>
    <row r="1707" spans="5:11" x14ac:dyDescent="0.2">
      <c r="E1707" s="50"/>
      <c r="H1707" s="12"/>
      <c r="K1707"/>
    </row>
    <row r="1708" spans="5:11" x14ac:dyDescent="0.2">
      <c r="E1708" s="50"/>
      <c r="H1708" s="12"/>
      <c r="K1708"/>
    </row>
    <row r="1709" spans="5:11" x14ac:dyDescent="0.2">
      <c r="E1709" s="50"/>
      <c r="H1709" s="12"/>
      <c r="K1709"/>
    </row>
    <row r="1710" spans="5:11" x14ac:dyDescent="0.2">
      <c r="E1710" s="50"/>
      <c r="H1710" s="12"/>
      <c r="K1710"/>
    </row>
    <row r="1711" spans="5:11" x14ac:dyDescent="0.2">
      <c r="E1711" s="50"/>
      <c r="H1711" s="12"/>
      <c r="K1711"/>
    </row>
    <row r="1712" spans="5:11" x14ac:dyDescent="0.2">
      <c r="E1712" s="50"/>
      <c r="H1712" s="12"/>
      <c r="K1712"/>
    </row>
    <row r="1713" spans="5:11" x14ac:dyDescent="0.2">
      <c r="E1713" s="50"/>
      <c r="H1713" s="12"/>
      <c r="K1713"/>
    </row>
    <row r="1714" spans="5:11" x14ac:dyDescent="0.2">
      <c r="E1714" s="50"/>
      <c r="H1714" s="12"/>
      <c r="K1714"/>
    </row>
    <row r="1715" spans="5:11" x14ac:dyDescent="0.2">
      <c r="E1715" s="50"/>
      <c r="H1715" s="12"/>
      <c r="K1715"/>
    </row>
    <row r="1716" spans="5:11" x14ac:dyDescent="0.2">
      <c r="E1716" s="50"/>
      <c r="H1716" s="12"/>
      <c r="K1716"/>
    </row>
    <row r="1717" spans="5:11" x14ac:dyDescent="0.2">
      <c r="E1717" s="50"/>
      <c r="H1717" s="12"/>
      <c r="K1717"/>
    </row>
    <row r="1718" spans="5:11" x14ac:dyDescent="0.2">
      <c r="E1718" s="50"/>
      <c r="H1718" s="12"/>
      <c r="K1718"/>
    </row>
    <row r="1719" spans="5:11" x14ac:dyDescent="0.2">
      <c r="E1719" s="50"/>
      <c r="H1719" s="12"/>
      <c r="K1719"/>
    </row>
    <row r="1720" spans="5:11" x14ac:dyDescent="0.2">
      <c r="E1720" s="50"/>
      <c r="H1720" s="12"/>
      <c r="K1720"/>
    </row>
    <row r="1721" spans="5:11" x14ac:dyDescent="0.2">
      <c r="E1721" s="50"/>
      <c r="H1721" s="12"/>
      <c r="K1721"/>
    </row>
    <row r="1722" spans="5:11" x14ac:dyDescent="0.2">
      <c r="E1722" s="50"/>
      <c r="H1722" s="12"/>
      <c r="K1722"/>
    </row>
    <row r="1723" spans="5:11" x14ac:dyDescent="0.2">
      <c r="E1723" s="50"/>
      <c r="H1723" s="12"/>
      <c r="K1723"/>
    </row>
    <row r="1724" spans="5:11" x14ac:dyDescent="0.2">
      <c r="E1724" s="50"/>
      <c r="H1724" s="12"/>
      <c r="K1724"/>
    </row>
    <row r="1725" spans="5:11" x14ac:dyDescent="0.2">
      <c r="E1725" s="50"/>
      <c r="H1725" s="12"/>
      <c r="K1725"/>
    </row>
    <row r="1726" spans="5:11" x14ac:dyDescent="0.2">
      <c r="E1726" s="50"/>
      <c r="H1726" s="12"/>
      <c r="K1726"/>
    </row>
    <row r="1727" spans="5:11" x14ac:dyDescent="0.2">
      <c r="E1727" s="50"/>
      <c r="H1727" s="12"/>
      <c r="K1727"/>
    </row>
    <row r="1728" spans="5:11" x14ac:dyDescent="0.2">
      <c r="E1728" s="50"/>
      <c r="H1728" s="12"/>
      <c r="K1728"/>
    </row>
    <row r="1729" spans="5:11" x14ac:dyDescent="0.2">
      <c r="E1729" s="50"/>
      <c r="H1729" s="12"/>
      <c r="K1729"/>
    </row>
    <row r="1730" spans="5:11" x14ac:dyDescent="0.2">
      <c r="E1730" s="50"/>
      <c r="H1730" s="12"/>
      <c r="K1730"/>
    </row>
    <row r="1731" spans="5:11" x14ac:dyDescent="0.2">
      <c r="E1731" s="50"/>
      <c r="H1731" s="12"/>
      <c r="K1731"/>
    </row>
    <row r="1732" spans="5:11" x14ac:dyDescent="0.2">
      <c r="E1732" s="50"/>
      <c r="H1732" s="12"/>
      <c r="K1732"/>
    </row>
    <row r="1733" spans="5:11" x14ac:dyDescent="0.2">
      <c r="E1733" s="50"/>
      <c r="H1733" s="12"/>
      <c r="K1733"/>
    </row>
    <row r="1734" spans="5:11" x14ac:dyDescent="0.2">
      <c r="E1734" s="50"/>
      <c r="H1734" s="12"/>
      <c r="K1734"/>
    </row>
    <row r="1735" spans="5:11" x14ac:dyDescent="0.2">
      <c r="E1735" s="50"/>
      <c r="H1735" s="12"/>
      <c r="K1735"/>
    </row>
    <row r="1736" spans="5:11" x14ac:dyDescent="0.2">
      <c r="E1736" s="50"/>
      <c r="H1736" s="12"/>
      <c r="K1736"/>
    </row>
    <row r="1737" spans="5:11" x14ac:dyDescent="0.2">
      <c r="E1737" s="50"/>
      <c r="H1737" s="12"/>
      <c r="K1737"/>
    </row>
    <row r="1738" spans="5:11" x14ac:dyDescent="0.2">
      <c r="E1738" s="50"/>
      <c r="H1738" s="12"/>
      <c r="K1738"/>
    </row>
    <row r="1739" spans="5:11" x14ac:dyDescent="0.2">
      <c r="E1739" s="50"/>
      <c r="H1739" s="12"/>
      <c r="K1739"/>
    </row>
    <row r="1740" spans="5:11" x14ac:dyDescent="0.2">
      <c r="E1740" s="50"/>
      <c r="H1740" s="12"/>
      <c r="K1740"/>
    </row>
    <row r="1741" spans="5:11" x14ac:dyDescent="0.2">
      <c r="E1741" s="50"/>
      <c r="H1741" s="12"/>
      <c r="K1741"/>
    </row>
    <row r="1742" spans="5:11" x14ac:dyDescent="0.2">
      <c r="E1742" s="50"/>
      <c r="H1742" s="12"/>
      <c r="K1742"/>
    </row>
    <row r="1743" spans="5:11" x14ac:dyDescent="0.2">
      <c r="E1743" s="50"/>
      <c r="H1743" s="12"/>
      <c r="K1743"/>
    </row>
    <row r="1744" spans="5:11" x14ac:dyDescent="0.2">
      <c r="E1744" s="50"/>
      <c r="H1744" s="12"/>
      <c r="K1744"/>
    </row>
    <row r="1745" spans="5:11" x14ac:dyDescent="0.2">
      <c r="E1745" s="50"/>
      <c r="H1745" s="12"/>
      <c r="K1745"/>
    </row>
    <row r="1746" spans="5:11" x14ac:dyDescent="0.2">
      <c r="E1746" s="50"/>
      <c r="H1746" s="12"/>
      <c r="K1746"/>
    </row>
    <row r="1747" spans="5:11" x14ac:dyDescent="0.2">
      <c r="E1747" s="50"/>
      <c r="H1747" s="12"/>
      <c r="K1747"/>
    </row>
    <row r="1748" spans="5:11" x14ac:dyDescent="0.2">
      <c r="E1748" s="50"/>
      <c r="H1748" s="12"/>
      <c r="K1748"/>
    </row>
    <row r="1749" spans="5:11" x14ac:dyDescent="0.2">
      <c r="E1749" s="50"/>
      <c r="H1749" s="12"/>
      <c r="K1749"/>
    </row>
    <row r="1750" spans="5:11" x14ac:dyDescent="0.2">
      <c r="E1750" s="50"/>
      <c r="H1750" s="12"/>
      <c r="K1750"/>
    </row>
    <row r="1751" spans="5:11" x14ac:dyDescent="0.2">
      <c r="E1751" s="50"/>
      <c r="H1751" s="12"/>
      <c r="K1751"/>
    </row>
    <row r="1752" spans="5:11" x14ac:dyDescent="0.2">
      <c r="E1752" s="50"/>
      <c r="H1752" s="12"/>
      <c r="K1752"/>
    </row>
    <row r="1753" spans="5:11" x14ac:dyDescent="0.2">
      <c r="E1753" s="50"/>
      <c r="H1753" s="12"/>
      <c r="K1753"/>
    </row>
    <row r="1754" spans="5:11" x14ac:dyDescent="0.2">
      <c r="E1754" s="50"/>
      <c r="H1754" s="12"/>
      <c r="K1754"/>
    </row>
    <row r="1755" spans="5:11" x14ac:dyDescent="0.2">
      <c r="E1755" s="50"/>
      <c r="H1755" s="12"/>
      <c r="K1755"/>
    </row>
    <row r="1756" spans="5:11" x14ac:dyDescent="0.2">
      <c r="E1756" s="50"/>
      <c r="H1756" s="12"/>
      <c r="K1756"/>
    </row>
    <row r="1757" spans="5:11" x14ac:dyDescent="0.2">
      <c r="E1757" s="50"/>
      <c r="H1757" s="12"/>
      <c r="K1757"/>
    </row>
    <row r="1758" spans="5:11" x14ac:dyDescent="0.2">
      <c r="E1758" s="50"/>
      <c r="H1758" s="12"/>
      <c r="K1758"/>
    </row>
    <row r="1759" spans="5:11" x14ac:dyDescent="0.2">
      <c r="E1759" s="50"/>
      <c r="H1759" s="12"/>
      <c r="K1759"/>
    </row>
    <row r="1760" spans="5:11" x14ac:dyDescent="0.2">
      <c r="E1760" s="50"/>
      <c r="H1760" s="12"/>
      <c r="K1760"/>
    </row>
    <row r="1761" spans="5:11" x14ac:dyDescent="0.2">
      <c r="E1761" s="50"/>
      <c r="H1761" s="12"/>
      <c r="K1761"/>
    </row>
    <row r="1762" spans="5:11" x14ac:dyDescent="0.2">
      <c r="E1762" s="50"/>
      <c r="H1762" s="12"/>
      <c r="K1762"/>
    </row>
    <row r="1763" spans="5:11" x14ac:dyDescent="0.2">
      <c r="E1763" s="50"/>
      <c r="H1763" s="12"/>
      <c r="K1763"/>
    </row>
    <row r="1764" spans="5:11" x14ac:dyDescent="0.2">
      <c r="E1764" s="50"/>
      <c r="H1764" s="12"/>
      <c r="K1764"/>
    </row>
    <row r="1765" spans="5:11" x14ac:dyDescent="0.2">
      <c r="E1765" s="50"/>
      <c r="H1765" s="12"/>
      <c r="K1765"/>
    </row>
    <row r="1766" spans="5:11" x14ac:dyDescent="0.2">
      <c r="E1766" s="50"/>
      <c r="H1766" s="12"/>
      <c r="K1766"/>
    </row>
    <row r="1767" spans="5:11" x14ac:dyDescent="0.2">
      <c r="E1767" s="50"/>
      <c r="H1767" s="12"/>
      <c r="K1767"/>
    </row>
    <row r="1768" spans="5:11" x14ac:dyDescent="0.2">
      <c r="E1768" s="50"/>
      <c r="H1768" s="12"/>
      <c r="K1768"/>
    </row>
    <row r="1769" spans="5:11" x14ac:dyDescent="0.2">
      <c r="E1769" s="50"/>
      <c r="H1769" s="12"/>
      <c r="K1769"/>
    </row>
    <row r="1770" spans="5:11" x14ac:dyDescent="0.2">
      <c r="E1770" s="50"/>
      <c r="H1770" s="12"/>
      <c r="K1770"/>
    </row>
    <row r="1771" spans="5:11" x14ac:dyDescent="0.2">
      <c r="E1771" s="50"/>
      <c r="H1771" s="12"/>
      <c r="K1771"/>
    </row>
    <row r="1772" spans="5:11" x14ac:dyDescent="0.2">
      <c r="E1772" s="50"/>
      <c r="H1772" s="12"/>
      <c r="K1772"/>
    </row>
    <row r="1773" spans="5:11" x14ac:dyDescent="0.2">
      <c r="E1773" s="50"/>
      <c r="H1773" s="12"/>
      <c r="K1773"/>
    </row>
    <row r="1774" spans="5:11" x14ac:dyDescent="0.2">
      <c r="E1774" s="50"/>
      <c r="H1774" s="12"/>
      <c r="K1774"/>
    </row>
    <row r="1775" spans="5:11" x14ac:dyDescent="0.2">
      <c r="E1775" s="50"/>
      <c r="H1775" s="12"/>
      <c r="K1775"/>
    </row>
    <row r="1776" spans="5:11" x14ac:dyDescent="0.2">
      <c r="E1776" s="50"/>
      <c r="H1776" s="12"/>
      <c r="K1776"/>
    </row>
    <row r="1777" spans="5:11" x14ac:dyDescent="0.2">
      <c r="E1777" s="50"/>
      <c r="H1777" s="12"/>
      <c r="K1777"/>
    </row>
    <row r="1778" spans="5:11" x14ac:dyDescent="0.2">
      <c r="E1778" s="50"/>
      <c r="H1778" s="12"/>
      <c r="K1778"/>
    </row>
    <row r="1779" spans="5:11" x14ac:dyDescent="0.2">
      <c r="E1779" s="50"/>
      <c r="H1779" s="12"/>
      <c r="K1779"/>
    </row>
    <row r="1780" spans="5:11" x14ac:dyDescent="0.2">
      <c r="E1780" s="50"/>
      <c r="H1780" s="12"/>
      <c r="K1780"/>
    </row>
    <row r="1781" spans="5:11" x14ac:dyDescent="0.2">
      <c r="E1781" s="50"/>
      <c r="H1781" s="12"/>
      <c r="K1781"/>
    </row>
    <row r="1782" spans="5:11" x14ac:dyDescent="0.2">
      <c r="E1782" s="50"/>
      <c r="H1782" s="12"/>
      <c r="K1782"/>
    </row>
    <row r="1783" spans="5:11" x14ac:dyDescent="0.2">
      <c r="E1783" s="50"/>
      <c r="H1783" s="12"/>
      <c r="K1783"/>
    </row>
    <row r="1784" spans="5:11" x14ac:dyDescent="0.2">
      <c r="E1784" s="50"/>
      <c r="H1784" s="12"/>
      <c r="K1784"/>
    </row>
    <row r="1785" spans="5:11" x14ac:dyDescent="0.2">
      <c r="E1785" s="50"/>
      <c r="H1785" s="12"/>
      <c r="K1785"/>
    </row>
    <row r="1786" spans="5:11" x14ac:dyDescent="0.2">
      <c r="E1786" s="50"/>
      <c r="H1786" s="12"/>
      <c r="K1786"/>
    </row>
    <row r="1787" spans="5:11" x14ac:dyDescent="0.2">
      <c r="E1787" s="50"/>
      <c r="H1787" s="12"/>
      <c r="K1787"/>
    </row>
    <row r="1788" spans="5:11" x14ac:dyDescent="0.2">
      <c r="E1788" s="50"/>
      <c r="H1788" s="12"/>
      <c r="K1788"/>
    </row>
    <row r="1789" spans="5:11" x14ac:dyDescent="0.2">
      <c r="E1789" s="50"/>
      <c r="H1789" s="12"/>
      <c r="K1789"/>
    </row>
    <row r="1790" spans="5:11" x14ac:dyDescent="0.2">
      <c r="E1790" s="50"/>
      <c r="H1790" s="12"/>
      <c r="K1790"/>
    </row>
    <row r="1791" spans="5:11" x14ac:dyDescent="0.2">
      <c r="E1791" s="50"/>
      <c r="H1791" s="12"/>
      <c r="K1791"/>
    </row>
    <row r="1792" spans="5:11" x14ac:dyDescent="0.2">
      <c r="E1792" s="50"/>
      <c r="H1792" s="12"/>
      <c r="K1792"/>
    </row>
    <row r="1793" spans="5:11" x14ac:dyDescent="0.2">
      <c r="E1793" s="50"/>
      <c r="H1793" s="12"/>
      <c r="K1793"/>
    </row>
    <row r="1794" spans="5:11" x14ac:dyDescent="0.2">
      <c r="E1794" s="50"/>
      <c r="H1794" s="12"/>
      <c r="K1794"/>
    </row>
    <row r="1795" spans="5:11" x14ac:dyDescent="0.2">
      <c r="E1795" s="50"/>
      <c r="H1795" s="12"/>
      <c r="K1795"/>
    </row>
    <row r="1796" spans="5:11" x14ac:dyDescent="0.2">
      <c r="E1796" s="50"/>
      <c r="H1796" s="12"/>
      <c r="K1796"/>
    </row>
    <row r="1797" spans="5:11" x14ac:dyDescent="0.2">
      <c r="E1797" s="50"/>
      <c r="H1797" s="12"/>
      <c r="K1797"/>
    </row>
    <row r="1798" spans="5:11" x14ac:dyDescent="0.2">
      <c r="E1798" s="50"/>
      <c r="H1798" s="12"/>
      <c r="K1798"/>
    </row>
    <row r="1799" spans="5:11" x14ac:dyDescent="0.2">
      <c r="E1799" s="50"/>
      <c r="H1799" s="12"/>
      <c r="K1799"/>
    </row>
    <row r="1800" spans="5:11" x14ac:dyDescent="0.2">
      <c r="E1800" s="50"/>
      <c r="H1800" s="12"/>
      <c r="K1800"/>
    </row>
    <row r="1801" spans="5:11" x14ac:dyDescent="0.2">
      <c r="E1801" s="50"/>
      <c r="H1801" s="12"/>
      <c r="K1801"/>
    </row>
    <row r="1802" spans="5:11" x14ac:dyDescent="0.2">
      <c r="E1802" s="50"/>
      <c r="H1802" s="12"/>
      <c r="K1802"/>
    </row>
    <row r="1803" spans="5:11" x14ac:dyDescent="0.2">
      <c r="E1803" s="50"/>
      <c r="H1803" s="12"/>
      <c r="K1803"/>
    </row>
    <row r="1804" spans="5:11" x14ac:dyDescent="0.2">
      <c r="E1804" s="50"/>
      <c r="H1804" s="12"/>
      <c r="K1804"/>
    </row>
    <row r="1805" spans="5:11" x14ac:dyDescent="0.2">
      <c r="E1805" s="50"/>
      <c r="H1805" s="12"/>
      <c r="K1805"/>
    </row>
    <row r="1806" spans="5:11" x14ac:dyDescent="0.2">
      <c r="E1806" s="50"/>
      <c r="H1806" s="12"/>
      <c r="K1806"/>
    </row>
    <row r="1807" spans="5:11" x14ac:dyDescent="0.2">
      <c r="E1807" s="50"/>
      <c r="H1807" s="12"/>
      <c r="K1807"/>
    </row>
    <row r="1808" spans="5:11" x14ac:dyDescent="0.2">
      <c r="E1808" s="50"/>
      <c r="H1808" s="12"/>
      <c r="K1808"/>
    </row>
    <row r="1809" spans="5:11" x14ac:dyDescent="0.2">
      <c r="E1809" s="50"/>
      <c r="H1809" s="12"/>
      <c r="K1809"/>
    </row>
    <row r="1810" spans="5:11" x14ac:dyDescent="0.2">
      <c r="E1810" s="50"/>
      <c r="H1810" s="12"/>
      <c r="K1810"/>
    </row>
    <row r="1811" spans="5:11" x14ac:dyDescent="0.2">
      <c r="E1811" s="50"/>
      <c r="H1811" s="12"/>
      <c r="K1811"/>
    </row>
    <row r="1812" spans="5:11" x14ac:dyDescent="0.2">
      <c r="E1812" s="50"/>
      <c r="H1812" s="12"/>
      <c r="K1812"/>
    </row>
    <row r="1813" spans="5:11" x14ac:dyDescent="0.2">
      <c r="E1813" s="50"/>
      <c r="H1813" s="12"/>
      <c r="K1813"/>
    </row>
    <row r="1814" spans="5:11" x14ac:dyDescent="0.2">
      <c r="E1814" s="50"/>
      <c r="H1814" s="12"/>
      <c r="K1814"/>
    </row>
    <row r="1815" spans="5:11" x14ac:dyDescent="0.2">
      <c r="E1815" s="50"/>
      <c r="H1815" s="12"/>
      <c r="K1815"/>
    </row>
    <row r="1816" spans="5:11" x14ac:dyDescent="0.2">
      <c r="E1816" s="50"/>
      <c r="H1816" s="12"/>
      <c r="K1816"/>
    </row>
    <row r="1817" spans="5:11" x14ac:dyDescent="0.2">
      <c r="E1817" s="50"/>
      <c r="H1817" s="12"/>
      <c r="K1817"/>
    </row>
    <row r="1818" spans="5:11" x14ac:dyDescent="0.2">
      <c r="E1818" s="50"/>
      <c r="H1818" s="12"/>
      <c r="K1818"/>
    </row>
    <row r="1819" spans="5:11" x14ac:dyDescent="0.2">
      <c r="E1819" s="50"/>
      <c r="H1819" s="12"/>
      <c r="K1819"/>
    </row>
    <row r="1820" spans="5:11" x14ac:dyDescent="0.2">
      <c r="E1820" s="50"/>
      <c r="H1820" s="12"/>
      <c r="K1820"/>
    </row>
    <row r="1821" spans="5:11" x14ac:dyDescent="0.2">
      <c r="E1821" s="50"/>
      <c r="H1821" s="12"/>
      <c r="K1821"/>
    </row>
    <row r="1822" spans="5:11" x14ac:dyDescent="0.2">
      <c r="E1822" s="50"/>
      <c r="H1822" s="12"/>
      <c r="K1822"/>
    </row>
    <row r="1823" spans="5:11" x14ac:dyDescent="0.2">
      <c r="E1823" s="50"/>
      <c r="H1823" s="12"/>
      <c r="K1823"/>
    </row>
    <row r="1824" spans="5:11" x14ac:dyDescent="0.2">
      <c r="E1824" s="50"/>
      <c r="H1824" s="12"/>
      <c r="K1824"/>
    </row>
    <row r="1825" spans="5:11" x14ac:dyDescent="0.2">
      <c r="E1825" s="50"/>
      <c r="H1825" s="12"/>
      <c r="K1825"/>
    </row>
    <row r="1826" spans="5:11" x14ac:dyDescent="0.2">
      <c r="E1826" s="50"/>
      <c r="H1826" s="12"/>
      <c r="K1826"/>
    </row>
    <row r="1827" spans="5:11" x14ac:dyDescent="0.2">
      <c r="E1827" s="50"/>
      <c r="H1827" s="12"/>
      <c r="K1827"/>
    </row>
    <row r="1828" spans="5:11" x14ac:dyDescent="0.2">
      <c r="E1828" s="50"/>
      <c r="H1828" s="12"/>
      <c r="K1828"/>
    </row>
    <row r="1829" spans="5:11" x14ac:dyDescent="0.2">
      <c r="E1829" s="50"/>
      <c r="H1829" s="12"/>
      <c r="K1829"/>
    </row>
    <row r="1830" spans="5:11" x14ac:dyDescent="0.2">
      <c r="E1830" s="50"/>
      <c r="H1830" s="12"/>
      <c r="K1830"/>
    </row>
    <row r="1831" spans="5:11" x14ac:dyDescent="0.2">
      <c r="E1831" s="50"/>
      <c r="H1831" s="12"/>
      <c r="K1831"/>
    </row>
    <row r="1832" spans="5:11" x14ac:dyDescent="0.2">
      <c r="E1832" s="50"/>
      <c r="H1832" s="12"/>
      <c r="K1832"/>
    </row>
    <row r="1833" spans="5:11" x14ac:dyDescent="0.2">
      <c r="E1833" s="50"/>
      <c r="H1833" s="12"/>
      <c r="K1833"/>
    </row>
    <row r="1834" spans="5:11" x14ac:dyDescent="0.2">
      <c r="E1834" s="50"/>
      <c r="H1834" s="12"/>
      <c r="K1834"/>
    </row>
    <row r="1835" spans="5:11" x14ac:dyDescent="0.2">
      <c r="E1835" s="50"/>
      <c r="H1835" s="12"/>
      <c r="K1835"/>
    </row>
    <row r="1836" spans="5:11" x14ac:dyDescent="0.2">
      <c r="E1836" s="50"/>
      <c r="H1836" s="12"/>
      <c r="K1836"/>
    </row>
    <row r="1837" spans="5:11" x14ac:dyDescent="0.2">
      <c r="E1837" s="50"/>
      <c r="H1837" s="12"/>
      <c r="K1837"/>
    </row>
    <row r="1838" spans="5:11" x14ac:dyDescent="0.2">
      <c r="E1838" s="50"/>
      <c r="H1838" s="12"/>
      <c r="K1838"/>
    </row>
    <row r="1839" spans="5:11" x14ac:dyDescent="0.2">
      <c r="E1839" s="50"/>
      <c r="H1839" s="12"/>
      <c r="K1839"/>
    </row>
    <row r="1840" spans="5:11" x14ac:dyDescent="0.2">
      <c r="E1840" s="50"/>
      <c r="H1840" s="12"/>
      <c r="K1840"/>
    </row>
    <row r="1841" spans="5:11" x14ac:dyDescent="0.2">
      <c r="E1841" s="50"/>
      <c r="H1841" s="12"/>
      <c r="K1841"/>
    </row>
    <row r="1842" spans="5:11" x14ac:dyDescent="0.2">
      <c r="E1842" s="50"/>
      <c r="H1842" s="12"/>
      <c r="K1842"/>
    </row>
    <row r="1843" spans="5:11" x14ac:dyDescent="0.2">
      <c r="E1843" s="50"/>
      <c r="H1843" s="12"/>
      <c r="K1843"/>
    </row>
    <row r="1844" spans="5:11" x14ac:dyDescent="0.2">
      <c r="E1844" s="50"/>
      <c r="H1844" s="12"/>
      <c r="K1844"/>
    </row>
    <row r="1845" spans="5:11" x14ac:dyDescent="0.2">
      <c r="E1845" s="50"/>
      <c r="H1845" s="12"/>
      <c r="K1845"/>
    </row>
    <row r="1846" spans="5:11" x14ac:dyDescent="0.2">
      <c r="E1846" s="50"/>
      <c r="H1846" s="12"/>
      <c r="K1846"/>
    </row>
    <row r="1847" spans="5:11" x14ac:dyDescent="0.2">
      <c r="E1847" s="50"/>
      <c r="H1847" s="12"/>
      <c r="K1847"/>
    </row>
    <row r="1848" spans="5:11" x14ac:dyDescent="0.2">
      <c r="E1848" s="50"/>
      <c r="H1848" s="12"/>
      <c r="K1848"/>
    </row>
    <row r="1849" spans="5:11" x14ac:dyDescent="0.2">
      <c r="E1849" s="50"/>
      <c r="H1849" s="12"/>
      <c r="K1849"/>
    </row>
    <row r="1850" spans="5:11" x14ac:dyDescent="0.2">
      <c r="E1850" s="50"/>
      <c r="H1850" s="12"/>
      <c r="K1850"/>
    </row>
    <row r="1851" spans="5:11" x14ac:dyDescent="0.2">
      <c r="E1851" s="50"/>
      <c r="H1851" s="12"/>
      <c r="K1851"/>
    </row>
    <row r="1852" spans="5:11" x14ac:dyDescent="0.2">
      <c r="E1852" s="50"/>
      <c r="H1852" s="12"/>
      <c r="K1852"/>
    </row>
    <row r="1853" spans="5:11" x14ac:dyDescent="0.2">
      <c r="E1853" s="50"/>
      <c r="H1853" s="12"/>
      <c r="K1853"/>
    </row>
    <row r="1854" spans="5:11" x14ac:dyDescent="0.2">
      <c r="E1854" s="50"/>
      <c r="H1854" s="12"/>
      <c r="K1854"/>
    </row>
    <row r="1855" spans="5:11" x14ac:dyDescent="0.2">
      <c r="E1855" s="50"/>
      <c r="H1855" s="12"/>
      <c r="K1855"/>
    </row>
    <row r="1856" spans="5:11" x14ac:dyDescent="0.2">
      <c r="E1856" s="50"/>
      <c r="H1856" s="12"/>
      <c r="K1856"/>
    </row>
    <row r="1857" spans="5:11" x14ac:dyDescent="0.2">
      <c r="E1857" s="50"/>
      <c r="H1857" s="12"/>
      <c r="K1857"/>
    </row>
    <row r="1858" spans="5:11" x14ac:dyDescent="0.2">
      <c r="E1858" s="50"/>
      <c r="H1858" s="12"/>
      <c r="K1858"/>
    </row>
    <row r="1859" spans="5:11" x14ac:dyDescent="0.2">
      <c r="E1859" s="50"/>
      <c r="H1859" s="12"/>
      <c r="K1859"/>
    </row>
    <row r="1860" spans="5:11" x14ac:dyDescent="0.2">
      <c r="E1860" s="50"/>
      <c r="H1860" s="12"/>
      <c r="K1860"/>
    </row>
    <row r="1861" spans="5:11" x14ac:dyDescent="0.2">
      <c r="E1861" s="50"/>
      <c r="H1861" s="12"/>
      <c r="K1861"/>
    </row>
    <row r="1862" spans="5:11" x14ac:dyDescent="0.2">
      <c r="E1862" s="50"/>
      <c r="H1862" s="12"/>
      <c r="K1862"/>
    </row>
    <row r="1863" spans="5:11" x14ac:dyDescent="0.2">
      <c r="E1863" s="50"/>
      <c r="H1863" s="12"/>
      <c r="K1863"/>
    </row>
    <row r="1864" spans="5:11" x14ac:dyDescent="0.2">
      <c r="E1864" s="50"/>
      <c r="H1864" s="12"/>
      <c r="K1864"/>
    </row>
    <row r="1865" spans="5:11" x14ac:dyDescent="0.2">
      <c r="E1865" s="50"/>
      <c r="H1865" s="12"/>
      <c r="K1865"/>
    </row>
    <row r="1866" spans="5:11" x14ac:dyDescent="0.2">
      <c r="E1866" s="50"/>
      <c r="H1866" s="12"/>
      <c r="K1866"/>
    </row>
    <row r="1867" spans="5:11" x14ac:dyDescent="0.2">
      <c r="E1867" s="50"/>
      <c r="H1867" s="12"/>
      <c r="K1867"/>
    </row>
    <row r="1868" spans="5:11" x14ac:dyDescent="0.2">
      <c r="E1868" s="50"/>
      <c r="H1868" s="12"/>
      <c r="K1868"/>
    </row>
    <row r="1869" spans="5:11" x14ac:dyDescent="0.2">
      <c r="E1869" s="50"/>
      <c r="H1869" s="12"/>
      <c r="K1869"/>
    </row>
    <row r="1870" spans="5:11" x14ac:dyDescent="0.2">
      <c r="E1870" s="50"/>
      <c r="H1870" s="12"/>
      <c r="K1870"/>
    </row>
    <row r="1871" spans="5:11" x14ac:dyDescent="0.2">
      <c r="E1871" s="50"/>
      <c r="H1871" s="12"/>
      <c r="K1871"/>
    </row>
    <row r="1872" spans="5:11" x14ac:dyDescent="0.2">
      <c r="E1872" s="50"/>
      <c r="H1872" s="12"/>
      <c r="K1872"/>
    </row>
    <row r="1873" spans="5:11" x14ac:dyDescent="0.2">
      <c r="E1873" s="50"/>
      <c r="H1873" s="12"/>
      <c r="K1873"/>
    </row>
    <row r="1874" spans="5:11" x14ac:dyDescent="0.2">
      <c r="E1874" s="50"/>
      <c r="H1874" s="12"/>
      <c r="K1874"/>
    </row>
    <row r="1875" spans="5:11" x14ac:dyDescent="0.2">
      <c r="E1875" s="50"/>
      <c r="H1875" s="12"/>
      <c r="K1875"/>
    </row>
    <row r="1876" spans="5:11" x14ac:dyDescent="0.2">
      <c r="E1876" s="50"/>
      <c r="H1876" s="12"/>
      <c r="K1876"/>
    </row>
    <row r="1877" spans="5:11" x14ac:dyDescent="0.2">
      <c r="E1877" s="50"/>
      <c r="H1877" s="12"/>
      <c r="K1877"/>
    </row>
    <row r="1878" spans="5:11" x14ac:dyDescent="0.2">
      <c r="E1878" s="50"/>
      <c r="H1878" s="12"/>
      <c r="K1878"/>
    </row>
    <row r="1879" spans="5:11" x14ac:dyDescent="0.2">
      <c r="E1879" s="50"/>
      <c r="H1879" s="12"/>
      <c r="K1879"/>
    </row>
    <row r="1880" spans="5:11" x14ac:dyDescent="0.2">
      <c r="E1880" s="50"/>
      <c r="H1880" s="12"/>
      <c r="K1880"/>
    </row>
    <row r="1881" spans="5:11" x14ac:dyDescent="0.2">
      <c r="E1881" s="50"/>
      <c r="H1881" s="12"/>
      <c r="K1881"/>
    </row>
    <row r="1882" spans="5:11" x14ac:dyDescent="0.2">
      <c r="E1882" s="50"/>
      <c r="H1882" s="12"/>
      <c r="K1882"/>
    </row>
    <row r="1883" spans="5:11" x14ac:dyDescent="0.2">
      <c r="E1883" s="50"/>
      <c r="H1883" s="12"/>
      <c r="K1883"/>
    </row>
    <row r="1884" spans="5:11" x14ac:dyDescent="0.2">
      <c r="E1884" s="50"/>
      <c r="H1884" s="12"/>
      <c r="K1884"/>
    </row>
    <row r="1885" spans="5:11" x14ac:dyDescent="0.2">
      <c r="E1885" s="50"/>
      <c r="H1885" s="12"/>
      <c r="K1885"/>
    </row>
    <row r="1886" spans="5:11" x14ac:dyDescent="0.2">
      <c r="E1886" s="50"/>
      <c r="H1886" s="12"/>
      <c r="K1886"/>
    </row>
    <row r="1887" spans="5:11" x14ac:dyDescent="0.2">
      <c r="E1887" s="50"/>
      <c r="H1887" s="12"/>
      <c r="K1887"/>
    </row>
    <row r="1888" spans="5:11" x14ac:dyDescent="0.2">
      <c r="E1888" s="50"/>
      <c r="H1888" s="12"/>
      <c r="K1888"/>
    </row>
    <row r="1889" spans="5:11" x14ac:dyDescent="0.2">
      <c r="E1889" s="50"/>
      <c r="H1889" s="12"/>
      <c r="K1889"/>
    </row>
    <row r="1890" spans="5:11" x14ac:dyDescent="0.2">
      <c r="E1890" s="50"/>
      <c r="H1890" s="12"/>
      <c r="K1890"/>
    </row>
    <row r="1891" spans="5:11" x14ac:dyDescent="0.2">
      <c r="E1891" s="50"/>
      <c r="H1891" s="12"/>
      <c r="K1891"/>
    </row>
    <row r="1892" spans="5:11" x14ac:dyDescent="0.2">
      <c r="E1892" s="50"/>
      <c r="H1892" s="12"/>
      <c r="K1892"/>
    </row>
    <row r="1893" spans="5:11" x14ac:dyDescent="0.2">
      <c r="E1893" s="50"/>
      <c r="H1893" s="12"/>
      <c r="K1893"/>
    </row>
    <row r="1894" spans="5:11" x14ac:dyDescent="0.2">
      <c r="E1894" s="50"/>
      <c r="H1894" s="12"/>
      <c r="K1894"/>
    </row>
    <row r="1895" spans="5:11" x14ac:dyDescent="0.2">
      <c r="E1895" s="50"/>
      <c r="H1895" s="12"/>
      <c r="K1895"/>
    </row>
    <row r="1896" spans="5:11" x14ac:dyDescent="0.2">
      <c r="E1896" s="50"/>
      <c r="H1896" s="12"/>
      <c r="K1896"/>
    </row>
    <row r="1897" spans="5:11" x14ac:dyDescent="0.2">
      <c r="E1897" s="50"/>
      <c r="H1897" s="12"/>
      <c r="K1897"/>
    </row>
    <row r="1898" spans="5:11" x14ac:dyDescent="0.2">
      <c r="E1898" s="50"/>
      <c r="H1898" s="12"/>
      <c r="K1898"/>
    </row>
    <row r="1899" spans="5:11" x14ac:dyDescent="0.2">
      <c r="E1899" s="50"/>
      <c r="H1899" s="12"/>
      <c r="K1899"/>
    </row>
    <row r="1900" spans="5:11" x14ac:dyDescent="0.2">
      <c r="E1900" s="50"/>
      <c r="H1900" s="12"/>
      <c r="K1900"/>
    </row>
    <row r="1901" spans="5:11" x14ac:dyDescent="0.2">
      <c r="E1901" s="50"/>
      <c r="H1901" s="12"/>
      <c r="K1901"/>
    </row>
    <row r="1902" spans="5:11" x14ac:dyDescent="0.2">
      <c r="E1902" s="50"/>
      <c r="H1902" s="12"/>
      <c r="K1902"/>
    </row>
    <row r="1903" spans="5:11" x14ac:dyDescent="0.2">
      <c r="E1903" s="50"/>
      <c r="H1903" s="12"/>
      <c r="K1903"/>
    </row>
    <row r="1904" spans="5:11" x14ac:dyDescent="0.2">
      <c r="E1904" s="50"/>
      <c r="H1904" s="12"/>
      <c r="K1904"/>
    </row>
    <row r="1905" spans="5:11" x14ac:dyDescent="0.2">
      <c r="E1905" s="50"/>
      <c r="H1905" s="12"/>
      <c r="K1905"/>
    </row>
    <row r="1906" spans="5:11" x14ac:dyDescent="0.2">
      <c r="E1906" s="50"/>
      <c r="H1906" s="12"/>
      <c r="K1906"/>
    </row>
    <row r="1907" spans="5:11" x14ac:dyDescent="0.2">
      <c r="E1907" s="50"/>
      <c r="H1907" s="12"/>
      <c r="K1907"/>
    </row>
    <row r="1908" spans="5:11" x14ac:dyDescent="0.2">
      <c r="E1908" s="50"/>
      <c r="H1908" s="12"/>
      <c r="K1908"/>
    </row>
    <row r="1909" spans="5:11" x14ac:dyDescent="0.2">
      <c r="E1909" s="50"/>
      <c r="H1909" s="12"/>
      <c r="K1909"/>
    </row>
    <row r="1910" spans="5:11" x14ac:dyDescent="0.2">
      <c r="E1910" s="50"/>
      <c r="H1910" s="12"/>
      <c r="K1910"/>
    </row>
    <row r="1911" spans="5:11" x14ac:dyDescent="0.2">
      <c r="E1911" s="50"/>
      <c r="H1911" s="12"/>
      <c r="K1911"/>
    </row>
    <row r="1912" spans="5:11" x14ac:dyDescent="0.2">
      <c r="E1912" s="50"/>
      <c r="H1912" s="12"/>
      <c r="K1912"/>
    </row>
    <row r="1913" spans="5:11" x14ac:dyDescent="0.2">
      <c r="E1913" s="50"/>
      <c r="H1913" s="12"/>
      <c r="K1913"/>
    </row>
    <row r="1914" spans="5:11" x14ac:dyDescent="0.2">
      <c r="E1914" s="50"/>
      <c r="H1914" s="12"/>
      <c r="K1914"/>
    </row>
    <row r="1915" spans="5:11" x14ac:dyDescent="0.2">
      <c r="E1915" s="50"/>
      <c r="H1915" s="12"/>
      <c r="K1915"/>
    </row>
    <row r="1916" spans="5:11" x14ac:dyDescent="0.2">
      <c r="E1916" s="50"/>
      <c r="H1916" s="12"/>
      <c r="K1916"/>
    </row>
    <row r="1917" spans="5:11" x14ac:dyDescent="0.2">
      <c r="E1917" s="50"/>
      <c r="H1917" s="12"/>
      <c r="K1917"/>
    </row>
    <row r="1918" spans="5:11" x14ac:dyDescent="0.2">
      <c r="E1918" s="50"/>
      <c r="H1918" s="12"/>
      <c r="K1918"/>
    </row>
    <row r="1919" spans="5:11" x14ac:dyDescent="0.2">
      <c r="E1919" s="50"/>
      <c r="H1919" s="12"/>
      <c r="K1919"/>
    </row>
    <row r="1920" spans="5:11" x14ac:dyDescent="0.2">
      <c r="E1920" s="50"/>
      <c r="H1920" s="12"/>
      <c r="K1920"/>
    </row>
    <row r="1921" spans="5:11" x14ac:dyDescent="0.2">
      <c r="E1921" s="50"/>
      <c r="H1921" s="12"/>
      <c r="K1921"/>
    </row>
    <row r="1922" spans="5:11" x14ac:dyDescent="0.2">
      <c r="E1922" s="50"/>
      <c r="H1922" s="12"/>
      <c r="K1922"/>
    </row>
    <row r="1923" spans="5:11" x14ac:dyDescent="0.2">
      <c r="E1923" s="50"/>
      <c r="H1923" s="12"/>
      <c r="K1923"/>
    </row>
    <row r="1924" spans="5:11" x14ac:dyDescent="0.2">
      <c r="E1924" s="50"/>
      <c r="H1924" s="12"/>
      <c r="K1924"/>
    </row>
    <row r="1925" spans="5:11" x14ac:dyDescent="0.2">
      <c r="E1925" s="50"/>
      <c r="H1925" s="12"/>
      <c r="K1925"/>
    </row>
    <row r="1926" spans="5:11" x14ac:dyDescent="0.2">
      <c r="E1926" s="50"/>
      <c r="H1926" s="12"/>
      <c r="K1926"/>
    </row>
    <row r="1927" spans="5:11" x14ac:dyDescent="0.2">
      <c r="E1927" s="50"/>
      <c r="H1927" s="12"/>
      <c r="K1927"/>
    </row>
    <row r="1928" spans="5:11" x14ac:dyDescent="0.2">
      <c r="E1928" s="50"/>
      <c r="H1928" s="12"/>
      <c r="K1928"/>
    </row>
    <row r="1929" spans="5:11" x14ac:dyDescent="0.2">
      <c r="E1929" s="50"/>
      <c r="H1929" s="12"/>
      <c r="K1929"/>
    </row>
    <row r="1930" spans="5:11" x14ac:dyDescent="0.2">
      <c r="E1930" s="50"/>
      <c r="H1930" s="12"/>
      <c r="K1930"/>
    </row>
    <row r="1931" spans="5:11" x14ac:dyDescent="0.2">
      <c r="E1931" s="50"/>
      <c r="H1931" s="12"/>
      <c r="K1931"/>
    </row>
    <row r="1932" spans="5:11" x14ac:dyDescent="0.2">
      <c r="E1932" s="50"/>
      <c r="H1932" s="12"/>
      <c r="K1932"/>
    </row>
    <row r="1933" spans="5:11" x14ac:dyDescent="0.2">
      <c r="E1933" s="50"/>
      <c r="H1933" s="12"/>
      <c r="K1933"/>
    </row>
    <row r="1934" spans="5:11" x14ac:dyDescent="0.2">
      <c r="E1934" s="50"/>
      <c r="H1934" s="12"/>
      <c r="K1934"/>
    </row>
    <row r="1935" spans="5:11" x14ac:dyDescent="0.2">
      <c r="E1935" s="50"/>
      <c r="H1935" s="12"/>
      <c r="K1935"/>
    </row>
    <row r="1936" spans="5:11" x14ac:dyDescent="0.2">
      <c r="E1936" s="50"/>
      <c r="H1936" s="12"/>
      <c r="K1936"/>
    </row>
    <row r="1937" spans="5:11" x14ac:dyDescent="0.2">
      <c r="E1937" s="50"/>
      <c r="H1937" s="12"/>
      <c r="K1937"/>
    </row>
    <row r="1938" spans="5:11" x14ac:dyDescent="0.2">
      <c r="E1938" s="50"/>
      <c r="H1938" s="12"/>
      <c r="K1938"/>
    </row>
    <row r="1939" spans="5:11" x14ac:dyDescent="0.2">
      <c r="E1939" s="50"/>
      <c r="H1939" s="12"/>
      <c r="K1939"/>
    </row>
    <row r="1940" spans="5:11" x14ac:dyDescent="0.2">
      <c r="E1940" s="50"/>
      <c r="H1940" s="12"/>
      <c r="K1940"/>
    </row>
    <row r="1941" spans="5:11" x14ac:dyDescent="0.2">
      <c r="E1941" s="50"/>
      <c r="H1941" s="12"/>
      <c r="K1941"/>
    </row>
    <row r="1942" spans="5:11" x14ac:dyDescent="0.2">
      <c r="E1942" s="50"/>
      <c r="H1942" s="12"/>
      <c r="K1942"/>
    </row>
    <row r="1943" spans="5:11" x14ac:dyDescent="0.2">
      <c r="E1943" s="50"/>
      <c r="H1943" s="12"/>
      <c r="K1943"/>
    </row>
    <row r="1944" spans="5:11" x14ac:dyDescent="0.2">
      <c r="E1944" s="50"/>
      <c r="H1944" s="12"/>
      <c r="K1944"/>
    </row>
    <row r="1945" spans="5:11" x14ac:dyDescent="0.2">
      <c r="E1945" s="50"/>
      <c r="H1945" s="12"/>
      <c r="K1945"/>
    </row>
    <row r="1946" spans="5:11" x14ac:dyDescent="0.2">
      <c r="E1946" s="50"/>
      <c r="H1946" s="12"/>
      <c r="K1946"/>
    </row>
    <row r="1947" spans="5:11" x14ac:dyDescent="0.2">
      <c r="E1947" s="50"/>
      <c r="H1947" s="12"/>
      <c r="K1947"/>
    </row>
    <row r="1948" spans="5:11" x14ac:dyDescent="0.2">
      <c r="E1948" s="50"/>
      <c r="H1948" s="12"/>
      <c r="K1948"/>
    </row>
    <row r="1949" spans="5:11" x14ac:dyDescent="0.2">
      <c r="E1949" s="50"/>
      <c r="H1949" s="12"/>
      <c r="K1949"/>
    </row>
    <row r="1950" spans="5:11" x14ac:dyDescent="0.2">
      <c r="E1950" s="50"/>
      <c r="H1950" s="12"/>
      <c r="K1950"/>
    </row>
    <row r="1951" spans="5:11" x14ac:dyDescent="0.2">
      <c r="E1951" s="50"/>
      <c r="H1951" s="12"/>
      <c r="K1951"/>
    </row>
    <row r="1952" spans="5:11" x14ac:dyDescent="0.2">
      <c r="E1952" s="50"/>
      <c r="H1952" s="12"/>
      <c r="K1952"/>
    </row>
    <row r="1953" spans="5:11" x14ac:dyDescent="0.2">
      <c r="E1953" s="50"/>
      <c r="H1953" s="12"/>
      <c r="K1953"/>
    </row>
    <row r="1954" spans="5:11" x14ac:dyDescent="0.2">
      <c r="E1954" s="50"/>
      <c r="H1954" s="12"/>
      <c r="K1954"/>
    </row>
    <row r="1955" spans="5:11" x14ac:dyDescent="0.2">
      <c r="E1955" s="50"/>
      <c r="H1955" s="12"/>
      <c r="K1955"/>
    </row>
    <row r="1956" spans="5:11" x14ac:dyDescent="0.2">
      <c r="E1956" s="50"/>
      <c r="H1956" s="12"/>
      <c r="K1956"/>
    </row>
    <row r="1957" spans="5:11" x14ac:dyDescent="0.2">
      <c r="E1957" s="50"/>
      <c r="H1957" s="12"/>
      <c r="K1957"/>
    </row>
    <row r="1958" spans="5:11" x14ac:dyDescent="0.2">
      <c r="E1958" s="50"/>
      <c r="H1958" s="12"/>
      <c r="K1958"/>
    </row>
    <row r="1959" spans="5:11" x14ac:dyDescent="0.2">
      <c r="E1959" s="50"/>
      <c r="H1959" s="12"/>
      <c r="K1959"/>
    </row>
    <row r="1960" spans="5:11" x14ac:dyDescent="0.2">
      <c r="E1960" s="50"/>
      <c r="H1960" s="12"/>
      <c r="K1960"/>
    </row>
    <row r="1961" spans="5:11" x14ac:dyDescent="0.2">
      <c r="E1961" s="50"/>
      <c r="H1961" s="12"/>
      <c r="K1961"/>
    </row>
    <row r="1962" spans="5:11" x14ac:dyDescent="0.2">
      <c r="E1962" s="50"/>
      <c r="H1962" s="12"/>
      <c r="K1962"/>
    </row>
    <row r="1963" spans="5:11" x14ac:dyDescent="0.2">
      <c r="E1963" s="50"/>
      <c r="H1963" s="12"/>
      <c r="K1963"/>
    </row>
    <row r="1964" spans="5:11" x14ac:dyDescent="0.2">
      <c r="E1964" s="50"/>
      <c r="H1964" s="12"/>
      <c r="K1964"/>
    </row>
    <row r="1965" spans="5:11" x14ac:dyDescent="0.2">
      <c r="E1965" s="50"/>
      <c r="H1965" s="12"/>
      <c r="K1965"/>
    </row>
    <row r="1966" spans="5:11" x14ac:dyDescent="0.2">
      <c r="E1966" s="50"/>
      <c r="H1966" s="12"/>
      <c r="K1966"/>
    </row>
    <row r="1967" spans="5:11" x14ac:dyDescent="0.2">
      <c r="E1967" s="50"/>
      <c r="H1967" s="12"/>
      <c r="K1967"/>
    </row>
    <row r="1968" spans="5:11" x14ac:dyDescent="0.2">
      <c r="E1968" s="50"/>
      <c r="H1968" s="12"/>
      <c r="K1968"/>
    </row>
    <row r="1969" spans="5:11" x14ac:dyDescent="0.2">
      <c r="E1969" s="50"/>
      <c r="H1969" s="12"/>
      <c r="K1969"/>
    </row>
    <row r="1970" spans="5:11" x14ac:dyDescent="0.2">
      <c r="E1970" s="50"/>
      <c r="H1970" s="12"/>
      <c r="K1970"/>
    </row>
    <row r="1971" spans="5:11" x14ac:dyDescent="0.2">
      <c r="E1971" s="50"/>
      <c r="H1971" s="12"/>
      <c r="K1971"/>
    </row>
    <row r="1972" spans="5:11" x14ac:dyDescent="0.2">
      <c r="E1972" s="50"/>
      <c r="H1972" s="12"/>
      <c r="K1972"/>
    </row>
    <row r="1973" spans="5:11" x14ac:dyDescent="0.2">
      <c r="E1973" s="50"/>
      <c r="H1973" s="12"/>
      <c r="K1973"/>
    </row>
    <row r="1974" spans="5:11" x14ac:dyDescent="0.2">
      <c r="E1974" s="50"/>
      <c r="H1974" s="12"/>
      <c r="K1974"/>
    </row>
    <row r="1975" spans="5:11" x14ac:dyDescent="0.2">
      <c r="E1975" s="50"/>
      <c r="H1975" s="12"/>
      <c r="K1975"/>
    </row>
    <row r="1976" spans="5:11" x14ac:dyDescent="0.2">
      <c r="E1976" s="50"/>
      <c r="H1976" s="12"/>
      <c r="K1976"/>
    </row>
    <row r="1977" spans="5:11" x14ac:dyDescent="0.2">
      <c r="E1977" s="50"/>
      <c r="H1977" s="12"/>
      <c r="K1977"/>
    </row>
    <row r="1978" spans="5:11" x14ac:dyDescent="0.2">
      <c r="E1978" s="50"/>
      <c r="H1978" s="12"/>
      <c r="K1978"/>
    </row>
    <row r="1979" spans="5:11" x14ac:dyDescent="0.2">
      <c r="E1979" s="50"/>
      <c r="H1979" s="12"/>
      <c r="K1979"/>
    </row>
    <row r="1980" spans="5:11" x14ac:dyDescent="0.2">
      <c r="E1980" s="50"/>
      <c r="H1980" s="12"/>
      <c r="K1980"/>
    </row>
    <row r="1981" spans="5:11" x14ac:dyDescent="0.2">
      <c r="E1981" s="50"/>
      <c r="H1981" s="12"/>
      <c r="K1981"/>
    </row>
    <row r="1982" spans="5:11" x14ac:dyDescent="0.2">
      <c r="E1982" s="50"/>
      <c r="H1982" s="12"/>
      <c r="K1982"/>
    </row>
    <row r="1983" spans="5:11" x14ac:dyDescent="0.2">
      <c r="E1983" s="50"/>
      <c r="H1983" s="12"/>
      <c r="K1983"/>
    </row>
    <row r="1984" spans="5:11" x14ac:dyDescent="0.2">
      <c r="E1984" s="50"/>
      <c r="H1984" s="12"/>
      <c r="K1984"/>
    </row>
    <row r="1985" spans="5:11" x14ac:dyDescent="0.2">
      <c r="E1985" s="50"/>
      <c r="H1985" s="12"/>
      <c r="K1985"/>
    </row>
    <row r="1986" spans="5:11" x14ac:dyDescent="0.2">
      <c r="E1986" s="50"/>
      <c r="H1986" s="12"/>
      <c r="K1986"/>
    </row>
    <row r="1987" spans="5:11" x14ac:dyDescent="0.2">
      <c r="E1987" s="50"/>
      <c r="H1987" s="12"/>
      <c r="K1987"/>
    </row>
    <row r="1988" spans="5:11" x14ac:dyDescent="0.2">
      <c r="E1988" s="50"/>
      <c r="H1988" s="12"/>
      <c r="K1988"/>
    </row>
    <row r="1989" spans="5:11" x14ac:dyDescent="0.2">
      <c r="E1989" s="50"/>
      <c r="H1989" s="12"/>
      <c r="K1989"/>
    </row>
    <row r="1990" spans="5:11" x14ac:dyDescent="0.2">
      <c r="E1990" s="50"/>
      <c r="H1990" s="12"/>
      <c r="K1990"/>
    </row>
    <row r="1991" spans="5:11" x14ac:dyDescent="0.2">
      <c r="E1991" s="50"/>
      <c r="H1991" s="12"/>
      <c r="K1991"/>
    </row>
    <row r="1992" spans="5:11" x14ac:dyDescent="0.2">
      <c r="E1992" s="50"/>
      <c r="H1992" s="12"/>
      <c r="K1992"/>
    </row>
    <row r="1993" spans="5:11" x14ac:dyDescent="0.2">
      <c r="E1993" s="50"/>
      <c r="H1993" s="12"/>
      <c r="K1993"/>
    </row>
    <row r="1994" spans="5:11" x14ac:dyDescent="0.2">
      <c r="E1994" s="50"/>
      <c r="H1994" s="12"/>
      <c r="K1994"/>
    </row>
    <row r="1995" spans="5:11" x14ac:dyDescent="0.2">
      <c r="E1995" s="50"/>
      <c r="H1995" s="12"/>
      <c r="K1995"/>
    </row>
    <row r="1996" spans="5:11" x14ac:dyDescent="0.2">
      <c r="E1996" s="50"/>
      <c r="H1996" s="12"/>
      <c r="K1996"/>
    </row>
    <row r="1997" spans="5:11" x14ac:dyDescent="0.2">
      <c r="E1997" s="50"/>
      <c r="H1997" s="12"/>
      <c r="K1997"/>
    </row>
    <row r="1998" spans="5:11" x14ac:dyDescent="0.2">
      <c r="E1998" s="50"/>
      <c r="H1998" s="12"/>
      <c r="K1998"/>
    </row>
    <row r="1999" spans="5:11" x14ac:dyDescent="0.2">
      <c r="E1999" s="50"/>
      <c r="H1999" s="12"/>
      <c r="K1999"/>
    </row>
    <row r="2000" spans="5:11" x14ac:dyDescent="0.2">
      <c r="E2000" s="50"/>
      <c r="H2000" s="12"/>
      <c r="K2000"/>
    </row>
    <row r="2001" spans="5:11" x14ac:dyDescent="0.2">
      <c r="E2001" s="50"/>
      <c r="H2001" s="12"/>
      <c r="K2001"/>
    </row>
    <row r="2002" spans="5:11" x14ac:dyDescent="0.2">
      <c r="E2002" s="50"/>
      <c r="H2002" s="12"/>
      <c r="K2002"/>
    </row>
    <row r="2003" spans="5:11" x14ac:dyDescent="0.2">
      <c r="E2003" s="50"/>
      <c r="H2003" s="12"/>
      <c r="K2003"/>
    </row>
    <row r="2004" spans="5:11" x14ac:dyDescent="0.2">
      <c r="E2004" s="50"/>
      <c r="H2004" s="12"/>
      <c r="K2004"/>
    </row>
    <row r="2005" spans="5:11" x14ac:dyDescent="0.2">
      <c r="E2005" s="50"/>
      <c r="H2005" s="12"/>
      <c r="K2005"/>
    </row>
    <row r="2006" spans="5:11" x14ac:dyDescent="0.2">
      <c r="E2006" s="50"/>
      <c r="H2006" s="12"/>
      <c r="K2006"/>
    </row>
    <row r="2007" spans="5:11" x14ac:dyDescent="0.2">
      <c r="E2007" s="50"/>
      <c r="H2007" s="12"/>
      <c r="K2007"/>
    </row>
    <row r="2008" spans="5:11" x14ac:dyDescent="0.2">
      <c r="E2008" s="50"/>
      <c r="H2008" s="12"/>
      <c r="K2008"/>
    </row>
    <row r="2009" spans="5:11" x14ac:dyDescent="0.2">
      <c r="E2009" s="50"/>
      <c r="H2009" s="12"/>
      <c r="K2009"/>
    </row>
    <row r="2010" spans="5:11" x14ac:dyDescent="0.2">
      <c r="E2010" s="50"/>
      <c r="H2010" s="12"/>
      <c r="K2010"/>
    </row>
    <row r="2011" spans="5:11" x14ac:dyDescent="0.2">
      <c r="E2011" s="50"/>
      <c r="H2011" s="12"/>
      <c r="K2011"/>
    </row>
    <row r="2012" spans="5:11" x14ac:dyDescent="0.2">
      <c r="E2012" s="50"/>
      <c r="H2012" s="12"/>
      <c r="K2012"/>
    </row>
    <row r="2013" spans="5:11" x14ac:dyDescent="0.2">
      <c r="E2013" s="50"/>
      <c r="H2013" s="12"/>
      <c r="K2013"/>
    </row>
    <row r="2014" spans="5:11" x14ac:dyDescent="0.2">
      <c r="E2014" s="50"/>
      <c r="H2014" s="12"/>
      <c r="K2014"/>
    </row>
    <row r="2015" spans="5:11" x14ac:dyDescent="0.2">
      <c r="E2015" s="50"/>
      <c r="H2015" s="12"/>
      <c r="K2015"/>
    </row>
    <row r="2016" spans="5:11" x14ac:dyDescent="0.2">
      <c r="E2016" s="50"/>
      <c r="H2016" s="12"/>
      <c r="K2016"/>
    </row>
    <row r="2017" spans="5:11" x14ac:dyDescent="0.2">
      <c r="E2017" s="50"/>
      <c r="H2017" s="12"/>
      <c r="K2017"/>
    </row>
    <row r="2018" spans="5:11" x14ac:dyDescent="0.2">
      <c r="E2018" s="50"/>
      <c r="H2018" s="12"/>
      <c r="K2018"/>
    </row>
    <row r="2019" spans="5:11" x14ac:dyDescent="0.2">
      <c r="E2019" s="50"/>
      <c r="H2019" s="12"/>
      <c r="K2019"/>
    </row>
    <row r="2020" spans="5:11" x14ac:dyDescent="0.2">
      <c r="E2020" s="50"/>
      <c r="H2020" s="12"/>
      <c r="K2020"/>
    </row>
    <row r="2021" spans="5:11" x14ac:dyDescent="0.2">
      <c r="E2021" s="50"/>
      <c r="H2021" s="12"/>
      <c r="K2021"/>
    </row>
    <row r="2022" spans="5:11" x14ac:dyDescent="0.2">
      <c r="E2022" s="50"/>
      <c r="H2022" s="12"/>
      <c r="K2022"/>
    </row>
    <row r="2023" spans="5:11" x14ac:dyDescent="0.2">
      <c r="E2023" s="50"/>
      <c r="H2023" s="12"/>
      <c r="K2023"/>
    </row>
    <row r="2024" spans="5:11" x14ac:dyDescent="0.2">
      <c r="E2024" s="50"/>
      <c r="H2024" s="12"/>
      <c r="K2024"/>
    </row>
    <row r="2025" spans="5:11" x14ac:dyDescent="0.2">
      <c r="E2025" s="50"/>
      <c r="H2025" s="12"/>
      <c r="K2025"/>
    </row>
    <row r="2026" spans="5:11" x14ac:dyDescent="0.2">
      <c r="E2026" s="50"/>
      <c r="H2026" s="12"/>
      <c r="K2026"/>
    </row>
    <row r="2027" spans="5:11" x14ac:dyDescent="0.2">
      <c r="E2027" s="50"/>
      <c r="H2027" s="12"/>
      <c r="K2027"/>
    </row>
    <row r="2028" spans="5:11" x14ac:dyDescent="0.2">
      <c r="E2028" s="50"/>
      <c r="H2028" s="12"/>
      <c r="K2028"/>
    </row>
    <row r="2029" spans="5:11" x14ac:dyDescent="0.2">
      <c r="E2029" s="50"/>
      <c r="H2029" s="12"/>
      <c r="K2029"/>
    </row>
    <row r="2030" spans="5:11" x14ac:dyDescent="0.2">
      <c r="E2030" s="50"/>
      <c r="H2030" s="12"/>
      <c r="K2030"/>
    </row>
    <row r="2031" spans="5:11" x14ac:dyDescent="0.2">
      <c r="E2031" s="50"/>
      <c r="H2031" s="12"/>
      <c r="K2031"/>
    </row>
    <row r="2032" spans="5:11" x14ac:dyDescent="0.2">
      <c r="E2032" s="50"/>
      <c r="H2032" s="12"/>
      <c r="K2032"/>
    </row>
    <row r="2033" spans="5:11" x14ac:dyDescent="0.2">
      <c r="E2033" s="50"/>
      <c r="H2033" s="12"/>
      <c r="K2033"/>
    </row>
    <row r="2034" spans="5:11" x14ac:dyDescent="0.2">
      <c r="E2034" s="50"/>
      <c r="H2034" s="12"/>
      <c r="K2034"/>
    </row>
    <row r="2035" spans="5:11" x14ac:dyDescent="0.2">
      <c r="E2035" s="50"/>
      <c r="H2035" s="12"/>
      <c r="K2035"/>
    </row>
    <row r="2036" spans="5:11" x14ac:dyDescent="0.2">
      <c r="E2036" s="50"/>
      <c r="H2036" s="12"/>
      <c r="K2036"/>
    </row>
    <row r="2037" spans="5:11" x14ac:dyDescent="0.2">
      <c r="E2037" s="50"/>
      <c r="H2037" s="12"/>
      <c r="K2037"/>
    </row>
    <row r="2038" spans="5:11" x14ac:dyDescent="0.2">
      <c r="E2038" s="50"/>
      <c r="H2038" s="12"/>
      <c r="K2038"/>
    </row>
    <row r="2039" spans="5:11" x14ac:dyDescent="0.2">
      <c r="E2039" s="50"/>
      <c r="H2039" s="12"/>
      <c r="K2039"/>
    </row>
    <row r="2040" spans="5:11" x14ac:dyDescent="0.2">
      <c r="E2040" s="50"/>
      <c r="H2040" s="12"/>
      <c r="K2040"/>
    </row>
    <row r="2041" spans="5:11" x14ac:dyDescent="0.2">
      <c r="E2041" s="50"/>
      <c r="H2041" s="12"/>
      <c r="K2041"/>
    </row>
    <row r="2042" spans="5:11" x14ac:dyDescent="0.2">
      <c r="E2042" s="50"/>
      <c r="H2042" s="12"/>
      <c r="K2042"/>
    </row>
    <row r="2043" spans="5:11" x14ac:dyDescent="0.2">
      <c r="E2043" s="50"/>
      <c r="H2043" s="12"/>
      <c r="K2043"/>
    </row>
    <row r="2044" spans="5:11" x14ac:dyDescent="0.2">
      <c r="E2044" s="50"/>
      <c r="H2044" s="12"/>
      <c r="K2044"/>
    </row>
    <row r="2045" spans="5:11" x14ac:dyDescent="0.2">
      <c r="E2045" s="50"/>
      <c r="H2045" s="12"/>
      <c r="K2045"/>
    </row>
    <row r="2046" spans="5:11" x14ac:dyDescent="0.2">
      <c r="E2046" s="50"/>
      <c r="H2046" s="12"/>
      <c r="K2046"/>
    </row>
    <row r="2047" spans="5:11" x14ac:dyDescent="0.2">
      <c r="E2047" s="50"/>
      <c r="H2047" s="12"/>
      <c r="K2047"/>
    </row>
    <row r="2048" spans="5:11" x14ac:dyDescent="0.2">
      <c r="E2048" s="50"/>
      <c r="H2048" s="12"/>
      <c r="K2048"/>
    </row>
    <row r="2049" spans="5:11" x14ac:dyDescent="0.2">
      <c r="E2049" s="50"/>
      <c r="H2049" s="12"/>
      <c r="K2049"/>
    </row>
    <row r="2050" spans="5:11" x14ac:dyDescent="0.2">
      <c r="E2050" s="50"/>
      <c r="H2050" s="12"/>
      <c r="K2050"/>
    </row>
    <row r="2051" spans="5:11" x14ac:dyDescent="0.2">
      <c r="E2051" s="50"/>
      <c r="H2051" s="12"/>
      <c r="K2051"/>
    </row>
    <row r="2052" spans="5:11" x14ac:dyDescent="0.2">
      <c r="E2052" s="50"/>
      <c r="H2052" s="12"/>
      <c r="K2052"/>
    </row>
    <row r="2053" spans="5:11" x14ac:dyDescent="0.2">
      <c r="E2053" s="50"/>
      <c r="H2053" s="12"/>
      <c r="K2053"/>
    </row>
    <row r="2054" spans="5:11" x14ac:dyDescent="0.2">
      <c r="E2054" s="50"/>
      <c r="H2054" s="12"/>
      <c r="K2054"/>
    </row>
    <row r="2055" spans="5:11" x14ac:dyDescent="0.2">
      <c r="E2055" s="50"/>
      <c r="H2055" s="12"/>
      <c r="K2055"/>
    </row>
    <row r="2056" spans="5:11" x14ac:dyDescent="0.2">
      <c r="E2056" s="50"/>
      <c r="H2056" s="12"/>
      <c r="K2056"/>
    </row>
    <row r="2057" spans="5:11" x14ac:dyDescent="0.2">
      <c r="E2057" s="50"/>
      <c r="H2057" s="12"/>
      <c r="K2057"/>
    </row>
    <row r="2058" spans="5:11" x14ac:dyDescent="0.2">
      <c r="E2058" s="50"/>
      <c r="H2058" s="12"/>
      <c r="K2058"/>
    </row>
    <row r="2059" spans="5:11" x14ac:dyDescent="0.2">
      <c r="E2059" s="50"/>
      <c r="H2059" s="12"/>
      <c r="K2059"/>
    </row>
    <row r="2060" spans="5:11" x14ac:dyDescent="0.2">
      <c r="E2060" s="50"/>
      <c r="H2060" s="12"/>
      <c r="K2060"/>
    </row>
    <row r="2061" spans="5:11" x14ac:dyDescent="0.2">
      <c r="E2061" s="50"/>
      <c r="H2061" s="12"/>
      <c r="K2061"/>
    </row>
    <row r="2062" spans="5:11" x14ac:dyDescent="0.2">
      <c r="E2062" s="50"/>
      <c r="H2062" s="12"/>
      <c r="K2062"/>
    </row>
    <row r="2063" spans="5:11" x14ac:dyDescent="0.2">
      <c r="E2063" s="50"/>
      <c r="H2063" s="12"/>
      <c r="K2063"/>
    </row>
    <row r="2064" spans="5:11" x14ac:dyDescent="0.2">
      <c r="E2064" s="50"/>
      <c r="H2064" s="12"/>
      <c r="K2064"/>
    </row>
    <row r="2065" spans="5:11" x14ac:dyDescent="0.2">
      <c r="E2065" s="50"/>
      <c r="H2065" s="12"/>
      <c r="K2065"/>
    </row>
    <row r="2066" spans="5:11" x14ac:dyDescent="0.2">
      <c r="E2066" s="50"/>
      <c r="H2066" s="12"/>
      <c r="K2066"/>
    </row>
    <row r="2067" spans="5:11" x14ac:dyDescent="0.2">
      <c r="E2067" s="50"/>
      <c r="H2067" s="12"/>
      <c r="K2067"/>
    </row>
    <row r="2068" spans="5:11" x14ac:dyDescent="0.2">
      <c r="E2068" s="50"/>
      <c r="H2068" s="12"/>
      <c r="K2068"/>
    </row>
    <row r="2069" spans="5:11" x14ac:dyDescent="0.2">
      <c r="E2069" s="50"/>
      <c r="H2069" s="12"/>
      <c r="K2069"/>
    </row>
    <row r="2070" spans="5:11" x14ac:dyDescent="0.2">
      <c r="E2070" s="50"/>
      <c r="H2070" s="12"/>
      <c r="K2070"/>
    </row>
    <row r="2071" spans="5:11" x14ac:dyDescent="0.2">
      <c r="E2071" s="50"/>
      <c r="H2071" s="12"/>
      <c r="K2071"/>
    </row>
    <row r="2072" spans="5:11" x14ac:dyDescent="0.2">
      <c r="E2072" s="50"/>
      <c r="H2072" s="12"/>
      <c r="K2072"/>
    </row>
    <row r="2073" spans="5:11" x14ac:dyDescent="0.2">
      <c r="E2073" s="50"/>
      <c r="H2073" s="12"/>
      <c r="K2073"/>
    </row>
    <row r="2074" spans="5:11" x14ac:dyDescent="0.2">
      <c r="E2074" s="50"/>
      <c r="H2074" s="12"/>
      <c r="K2074"/>
    </row>
    <row r="2075" spans="5:11" x14ac:dyDescent="0.2">
      <c r="E2075" s="50"/>
      <c r="H2075" s="12"/>
      <c r="K2075"/>
    </row>
    <row r="2076" spans="5:11" x14ac:dyDescent="0.2">
      <c r="E2076" s="50"/>
      <c r="H2076" s="12"/>
      <c r="K2076"/>
    </row>
    <row r="2077" spans="5:11" x14ac:dyDescent="0.2">
      <c r="E2077" s="50"/>
      <c r="H2077" s="12"/>
      <c r="K2077"/>
    </row>
    <row r="2078" spans="5:11" x14ac:dyDescent="0.2">
      <c r="E2078" s="50"/>
      <c r="H2078" s="12"/>
      <c r="K2078"/>
    </row>
    <row r="2079" spans="5:11" x14ac:dyDescent="0.2">
      <c r="E2079" s="50"/>
      <c r="H2079" s="12"/>
      <c r="K2079"/>
    </row>
    <row r="2080" spans="5:11" x14ac:dyDescent="0.2">
      <c r="E2080" s="50"/>
      <c r="H2080" s="12"/>
      <c r="K2080"/>
    </row>
    <row r="2081" spans="5:11" x14ac:dyDescent="0.2">
      <c r="E2081" s="50"/>
      <c r="H2081" s="12"/>
      <c r="K2081"/>
    </row>
    <row r="2082" spans="5:11" x14ac:dyDescent="0.2">
      <c r="E2082" s="50"/>
      <c r="H2082" s="12"/>
      <c r="K2082"/>
    </row>
    <row r="2083" spans="5:11" x14ac:dyDescent="0.2">
      <c r="E2083" s="50"/>
      <c r="H2083" s="12"/>
      <c r="K2083"/>
    </row>
    <row r="2084" spans="5:11" x14ac:dyDescent="0.2">
      <c r="E2084" s="50"/>
      <c r="H2084" s="12"/>
      <c r="K2084"/>
    </row>
    <row r="2085" spans="5:11" x14ac:dyDescent="0.2">
      <c r="E2085" s="50"/>
      <c r="H2085" s="12"/>
      <c r="K2085"/>
    </row>
    <row r="2086" spans="5:11" x14ac:dyDescent="0.2">
      <c r="E2086" s="50"/>
      <c r="H2086" s="12"/>
      <c r="K2086"/>
    </row>
    <row r="2087" spans="5:11" x14ac:dyDescent="0.2">
      <c r="E2087" s="50"/>
      <c r="H2087" s="12"/>
      <c r="K2087"/>
    </row>
    <row r="2088" spans="5:11" x14ac:dyDescent="0.2">
      <c r="E2088" s="50"/>
      <c r="H2088" s="12"/>
      <c r="K2088"/>
    </row>
    <row r="2089" spans="5:11" x14ac:dyDescent="0.2">
      <c r="E2089" s="50"/>
      <c r="H2089" s="12"/>
      <c r="K2089"/>
    </row>
    <row r="2090" spans="5:11" x14ac:dyDescent="0.2">
      <c r="E2090" s="50"/>
      <c r="H2090" s="12"/>
      <c r="K2090"/>
    </row>
    <row r="2091" spans="5:11" x14ac:dyDescent="0.2">
      <c r="E2091" s="50"/>
      <c r="H2091" s="12"/>
      <c r="K2091"/>
    </row>
    <row r="2092" spans="5:11" x14ac:dyDescent="0.2">
      <c r="E2092" s="50"/>
      <c r="H2092" s="12"/>
      <c r="K2092"/>
    </row>
    <row r="2093" spans="5:11" x14ac:dyDescent="0.2">
      <c r="E2093" s="50"/>
      <c r="H2093" s="12"/>
      <c r="K2093"/>
    </row>
    <row r="2094" spans="5:11" x14ac:dyDescent="0.2">
      <c r="E2094" s="50"/>
      <c r="H2094" s="12"/>
      <c r="K2094"/>
    </row>
    <row r="2095" spans="5:11" x14ac:dyDescent="0.2">
      <c r="E2095" s="50"/>
      <c r="H2095" s="12"/>
      <c r="K2095"/>
    </row>
    <row r="2096" spans="5:11" x14ac:dyDescent="0.2">
      <c r="E2096" s="50"/>
      <c r="H2096" s="12"/>
      <c r="K2096"/>
    </row>
    <row r="2097" spans="5:11" x14ac:dyDescent="0.2">
      <c r="E2097" s="50"/>
      <c r="H2097" s="12"/>
      <c r="K2097"/>
    </row>
    <row r="2098" spans="5:11" x14ac:dyDescent="0.2">
      <c r="E2098" s="50"/>
      <c r="H2098" s="12"/>
      <c r="K2098"/>
    </row>
    <row r="2099" spans="5:11" x14ac:dyDescent="0.2">
      <c r="E2099" s="50"/>
      <c r="H2099" s="12"/>
      <c r="K2099"/>
    </row>
    <row r="2100" spans="5:11" x14ac:dyDescent="0.2">
      <c r="E2100" s="50"/>
      <c r="H2100" s="12"/>
      <c r="K2100"/>
    </row>
    <row r="2101" spans="5:11" x14ac:dyDescent="0.2">
      <c r="E2101" s="50"/>
      <c r="H2101" s="12"/>
      <c r="K2101"/>
    </row>
    <row r="2102" spans="5:11" x14ac:dyDescent="0.2">
      <c r="E2102" s="50"/>
      <c r="H2102" s="12"/>
      <c r="K2102"/>
    </row>
    <row r="2103" spans="5:11" x14ac:dyDescent="0.2">
      <c r="E2103" s="50"/>
      <c r="H2103" s="12"/>
      <c r="K2103"/>
    </row>
    <row r="2104" spans="5:11" x14ac:dyDescent="0.2">
      <c r="E2104" s="50"/>
      <c r="H2104" s="12"/>
      <c r="K2104"/>
    </row>
    <row r="2105" spans="5:11" x14ac:dyDescent="0.2">
      <c r="E2105" s="50"/>
      <c r="H2105" s="12"/>
      <c r="K2105"/>
    </row>
    <row r="2106" spans="5:11" x14ac:dyDescent="0.2">
      <c r="E2106" s="50"/>
      <c r="H2106" s="12"/>
      <c r="K2106"/>
    </row>
    <row r="2107" spans="5:11" x14ac:dyDescent="0.2">
      <c r="E2107" s="50"/>
      <c r="H2107" s="12"/>
      <c r="K2107"/>
    </row>
    <row r="2108" spans="5:11" x14ac:dyDescent="0.2">
      <c r="E2108" s="50"/>
      <c r="H2108" s="12"/>
      <c r="K2108"/>
    </row>
    <row r="2109" spans="5:11" x14ac:dyDescent="0.2">
      <c r="E2109" s="50"/>
      <c r="H2109" s="12"/>
      <c r="K2109"/>
    </row>
    <row r="2110" spans="5:11" x14ac:dyDescent="0.2">
      <c r="E2110" s="50"/>
      <c r="H2110" s="12"/>
      <c r="K2110"/>
    </row>
    <row r="2111" spans="5:11" x14ac:dyDescent="0.2">
      <c r="E2111" s="50"/>
      <c r="H2111" s="12"/>
      <c r="K2111"/>
    </row>
    <row r="2112" spans="5:11" x14ac:dyDescent="0.2">
      <c r="E2112" s="50"/>
      <c r="H2112" s="12"/>
      <c r="K2112"/>
    </row>
    <row r="2113" spans="5:11" x14ac:dyDescent="0.2">
      <c r="E2113" s="50"/>
      <c r="H2113" s="12"/>
      <c r="K2113"/>
    </row>
    <row r="2114" spans="5:11" x14ac:dyDescent="0.2">
      <c r="E2114" s="50"/>
      <c r="H2114" s="12"/>
      <c r="K2114"/>
    </row>
    <row r="2115" spans="5:11" x14ac:dyDescent="0.2">
      <c r="E2115" s="50"/>
      <c r="H2115" s="12"/>
      <c r="K2115"/>
    </row>
    <row r="2116" spans="5:11" x14ac:dyDescent="0.2">
      <c r="E2116" s="50"/>
      <c r="H2116" s="12"/>
      <c r="K2116"/>
    </row>
    <row r="2117" spans="5:11" x14ac:dyDescent="0.2">
      <c r="E2117" s="50"/>
      <c r="H2117" s="12"/>
      <c r="K2117"/>
    </row>
    <row r="2118" spans="5:11" x14ac:dyDescent="0.2">
      <c r="E2118" s="50"/>
      <c r="H2118" s="12"/>
      <c r="K2118"/>
    </row>
    <row r="2119" spans="5:11" x14ac:dyDescent="0.2">
      <c r="E2119" s="50"/>
      <c r="H2119" s="12"/>
      <c r="K2119"/>
    </row>
    <row r="2120" spans="5:11" x14ac:dyDescent="0.2">
      <c r="E2120" s="50"/>
      <c r="H2120" s="12"/>
      <c r="K2120"/>
    </row>
    <row r="2121" spans="5:11" x14ac:dyDescent="0.2">
      <c r="E2121" s="50"/>
      <c r="H2121" s="12"/>
      <c r="K2121"/>
    </row>
    <row r="2122" spans="5:11" x14ac:dyDescent="0.2">
      <c r="E2122" s="50"/>
      <c r="H2122" s="12"/>
      <c r="K2122"/>
    </row>
    <row r="2123" spans="5:11" x14ac:dyDescent="0.2">
      <c r="E2123" s="50"/>
      <c r="H2123" s="12"/>
      <c r="K2123"/>
    </row>
    <row r="2124" spans="5:11" x14ac:dyDescent="0.2">
      <c r="E2124" s="50"/>
      <c r="H2124" s="12"/>
      <c r="K2124"/>
    </row>
    <row r="2125" spans="5:11" x14ac:dyDescent="0.2">
      <c r="E2125" s="50"/>
      <c r="H2125" s="12"/>
      <c r="K2125"/>
    </row>
    <row r="2126" spans="5:11" x14ac:dyDescent="0.2">
      <c r="E2126" s="50"/>
      <c r="H2126" s="12"/>
      <c r="K2126"/>
    </row>
    <row r="2127" spans="5:11" x14ac:dyDescent="0.2">
      <c r="E2127" s="50"/>
      <c r="H2127" s="12"/>
      <c r="K2127"/>
    </row>
    <row r="2128" spans="5:11" x14ac:dyDescent="0.2">
      <c r="E2128" s="50"/>
      <c r="H2128" s="12"/>
      <c r="K2128"/>
    </row>
    <row r="2129" spans="5:11" x14ac:dyDescent="0.2">
      <c r="E2129" s="50"/>
      <c r="H2129" s="12"/>
      <c r="K2129"/>
    </row>
    <row r="2130" spans="5:11" x14ac:dyDescent="0.2">
      <c r="E2130" s="50"/>
      <c r="H2130" s="12"/>
      <c r="K2130"/>
    </row>
    <row r="2131" spans="5:11" x14ac:dyDescent="0.2">
      <c r="E2131" s="50"/>
      <c r="H2131" s="12"/>
      <c r="K2131"/>
    </row>
    <row r="2132" spans="5:11" x14ac:dyDescent="0.2">
      <c r="E2132" s="50"/>
      <c r="H2132" s="12"/>
      <c r="K2132"/>
    </row>
    <row r="2133" spans="5:11" x14ac:dyDescent="0.2">
      <c r="E2133" s="50"/>
      <c r="H2133" s="12"/>
      <c r="K2133"/>
    </row>
    <row r="2134" spans="5:11" x14ac:dyDescent="0.2">
      <c r="E2134" s="50"/>
      <c r="H2134" s="12"/>
      <c r="K2134"/>
    </row>
    <row r="2135" spans="5:11" x14ac:dyDescent="0.2">
      <c r="E2135" s="50"/>
      <c r="H2135" s="12"/>
      <c r="K2135"/>
    </row>
    <row r="2136" spans="5:11" x14ac:dyDescent="0.2">
      <c r="E2136" s="50"/>
      <c r="H2136" s="12"/>
      <c r="K2136"/>
    </row>
    <row r="2137" spans="5:11" x14ac:dyDescent="0.2">
      <c r="E2137" s="50"/>
      <c r="H2137" s="12"/>
      <c r="K2137"/>
    </row>
    <row r="2138" spans="5:11" x14ac:dyDescent="0.2">
      <c r="E2138" s="50"/>
      <c r="H2138" s="12"/>
      <c r="K2138"/>
    </row>
    <row r="2139" spans="5:11" x14ac:dyDescent="0.2">
      <c r="E2139" s="50"/>
      <c r="H2139" s="12"/>
      <c r="K2139"/>
    </row>
    <row r="2140" spans="5:11" x14ac:dyDescent="0.2">
      <c r="E2140" s="50"/>
      <c r="H2140" s="12"/>
      <c r="K2140"/>
    </row>
    <row r="2141" spans="5:11" x14ac:dyDescent="0.2">
      <c r="E2141" s="50"/>
      <c r="H2141" s="12"/>
      <c r="K2141"/>
    </row>
    <row r="2142" spans="5:11" x14ac:dyDescent="0.2">
      <c r="E2142" s="50"/>
      <c r="H2142" s="12"/>
      <c r="K2142"/>
    </row>
    <row r="2143" spans="5:11" x14ac:dyDescent="0.2">
      <c r="E2143" s="50"/>
      <c r="H2143" s="12"/>
      <c r="K2143"/>
    </row>
    <row r="2144" spans="5:11" x14ac:dyDescent="0.2">
      <c r="E2144" s="50"/>
      <c r="H2144" s="12"/>
      <c r="K2144"/>
    </row>
    <row r="2145" spans="5:11" x14ac:dyDescent="0.2">
      <c r="E2145" s="50"/>
      <c r="H2145" s="12"/>
      <c r="K2145"/>
    </row>
    <row r="2146" spans="5:11" x14ac:dyDescent="0.2">
      <c r="E2146" s="50"/>
      <c r="H2146" s="12"/>
      <c r="K2146"/>
    </row>
    <row r="2147" spans="5:11" x14ac:dyDescent="0.2">
      <c r="E2147" s="50"/>
      <c r="H2147" s="12"/>
      <c r="K2147"/>
    </row>
    <row r="2148" spans="5:11" x14ac:dyDescent="0.2">
      <c r="E2148" s="50"/>
      <c r="H2148" s="12"/>
      <c r="K2148"/>
    </row>
    <row r="2149" spans="5:11" x14ac:dyDescent="0.2">
      <c r="E2149" s="50"/>
      <c r="H2149" s="12"/>
      <c r="K2149"/>
    </row>
    <row r="2150" spans="5:11" x14ac:dyDescent="0.2">
      <c r="E2150" s="50"/>
      <c r="H2150" s="12"/>
      <c r="K2150"/>
    </row>
    <row r="2151" spans="5:11" x14ac:dyDescent="0.2">
      <c r="E2151" s="50"/>
      <c r="H2151" s="12"/>
      <c r="K2151"/>
    </row>
    <row r="2152" spans="5:11" x14ac:dyDescent="0.2">
      <c r="E2152" s="50"/>
      <c r="H2152" s="12"/>
      <c r="K2152"/>
    </row>
    <row r="2153" spans="5:11" x14ac:dyDescent="0.2">
      <c r="E2153" s="50"/>
      <c r="H2153" s="12"/>
      <c r="K2153"/>
    </row>
    <row r="2154" spans="5:11" x14ac:dyDescent="0.2">
      <c r="E2154" s="50"/>
      <c r="H2154" s="12"/>
      <c r="K2154"/>
    </row>
    <row r="2155" spans="5:11" x14ac:dyDescent="0.2">
      <c r="E2155" s="50"/>
      <c r="H2155" s="12"/>
      <c r="K2155"/>
    </row>
    <row r="2156" spans="5:11" x14ac:dyDescent="0.2">
      <c r="E2156" s="50"/>
      <c r="H2156" s="12"/>
      <c r="K2156"/>
    </row>
    <row r="2157" spans="5:11" x14ac:dyDescent="0.2">
      <c r="E2157" s="50"/>
      <c r="H2157" s="12"/>
      <c r="K2157"/>
    </row>
    <row r="2158" spans="5:11" x14ac:dyDescent="0.2">
      <c r="E2158" s="50"/>
      <c r="H2158" s="12"/>
      <c r="K2158"/>
    </row>
    <row r="2159" spans="5:11" x14ac:dyDescent="0.2">
      <c r="E2159" s="50"/>
      <c r="H2159" s="12"/>
      <c r="K2159"/>
    </row>
    <row r="2160" spans="5:11" x14ac:dyDescent="0.2">
      <c r="E2160" s="50"/>
      <c r="H2160" s="12"/>
      <c r="K2160"/>
    </row>
    <row r="2161" spans="5:11" x14ac:dyDescent="0.2">
      <c r="E2161" s="50"/>
      <c r="H2161" s="12"/>
      <c r="K2161"/>
    </row>
    <row r="2162" spans="5:11" x14ac:dyDescent="0.2">
      <c r="E2162" s="50"/>
      <c r="H2162" s="12"/>
      <c r="K2162"/>
    </row>
    <row r="2163" spans="5:11" x14ac:dyDescent="0.2">
      <c r="E2163" s="50"/>
      <c r="H2163" s="12"/>
      <c r="K2163"/>
    </row>
    <row r="2164" spans="5:11" x14ac:dyDescent="0.2">
      <c r="E2164" s="50"/>
      <c r="H2164" s="12"/>
      <c r="K2164"/>
    </row>
    <row r="2165" spans="5:11" x14ac:dyDescent="0.2">
      <c r="E2165" s="50"/>
      <c r="H2165" s="12"/>
      <c r="K2165"/>
    </row>
    <row r="2166" spans="5:11" x14ac:dyDescent="0.2">
      <c r="E2166" s="50"/>
      <c r="H2166" s="12"/>
      <c r="K2166"/>
    </row>
    <row r="2167" spans="5:11" x14ac:dyDescent="0.2">
      <c r="E2167" s="50"/>
      <c r="H2167" s="12"/>
      <c r="K2167"/>
    </row>
    <row r="2168" spans="5:11" x14ac:dyDescent="0.2">
      <c r="E2168" s="50"/>
      <c r="H2168" s="12"/>
      <c r="K2168"/>
    </row>
    <row r="2169" spans="5:11" x14ac:dyDescent="0.2">
      <c r="E2169" s="50"/>
      <c r="H2169" s="12"/>
      <c r="K2169"/>
    </row>
    <row r="2170" spans="5:11" x14ac:dyDescent="0.2">
      <c r="E2170" s="50"/>
      <c r="H2170" s="12"/>
      <c r="K2170"/>
    </row>
    <row r="2171" spans="5:11" x14ac:dyDescent="0.2">
      <c r="E2171" s="50"/>
      <c r="H2171" s="12"/>
      <c r="K2171"/>
    </row>
    <row r="2172" spans="5:11" x14ac:dyDescent="0.2">
      <c r="E2172" s="50"/>
      <c r="H2172" s="12"/>
      <c r="K2172"/>
    </row>
    <row r="2173" spans="5:11" x14ac:dyDescent="0.2">
      <c r="E2173" s="50"/>
      <c r="H2173" s="12"/>
      <c r="K2173"/>
    </row>
    <row r="2174" spans="5:11" x14ac:dyDescent="0.2">
      <c r="E2174" s="50"/>
      <c r="H2174" s="12"/>
      <c r="K2174"/>
    </row>
    <row r="2175" spans="5:11" x14ac:dyDescent="0.2">
      <c r="E2175" s="50"/>
      <c r="H2175" s="12"/>
      <c r="K2175"/>
    </row>
    <row r="2176" spans="5:11" x14ac:dyDescent="0.2">
      <c r="E2176" s="50"/>
      <c r="H2176" s="12"/>
      <c r="K2176"/>
    </row>
    <row r="2177" spans="5:11" x14ac:dyDescent="0.2">
      <c r="E2177" s="50"/>
      <c r="H2177" s="12"/>
      <c r="K2177"/>
    </row>
    <row r="2178" spans="5:11" x14ac:dyDescent="0.2">
      <c r="E2178" s="50"/>
      <c r="H2178" s="12"/>
      <c r="K2178"/>
    </row>
    <row r="2179" spans="5:11" x14ac:dyDescent="0.2">
      <c r="E2179" s="50"/>
      <c r="H2179" s="12"/>
      <c r="K2179"/>
    </row>
    <row r="2180" spans="5:11" x14ac:dyDescent="0.2">
      <c r="E2180" s="50"/>
      <c r="H2180" s="12"/>
      <c r="K2180"/>
    </row>
    <row r="2181" spans="5:11" x14ac:dyDescent="0.2">
      <c r="E2181" s="50"/>
      <c r="H2181" s="12"/>
      <c r="K2181"/>
    </row>
    <row r="2182" spans="5:11" x14ac:dyDescent="0.2">
      <c r="E2182" s="50"/>
      <c r="H2182" s="12"/>
      <c r="K2182"/>
    </row>
    <row r="2183" spans="5:11" x14ac:dyDescent="0.2">
      <c r="E2183" s="50"/>
      <c r="H2183" s="12"/>
      <c r="K2183"/>
    </row>
    <row r="2184" spans="5:11" x14ac:dyDescent="0.2">
      <c r="E2184" s="50"/>
      <c r="H2184" s="12"/>
      <c r="K2184"/>
    </row>
    <row r="2185" spans="5:11" x14ac:dyDescent="0.2">
      <c r="E2185" s="50"/>
      <c r="H2185" s="12"/>
      <c r="K2185"/>
    </row>
    <row r="2186" spans="5:11" x14ac:dyDescent="0.2">
      <c r="E2186" s="50"/>
      <c r="H2186" s="12"/>
      <c r="K2186"/>
    </row>
    <row r="2187" spans="5:11" x14ac:dyDescent="0.2">
      <c r="E2187" s="50"/>
      <c r="H2187" s="12"/>
      <c r="K2187"/>
    </row>
    <row r="2188" spans="5:11" x14ac:dyDescent="0.2">
      <c r="E2188" s="50"/>
      <c r="H2188" s="12"/>
      <c r="K2188"/>
    </row>
    <row r="2189" spans="5:11" x14ac:dyDescent="0.2">
      <c r="E2189" s="50"/>
      <c r="H2189" s="12"/>
      <c r="K2189"/>
    </row>
    <row r="2190" spans="5:11" x14ac:dyDescent="0.2">
      <c r="E2190" s="50"/>
      <c r="H2190" s="12"/>
      <c r="K2190"/>
    </row>
    <row r="2191" spans="5:11" x14ac:dyDescent="0.2">
      <c r="E2191" s="50"/>
      <c r="H2191" s="12"/>
      <c r="K2191"/>
    </row>
    <row r="2192" spans="5:11" x14ac:dyDescent="0.2">
      <c r="E2192" s="50"/>
      <c r="H2192" s="12"/>
      <c r="K2192"/>
    </row>
    <row r="2193" spans="5:11" x14ac:dyDescent="0.2">
      <c r="E2193" s="50"/>
      <c r="H2193" s="12"/>
      <c r="K2193"/>
    </row>
    <row r="2194" spans="5:11" x14ac:dyDescent="0.2">
      <c r="E2194" s="50"/>
      <c r="H2194" s="12"/>
      <c r="K2194"/>
    </row>
    <row r="2195" spans="5:11" x14ac:dyDescent="0.2">
      <c r="E2195" s="50"/>
      <c r="H2195" s="12"/>
      <c r="K2195"/>
    </row>
    <row r="2196" spans="5:11" x14ac:dyDescent="0.2">
      <c r="E2196" s="50"/>
      <c r="H2196" s="12"/>
      <c r="K2196"/>
    </row>
    <row r="2197" spans="5:11" x14ac:dyDescent="0.2">
      <c r="E2197" s="50"/>
      <c r="H2197" s="12"/>
      <c r="K2197"/>
    </row>
    <row r="2198" spans="5:11" x14ac:dyDescent="0.2">
      <c r="E2198" s="50"/>
      <c r="H2198" s="12"/>
      <c r="K2198"/>
    </row>
    <row r="2199" spans="5:11" x14ac:dyDescent="0.2">
      <c r="E2199" s="50"/>
      <c r="H2199" s="12"/>
      <c r="K2199"/>
    </row>
    <row r="2200" spans="5:11" x14ac:dyDescent="0.2">
      <c r="E2200" s="50"/>
      <c r="H2200" s="12"/>
      <c r="K2200"/>
    </row>
    <row r="2201" spans="5:11" x14ac:dyDescent="0.2">
      <c r="E2201" s="50"/>
      <c r="H2201" s="12"/>
      <c r="K2201"/>
    </row>
    <row r="2202" spans="5:11" x14ac:dyDescent="0.2">
      <c r="E2202" s="50"/>
      <c r="H2202" s="12"/>
      <c r="K2202"/>
    </row>
    <row r="2203" spans="5:11" x14ac:dyDescent="0.2">
      <c r="E2203" s="50"/>
      <c r="H2203" s="12"/>
      <c r="K2203"/>
    </row>
    <row r="2204" spans="5:11" x14ac:dyDescent="0.2">
      <c r="E2204" s="50"/>
      <c r="H2204" s="12"/>
      <c r="K2204"/>
    </row>
    <row r="2205" spans="5:11" x14ac:dyDescent="0.2">
      <c r="E2205" s="50"/>
      <c r="H2205" s="12"/>
      <c r="K2205"/>
    </row>
    <row r="2206" spans="5:11" x14ac:dyDescent="0.2">
      <c r="E2206" s="50"/>
      <c r="H2206" s="12"/>
      <c r="K2206"/>
    </row>
    <row r="2207" spans="5:11" x14ac:dyDescent="0.2">
      <c r="E2207" s="50"/>
      <c r="H2207" s="12"/>
      <c r="K2207"/>
    </row>
    <row r="2208" spans="5:11" x14ac:dyDescent="0.2">
      <c r="E2208" s="50"/>
      <c r="H2208" s="12"/>
      <c r="K2208"/>
    </row>
    <row r="2209" spans="5:11" x14ac:dyDescent="0.2">
      <c r="E2209" s="50"/>
      <c r="H2209" s="12"/>
      <c r="K2209"/>
    </row>
    <row r="2210" spans="5:11" x14ac:dyDescent="0.2">
      <c r="E2210" s="50"/>
      <c r="H2210" s="12"/>
      <c r="K2210"/>
    </row>
    <row r="2211" spans="5:11" x14ac:dyDescent="0.2">
      <c r="E2211" s="50"/>
      <c r="H2211" s="12"/>
      <c r="K2211"/>
    </row>
    <row r="2212" spans="5:11" x14ac:dyDescent="0.2">
      <c r="E2212" s="50"/>
      <c r="H2212" s="12"/>
      <c r="K2212"/>
    </row>
    <row r="2213" spans="5:11" x14ac:dyDescent="0.2">
      <c r="E2213" s="50"/>
      <c r="H2213" s="12"/>
      <c r="K2213"/>
    </row>
    <row r="2214" spans="5:11" x14ac:dyDescent="0.2">
      <c r="E2214" s="50"/>
      <c r="H2214" s="12"/>
      <c r="K2214"/>
    </row>
    <row r="2215" spans="5:11" x14ac:dyDescent="0.2">
      <c r="E2215" s="50"/>
      <c r="H2215" s="12"/>
      <c r="K2215"/>
    </row>
    <row r="2216" spans="5:11" x14ac:dyDescent="0.2">
      <c r="E2216" s="50"/>
      <c r="H2216" s="12"/>
      <c r="K2216"/>
    </row>
    <row r="2217" spans="5:11" x14ac:dyDescent="0.2">
      <c r="E2217" s="50"/>
      <c r="H2217" s="12"/>
      <c r="K2217"/>
    </row>
    <row r="2218" spans="5:11" x14ac:dyDescent="0.2">
      <c r="E2218" s="50"/>
      <c r="H2218" s="12"/>
      <c r="K2218"/>
    </row>
    <row r="2219" spans="5:11" x14ac:dyDescent="0.2">
      <c r="E2219" s="50"/>
      <c r="H2219" s="12"/>
      <c r="K2219"/>
    </row>
    <row r="2220" spans="5:11" x14ac:dyDescent="0.2">
      <c r="E2220" s="50"/>
      <c r="H2220" s="12"/>
      <c r="K2220"/>
    </row>
    <row r="2221" spans="5:11" x14ac:dyDescent="0.2">
      <c r="E2221" s="50"/>
      <c r="H2221" s="12"/>
      <c r="K2221"/>
    </row>
    <row r="2222" spans="5:11" x14ac:dyDescent="0.2">
      <c r="E2222" s="50"/>
      <c r="H2222" s="12"/>
      <c r="K2222"/>
    </row>
    <row r="2223" spans="5:11" x14ac:dyDescent="0.2">
      <c r="E2223" s="50"/>
      <c r="H2223" s="12"/>
      <c r="K2223"/>
    </row>
    <row r="2224" spans="5:11" x14ac:dyDescent="0.2">
      <c r="E2224" s="50"/>
      <c r="H2224" s="12"/>
      <c r="K2224"/>
    </row>
    <row r="2225" spans="5:11" x14ac:dyDescent="0.2">
      <c r="E2225" s="50"/>
      <c r="H2225" s="12"/>
      <c r="K2225"/>
    </row>
    <row r="2226" spans="5:11" x14ac:dyDescent="0.2">
      <c r="E2226" s="50"/>
      <c r="H2226" s="12"/>
      <c r="K2226"/>
    </row>
    <row r="2227" spans="5:11" x14ac:dyDescent="0.2">
      <c r="E2227" s="50"/>
      <c r="H2227" s="12"/>
      <c r="K2227"/>
    </row>
    <row r="2228" spans="5:11" x14ac:dyDescent="0.2">
      <c r="E2228" s="50"/>
      <c r="H2228" s="12"/>
      <c r="K2228"/>
    </row>
    <row r="2229" spans="5:11" x14ac:dyDescent="0.2">
      <c r="E2229" s="50"/>
      <c r="H2229" s="12"/>
      <c r="K2229"/>
    </row>
    <row r="2230" spans="5:11" x14ac:dyDescent="0.2">
      <c r="E2230" s="50"/>
      <c r="H2230" s="12"/>
      <c r="K2230"/>
    </row>
    <row r="2231" spans="5:11" x14ac:dyDescent="0.2">
      <c r="E2231" s="50"/>
      <c r="H2231" s="12"/>
      <c r="K2231"/>
    </row>
    <row r="2232" spans="5:11" x14ac:dyDescent="0.2">
      <c r="E2232" s="50"/>
      <c r="H2232" s="12"/>
      <c r="K2232"/>
    </row>
    <row r="2233" spans="5:11" x14ac:dyDescent="0.2">
      <c r="E2233" s="50"/>
      <c r="H2233" s="12"/>
      <c r="K2233"/>
    </row>
    <row r="2234" spans="5:11" x14ac:dyDescent="0.2">
      <c r="E2234" s="50"/>
      <c r="H2234" s="12"/>
      <c r="K2234"/>
    </row>
    <row r="2235" spans="5:11" x14ac:dyDescent="0.2">
      <c r="E2235" s="50"/>
      <c r="H2235" s="12"/>
      <c r="K2235"/>
    </row>
    <row r="2236" spans="5:11" x14ac:dyDescent="0.2">
      <c r="E2236" s="50"/>
      <c r="H2236" s="12"/>
      <c r="K2236"/>
    </row>
    <row r="2237" spans="5:11" x14ac:dyDescent="0.2">
      <c r="E2237" s="50"/>
      <c r="H2237" s="12"/>
      <c r="K2237"/>
    </row>
    <row r="2238" spans="5:11" x14ac:dyDescent="0.2">
      <c r="E2238" s="50"/>
      <c r="H2238" s="12"/>
      <c r="K2238"/>
    </row>
    <row r="2239" spans="5:11" x14ac:dyDescent="0.2">
      <c r="E2239" s="50"/>
      <c r="H2239" s="12"/>
      <c r="K2239"/>
    </row>
    <row r="2240" spans="5:11" x14ac:dyDescent="0.2">
      <c r="E2240" s="50"/>
      <c r="H2240" s="12"/>
      <c r="K2240"/>
    </row>
    <row r="2241" spans="5:11" x14ac:dyDescent="0.2">
      <c r="E2241" s="50"/>
      <c r="H2241" s="12"/>
      <c r="K2241"/>
    </row>
    <row r="2242" spans="5:11" x14ac:dyDescent="0.2">
      <c r="E2242" s="50"/>
      <c r="H2242" s="12"/>
      <c r="K2242"/>
    </row>
    <row r="2243" spans="5:11" x14ac:dyDescent="0.2">
      <c r="E2243" s="50"/>
      <c r="H2243" s="12"/>
      <c r="K2243"/>
    </row>
    <row r="2244" spans="5:11" x14ac:dyDescent="0.2">
      <c r="E2244" s="50"/>
      <c r="H2244" s="12"/>
      <c r="K2244"/>
    </row>
    <row r="2245" spans="5:11" x14ac:dyDescent="0.2">
      <c r="E2245" s="50"/>
      <c r="H2245" s="12"/>
      <c r="K2245"/>
    </row>
    <row r="2246" spans="5:11" x14ac:dyDescent="0.2">
      <c r="E2246" s="50"/>
      <c r="H2246" s="12"/>
      <c r="K2246"/>
    </row>
    <row r="2247" spans="5:11" x14ac:dyDescent="0.2">
      <c r="E2247" s="50"/>
      <c r="H2247" s="12"/>
      <c r="K2247"/>
    </row>
    <row r="2248" spans="5:11" x14ac:dyDescent="0.2">
      <c r="E2248" s="50"/>
      <c r="H2248" s="12"/>
      <c r="K2248"/>
    </row>
    <row r="2249" spans="5:11" x14ac:dyDescent="0.2">
      <c r="E2249" s="50"/>
      <c r="H2249" s="12"/>
      <c r="K2249"/>
    </row>
    <row r="2250" spans="5:11" x14ac:dyDescent="0.2">
      <c r="E2250" s="50"/>
      <c r="H2250" s="12"/>
      <c r="K2250"/>
    </row>
    <row r="2251" spans="5:11" x14ac:dyDescent="0.2">
      <c r="E2251" s="50"/>
      <c r="H2251" s="12"/>
      <c r="K2251"/>
    </row>
    <row r="2252" spans="5:11" x14ac:dyDescent="0.2">
      <c r="E2252" s="50"/>
      <c r="H2252" s="12"/>
      <c r="K2252"/>
    </row>
    <row r="2253" spans="5:11" x14ac:dyDescent="0.2">
      <c r="E2253" s="50"/>
      <c r="H2253" s="12"/>
      <c r="K2253"/>
    </row>
    <row r="2254" spans="5:11" x14ac:dyDescent="0.2">
      <c r="E2254" s="50"/>
      <c r="H2254" s="12"/>
      <c r="K2254"/>
    </row>
    <row r="2255" spans="5:11" x14ac:dyDescent="0.2">
      <c r="E2255" s="50"/>
      <c r="H2255" s="12"/>
      <c r="K2255"/>
    </row>
    <row r="2256" spans="5:11" x14ac:dyDescent="0.2">
      <c r="E2256" s="50"/>
      <c r="H2256" s="12"/>
      <c r="K2256"/>
    </row>
    <row r="2257" spans="5:11" x14ac:dyDescent="0.2">
      <c r="E2257" s="50"/>
      <c r="H2257" s="12"/>
      <c r="K2257"/>
    </row>
    <row r="2258" spans="5:11" x14ac:dyDescent="0.2">
      <c r="E2258" s="50"/>
      <c r="H2258" s="12"/>
      <c r="K2258"/>
    </row>
    <row r="2259" spans="5:11" x14ac:dyDescent="0.2">
      <c r="E2259" s="50"/>
      <c r="H2259" s="12"/>
      <c r="K2259"/>
    </row>
    <row r="2260" spans="5:11" x14ac:dyDescent="0.2">
      <c r="E2260" s="50"/>
      <c r="H2260" s="12"/>
      <c r="K2260"/>
    </row>
    <row r="2261" spans="5:11" x14ac:dyDescent="0.2">
      <c r="E2261" s="50"/>
      <c r="H2261" s="12"/>
      <c r="K2261"/>
    </row>
    <row r="2262" spans="5:11" x14ac:dyDescent="0.2">
      <c r="E2262" s="50"/>
      <c r="H2262" s="12"/>
      <c r="K2262"/>
    </row>
    <row r="2263" spans="5:11" x14ac:dyDescent="0.2">
      <c r="E2263" s="50"/>
      <c r="H2263" s="12"/>
      <c r="K2263"/>
    </row>
    <row r="2264" spans="5:11" x14ac:dyDescent="0.2">
      <c r="E2264" s="50"/>
      <c r="H2264" s="12"/>
      <c r="K2264"/>
    </row>
    <row r="2265" spans="5:11" x14ac:dyDescent="0.2">
      <c r="E2265" s="50"/>
      <c r="H2265" s="12"/>
      <c r="K2265"/>
    </row>
    <row r="2266" spans="5:11" x14ac:dyDescent="0.2">
      <c r="E2266" s="50"/>
      <c r="H2266" s="12"/>
      <c r="K2266"/>
    </row>
    <row r="2267" spans="5:11" x14ac:dyDescent="0.2">
      <c r="E2267" s="50"/>
      <c r="H2267" s="12"/>
      <c r="K2267"/>
    </row>
    <row r="2268" spans="5:11" x14ac:dyDescent="0.2">
      <c r="E2268" s="50"/>
      <c r="H2268" s="12"/>
      <c r="K2268"/>
    </row>
    <row r="2269" spans="5:11" x14ac:dyDescent="0.2">
      <c r="E2269" s="50"/>
      <c r="H2269" s="12"/>
      <c r="K2269"/>
    </row>
    <row r="2270" spans="5:11" x14ac:dyDescent="0.2">
      <c r="E2270" s="50"/>
      <c r="H2270" s="12"/>
      <c r="K2270"/>
    </row>
    <row r="2271" spans="5:11" x14ac:dyDescent="0.2">
      <c r="E2271" s="50"/>
      <c r="H2271" s="12"/>
      <c r="K2271"/>
    </row>
    <row r="2272" spans="5:11" x14ac:dyDescent="0.2">
      <c r="E2272" s="50"/>
      <c r="H2272" s="12"/>
      <c r="K2272"/>
    </row>
    <row r="2273" spans="5:11" x14ac:dyDescent="0.2">
      <c r="E2273" s="50"/>
      <c r="H2273" s="12"/>
      <c r="K2273"/>
    </row>
    <row r="2274" spans="5:11" x14ac:dyDescent="0.2">
      <c r="E2274" s="50"/>
      <c r="H2274" s="12"/>
      <c r="K2274"/>
    </row>
    <row r="2275" spans="5:11" x14ac:dyDescent="0.2">
      <c r="E2275" s="50"/>
      <c r="H2275" s="12"/>
      <c r="K2275"/>
    </row>
    <row r="2276" spans="5:11" x14ac:dyDescent="0.2">
      <c r="E2276" s="50"/>
      <c r="H2276" s="12"/>
      <c r="K2276"/>
    </row>
    <row r="2277" spans="5:11" x14ac:dyDescent="0.2">
      <c r="E2277" s="50"/>
      <c r="H2277" s="12"/>
      <c r="K2277"/>
    </row>
    <row r="2278" spans="5:11" x14ac:dyDescent="0.2">
      <c r="E2278" s="50"/>
      <c r="H2278" s="12"/>
      <c r="K2278"/>
    </row>
    <row r="2279" spans="5:11" x14ac:dyDescent="0.2">
      <c r="E2279" s="50"/>
      <c r="H2279" s="12"/>
      <c r="K2279"/>
    </row>
    <row r="2280" spans="5:11" x14ac:dyDescent="0.2">
      <c r="E2280" s="50"/>
      <c r="H2280" s="12"/>
      <c r="K2280"/>
    </row>
    <row r="2281" spans="5:11" x14ac:dyDescent="0.2">
      <c r="E2281" s="50"/>
      <c r="H2281" s="12"/>
      <c r="K2281"/>
    </row>
    <row r="2282" spans="5:11" x14ac:dyDescent="0.2">
      <c r="E2282" s="50"/>
      <c r="H2282" s="12"/>
      <c r="K2282"/>
    </row>
    <row r="2283" spans="5:11" x14ac:dyDescent="0.2">
      <c r="E2283" s="50"/>
      <c r="H2283" s="12"/>
      <c r="K2283"/>
    </row>
    <row r="2284" spans="5:11" x14ac:dyDescent="0.2">
      <c r="E2284" s="50"/>
      <c r="H2284" s="12"/>
      <c r="K2284"/>
    </row>
    <row r="2285" spans="5:11" x14ac:dyDescent="0.2">
      <c r="E2285" s="50"/>
      <c r="H2285" s="12"/>
      <c r="K2285"/>
    </row>
    <row r="2286" spans="5:11" x14ac:dyDescent="0.2">
      <c r="E2286" s="50"/>
      <c r="H2286" s="12"/>
      <c r="K2286"/>
    </row>
    <row r="2287" spans="5:11" x14ac:dyDescent="0.2">
      <c r="E2287" s="50"/>
      <c r="H2287" s="12"/>
      <c r="K2287"/>
    </row>
    <row r="2288" spans="5:11" x14ac:dyDescent="0.2">
      <c r="E2288" s="50"/>
      <c r="H2288" s="12"/>
      <c r="K2288"/>
    </row>
    <row r="2289" spans="5:11" x14ac:dyDescent="0.2">
      <c r="E2289" s="50"/>
      <c r="H2289" s="12"/>
      <c r="K2289"/>
    </row>
    <row r="2290" spans="5:11" x14ac:dyDescent="0.2">
      <c r="E2290" s="50"/>
      <c r="H2290" s="12"/>
      <c r="K2290"/>
    </row>
    <row r="2291" spans="5:11" x14ac:dyDescent="0.2">
      <c r="E2291" s="50"/>
      <c r="H2291" s="12"/>
      <c r="K2291"/>
    </row>
    <row r="2292" spans="5:11" x14ac:dyDescent="0.2">
      <c r="E2292" s="50"/>
      <c r="H2292" s="12"/>
      <c r="K2292"/>
    </row>
    <row r="2293" spans="5:11" x14ac:dyDescent="0.2">
      <c r="E2293" s="50"/>
      <c r="H2293" s="12"/>
      <c r="K2293"/>
    </row>
    <row r="2294" spans="5:11" x14ac:dyDescent="0.2">
      <c r="E2294" s="50"/>
      <c r="H2294" s="12"/>
      <c r="K2294"/>
    </row>
    <row r="2295" spans="5:11" x14ac:dyDescent="0.2">
      <c r="E2295" s="50"/>
      <c r="H2295" s="12"/>
      <c r="K2295"/>
    </row>
    <row r="2296" spans="5:11" x14ac:dyDescent="0.2">
      <c r="E2296" s="50"/>
      <c r="H2296" s="12"/>
      <c r="K2296"/>
    </row>
    <row r="2297" spans="5:11" x14ac:dyDescent="0.2">
      <c r="E2297" s="50"/>
      <c r="H2297" s="12"/>
      <c r="K2297"/>
    </row>
    <row r="2298" spans="5:11" x14ac:dyDescent="0.2">
      <c r="E2298" s="50"/>
      <c r="H2298" s="12"/>
      <c r="K2298"/>
    </row>
    <row r="2299" spans="5:11" x14ac:dyDescent="0.2">
      <c r="E2299" s="50"/>
      <c r="H2299" s="12"/>
      <c r="K2299"/>
    </row>
    <row r="2300" spans="5:11" x14ac:dyDescent="0.2">
      <c r="E2300" s="50"/>
      <c r="H2300" s="12"/>
      <c r="K2300"/>
    </row>
    <row r="2301" spans="5:11" x14ac:dyDescent="0.2">
      <c r="E2301" s="50"/>
      <c r="H2301" s="12"/>
      <c r="K2301"/>
    </row>
    <row r="2302" spans="5:11" x14ac:dyDescent="0.2">
      <c r="E2302" s="50"/>
      <c r="H2302" s="12"/>
      <c r="K2302"/>
    </row>
    <row r="2303" spans="5:11" x14ac:dyDescent="0.2">
      <c r="E2303" s="50"/>
      <c r="H2303" s="12"/>
      <c r="K2303"/>
    </row>
    <row r="2304" spans="5:11" x14ac:dyDescent="0.2">
      <c r="E2304" s="50"/>
      <c r="H2304" s="12"/>
      <c r="K2304"/>
    </row>
    <row r="2305" spans="5:11" x14ac:dyDescent="0.2">
      <c r="E2305" s="50"/>
      <c r="H2305" s="12"/>
      <c r="K2305"/>
    </row>
    <row r="2306" spans="5:11" x14ac:dyDescent="0.2">
      <c r="E2306" s="50"/>
      <c r="H2306" s="12"/>
      <c r="K2306"/>
    </row>
    <row r="2307" spans="5:11" x14ac:dyDescent="0.2">
      <c r="E2307" s="50"/>
      <c r="H2307" s="12"/>
      <c r="K2307"/>
    </row>
    <row r="2308" spans="5:11" x14ac:dyDescent="0.2">
      <c r="E2308" s="50"/>
      <c r="H2308" s="12"/>
      <c r="K2308"/>
    </row>
    <row r="2309" spans="5:11" x14ac:dyDescent="0.2">
      <c r="E2309" s="50"/>
      <c r="H2309" s="12"/>
      <c r="K2309"/>
    </row>
    <row r="2310" spans="5:11" x14ac:dyDescent="0.2">
      <c r="E2310" s="50"/>
      <c r="H2310" s="12"/>
      <c r="K2310"/>
    </row>
    <row r="2311" spans="5:11" x14ac:dyDescent="0.2">
      <c r="E2311" s="50"/>
      <c r="H2311" s="12"/>
      <c r="K2311"/>
    </row>
    <row r="2312" spans="5:11" x14ac:dyDescent="0.2">
      <c r="E2312" s="50"/>
      <c r="H2312" s="12"/>
      <c r="K2312"/>
    </row>
    <row r="2313" spans="5:11" x14ac:dyDescent="0.2">
      <c r="E2313" s="50"/>
      <c r="H2313" s="12"/>
      <c r="K2313"/>
    </row>
    <row r="2314" spans="5:11" x14ac:dyDescent="0.2">
      <c r="E2314" s="50"/>
      <c r="H2314" s="12"/>
      <c r="K2314"/>
    </row>
    <row r="2315" spans="5:11" x14ac:dyDescent="0.2">
      <c r="E2315" s="50"/>
      <c r="H2315" s="12"/>
      <c r="K2315"/>
    </row>
    <row r="2316" spans="5:11" x14ac:dyDescent="0.2">
      <c r="E2316" s="50"/>
      <c r="H2316" s="12"/>
      <c r="K2316"/>
    </row>
    <row r="2317" spans="5:11" x14ac:dyDescent="0.2">
      <c r="E2317" s="50"/>
      <c r="H2317" s="12"/>
      <c r="K2317"/>
    </row>
    <row r="2318" spans="5:11" x14ac:dyDescent="0.2">
      <c r="E2318" s="50"/>
      <c r="H2318" s="12"/>
      <c r="K2318"/>
    </row>
    <row r="2319" spans="5:11" x14ac:dyDescent="0.2">
      <c r="E2319" s="50"/>
      <c r="H2319" s="12"/>
      <c r="K2319"/>
    </row>
    <row r="2320" spans="5:11" x14ac:dyDescent="0.2">
      <c r="E2320" s="50"/>
      <c r="H2320" s="12"/>
      <c r="K2320"/>
    </row>
    <row r="2321" spans="5:11" x14ac:dyDescent="0.2">
      <c r="E2321" s="50"/>
      <c r="H2321" s="12"/>
      <c r="K2321"/>
    </row>
    <row r="2322" spans="5:11" x14ac:dyDescent="0.2">
      <c r="E2322" s="50"/>
      <c r="H2322" s="12"/>
      <c r="K2322"/>
    </row>
    <row r="2323" spans="5:11" x14ac:dyDescent="0.2">
      <c r="E2323" s="50"/>
      <c r="H2323" s="12"/>
      <c r="K2323"/>
    </row>
    <row r="2324" spans="5:11" x14ac:dyDescent="0.2">
      <c r="E2324" s="50"/>
      <c r="H2324" s="12"/>
      <c r="K2324"/>
    </row>
    <row r="2325" spans="5:11" x14ac:dyDescent="0.2">
      <c r="E2325" s="50"/>
      <c r="H2325" s="12"/>
      <c r="K2325"/>
    </row>
    <row r="2326" spans="5:11" x14ac:dyDescent="0.2">
      <c r="E2326" s="50"/>
      <c r="H2326" s="12"/>
      <c r="K2326"/>
    </row>
    <row r="2327" spans="5:11" x14ac:dyDescent="0.2">
      <c r="E2327" s="50"/>
      <c r="H2327" s="12"/>
      <c r="K2327"/>
    </row>
    <row r="2328" spans="5:11" x14ac:dyDescent="0.2">
      <c r="E2328" s="50"/>
      <c r="H2328" s="12"/>
      <c r="K2328"/>
    </row>
    <row r="2329" spans="5:11" x14ac:dyDescent="0.2">
      <c r="E2329" s="50"/>
      <c r="H2329" s="12"/>
      <c r="K2329"/>
    </row>
    <row r="2330" spans="5:11" x14ac:dyDescent="0.2">
      <c r="E2330" s="50"/>
      <c r="H2330" s="12"/>
      <c r="K2330"/>
    </row>
    <row r="2331" spans="5:11" x14ac:dyDescent="0.2">
      <c r="E2331" s="50"/>
      <c r="H2331" s="12"/>
      <c r="K2331"/>
    </row>
    <row r="2332" spans="5:11" x14ac:dyDescent="0.2">
      <c r="E2332" s="50"/>
      <c r="H2332" s="12"/>
      <c r="K2332"/>
    </row>
    <row r="2333" spans="5:11" x14ac:dyDescent="0.2">
      <c r="E2333" s="50"/>
      <c r="H2333" s="12"/>
      <c r="K2333"/>
    </row>
    <row r="2334" spans="5:11" x14ac:dyDescent="0.2">
      <c r="E2334" s="50"/>
      <c r="H2334" s="12"/>
      <c r="K2334"/>
    </row>
    <row r="2335" spans="5:11" x14ac:dyDescent="0.2">
      <c r="E2335" s="50"/>
      <c r="H2335" s="12"/>
      <c r="K2335"/>
    </row>
    <row r="2336" spans="5:11" x14ac:dyDescent="0.2">
      <c r="E2336" s="50"/>
      <c r="H2336" s="12"/>
      <c r="K2336"/>
    </row>
    <row r="2337" spans="5:11" x14ac:dyDescent="0.2">
      <c r="E2337" s="50"/>
      <c r="H2337" s="12"/>
      <c r="K2337"/>
    </row>
    <row r="2338" spans="5:11" x14ac:dyDescent="0.2">
      <c r="E2338" s="50"/>
      <c r="H2338" s="12"/>
      <c r="K2338"/>
    </row>
    <row r="2339" spans="5:11" x14ac:dyDescent="0.2">
      <c r="E2339" s="50"/>
      <c r="H2339" s="12"/>
      <c r="K2339"/>
    </row>
    <row r="2340" spans="5:11" x14ac:dyDescent="0.2">
      <c r="E2340" s="50"/>
      <c r="H2340" s="12"/>
      <c r="K2340"/>
    </row>
    <row r="2341" spans="5:11" x14ac:dyDescent="0.2">
      <c r="E2341" s="50"/>
      <c r="H2341" s="12"/>
      <c r="K2341"/>
    </row>
    <row r="2342" spans="5:11" x14ac:dyDescent="0.2">
      <c r="E2342" s="50"/>
      <c r="H2342" s="12"/>
      <c r="K2342"/>
    </row>
    <row r="2343" spans="5:11" x14ac:dyDescent="0.2">
      <c r="E2343" s="50"/>
      <c r="H2343" s="12"/>
      <c r="K2343"/>
    </row>
    <row r="2344" spans="5:11" x14ac:dyDescent="0.2">
      <c r="E2344" s="50"/>
      <c r="H2344" s="12"/>
      <c r="K2344"/>
    </row>
    <row r="2345" spans="5:11" x14ac:dyDescent="0.2">
      <c r="E2345" s="50"/>
      <c r="H2345" s="12"/>
      <c r="K2345"/>
    </row>
    <row r="2346" spans="5:11" x14ac:dyDescent="0.2">
      <c r="E2346" s="50"/>
      <c r="H2346" s="12"/>
      <c r="K2346"/>
    </row>
    <row r="2347" spans="5:11" x14ac:dyDescent="0.2">
      <c r="E2347" s="50"/>
      <c r="H2347" s="12"/>
      <c r="K2347"/>
    </row>
    <row r="2348" spans="5:11" x14ac:dyDescent="0.2">
      <c r="E2348" s="50"/>
      <c r="H2348" s="12"/>
      <c r="K2348"/>
    </row>
    <row r="2349" spans="5:11" x14ac:dyDescent="0.2">
      <c r="E2349" s="50"/>
      <c r="H2349" s="12"/>
      <c r="K2349"/>
    </row>
    <row r="2350" spans="5:11" x14ac:dyDescent="0.2">
      <c r="E2350" s="50"/>
      <c r="H2350" s="12"/>
      <c r="K2350"/>
    </row>
    <row r="2351" spans="5:11" x14ac:dyDescent="0.2">
      <c r="E2351" s="50"/>
      <c r="H2351" s="12"/>
      <c r="K2351"/>
    </row>
    <row r="2352" spans="5:11" x14ac:dyDescent="0.2">
      <c r="E2352" s="50"/>
      <c r="H2352" s="12"/>
      <c r="K2352"/>
    </row>
    <row r="2353" spans="5:11" x14ac:dyDescent="0.2">
      <c r="E2353" s="50"/>
      <c r="H2353" s="12"/>
      <c r="K2353"/>
    </row>
    <row r="2354" spans="5:11" x14ac:dyDescent="0.2">
      <c r="E2354" s="50"/>
      <c r="H2354" s="12"/>
      <c r="K2354"/>
    </row>
    <row r="2355" spans="5:11" x14ac:dyDescent="0.2">
      <c r="E2355" s="50"/>
      <c r="H2355" s="12"/>
      <c r="K2355"/>
    </row>
    <row r="2356" spans="5:11" x14ac:dyDescent="0.2">
      <c r="E2356" s="50"/>
      <c r="H2356" s="12"/>
      <c r="K2356"/>
    </row>
    <row r="2357" spans="5:11" x14ac:dyDescent="0.2">
      <c r="E2357" s="50"/>
      <c r="H2357" s="12"/>
      <c r="K2357"/>
    </row>
    <row r="2358" spans="5:11" x14ac:dyDescent="0.2">
      <c r="E2358" s="50"/>
      <c r="H2358" s="12"/>
      <c r="K2358"/>
    </row>
    <row r="2359" spans="5:11" x14ac:dyDescent="0.2">
      <c r="E2359" s="50"/>
      <c r="H2359" s="12"/>
      <c r="K2359"/>
    </row>
    <row r="2360" spans="5:11" x14ac:dyDescent="0.2">
      <c r="E2360" s="50"/>
      <c r="H2360" s="12"/>
      <c r="K2360"/>
    </row>
    <row r="2361" spans="5:11" x14ac:dyDescent="0.2">
      <c r="E2361" s="50"/>
      <c r="H2361" s="12"/>
      <c r="K2361"/>
    </row>
    <row r="2362" spans="5:11" x14ac:dyDescent="0.2">
      <c r="E2362" s="50"/>
      <c r="H2362" s="12"/>
      <c r="K2362"/>
    </row>
    <row r="2363" spans="5:11" x14ac:dyDescent="0.2">
      <c r="E2363" s="50"/>
      <c r="H2363" s="12"/>
      <c r="K2363"/>
    </row>
    <row r="2364" spans="5:11" x14ac:dyDescent="0.2">
      <c r="E2364" s="50"/>
      <c r="H2364" s="12"/>
      <c r="K2364"/>
    </row>
    <row r="2365" spans="5:11" x14ac:dyDescent="0.2">
      <c r="E2365" s="50"/>
      <c r="H2365" s="12"/>
      <c r="K2365"/>
    </row>
    <row r="2366" spans="5:11" x14ac:dyDescent="0.2">
      <c r="E2366" s="50"/>
      <c r="H2366" s="12"/>
      <c r="K2366"/>
    </row>
    <row r="2367" spans="5:11" x14ac:dyDescent="0.2">
      <c r="E2367" s="50"/>
      <c r="H2367" s="12"/>
      <c r="K2367"/>
    </row>
    <row r="2368" spans="5:11" x14ac:dyDescent="0.2">
      <c r="E2368" s="50"/>
      <c r="H2368" s="12"/>
      <c r="K2368"/>
    </row>
    <row r="2369" spans="5:11" x14ac:dyDescent="0.2">
      <c r="E2369" s="50"/>
      <c r="H2369" s="12"/>
      <c r="K2369"/>
    </row>
    <row r="2370" spans="5:11" x14ac:dyDescent="0.2">
      <c r="E2370" s="50"/>
      <c r="H2370" s="12"/>
      <c r="K2370"/>
    </row>
    <row r="2371" spans="5:11" x14ac:dyDescent="0.2">
      <c r="E2371" s="50"/>
      <c r="H2371" s="12"/>
      <c r="K2371"/>
    </row>
    <row r="2372" spans="5:11" x14ac:dyDescent="0.2">
      <c r="E2372" s="50"/>
      <c r="H2372" s="12"/>
      <c r="K2372"/>
    </row>
    <row r="2373" spans="5:11" x14ac:dyDescent="0.2">
      <c r="E2373" s="50"/>
      <c r="H2373" s="12"/>
      <c r="K2373"/>
    </row>
    <row r="2374" spans="5:11" x14ac:dyDescent="0.2">
      <c r="E2374" s="50"/>
      <c r="H2374" s="12"/>
      <c r="K2374"/>
    </row>
    <row r="2375" spans="5:11" x14ac:dyDescent="0.2">
      <c r="E2375" s="50"/>
      <c r="H2375" s="12"/>
      <c r="K2375"/>
    </row>
    <row r="2376" spans="5:11" x14ac:dyDescent="0.2">
      <c r="E2376" s="50"/>
      <c r="H2376" s="12"/>
      <c r="K2376"/>
    </row>
    <row r="2377" spans="5:11" x14ac:dyDescent="0.2">
      <c r="E2377" s="50"/>
      <c r="H2377" s="12"/>
      <c r="K2377"/>
    </row>
    <row r="2378" spans="5:11" x14ac:dyDescent="0.2">
      <c r="E2378" s="50"/>
      <c r="H2378" s="12"/>
      <c r="K2378"/>
    </row>
    <row r="2379" spans="5:11" x14ac:dyDescent="0.2">
      <c r="E2379" s="50"/>
      <c r="H2379" s="12"/>
      <c r="K2379"/>
    </row>
    <row r="2380" spans="5:11" x14ac:dyDescent="0.2">
      <c r="E2380" s="50"/>
      <c r="H2380" s="12"/>
      <c r="K2380"/>
    </row>
    <row r="2381" spans="5:11" x14ac:dyDescent="0.2">
      <c r="E2381" s="50"/>
      <c r="H2381" s="12"/>
      <c r="K2381"/>
    </row>
    <row r="2382" spans="5:11" x14ac:dyDescent="0.2">
      <c r="E2382" s="50"/>
      <c r="H2382" s="12"/>
      <c r="K2382"/>
    </row>
    <row r="2383" spans="5:11" x14ac:dyDescent="0.2">
      <c r="E2383" s="50"/>
      <c r="H2383" s="12"/>
      <c r="K2383"/>
    </row>
    <row r="2384" spans="5:11" x14ac:dyDescent="0.2">
      <c r="E2384" s="50"/>
      <c r="H2384" s="12"/>
      <c r="K2384"/>
    </row>
    <row r="2385" spans="5:11" x14ac:dyDescent="0.2">
      <c r="E2385" s="50"/>
      <c r="H2385" s="12"/>
      <c r="K2385"/>
    </row>
    <row r="2386" spans="5:11" x14ac:dyDescent="0.2">
      <c r="E2386" s="50"/>
      <c r="H2386" s="12"/>
      <c r="K2386"/>
    </row>
    <row r="2387" spans="5:11" x14ac:dyDescent="0.2">
      <c r="E2387" s="50"/>
      <c r="H2387" s="12"/>
      <c r="K2387"/>
    </row>
    <row r="2388" spans="5:11" x14ac:dyDescent="0.2">
      <c r="E2388" s="50"/>
      <c r="H2388" s="12"/>
      <c r="K2388"/>
    </row>
    <row r="2389" spans="5:11" x14ac:dyDescent="0.2">
      <c r="E2389" s="50"/>
      <c r="H2389" s="12"/>
      <c r="K2389"/>
    </row>
    <row r="2390" spans="5:11" x14ac:dyDescent="0.2">
      <c r="E2390" s="50"/>
      <c r="H2390" s="12"/>
      <c r="K2390"/>
    </row>
    <row r="2391" spans="5:11" x14ac:dyDescent="0.2">
      <c r="E2391" s="50"/>
      <c r="H2391" s="12"/>
      <c r="K2391"/>
    </row>
    <row r="2392" spans="5:11" x14ac:dyDescent="0.2">
      <c r="E2392" s="50"/>
      <c r="H2392" s="12"/>
      <c r="K2392"/>
    </row>
    <row r="2393" spans="5:11" x14ac:dyDescent="0.2">
      <c r="E2393" s="50"/>
      <c r="H2393" s="12"/>
      <c r="K2393"/>
    </row>
    <row r="2394" spans="5:11" x14ac:dyDescent="0.2">
      <c r="E2394" s="50"/>
      <c r="H2394" s="12"/>
      <c r="K2394"/>
    </row>
    <row r="2395" spans="5:11" x14ac:dyDescent="0.2">
      <c r="E2395" s="50"/>
      <c r="H2395" s="12"/>
      <c r="K2395"/>
    </row>
    <row r="2396" spans="5:11" x14ac:dyDescent="0.2">
      <c r="E2396" s="50"/>
      <c r="H2396" s="12"/>
      <c r="K2396"/>
    </row>
    <row r="2397" spans="5:11" x14ac:dyDescent="0.2">
      <c r="E2397" s="50"/>
      <c r="H2397" s="12"/>
      <c r="K2397"/>
    </row>
    <row r="2398" spans="5:11" x14ac:dyDescent="0.2">
      <c r="E2398" s="50"/>
      <c r="H2398" s="12"/>
      <c r="K2398"/>
    </row>
    <row r="2399" spans="5:11" x14ac:dyDescent="0.2">
      <c r="E2399" s="50"/>
      <c r="H2399" s="12"/>
      <c r="K2399"/>
    </row>
    <row r="2400" spans="5:11" x14ac:dyDescent="0.2">
      <c r="E2400" s="50"/>
      <c r="H2400" s="12"/>
      <c r="K2400"/>
    </row>
    <row r="2401" spans="5:11" x14ac:dyDescent="0.2">
      <c r="E2401" s="50"/>
      <c r="H2401" s="12"/>
      <c r="K2401"/>
    </row>
    <row r="2402" spans="5:11" x14ac:dyDescent="0.2">
      <c r="E2402" s="50"/>
      <c r="H2402" s="12"/>
      <c r="K2402"/>
    </row>
    <row r="2403" spans="5:11" x14ac:dyDescent="0.2">
      <c r="E2403" s="50"/>
      <c r="H2403" s="12"/>
      <c r="K2403"/>
    </row>
    <row r="2404" spans="5:11" x14ac:dyDescent="0.2">
      <c r="E2404" s="50"/>
      <c r="H2404" s="12"/>
      <c r="K2404"/>
    </row>
    <row r="2405" spans="5:11" x14ac:dyDescent="0.2">
      <c r="E2405" s="50"/>
      <c r="H2405" s="12"/>
      <c r="K2405"/>
    </row>
    <row r="2406" spans="5:11" x14ac:dyDescent="0.2">
      <c r="E2406" s="50"/>
      <c r="H2406" s="12"/>
      <c r="K2406"/>
    </row>
    <row r="2407" spans="5:11" x14ac:dyDescent="0.2">
      <c r="E2407" s="50"/>
      <c r="H2407" s="12"/>
      <c r="K2407"/>
    </row>
    <row r="2408" spans="5:11" x14ac:dyDescent="0.2">
      <c r="E2408" s="50"/>
      <c r="H2408" s="12"/>
      <c r="K2408"/>
    </row>
    <row r="2409" spans="5:11" x14ac:dyDescent="0.2">
      <c r="E2409" s="50"/>
      <c r="H2409" s="12"/>
      <c r="K2409"/>
    </row>
    <row r="2410" spans="5:11" x14ac:dyDescent="0.2">
      <c r="E2410" s="50"/>
      <c r="H2410" s="12"/>
      <c r="K2410"/>
    </row>
    <row r="2411" spans="5:11" x14ac:dyDescent="0.2">
      <c r="E2411" s="50"/>
      <c r="H2411" s="12"/>
      <c r="K2411"/>
    </row>
    <row r="2412" spans="5:11" x14ac:dyDescent="0.2">
      <c r="E2412" s="50"/>
      <c r="H2412" s="12"/>
      <c r="K2412"/>
    </row>
    <row r="2413" spans="5:11" x14ac:dyDescent="0.2">
      <c r="E2413" s="50"/>
      <c r="H2413" s="12"/>
      <c r="K2413"/>
    </row>
    <row r="2414" spans="5:11" x14ac:dyDescent="0.2">
      <c r="E2414" s="50"/>
      <c r="H2414" s="12"/>
      <c r="K2414"/>
    </row>
    <row r="2415" spans="5:11" x14ac:dyDescent="0.2">
      <c r="E2415" s="50"/>
      <c r="H2415" s="12"/>
      <c r="K2415"/>
    </row>
    <row r="2416" spans="5:11" x14ac:dyDescent="0.2">
      <c r="E2416" s="50"/>
      <c r="H2416" s="12"/>
      <c r="K2416"/>
    </row>
    <row r="2417" spans="5:11" x14ac:dyDescent="0.2">
      <c r="E2417" s="50"/>
      <c r="H2417" s="12"/>
      <c r="K2417"/>
    </row>
    <row r="2418" spans="5:11" x14ac:dyDescent="0.2">
      <c r="E2418" s="50"/>
      <c r="H2418" s="12"/>
      <c r="K2418"/>
    </row>
    <row r="2419" spans="5:11" x14ac:dyDescent="0.2">
      <c r="E2419" s="50"/>
      <c r="H2419" s="12"/>
      <c r="K2419"/>
    </row>
    <row r="2420" spans="5:11" x14ac:dyDescent="0.2">
      <c r="E2420" s="50"/>
      <c r="H2420" s="12"/>
      <c r="K2420"/>
    </row>
    <row r="2421" spans="5:11" x14ac:dyDescent="0.2">
      <c r="E2421" s="50"/>
      <c r="H2421" s="12"/>
      <c r="K2421"/>
    </row>
    <row r="2422" spans="5:11" x14ac:dyDescent="0.2">
      <c r="E2422" s="50"/>
      <c r="H2422" s="12"/>
      <c r="K2422"/>
    </row>
    <row r="2423" spans="5:11" x14ac:dyDescent="0.2">
      <c r="E2423" s="50"/>
      <c r="H2423" s="12"/>
      <c r="K2423"/>
    </row>
    <row r="2424" spans="5:11" x14ac:dyDescent="0.2">
      <c r="E2424" s="50"/>
      <c r="H2424" s="12"/>
      <c r="K2424"/>
    </row>
    <row r="2425" spans="5:11" x14ac:dyDescent="0.2">
      <c r="E2425" s="50"/>
      <c r="H2425" s="12"/>
      <c r="K2425"/>
    </row>
    <row r="2426" spans="5:11" x14ac:dyDescent="0.2">
      <c r="E2426" s="50"/>
      <c r="H2426" s="12"/>
      <c r="K2426"/>
    </row>
    <row r="2427" spans="5:11" x14ac:dyDescent="0.2">
      <c r="E2427" s="50"/>
      <c r="H2427" s="12"/>
      <c r="K2427"/>
    </row>
    <row r="2428" spans="5:11" x14ac:dyDescent="0.2">
      <c r="E2428" s="50"/>
      <c r="H2428" s="12"/>
      <c r="K2428"/>
    </row>
    <row r="2429" spans="5:11" x14ac:dyDescent="0.2">
      <c r="E2429" s="50"/>
      <c r="H2429" s="12"/>
      <c r="K2429"/>
    </row>
    <row r="2430" spans="5:11" x14ac:dyDescent="0.2">
      <c r="E2430" s="50"/>
      <c r="H2430" s="12"/>
      <c r="K2430"/>
    </row>
    <row r="2431" spans="5:11" x14ac:dyDescent="0.2">
      <c r="E2431" s="50"/>
      <c r="H2431" s="12"/>
      <c r="K2431"/>
    </row>
    <row r="2432" spans="5:11" x14ac:dyDescent="0.2">
      <c r="E2432" s="50"/>
      <c r="H2432" s="12"/>
      <c r="K2432"/>
    </row>
    <row r="2433" spans="5:11" x14ac:dyDescent="0.2">
      <c r="E2433" s="50"/>
      <c r="H2433" s="12"/>
      <c r="K2433"/>
    </row>
    <row r="2434" spans="5:11" x14ac:dyDescent="0.2">
      <c r="E2434" s="50"/>
      <c r="H2434" s="12"/>
      <c r="K2434"/>
    </row>
    <row r="2435" spans="5:11" x14ac:dyDescent="0.2">
      <c r="E2435" s="50"/>
      <c r="H2435" s="12"/>
      <c r="K2435"/>
    </row>
    <row r="2436" spans="5:11" x14ac:dyDescent="0.2">
      <c r="E2436" s="50"/>
      <c r="H2436" s="12"/>
      <c r="K2436"/>
    </row>
    <row r="2437" spans="5:11" x14ac:dyDescent="0.2">
      <c r="E2437" s="50"/>
      <c r="H2437" s="12"/>
      <c r="K2437"/>
    </row>
    <row r="2438" spans="5:11" x14ac:dyDescent="0.2">
      <c r="E2438" s="50"/>
      <c r="H2438" s="12"/>
      <c r="K2438"/>
    </row>
    <row r="2439" spans="5:11" x14ac:dyDescent="0.2">
      <c r="E2439" s="50"/>
      <c r="H2439" s="12"/>
      <c r="K2439"/>
    </row>
    <row r="2440" spans="5:11" x14ac:dyDescent="0.2">
      <c r="E2440" s="50"/>
      <c r="H2440" s="12"/>
      <c r="K2440"/>
    </row>
    <row r="2441" spans="5:11" x14ac:dyDescent="0.2">
      <c r="E2441" s="50"/>
      <c r="H2441" s="12"/>
      <c r="K2441"/>
    </row>
    <row r="2442" spans="5:11" x14ac:dyDescent="0.2">
      <c r="E2442" s="50"/>
      <c r="H2442" s="12"/>
      <c r="K2442"/>
    </row>
    <row r="2443" spans="5:11" x14ac:dyDescent="0.2">
      <c r="E2443" s="50"/>
      <c r="H2443" s="12"/>
      <c r="K2443"/>
    </row>
    <row r="2444" spans="5:11" x14ac:dyDescent="0.2">
      <c r="E2444" s="50"/>
      <c r="H2444" s="12"/>
      <c r="K2444"/>
    </row>
    <row r="2445" spans="5:11" x14ac:dyDescent="0.2">
      <c r="E2445" s="50"/>
      <c r="H2445" s="12"/>
      <c r="K2445"/>
    </row>
    <row r="2446" spans="5:11" x14ac:dyDescent="0.2">
      <c r="E2446" s="50"/>
      <c r="H2446" s="12"/>
      <c r="K2446"/>
    </row>
    <row r="2447" spans="5:11" x14ac:dyDescent="0.2">
      <c r="E2447" s="50"/>
      <c r="H2447" s="12"/>
      <c r="K2447"/>
    </row>
    <row r="2448" spans="5:11" x14ac:dyDescent="0.2">
      <c r="E2448" s="50"/>
      <c r="H2448" s="12"/>
      <c r="K2448"/>
    </row>
    <row r="2449" spans="5:11" x14ac:dyDescent="0.2">
      <c r="E2449" s="50"/>
      <c r="H2449" s="12"/>
      <c r="K2449"/>
    </row>
    <row r="2450" spans="5:11" x14ac:dyDescent="0.2">
      <c r="E2450" s="50"/>
      <c r="H2450" s="12"/>
      <c r="K2450"/>
    </row>
    <row r="2451" spans="5:11" x14ac:dyDescent="0.2">
      <c r="E2451" s="50"/>
      <c r="H2451" s="12"/>
      <c r="K2451"/>
    </row>
    <row r="2452" spans="5:11" x14ac:dyDescent="0.2">
      <c r="E2452" s="50"/>
      <c r="H2452" s="12"/>
      <c r="K2452"/>
    </row>
    <row r="2453" spans="5:11" x14ac:dyDescent="0.2">
      <c r="E2453" s="50"/>
      <c r="H2453" s="12"/>
      <c r="K2453"/>
    </row>
    <row r="2454" spans="5:11" x14ac:dyDescent="0.2">
      <c r="E2454" s="50"/>
      <c r="H2454" s="12"/>
      <c r="K2454"/>
    </row>
    <row r="2455" spans="5:11" x14ac:dyDescent="0.2">
      <c r="E2455" s="50"/>
      <c r="H2455" s="12"/>
      <c r="K2455"/>
    </row>
    <row r="2456" spans="5:11" x14ac:dyDescent="0.2">
      <c r="E2456" s="50"/>
      <c r="H2456" s="12"/>
      <c r="K2456"/>
    </row>
    <row r="2457" spans="5:11" x14ac:dyDescent="0.2">
      <c r="E2457" s="50"/>
      <c r="H2457" s="12"/>
      <c r="K2457"/>
    </row>
    <row r="2458" spans="5:11" x14ac:dyDescent="0.2">
      <c r="E2458" s="50"/>
      <c r="H2458" s="12"/>
      <c r="K2458"/>
    </row>
    <row r="2459" spans="5:11" x14ac:dyDescent="0.2">
      <c r="E2459" s="50"/>
      <c r="H2459" s="12"/>
      <c r="K2459"/>
    </row>
    <row r="2460" spans="5:11" x14ac:dyDescent="0.2">
      <c r="E2460" s="50"/>
      <c r="H2460" s="12"/>
      <c r="K2460"/>
    </row>
    <row r="2461" spans="5:11" x14ac:dyDescent="0.2">
      <c r="E2461" s="50"/>
      <c r="H2461" s="12"/>
      <c r="K2461"/>
    </row>
    <row r="2462" spans="5:11" x14ac:dyDescent="0.2">
      <c r="E2462" s="50"/>
      <c r="H2462" s="12"/>
      <c r="K2462"/>
    </row>
    <row r="2463" spans="5:11" x14ac:dyDescent="0.2">
      <c r="E2463" s="50"/>
      <c r="H2463" s="12"/>
      <c r="K2463"/>
    </row>
    <row r="2464" spans="5:11" x14ac:dyDescent="0.2">
      <c r="E2464" s="50"/>
      <c r="H2464" s="12"/>
      <c r="K2464"/>
    </row>
    <row r="2465" spans="5:11" x14ac:dyDescent="0.2">
      <c r="E2465" s="50"/>
      <c r="H2465" s="12"/>
      <c r="K2465"/>
    </row>
    <row r="2466" spans="5:11" x14ac:dyDescent="0.2">
      <c r="E2466" s="50"/>
      <c r="H2466" s="12"/>
      <c r="K2466"/>
    </row>
    <row r="2467" spans="5:11" x14ac:dyDescent="0.2">
      <c r="E2467" s="50"/>
      <c r="H2467" s="12"/>
      <c r="K2467"/>
    </row>
    <row r="2468" spans="5:11" x14ac:dyDescent="0.2">
      <c r="E2468" s="50"/>
      <c r="H2468" s="12"/>
      <c r="K2468"/>
    </row>
    <row r="2469" spans="5:11" x14ac:dyDescent="0.2">
      <c r="E2469" s="50"/>
      <c r="H2469" s="12"/>
      <c r="K2469"/>
    </row>
    <row r="2470" spans="5:11" x14ac:dyDescent="0.2">
      <c r="E2470" s="50"/>
      <c r="H2470" s="12"/>
      <c r="K2470"/>
    </row>
    <row r="2471" spans="5:11" x14ac:dyDescent="0.2">
      <c r="E2471" s="50"/>
      <c r="H2471" s="12"/>
      <c r="K2471"/>
    </row>
    <row r="2472" spans="5:11" x14ac:dyDescent="0.2">
      <c r="E2472" s="50"/>
      <c r="H2472" s="12"/>
      <c r="K2472"/>
    </row>
    <row r="2473" spans="5:11" x14ac:dyDescent="0.2">
      <c r="E2473" s="50"/>
      <c r="H2473" s="12"/>
      <c r="K2473"/>
    </row>
    <row r="2474" spans="5:11" x14ac:dyDescent="0.2">
      <c r="E2474" s="50"/>
      <c r="H2474" s="12"/>
      <c r="K2474"/>
    </row>
    <row r="2475" spans="5:11" x14ac:dyDescent="0.2">
      <c r="E2475" s="50"/>
      <c r="H2475" s="12"/>
      <c r="K2475"/>
    </row>
    <row r="2476" spans="5:11" x14ac:dyDescent="0.2">
      <c r="E2476" s="50"/>
      <c r="H2476" s="12"/>
      <c r="K2476"/>
    </row>
    <row r="2477" spans="5:11" x14ac:dyDescent="0.2">
      <c r="E2477" s="50"/>
      <c r="H2477" s="12"/>
      <c r="K2477"/>
    </row>
    <row r="2478" spans="5:11" x14ac:dyDescent="0.2">
      <c r="E2478" s="50"/>
      <c r="H2478" s="12"/>
      <c r="K2478"/>
    </row>
    <row r="2479" spans="5:11" x14ac:dyDescent="0.2">
      <c r="E2479" s="50"/>
      <c r="H2479" s="12"/>
      <c r="K2479"/>
    </row>
    <row r="2480" spans="5:11" x14ac:dyDescent="0.2">
      <c r="E2480" s="50"/>
      <c r="H2480" s="12"/>
      <c r="K2480"/>
    </row>
    <row r="2481" spans="5:11" x14ac:dyDescent="0.2">
      <c r="E2481" s="50"/>
      <c r="H2481" s="12"/>
      <c r="K2481"/>
    </row>
    <row r="2482" spans="5:11" x14ac:dyDescent="0.2">
      <c r="E2482" s="50"/>
      <c r="H2482" s="12"/>
      <c r="K2482"/>
    </row>
    <row r="2483" spans="5:11" x14ac:dyDescent="0.2">
      <c r="E2483" s="50"/>
      <c r="H2483" s="12"/>
      <c r="K2483"/>
    </row>
    <row r="2484" spans="5:11" x14ac:dyDescent="0.2">
      <c r="E2484" s="50"/>
      <c r="H2484" s="12"/>
      <c r="K2484"/>
    </row>
    <row r="2485" spans="5:11" x14ac:dyDescent="0.2">
      <c r="E2485" s="50"/>
      <c r="H2485" s="12"/>
      <c r="K2485"/>
    </row>
    <row r="2486" spans="5:11" x14ac:dyDescent="0.2">
      <c r="E2486" s="50"/>
      <c r="H2486" s="12"/>
      <c r="K2486"/>
    </row>
    <row r="2487" spans="5:11" x14ac:dyDescent="0.2">
      <c r="E2487" s="50"/>
      <c r="H2487" s="12"/>
      <c r="K2487"/>
    </row>
    <row r="2488" spans="5:11" x14ac:dyDescent="0.2">
      <c r="E2488" s="50"/>
      <c r="H2488" s="12"/>
      <c r="K2488"/>
    </row>
    <row r="2489" spans="5:11" x14ac:dyDescent="0.2">
      <c r="E2489" s="50"/>
      <c r="H2489" s="12"/>
      <c r="K2489"/>
    </row>
    <row r="2490" spans="5:11" x14ac:dyDescent="0.2">
      <c r="E2490" s="50"/>
      <c r="H2490" s="12"/>
      <c r="K2490"/>
    </row>
    <row r="2491" spans="5:11" x14ac:dyDescent="0.2">
      <c r="E2491" s="50"/>
      <c r="H2491" s="12"/>
      <c r="K2491"/>
    </row>
    <row r="2492" spans="5:11" x14ac:dyDescent="0.2">
      <c r="E2492" s="50"/>
      <c r="H2492" s="12"/>
      <c r="K2492"/>
    </row>
    <row r="2493" spans="5:11" x14ac:dyDescent="0.2">
      <c r="E2493" s="50"/>
      <c r="H2493" s="12"/>
      <c r="K2493"/>
    </row>
    <row r="2494" spans="5:11" x14ac:dyDescent="0.2">
      <c r="E2494" s="50"/>
      <c r="H2494" s="12"/>
      <c r="K2494"/>
    </row>
    <row r="2495" spans="5:11" x14ac:dyDescent="0.2">
      <c r="E2495" s="50"/>
      <c r="H2495" s="12"/>
      <c r="K2495"/>
    </row>
    <row r="2496" spans="5:11" x14ac:dyDescent="0.2">
      <c r="E2496" s="50"/>
      <c r="H2496" s="12"/>
      <c r="K2496"/>
    </row>
    <row r="2497" spans="5:11" x14ac:dyDescent="0.2">
      <c r="E2497" s="50"/>
      <c r="H2497" s="12"/>
      <c r="K2497"/>
    </row>
    <row r="2498" spans="5:11" x14ac:dyDescent="0.2">
      <c r="E2498" s="50"/>
      <c r="H2498" s="12"/>
      <c r="K2498"/>
    </row>
    <row r="2499" spans="5:11" x14ac:dyDescent="0.2">
      <c r="E2499" s="50"/>
      <c r="H2499" s="12"/>
      <c r="K2499"/>
    </row>
    <row r="2500" spans="5:11" x14ac:dyDescent="0.2">
      <c r="E2500" s="50"/>
      <c r="H2500" s="12"/>
      <c r="K2500"/>
    </row>
    <row r="2501" spans="5:11" x14ac:dyDescent="0.2">
      <c r="E2501" s="50"/>
      <c r="H2501" s="12"/>
      <c r="K2501"/>
    </row>
    <row r="2502" spans="5:11" x14ac:dyDescent="0.2">
      <c r="E2502" s="50"/>
      <c r="H2502" s="12"/>
      <c r="K2502"/>
    </row>
    <row r="2503" spans="5:11" x14ac:dyDescent="0.2">
      <c r="E2503" s="50"/>
      <c r="H2503" s="12"/>
      <c r="K2503"/>
    </row>
    <row r="2504" spans="5:11" x14ac:dyDescent="0.2">
      <c r="E2504" s="50"/>
      <c r="H2504" s="12"/>
      <c r="K2504"/>
    </row>
    <row r="2505" spans="5:11" x14ac:dyDescent="0.2">
      <c r="E2505" s="50"/>
      <c r="H2505" s="12"/>
      <c r="K2505"/>
    </row>
    <row r="2506" spans="5:11" x14ac:dyDescent="0.2">
      <c r="E2506" s="50"/>
      <c r="H2506" s="12"/>
      <c r="K2506"/>
    </row>
    <row r="2507" spans="5:11" x14ac:dyDescent="0.2">
      <c r="E2507" s="50"/>
      <c r="H2507" s="12"/>
      <c r="K2507"/>
    </row>
    <row r="2508" spans="5:11" x14ac:dyDescent="0.2">
      <c r="E2508" s="50"/>
      <c r="H2508" s="12"/>
      <c r="K2508"/>
    </row>
    <row r="2509" spans="5:11" x14ac:dyDescent="0.2">
      <c r="E2509" s="50"/>
      <c r="H2509" s="12"/>
      <c r="K2509"/>
    </row>
    <row r="2510" spans="5:11" x14ac:dyDescent="0.2">
      <c r="E2510" s="50"/>
      <c r="H2510" s="12"/>
      <c r="K2510"/>
    </row>
    <row r="2511" spans="5:11" x14ac:dyDescent="0.2">
      <c r="E2511" s="50"/>
      <c r="H2511" s="12"/>
      <c r="K2511"/>
    </row>
    <row r="2512" spans="5:11" x14ac:dyDescent="0.2">
      <c r="E2512" s="50"/>
      <c r="H2512" s="12"/>
      <c r="K2512"/>
    </row>
    <row r="2513" spans="5:11" x14ac:dyDescent="0.2">
      <c r="E2513" s="50"/>
      <c r="H2513" s="12"/>
      <c r="K2513"/>
    </row>
    <row r="2514" spans="5:11" x14ac:dyDescent="0.2">
      <c r="E2514" s="50"/>
      <c r="H2514" s="12"/>
      <c r="K2514"/>
    </row>
    <row r="2515" spans="5:11" x14ac:dyDescent="0.2">
      <c r="E2515" s="50"/>
      <c r="H2515" s="12"/>
      <c r="K2515"/>
    </row>
    <row r="2516" spans="5:11" x14ac:dyDescent="0.2">
      <c r="E2516" s="50"/>
      <c r="H2516" s="12"/>
      <c r="K2516"/>
    </row>
    <row r="2517" spans="5:11" x14ac:dyDescent="0.2">
      <c r="E2517" s="50"/>
      <c r="H2517" s="12"/>
      <c r="K2517"/>
    </row>
    <row r="2518" spans="5:11" x14ac:dyDescent="0.2">
      <c r="E2518" s="50"/>
      <c r="H2518" s="12"/>
      <c r="K2518"/>
    </row>
    <row r="2519" spans="5:11" x14ac:dyDescent="0.2">
      <c r="E2519" s="50"/>
      <c r="H2519" s="12"/>
      <c r="K2519"/>
    </row>
    <row r="2520" spans="5:11" x14ac:dyDescent="0.2">
      <c r="E2520" s="50"/>
      <c r="H2520" s="12"/>
      <c r="K2520"/>
    </row>
    <row r="2521" spans="5:11" x14ac:dyDescent="0.2">
      <c r="E2521" s="50"/>
      <c r="H2521" s="12"/>
      <c r="K2521"/>
    </row>
    <row r="2522" spans="5:11" x14ac:dyDescent="0.2">
      <c r="E2522" s="50"/>
      <c r="H2522" s="12"/>
      <c r="K2522"/>
    </row>
    <row r="2523" spans="5:11" x14ac:dyDescent="0.2">
      <c r="E2523" s="50"/>
      <c r="H2523" s="12"/>
      <c r="K2523"/>
    </row>
    <row r="2524" spans="5:11" x14ac:dyDescent="0.2">
      <c r="E2524" s="50"/>
      <c r="H2524" s="12"/>
      <c r="K2524"/>
    </row>
    <row r="2525" spans="5:11" x14ac:dyDescent="0.2">
      <c r="E2525" s="50"/>
      <c r="H2525" s="12"/>
      <c r="K2525"/>
    </row>
    <row r="2526" spans="5:11" x14ac:dyDescent="0.2">
      <c r="E2526" s="50"/>
      <c r="H2526" s="12"/>
      <c r="K2526"/>
    </row>
    <row r="2527" spans="5:11" x14ac:dyDescent="0.2">
      <c r="E2527" s="50"/>
      <c r="H2527" s="12"/>
      <c r="K2527"/>
    </row>
    <row r="2528" spans="5:11" x14ac:dyDescent="0.2">
      <c r="E2528" s="50"/>
      <c r="H2528" s="12"/>
      <c r="K2528"/>
    </row>
    <row r="2529" spans="5:11" x14ac:dyDescent="0.2">
      <c r="E2529" s="50"/>
      <c r="H2529" s="12"/>
      <c r="K2529"/>
    </row>
    <row r="2530" spans="5:11" x14ac:dyDescent="0.2">
      <c r="E2530" s="50"/>
      <c r="H2530" s="12"/>
      <c r="K2530"/>
    </row>
    <row r="2531" spans="5:11" x14ac:dyDescent="0.2">
      <c r="E2531" s="50"/>
      <c r="H2531" s="12"/>
      <c r="K2531"/>
    </row>
    <row r="2532" spans="5:11" x14ac:dyDescent="0.2">
      <c r="E2532" s="50"/>
      <c r="H2532" s="12"/>
      <c r="K2532"/>
    </row>
    <row r="2533" spans="5:11" x14ac:dyDescent="0.2">
      <c r="E2533" s="50"/>
      <c r="H2533" s="12"/>
      <c r="K2533"/>
    </row>
    <row r="2534" spans="5:11" x14ac:dyDescent="0.2">
      <c r="E2534" s="50"/>
      <c r="H2534" s="12"/>
      <c r="K2534"/>
    </row>
    <row r="2535" spans="5:11" x14ac:dyDescent="0.2">
      <c r="E2535" s="50"/>
      <c r="H2535" s="12"/>
      <c r="K2535"/>
    </row>
    <row r="2536" spans="5:11" x14ac:dyDescent="0.2">
      <c r="E2536" s="50"/>
      <c r="H2536" s="12"/>
      <c r="K2536"/>
    </row>
    <row r="2537" spans="5:11" x14ac:dyDescent="0.2">
      <c r="E2537" s="50"/>
      <c r="H2537" s="12"/>
      <c r="K2537"/>
    </row>
    <row r="2538" spans="5:11" x14ac:dyDescent="0.2">
      <c r="E2538" s="50"/>
      <c r="H2538" s="12"/>
      <c r="K2538"/>
    </row>
    <row r="2539" spans="5:11" x14ac:dyDescent="0.2">
      <c r="E2539" s="50"/>
      <c r="H2539" s="12"/>
      <c r="K2539"/>
    </row>
    <row r="2540" spans="5:11" x14ac:dyDescent="0.2">
      <c r="E2540" s="50"/>
      <c r="H2540" s="12"/>
      <c r="K2540"/>
    </row>
    <row r="2541" spans="5:11" x14ac:dyDescent="0.2">
      <c r="E2541" s="50"/>
      <c r="H2541" s="12"/>
      <c r="K2541"/>
    </row>
    <row r="2542" spans="5:11" x14ac:dyDescent="0.2">
      <c r="E2542" s="50"/>
      <c r="H2542" s="12"/>
      <c r="K2542"/>
    </row>
    <row r="2543" spans="5:11" x14ac:dyDescent="0.2">
      <c r="E2543" s="50"/>
      <c r="H2543" s="12"/>
      <c r="K2543"/>
    </row>
    <row r="2544" spans="5:11" x14ac:dyDescent="0.2">
      <c r="E2544" s="50"/>
      <c r="H2544" s="12"/>
      <c r="K2544"/>
    </row>
    <row r="2545" spans="5:11" x14ac:dyDescent="0.2">
      <c r="E2545" s="50"/>
      <c r="H2545" s="12"/>
      <c r="K2545"/>
    </row>
    <row r="2546" spans="5:11" x14ac:dyDescent="0.2">
      <c r="E2546" s="50"/>
      <c r="H2546" s="12"/>
      <c r="K2546"/>
    </row>
    <row r="2547" spans="5:11" x14ac:dyDescent="0.2">
      <c r="E2547" s="50"/>
      <c r="H2547" s="12"/>
      <c r="K2547"/>
    </row>
    <row r="2548" spans="5:11" x14ac:dyDescent="0.2">
      <c r="E2548" s="50"/>
      <c r="H2548" s="12"/>
      <c r="K2548"/>
    </row>
    <row r="2549" spans="5:11" x14ac:dyDescent="0.2">
      <c r="E2549" s="50"/>
      <c r="H2549" s="12"/>
      <c r="K2549"/>
    </row>
    <row r="2550" spans="5:11" x14ac:dyDescent="0.2">
      <c r="E2550" s="50"/>
      <c r="H2550" s="12"/>
      <c r="K2550"/>
    </row>
    <row r="2551" spans="5:11" x14ac:dyDescent="0.2">
      <c r="E2551" s="50"/>
      <c r="H2551" s="12"/>
      <c r="K2551"/>
    </row>
    <row r="2552" spans="5:11" x14ac:dyDescent="0.2">
      <c r="E2552" s="50"/>
      <c r="H2552" s="12"/>
      <c r="K2552"/>
    </row>
    <row r="2553" spans="5:11" x14ac:dyDescent="0.2">
      <c r="E2553" s="50"/>
      <c r="H2553" s="12"/>
      <c r="K2553"/>
    </row>
    <row r="2554" spans="5:11" x14ac:dyDescent="0.2">
      <c r="E2554" s="50"/>
      <c r="H2554" s="12"/>
      <c r="K2554"/>
    </row>
    <row r="2555" spans="5:11" x14ac:dyDescent="0.2">
      <c r="E2555" s="50"/>
      <c r="H2555" s="12"/>
      <c r="K2555"/>
    </row>
    <row r="2556" spans="5:11" x14ac:dyDescent="0.2">
      <c r="E2556" s="50"/>
      <c r="H2556" s="12"/>
      <c r="K2556"/>
    </row>
    <row r="2557" spans="5:11" x14ac:dyDescent="0.2">
      <c r="E2557" s="50"/>
      <c r="H2557" s="12"/>
      <c r="K2557"/>
    </row>
    <row r="2558" spans="5:11" x14ac:dyDescent="0.2">
      <c r="E2558" s="50"/>
      <c r="H2558" s="12"/>
      <c r="K2558"/>
    </row>
    <row r="2559" spans="5:11" x14ac:dyDescent="0.2">
      <c r="E2559" s="50"/>
      <c r="H2559" s="12"/>
      <c r="K2559"/>
    </row>
    <row r="2560" spans="5:11" x14ac:dyDescent="0.2">
      <c r="E2560" s="50"/>
      <c r="H2560" s="12"/>
      <c r="K2560"/>
    </row>
    <row r="2561" spans="5:11" x14ac:dyDescent="0.2">
      <c r="E2561" s="50"/>
      <c r="H2561" s="12"/>
      <c r="K2561"/>
    </row>
    <row r="2562" spans="5:11" x14ac:dyDescent="0.2">
      <c r="E2562" s="50"/>
      <c r="H2562" s="12"/>
      <c r="K2562"/>
    </row>
    <row r="2563" spans="5:11" x14ac:dyDescent="0.2">
      <c r="E2563" s="50"/>
      <c r="H2563" s="12"/>
      <c r="K2563"/>
    </row>
    <row r="2564" spans="5:11" x14ac:dyDescent="0.2">
      <c r="E2564" s="50"/>
      <c r="H2564" s="12"/>
      <c r="K2564"/>
    </row>
    <row r="2565" spans="5:11" x14ac:dyDescent="0.2">
      <c r="E2565" s="50"/>
      <c r="H2565" s="12"/>
      <c r="K2565"/>
    </row>
    <row r="2566" spans="5:11" x14ac:dyDescent="0.2">
      <c r="E2566" s="50"/>
      <c r="H2566" s="12"/>
      <c r="K2566"/>
    </row>
    <row r="2567" spans="5:11" x14ac:dyDescent="0.2">
      <c r="E2567" s="50"/>
      <c r="H2567" s="12"/>
      <c r="K2567"/>
    </row>
    <row r="2568" spans="5:11" x14ac:dyDescent="0.2">
      <c r="E2568" s="50"/>
      <c r="H2568" s="12"/>
      <c r="K2568"/>
    </row>
    <row r="2569" spans="5:11" x14ac:dyDescent="0.2">
      <c r="E2569" s="50"/>
      <c r="H2569" s="12"/>
      <c r="K2569"/>
    </row>
    <row r="2570" spans="5:11" x14ac:dyDescent="0.2">
      <c r="E2570" s="50"/>
      <c r="H2570" s="12"/>
      <c r="K2570"/>
    </row>
    <row r="2571" spans="5:11" x14ac:dyDescent="0.2">
      <c r="E2571" s="50"/>
      <c r="H2571" s="12"/>
      <c r="K2571"/>
    </row>
    <row r="2572" spans="5:11" x14ac:dyDescent="0.2">
      <c r="E2572" s="50"/>
      <c r="H2572" s="12"/>
      <c r="K2572"/>
    </row>
    <row r="2573" spans="5:11" x14ac:dyDescent="0.2">
      <c r="E2573" s="50"/>
      <c r="H2573" s="12"/>
      <c r="K2573"/>
    </row>
    <row r="2574" spans="5:11" x14ac:dyDescent="0.2">
      <c r="E2574" s="50"/>
      <c r="H2574" s="12"/>
      <c r="K2574"/>
    </row>
    <row r="2575" spans="5:11" x14ac:dyDescent="0.2">
      <c r="E2575" s="50"/>
      <c r="H2575" s="12"/>
      <c r="K2575"/>
    </row>
    <row r="2576" spans="5:11" x14ac:dyDescent="0.2">
      <c r="E2576" s="50"/>
      <c r="H2576" s="12"/>
      <c r="K2576"/>
    </row>
    <row r="2577" spans="5:11" x14ac:dyDescent="0.2">
      <c r="E2577" s="50"/>
      <c r="H2577" s="12"/>
      <c r="K2577"/>
    </row>
    <row r="2578" spans="5:11" x14ac:dyDescent="0.2">
      <c r="E2578" s="50"/>
      <c r="H2578" s="12"/>
      <c r="K2578"/>
    </row>
    <row r="2579" spans="5:11" x14ac:dyDescent="0.2">
      <c r="E2579" s="50"/>
      <c r="H2579" s="12"/>
      <c r="K2579"/>
    </row>
    <row r="2580" spans="5:11" x14ac:dyDescent="0.2">
      <c r="E2580" s="50"/>
      <c r="H2580" s="12"/>
      <c r="K2580"/>
    </row>
    <row r="2581" spans="5:11" x14ac:dyDescent="0.2">
      <c r="E2581" s="50"/>
      <c r="H2581" s="12"/>
      <c r="K2581"/>
    </row>
    <row r="2582" spans="5:11" x14ac:dyDescent="0.2">
      <c r="E2582" s="50"/>
      <c r="H2582" s="12"/>
      <c r="K2582"/>
    </row>
    <row r="2583" spans="5:11" x14ac:dyDescent="0.2">
      <c r="E2583" s="50"/>
      <c r="H2583" s="12"/>
      <c r="K2583"/>
    </row>
    <row r="2584" spans="5:11" x14ac:dyDescent="0.2">
      <c r="E2584" s="50"/>
      <c r="H2584" s="12"/>
      <c r="K2584"/>
    </row>
    <row r="2585" spans="5:11" x14ac:dyDescent="0.2">
      <c r="E2585" s="50"/>
      <c r="H2585" s="12"/>
      <c r="K2585"/>
    </row>
    <row r="2586" spans="5:11" x14ac:dyDescent="0.2">
      <c r="E2586" s="50"/>
      <c r="H2586" s="12"/>
      <c r="K2586"/>
    </row>
    <row r="2587" spans="5:11" x14ac:dyDescent="0.2">
      <c r="E2587" s="50"/>
      <c r="H2587" s="12"/>
      <c r="K2587"/>
    </row>
    <row r="2588" spans="5:11" x14ac:dyDescent="0.2">
      <c r="E2588" s="50"/>
      <c r="H2588" s="12"/>
      <c r="K2588"/>
    </row>
    <row r="2589" spans="5:11" x14ac:dyDescent="0.2">
      <c r="E2589" s="50"/>
      <c r="H2589" s="12"/>
      <c r="K2589"/>
    </row>
    <row r="2590" spans="5:11" x14ac:dyDescent="0.2">
      <c r="E2590" s="50"/>
      <c r="H2590" s="12"/>
      <c r="K2590"/>
    </row>
    <row r="2591" spans="5:11" x14ac:dyDescent="0.2">
      <c r="E2591" s="50"/>
      <c r="H2591" s="12"/>
      <c r="K2591"/>
    </row>
    <row r="2592" spans="5:11" x14ac:dyDescent="0.2">
      <c r="E2592" s="50"/>
      <c r="H2592" s="12"/>
      <c r="K2592"/>
    </row>
    <row r="2593" spans="5:11" x14ac:dyDescent="0.2">
      <c r="E2593" s="50"/>
      <c r="H2593" s="12"/>
      <c r="K2593"/>
    </row>
    <row r="2594" spans="5:11" x14ac:dyDescent="0.2">
      <c r="E2594" s="50"/>
      <c r="H2594" s="12"/>
      <c r="K2594"/>
    </row>
    <row r="2595" spans="5:11" x14ac:dyDescent="0.2">
      <c r="E2595" s="50"/>
      <c r="H2595" s="12"/>
      <c r="K2595"/>
    </row>
    <row r="2596" spans="5:11" x14ac:dyDescent="0.2">
      <c r="E2596" s="50"/>
      <c r="H2596" s="12"/>
      <c r="K2596"/>
    </row>
    <row r="2597" spans="5:11" x14ac:dyDescent="0.2">
      <c r="E2597" s="50"/>
      <c r="H2597" s="12"/>
      <c r="K2597"/>
    </row>
    <row r="2598" spans="5:11" x14ac:dyDescent="0.2">
      <c r="E2598" s="50"/>
      <c r="H2598" s="12"/>
      <c r="K2598"/>
    </row>
    <row r="2599" spans="5:11" x14ac:dyDescent="0.2">
      <c r="E2599" s="50"/>
      <c r="H2599" s="12"/>
      <c r="K2599"/>
    </row>
    <row r="2600" spans="5:11" x14ac:dyDescent="0.2">
      <c r="E2600" s="50"/>
      <c r="H2600" s="12"/>
      <c r="K2600"/>
    </row>
    <row r="2601" spans="5:11" x14ac:dyDescent="0.2">
      <c r="E2601" s="50"/>
      <c r="H2601" s="12"/>
      <c r="K2601"/>
    </row>
    <row r="2602" spans="5:11" x14ac:dyDescent="0.2">
      <c r="E2602" s="50"/>
      <c r="H2602" s="12"/>
      <c r="K2602"/>
    </row>
    <row r="2603" spans="5:11" x14ac:dyDescent="0.2">
      <c r="E2603" s="50"/>
      <c r="H2603" s="12"/>
      <c r="K2603"/>
    </row>
    <row r="2604" spans="5:11" x14ac:dyDescent="0.2">
      <c r="E2604" s="50"/>
      <c r="H2604" s="12"/>
      <c r="K2604"/>
    </row>
    <row r="2605" spans="5:11" x14ac:dyDescent="0.2">
      <c r="E2605" s="50"/>
      <c r="H2605" s="12"/>
      <c r="K2605"/>
    </row>
    <row r="2606" spans="5:11" x14ac:dyDescent="0.2">
      <c r="E2606" s="50"/>
      <c r="H2606" s="12"/>
      <c r="K2606"/>
    </row>
    <row r="2607" spans="5:11" x14ac:dyDescent="0.2">
      <c r="E2607" s="50"/>
      <c r="H2607" s="12"/>
      <c r="K2607"/>
    </row>
    <row r="2608" spans="5:11" x14ac:dyDescent="0.2">
      <c r="E2608" s="50"/>
      <c r="H2608" s="12"/>
      <c r="K2608"/>
    </row>
    <row r="2609" spans="5:11" x14ac:dyDescent="0.2">
      <c r="E2609" s="50"/>
      <c r="H2609" s="12"/>
      <c r="K2609"/>
    </row>
    <row r="2610" spans="5:11" x14ac:dyDescent="0.2">
      <c r="E2610" s="50"/>
      <c r="H2610" s="12"/>
      <c r="K2610"/>
    </row>
    <row r="2611" spans="5:11" x14ac:dyDescent="0.2">
      <c r="E2611" s="50"/>
      <c r="H2611" s="12"/>
      <c r="K2611"/>
    </row>
    <row r="2612" spans="5:11" x14ac:dyDescent="0.2">
      <c r="E2612" s="50"/>
      <c r="H2612" s="12"/>
      <c r="K2612"/>
    </row>
    <row r="2613" spans="5:11" x14ac:dyDescent="0.2">
      <c r="E2613" s="50"/>
      <c r="H2613" s="12"/>
      <c r="K2613"/>
    </row>
    <row r="2614" spans="5:11" x14ac:dyDescent="0.2">
      <c r="E2614" s="50"/>
      <c r="H2614" s="12"/>
      <c r="K2614"/>
    </row>
    <row r="2615" spans="5:11" x14ac:dyDescent="0.2">
      <c r="E2615" s="50"/>
      <c r="H2615" s="12"/>
      <c r="K2615"/>
    </row>
    <row r="2616" spans="5:11" x14ac:dyDescent="0.2">
      <c r="E2616" s="50"/>
      <c r="H2616" s="12"/>
      <c r="K2616"/>
    </row>
    <row r="2617" spans="5:11" x14ac:dyDescent="0.2">
      <c r="E2617" s="50"/>
      <c r="H2617" s="12"/>
      <c r="K2617"/>
    </row>
    <row r="2618" spans="5:11" x14ac:dyDescent="0.2">
      <c r="E2618" s="50"/>
      <c r="H2618" s="12"/>
      <c r="K2618"/>
    </row>
    <row r="2619" spans="5:11" x14ac:dyDescent="0.2">
      <c r="E2619" s="50"/>
      <c r="H2619" s="12"/>
      <c r="K2619"/>
    </row>
    <row r="2620" spans="5:11" x14ac:dyDescent="0.2">
      <c r="E2620" s="50"/>
      <c r="H2620" s="12"/>
      <c r="K2620"/>
    </row>
    <row r="2621" spans="5:11" x14ac:dyDescent="0.2">
      <c r="E2621" s="50"/>
      <c r="H2621" s="12"/>
      <c r="K2621"/>
    </row>
    <row r="2622" spans="5:11" x14ac:dyDescent="0.2">
      <c r="E2622" s="50"/>
      <c r="H2622" s="12"/>
      <c r="K2622"/>
    </row>
    <row r="2623" spans="5:11" x14ac:dyDescent="0.2">
      <c r="E2623" s="50"/>
      <c r="H2623" s="12"/>
      <c r="K2623"/>
    </row>
    <row r="2624" spans="5:11" x14ac:dyDescent="0.2">
      <c r="E2624" s="50"/>
      <c r="H2624" s="12"/>
      <c r="K2624"/>
    </row>
    <row r="2625" spans="5:11" x14ac:dyDescent="0.2">
      <c r="E2625" s="50"/>
      <c r="H2625" s="12"/>
      <c r="K2625"/>
    </row>
    <row r="2626" spans="5:11" x14ac:dyDescent="0.2">
      <c r="E2626" s="50"/>
      <c r="H2626" s="12"/>
      <c r="K2626"/>
    </row>
    <row r="2627" spans="5:11" x14ac:dyDescent="0.2">
      <c r="E2627" s="50"/>
      <c r="H2627" s="12"/>
      <c r="K2627"/>
    </row>
    <row r="2628" spans="5:11" x14ac:dyDescent="0.2">
      <c r="E2628" s="50"/>
      <c r="H2628" s="12"/>
      <c r="K2628"/>
    </row>
    <row r="2629" spans="5:11" x14ac:dyDescent="0.2">
      <c r="E2629" s="50"/>
      <c r="H2629" s="12"/>
      <c r="K2629"/>
    </row>
    <row r="2630" spans="5:11" x14ac:dyDescent="0.2">
      <c r="E2630" s="50"/>
      <c r="H2630" s="12"/>
      <c r="K2630"/>
    </row>
    <row r="2631" spans="5:11" x14ac:dyDescent="0.2">
      <c r="E2631" s="50"/>
      <c r="H2631" s="12"/>
      <c r="K2631"/>
    </row>
    <row r="2632" spans="5:11" x14ac:dyDescent="0.2">
      <c r="E2632" s="50"/>
      <c r="H2632" s="12"/>
      <c r="K2632"/>
    </row>
    <row r="2633" spans="5:11" x14ac:dyDescent="0.2">
      <c r="E2633" s="50"/>
      <c r="H2633" s="12"/>
      <c r="K2633"/>
    </row>
    <row r="2634" spans="5:11" x14ac:dyDescent="0.2">
      <c r="E2634" s="50"/>
      <c r="H2634" s="12"/>
      <c r="K2634"/>
    </row>
    <row r="2635" spans="5:11" x14ac:dyDescent="0.2">
      <c r="E2635" s="50"/>
      <c r="H2635" s="12"/>
      <c r="K2635"/>
    </row>
    <row r="2636" spans="5:11" x14ac:dyDescent="0.2">
      <c r="E2636" s="50"/>
      <c r="H2636" s="12"/>
      <c r="K2636"/>
    </row>
    <row r="2637" spans="5:11" x14ac:dyDescent="0.2">
      <c r="E2637" s="50"/>
      <c r="H2637" s="12"/>
      <c r="K2637"/>
    </row>
    <row r="2638" spans="5:11" x14ac:dyDescent="0.2">
      <c r="E2638" s="50"/>
      <c r="H2638" s="12"/>
      <c r="K2638"/>
    </row>
    <row r="2639" spans="5:11" x14ac:dyDescent="0.2">
      <c r="E2639" s="50"/>
      <c r="H2639" s="12"/>
      <c r="K2639"/>
    </row>
    <row r="2640" spans="5:11" x14ac:dyDescent="0.2">
      <c r="E2640" s="50"/>
      <c r="H2640" s="12"/>
      <c r="K2640"/>
    </row>
    <row r="2641" spans="5:11" x14ac:dyDescent="0.2">
      <c r="E2641" s="50"/>
      <c r="H2641" s="12"/>
      <c r="K2641"/>
    </row>
    <row r="2642" spans="5:11" x14ac:dyDescent="0.2">
      <c r="E2642" s="50"/>
      <c r="H2642" s="12"/>
      <c r="K2642"/>
    </row>
    <row r="2643" spans="5:11" x14ac:dyDescent="0.2">
      <c r="E2643" s="50"/>
      <c r="H2643" s="12"/>
      <c r="K2643"/>
    </row>
    <row r="2644" spans="5:11" x14ac:dyDescent="0.2">
      <c r="E2644" s="50"/>
      <c r="H2644" s="12"/>
      <c r="K2644"/>
    </row>
    <row r="2645" spans="5:11" x14ac:dyDescent="0.2">
      <c r="E2645" s="50"/>
      <c r="H2645" s="12"/>
      <c r="K2645"/>
    </row>
    <row r="2646" spans="5:11" x14ac:dyDescent="0.2">
      <c r="E2646" s="50"/>
      <c r="H2646" s="12"/>
      <c r="K2646"/>
    </row>
    <row r="2647" spans="5:11" x14ac:dyDescent="0.2">
      <c r="E2647" s="50"/>
      <c r="H2647" s="12"/>
      <c r="K2647"/>
    </row>
    <row r="2648" spans="5:11" x14ac:dyDescent="0.2">
      <c r="E2648" s="50"/>
      <c r="H2648" s="12"/>
      <c r="K2648"/>
    </row>
    <row r="2649" spans="5:11" x14ac:dyDescent="0.2">
      <c r="E2649" s="50"/>
      <c r="H2649" s="12"/>
      <c r="K2649"/>
    </row>
    <row r="2650" spans="5:11" x14ac:dyDescent="0.2">
      <c r="E2650" s="50"/>
      <c r="H2650" s="12"/>
      <c r="K2650"/>
    </row>
    <row r="2651" spans="5:11" x14ac:dyDescent="0.2">
      <c r="E2651" s="50"/>
      <c r="H2651" s="12"/>
      <c r="K2651"/>
    </row>
    <row r="2652" spans="5:11" x14ac:dyDescent="0.2">
      <c r="E2652" s="50"/>
      <c r="H2652" s="12"/>
      <c r="K2652"/>
    </row>
    <row r="2653" spans="5:11" x14ac:dyDescent="0.2">
      <c r="E2653" s="50"/>
      <c r="H2653" s="12"/>
      <c r="K2653"/>
    </row>
    <row r="2654" spans="5:11" x14ac:dyDescent="0.2">
      <c r="E2654" s="50"/>
      <c r="H2654" s="12"/>
      <c r="K2654"/>
    </row>
    <row r="2655" spans="5:11" x14ac:dyDescent="0.2">
      <c r="E2655" s="50"/>
      <c r="H2655" s="12"/>
      <c r="K2655"/>
    </row>
    <row r="2656" spans="5:11" x14ac:dyDescent="0.2">
      <c r="E2656" s="50"/>
      <c r="H2656" s="12"/>
      <c r="K2656"/>
    </row>
    <row r="2657" spans="5:11" x14ac:dyDescent="0.2">
      <c r="E2657" s="50"/>
      <c r="H2657" s="12"/>
      <c r="K2657"/>
    </row>
    <row r="2658" spans="5:11" x14ac:dyDescent="0.2">
      <c r="E2658" s="50"/>
      <c r="H2658" s="12"/>
      <c r="K2658"/>
    </row>
    <row r="2659" spans="5:11" x14ac:dyDescent="0.2">
      <c r="E2659" s="50"/>
      <c r="H2659" s="12"/>
      <c r="K2659"/>
    </row>
    <row r="2660" spans="5:11" x14ac:dyDescent="0.2">
      <c r="E2660" s="50"/>
      <c r="H2660" s="12"/>
      <c r="K2660"/>
    </row>
    <row r="2661" spans="5:11" x14ac:dyDescent="0.2">
      <c r="E2661" s="50"/>
      <c r="H2661" s="12"/>
      <c r="K2661"/>
    </row>
    <row r="2662" spans="5:11" x14ac:dyDescent="0.2">
      <c r="E2662" s="50"/>
      <c r="H2662" s="12"/>
      <c r="K2662"/>
    </row>
    <row r="2663" spans="5:11" x14ac:dyDescent="0.2">
      <c r="E2663" s="50"/>
      <c r="H2663" s="12"/>
      <c r="K2663"/>
    </row>
    <row r="2664" spans="5:11" x14ac:dyDescent="0.2">
      <c r="E2664" s="50"/>
      <c r="H2664" s="12"/>
      <c r="K2664"/>
    </row>
    <row r="2665" spans="5:11" x14ac:dyDescent="0.2">
      <c r="E2665" s="50"/>
      <c r="H2665" s="12"/>
      <c r="K2665"/>
    </row>
    <row r="2666" spans="5:11" x14ac:dyDescent="0.2">
      <c r="E2666" s="50"/>
      <c r="H2666" s="12"/>
      <c r="K2666"/>
    </row>
    <row r="2667" spans="5:11" x14ac:dyDescent="0.2">
      <c r="E2667" s="50"/>
      <c r="H2667" s="12"/>
      <c r="K2667"/>
    </row>
    <row r="2668" spans="5:11" x14ac:dyDescent="0.2">
      <c r="E2668" s="50"/>
      <c r="H2668" s="12"/>
      <c r="K2668"/>
    </row>
    <row r="2669" spans="5:11" x14ac:dyDescent="0.2">
      <c r="E2669" s="50"/>
      <c r="H2669" s="12"/>
      <c r="K2669"/>
    </row>
    <row r="2670" spans="5:11" x14ac:dyDescent="0.2">
      <c r="E2670" s="50"/>
      <c r="H2670" s="12"/>
      <c r="K2670"/>
    </row>
    <row r="2671" spans="5:11" x14ac:dyDescent="0.2">
      <c r="E2671" s="50"/>
      <c r="H2671" s="12"/>
      <c r="K2671"/>
    </row>
    <row r="2672" spans="5:11" x14ac:dyDescent="0.2">
      <c r="E2672" s="50"/>
      <c r="H2672" s="12"/>
      <c r="K2672"/>
    </row>
    <row r="2673" spans="5:11" x14ac:dyDescent="0.2">
      <c r="E2673" s="50"/>
      <c r="H2673" s="12"/>
      <c r="K2673"/>
    </row>
    <row r="2674" spans="5:11" x14ac:dyDescent="0.2">
      <c r="E2674" s="50"/>
      <c r="H2674" s="12"/>
      <c r="K2674"/>
    </row>
    <row r="2675" spans="5:11" x14ac:dyDescent="0.2">
      <c r="E2675" s="50"/>
      <c r="H2675" s="12"/>
      <c r="K2675"/>
    </row>
    <row r="2676" spans="5:11" x14ac:dyDescent="0.2">
      <c r="E2676" s="50"/>
      <c r="H2676" s="12"/>
      <c r="K2676"/>
    </row>
    <row r="2677" spans="5:11" x14ac:dyDescent="0.2">
      <c r="E2677" s="50"/>
      <c r="H2677" s="12"/>
      <c r="K2677"/>
    </row>
    <row r="2678" spans="5:11" x14ac:dyDescent="0.2">
      <c r="E2678" s="50"/>
      <c r="H2678" s="12"/>
      <c r="K2678"/>
    </row>
    <row r="2679" spans="5:11" x14ac:dyDescent="0.2">
      <c r="E2679" s="50"/>
      <c r="H2679" s="12"/>
      <c r="K2679"/>
    </row>
    <row r="2680" spans="5:11" x14ac:dyDescent="0.2">
      <c r="E2680" s="50"/>
      <c r="H2680" s="12"/>
      <c r="K2680"/>
    </row>
    <row r="2681" spans="5:11" x14ac:dyDescent="0.2">
      <c r="E2681" s="50"/>
      <c r="H2681" s="12"/>
      <c r="K2681"/>
    </row>
    <row r="2682" spans="5:11" x14ac:dyDescent="0.2">
      <c r="E2682" s="50"/>
      <c r="H2682" s="12"/>
      <c r="K2682"/>
    </row>
    <row r="2683" spans="5:11" x14ac:dyDescent="0.2">
      <c r="E2683" s="50"/>
      <c r="H2683" s="12"/>
      <c r="K2683"/>
    </row>
    <row r="2684" spans="5:11" x14ac:dyDescent="0.2">
      <c r="E2684" s="50"/>
      <c r="H2684" s="12"/>
      <c r="K2684"/>
    </row>
    <row r="2685" spans="5:11" x14ac:dyDescent="0.2">
      <c r="E2685" s="50"/>
      <c r="H2685" s="12"/>
      <c r="K2685"/>
    </row>
    <row r="2686" spans="5:11" x14ac:dyDescent="0.2">
      <c r="E2686" s="50"/>
      <c r="H2686" s="12"/>
      <c r="K2686"/>
    </row>
    <row r="2687" spans="5:11" x14ac:dyDescent="0.2">
      <c r="E2687" s="50"/>
      <c r="H2687" s="12"/>
      <c r="K2687"/>
    </row>
    <row r="2688" spans="5:11" x14ac:dyDescent="0.2">
      <c r="E2688" s="50"/>
      <c r="H2688" s="12"/>
      <c r="K2688"/>
    </row>
    <row r="2689" spans="5:11" x14ac:dyDescent="0.2">
      <c r="E2689" s="50"/>
      <c r="H2689" s="12"/>
      <c r="K2689"/>
    </row>
    <row r="2690" spans="5:11" x14ac:dyDescent="0.2">
      <c r="E2690" s="50"/>
      <c r="H2690" s="12"/>
      <c r="K2690"/>
    </row>
    <row r="2691" spans="5:11" x14ac:dyDescent="0.2">
      <c r="E2691" s="50"/>
      <c r="H2691" s="12"/>
      <c r="K2691"/>
    </row>
    <row r="2692" spans="5:11" x14ac:dyDescent="0.2">
      <c r="E2692" s="50"/>
      <c r="H2692" s="12"/>
      <c r="K2692"/>
    </row>
    <row r="2693" spans="5:11" x14ac:dyDescent="0.2">
      <c r="E2693" s="50"/>
      <c r="H2693" s="12"/>
      <c r="K2693"/>
    </row>
    <row r="2694" spans="5:11" x14ac:dyDescent="0.2">
      <c r="E2694" s="50"/>
      <c r="H2694" s="12"/>
      <c r="K2694"/>
    </row>
    <row r="2695" spans="5:11" x14ac:dyDescent="0.2">
      <c r="E2695" s="50"/>
      <c r="H2695" s="12"/>
      <c r="K2695"/>
    </row>
    <row r="2696" spans="5:11" x14ac:dyDescent="0.2">
      <c r="E2696" s="50"/>
      <c r="H2696" s="12"/>
      <c r="K2696"/>
    </row>
    <row r="2697" spans="5:11" x14ac:dyDescent="0.2">
      <c r="E2697" s="50"/>
      <c r="H2697" s="12"/>
      <c r="K2697"/>
    </row>
    <row r="2698" spans="5:11" x14ac:dyDescent="0.2">
      <c r="E2698" s="50"/>
      <c r="H2698" s="12"/>
      <c r="K2698"/>
    </row>
    <row r="2699" spans="5:11" x14ac:dyDescent="0.2">
      <c r="E2699" s="50"/>
      <c r="H2699" s="12"/>
      <c r="K2699"/>
    </row>
    <row r="2700" spans="5:11" x14ac:dyDescent="0.2">
      <c r="E2700" s="50"/>
      <c r="H2700" s="12"/>
      <c r="K2700"/>
    </row>
    <row r="2701" spans="5:11" x14ac:dyDescent="0.2">
      <c r="E2701" s="50"/>
      <c r="H2701" s="12"/>
      <c r="K2701"/>
    </row>
    <row r="2702" spans="5:11" x14ac:dyDescent="0.2">
      <c r="E2702" s="50"/>
      <c r="H2702" s="12"/>
      <c r="K2702"/>
    </row>
    <row r="2703" spans="5:11" x14ac:dyDescent="0.2">
      <c r="E2703" s="50"/>
      <c r="H2703" s="12"/>
      <c r="K2703"/>
    </row>
    <row r="2704" spans="5:11" x14ac:dyDescent="0.2">
      <c r="E2704" s="50"/>
      <c r="H2704" s="12"/>
      <c r="K2704"/>
    </row>
    <row r="2705" spans="5:11" x14ac:dyDescent="0.2">
      <c r="E2705" s="50"/>
      <c r="H2705" s="12"/>
      <c r="K2705"/>
    </row>
    <row r="2706" spans="5:11" x14ac:dyDescent="0.2">
      <c r="E2706" s="50"/>
      <c r="H2706" s="12"/>
      <c r="K2706"/>
    </row>
    <row r="2707" spans="5:11" x14ac:dyDescent="0.2">
      <c r="E2707" s="50"/>
      <c r="H2707" s="12"/>
      <c r="K2707"/>
    </row>
    <row r="2708" spans="5:11" x14ac:dyDescent="0.2">
      <c r="E2708" s="50"/>
      <c r="H2708" s="12"/>
      <c r="K2708"/>
    </row>
    <row r="2709" spans="5:11" x14ac:dyDescent="0.2">
      <c r="E2709" s="50"/>
      <c r="H2709" s="12"/>
      <c r="K2709"/>
    </row>
    <row r="2710" spans="5:11" x14ac:dyDescent="0.2">
      <c r="E2710" s="50"/>
      <c r="H2710" s="12"/>
      <c r="K2710"/>
    </row>
    <row r="2711" spans="5:11" x14ac:dyDescent="0.2">
      <c r="E2711" s="50"/>
      <c r="H2711" s="12"/>
      <c r="K2711"/>
    </row>
    <row r="2712" spans="5:11" x14ac:dyDescent="0.2">
      <c r="E2712" s="50"/>
      <c r="H2712" s="12"/>
      <c r="K2712"/>
    </row>
    <row r="2713" spans="5:11" x14ac:dyDescent="0.2">
      <c r="E2713" s="50"/>
      <c r="H2713" s="12"/>
      <c r="K2713"/>
    </row>
    <row r="2714" spans="5:11" x14ac:dyDescent="0.2">
      <c r="E2714" s="50"/>
      <c r="H2714" s="12"/>
      <c r="K2714"/>
    </row>
    <row r="2715" spans="5:11" x14ac:dyDescent="0.2">
      <c r="E2715" s="50"/>
      <c r="H2715" s="12"/>
      <c r="K2715"/>
    </row>
    <row r="2716" spans="5:11" x14ac:dyDescent="0.2">
      <c r="E2716" s="50"/>
      <c r="H2716" s="12"/>
      <c r="K2716"/>
    </row>
    <row r="2717" spans="5:11" x14ac:dyDescent="0.2">
      <c r="E2717" s="50"/>
      <c r="H2717" s="12"/>
      <c r="K2717"/>
    </row>
    <row r="2718" spans="5:11" x14ac:dyDescent="0.2">
      <c r="E2718" s="50"/>
      <c r="H2718" s="12"/>
      <c r="K2718"/>
    </row>
    <row r="2719" spans="5:11" x14ac:dyDescent="0.2">
      <c r="E2719" s="50"/>
      <c r="H2719" s="12"/>
      <c r="K2719"/>
    </row>
    <row r="2720" spans="5:11" x14ac:dyDescent="0.2">
      <c r="E2720" s="50"/>
      <c r="H2720" s="12"/>
      <c r="K2720"/>
    </row>
    <row r="2721" spans="5:11" x14ac:dyDescent="0.2">
      <c r="E2721" s="50"/>
      <c r="H2721" s="12"/>
      <c r="K2721"/>
    </row>
    <row r="2722" spans="5:11" x14ac:dyDescent="0.2">
      <c r="E2722" s="50"/>
      <c r="H2722" s="12"/>
      <c r="K2722"/>
    </row>
    <row r="2723" spans="5:11" x14ac:dyDescent="0.2">
      <c r="E2723" s="50"/>
      <c r="H2723" s="12"/>
      <c r="K2723"/>
    </row>
    <row r="2724" spans="5:11" x14ac:dyDescent="0.2">
      <c r="E2724" s="50"/>
      <c r="H2724" s="12"/>
      <c r="K2724"/>
    </row>
    <row r="2725" spans="5:11" x14ac:dyDescent="0.2">
      <c r="E2725" s="50"/>
      <c r="H2725" s="12"/>
      <c r="K2725"/>
    </row>
    <row r="2726" spans="5:11" x14ac:dyDescent="0.2">
      <c r="E2726" s="50"/>
      <c r="H2726" s="12"/>
      <c r="K2726"/>
    </row>
    <row r="2727" spans="5:11" x14ac:dyDescent="0.2">
      <c r="E2727" s="50"/>
      <c r="H2727" s="12"/>
      <c r="K2727"/>
    </row>
    <row r="2728" spans="5:11" x14ac:dyDescent="0.2">
      <c r="E2728" s="50"/>
      <c r="H2728" s="12"/>
      <c r="K2728"/>
    </row>
    <row r="2729" spans="5:11" x14ac:dyDescent="0.2">
      <c r="E2729" s="50"/>
      <c r="H2729" s="12"/>
      <c r="K2729"/>
    </row>
    <row r="2730" spans="5:11" x14ac:dyDescent="0.2">
      <c r="E2730" s="50"/>
      <c r="H2730" s="12"/>
      <c r="K2730"/>
    </row>
    <row r="2731" spans="5:11" x14ac:dyDescent="0.2">
      <c r="E2731" s="50"/>
      <c r="H2731" s="12"/>
      <c r="K2731"/>
    </row>
    <row r="2732" spans="5:11" x14ac:dyDescent="0.2">
      <c r="E2732" s="50"/>
      <c r="H2732" s="12"/>
      <c r="K2732"/>
    </row>
    <row r="2733" spans="5:11" x14ac:dyDescent="0.2">
      <c r="E2733" s="50"/>
      <c r="H2733" s="12"/>
      <c r="K2733"/>
    </row>
    <row r="2734" spans="5:11" x14ac:dyDescent="0.2">
      <c r="E2734" s="50"/>
      <c r="H2734" s="12"/>
      <c r="K2734"/>
    </row>
    <row r="2735" spans="5:11" x14ac:dyDescent="0.2">
      <c r="E2735" s="50"/>
      <c r="H2735" s="12"/>
      <c r="K2735"/>
    </row>
    <row r="2736" spans="5:11" x14ac:dyDescent="0.2">
      <c r="E2736" s="50"/>
      <c r="H2736" s="12"/>
      <c r="K2736"/>
    </row>
    <row r="2737" spans="5:11" x14ac:dyDescent="0.2">
      <c r="E2737" s="50"/>
      <c r="H2737" s="12"/>
      <c r="K2737"/>
    </row>
    <row r="2738" spans="5:11" x14ac:dyDescent="0.2">
      <c r="E2738" s="50"/>
      <c r="H2738" s="12"/>
      <c r="K2738"/>
    </row>
    <row r="2739" spans="5:11" x14ac:dyDescent="0.2">
      <c r="E2739" s="50"/>
      <c r="H2739" s="12"/>
      <c r="K2739"/>
    </row>
    <row r="2740" spans="5:11" x14ac:dyDescent="0.2">
      <c r="E2740" s="50"/>
      <c r="H2740" s="12"/>
      <c r="K2740"/>
    </row>
    <row r="2741" spans="5:11" x14ac:dyDescent="0.2">
      <c r="E2741" s="50"/>
      <c r="H2741" s="12"/>
      <c r="K2741"/>
    </row>
    <row r="2742" spans="5:11" x14ac:dyDescent="0.2">
      <c r="E2742" s="50"/>
      <c r="H2742" s="12"/>
      <c r="K2742"/>
    </row>
    <row r="2743" spans="5:11" x14ac:dyDescent="0.2">
      <c r="E2743" s="50"/>
      <c r="H2743" s="12"/>
      <c r="K2743"/>
    </row>
    <row r="2744" spans="5:11" x14ac:dyDescent="0.2">
      <c r="E2744" s="50"/>
      <c r="H2744" s="12"/>
      <c r="K2744"/>
    </row>
    <row r="2745" spans="5:11" x14ac:dyDescent="0.2">
      <c r="E2745" s="50"/>
      <c r="H2745" s="12"/>
      <c r="K2745"/>
    </row>
    <row r="2746" spans="5:11" x14ac:dyDescent="0.2">
      <c r="E2746" s="50"/>
      <c r="H2746" s="12"/>
      <c r="K2746"/>
    </row>
    <row r="2747" spans="5:11" x14ac:dyDescent="0.2">
      <c r="E2747" s="50"/>
      <c r="H2747" s="12"/>
      <c r="K2747"/>
    </row>
    <row r="2748" spans="5:11" x14ac:dyDescent="0.2">
      <c r="E2748" s="50"/>
      <c r="H2748" s="12"/>
      <c r="K2748"/>
    </row>
    <row r="2749" spans="5:11" x14ac:dyDescent="0.2">
      <c r="E2749" s="50"/>
      <c r="H2749" s="12"/>
      <c r="K2749"/>
    </row>
    <row r="2750" spans="5:11" x14ac:dyDescent="0.2">
      <c r="E2750" s="50"/>
      <c r="H2750" s="12"/>
      <c r="K2750"/>
    </row>
    <row r="2751" spans="5:11" x14ac:dyDescent="0.2">
      <c r="E2751" s="50"/>
      <c r="H2751" s="12"/>
      <c r="K2751"/>
    </row>
    <row r="2752" spans="5:11" x14ac:dyDescent="0.2">
      <c r="E2752" s="50"/>
      <c r="H2752" s="12"/>
      <c r="K2752"/>
    </row>
    <row r="2753" spans="5:11" x14ac:dyDescent="0.2">
      <c r="E2753" s="50"/>
      <c r="H2753" s="12"/>
      <c r="K2753"/>
    </row>
    <row r="2754" spans="5:11" x14ac:dyDescent="0.2">
      <c r="E2754" s="50"/>
      <c r="H2754" s="12"/>
      <c r="K2754"/>
    </row>
    <row r="2755" spans="5:11" x14ac:dyDescent="0.2">
      <c r="E2755" s="50"/>
      <c r="H2755" s="12"/>
      <c r="K2755"/>
    </row>
    <row r="2756" spans="5:11" x14ac:dyDescent="0.2">
      <c r="E2756" s="50"/>
      <c r="H2756" s="12"/>
      <c r="K2756"/>
    </row>
    <row r="2757" spans="5:11" x14ac:dyDescent="0.2">
      <c r="E2757" s="50"/>
      <c r="H2757" s="12"/>
      <c r="K2757"/>
    </row>
    <row r="2758" spans="5:11" x14ac:dyDescent="0.2">
      <c r="E2758" s="50"/>
      <c r="H2758" s="12"/>
      <c r="K2758"/>
    </row>
    <row r="2759" spans="5:11" x14ac:dyDescent="0.2">
      <c r="E2759" s="50"/>
      <c r="H2759" s="12"/>
      <c r="K2759"/>
    </row>
    <row r="2760" spans="5:11" x14ac:dyDescent="0.2">
      <c r="E2760" s="50"/>
      <c r="H2760" s="12"/>
      <c r="K2760"/>
    </row>
    <row r="2761" spans="5:11" x14ac:dyDescent="0.2">
      <c r="E2761" s="50"/>
      <c r="H2761" s="12"/>
      <c r="K2761"/>
    </row>
    <row r="2762" spans="5:11" x14ac:dyDescent="0.2">
      <c r="E2762" s="50"/>
      <c r="H2762" s="12"/>
      <c r="K2762"/>
    </row>
    <row r="2763" spans="5:11" x14ac:dyDescent="0.2">
      <c r="E2763" s="50"/>
      <c r="H2763" s="12"/>
      <c r="K2763"/>
    </row>
    <row r="2764" spans="5:11" x14ac:dyDescent="0.2">
      <c r="E2764" s="50"/>
      <c r="H2764" s="12"/>
      <c r="K2764"/>
    </row>
    <row r="2765" spans="5:11" x14ac:dyDescent="0.2">
      <c r="E2765" s="50"/>
      <c r="H2765" s="12"/>
      <c r="K2765"/>
    </row>
    <row r="2766" spans="5:11" x14ac:dyDescent="0.2">
      <c r="E2766" s="50"/>
      <c r="H2766" s="12"/>
      <c r="K2766"/>
    </row>
    <row r="2767" spans="5:11" x14ac:dyDescent="0.2">
      <c r="E2767" s="50"/>
      <c r="H2767" s="12"/>
      <c r="K2767"/>
    </row>
    <row r="2768" spans="5:11" x14ac:dyDescent="0.2">
      <c r="E2768" s="50"/>
      <c r="H2768" s="12"/>
      <c r="K2768"/>
    </row>
    <row r="2769" spans="5:11" x14ac:dyDescent="0.2">
      <c r="E2769" s="50"/>
      <c r="H2769" s="12"/>
      <c r="K2769"/>
    </row>
    <row r="2770" spans="5:11" x14ac:dyDescent="0.2">
      <c r="E2770" s="50"/>
      <c r="H2770" s="12"/>
      <c r="K2770"/>
    </row>
    <row r="2771" spans="5:11" x14ac:dyDescent="0.2">
      <c r="E2771" s="50"/>
      <c r="H2771" s="12"/>
      <c r="K2771"/>
    </row>
    <row r="2772" spans="5:11" x14ac:dyDescent="0.2">
      <c r="E2772" s="50"/>
      <c r="H2772" s="12"/>
      <c r="K2772"/>
    </row>
    <row r="2773" spans="5:11" x14ac:dyDescent="0.2">
      <c r="E2773" s="50"/>
      <c r="H2773" s="12"/>
      <c r="K2773"/>
    </row>
    <row r="2774" spans="5:11" x14ac:dyDescent="0.2">
      <c r="E2774" s="50"/>
      <c r="H2774" s="12"/>
      <c r="K2774"/>
    </row>
    <row r="2775" spans="5:11" x14ac:dyDescent="0.2">
      <c r="E2775" s="50"/>
      <c r="H2775" s="12"/>
      <c r="K2775"/>
    </row>
    <row r="2776" spans="5:11" x14ac:dyDescent="0.2">
      <c r="E2776" s="50"/>
      <c r="H2776" s="12"/>
      <c r="K2776"/>
    </row>
    <row r="2777" spans="5:11" x14ac:dyDescent="0.2">
      <c r="E2777" s="50"/>
      <c r="H2777" s="12"/>
      <c r="K2777"/>
    </row>
    <row r="2778" spans="5:11" x14ac:dyDescent="0.2">
      <c r="E2778" s="50"/>
      <c r="H2778" s="12"/>
      <c r="K2778"/>
    </row>
    <row r="2779" spans="5:11" x14ac:dyDescent="0.2">
      <c r="E2779" s="50"/>
      <c r="H2779" s="12"/>
      <c r="K2779"/>
    </row>
    <row r="2780" spans="5:11" x14ac:dyDescent="0.2">
      <c r="E2780" s="50"/>
      <c r="H2780" s="12"/>
      <c r="K2780"/>
    </row>
    <row r="2781" spans="5:11" x14ac:dyDescent="0.2">
      <c r="E2781" s="50"/>
      <c r="H2781" s="12"/>
      <c r="K2781"/>
    </row>
    <row r="2782" spans="5:11" x14ac:dyDescent="0.2">
      <c r="E2782" s="50"/>
      <c r="H2782" s="12"/>
      <c r="K2782"/>
    </row>
    <row r="2783" spans="5:11" x14ac:dyDescent="0.2">
      <c r="E2783" s="50"/>
      <c r="H2783" s="12"/>
      <c r="K2783"/>
    </row>
    <row r="2784" spans="5:11" x14ac:dyDescent="0.2">
      <c r="E2784" s="50"/>
      <c r="H2784" s="12"/>
      <c r="K2784"/>
    </row>
    <row r="2785" spans="5:11" x14ac:dyDescent="0.2">
      <c r="E2785" s="50"/>
      <c r="H2785" s="12"/>
      <c r="K2785"/>
    </row>
    <row r="2786" spans="5:11" x14ac:dyDescent="0.2">
      <c r="E2786" s="50"/>
      <c r="H2786" s="12"/>
      <c r="K2786"/>
    </row>
    <row r="2787" spans="5:11" x14ac:dyDescent="0.2">
      <c r="E2787" s="50"/>
      <c r="H2787" s="12"/>
      <c r="K2787"/>
    </row>
    <row r="2788" spans="5:11" x14ac:dyDescent="0.2">
      <c r="E2788" s="50"/>
      <c r="H2788" s="12"/>
      <c r="K2788"/>
    </row>
    <row r="2789" spans="5:11" x14ac:dyDescent="0.2">
      <c r="E2789" s="50"/>
      <c r="H2789" s="12"/>
      <c r="K2789"/>
    </row>
    <row r="2790" spans="5:11" x14ac:dyDescent="0.2">
      <c r="E2790" s="50"/>
      <c r="H2790" s="12"/>
      <c r="K2790"/>
    </row>
    <row r="2791" spans="5:11" x14ac:dyDescent="0.2">
      <c r="E2791" s="50"/>
      <c r="H2791" s="12"/>
      <c r="K2791"/>
    </row>
    <row r="2792" spans="5:11" x14ac:dyDescent="0.2">
      <c r="E2792" s="50"/>
      <c r="H2792" s="12"/>
      <c r="K2792"/>
    </row>
    <row r="2793" spans="5:11" x14ac:dyDescent="0.2">
      <c r="E2793" s="50"/>
      <c r="H2793" s="12"/>
      <c r="K2793"/>
    </row>
    <row r="2794" spans="5:11" x14ac:dyDescent="0.2">
      <c r="E2794" s="50"/>
      <c r="H2794" s="12"/>
      <c r="K2794"/>
    </row>
    <row r="2795" spans="5:11" x14ac:dyDescent="0.2">
      <c r="E2795" s="50"/>
      <c r="H2795" s="12"/>
      <c r="K2795"/>
    </row>
    <row r="2796" spans="5:11" x14ac:dyDescent="0.2">
      <c r="E2796" s="50"/>
      <c r="H2796" s="12"/>
      <c r="K2796"/>
    </row>
    <row r="2797" spans="5:11" x14ac:dyDescent="0.2">
      <c r="E2797" s="50"/>
      <c r="H2797" s="12"/>
      <c r="K2797"/>
    </row>
    <row r="2798" spans="5:11" x14ac:dyDescent="0.2">
      <c r="E2798" s="50"/>
      <c r="H2798" s="12"/>
      <c r="K2798"/>
    </row>
    <row r="2799" spans="5:11" x14ac:dyDescent="0.2">
      <c r="E2799" s="50"/>
      <c r="H2799" s="12"/>
      <c r="K2799"/>
    </row>
    <row r="2800" spans="5:11" x14ac:dyDescent="0.2">
      <c r="E2800" s="50"/>
      <c r="H2800" s="12"/>
      <c r="K2800"/>
    </row>
    <row r="2801" spans="5:11" x14ac:dyDescent="0.2">
      <c r="E2801" s="50"/>
      <c r="H2801" s="12"/>
      <c r="K2801"/>
    </row>
    <row r="2802" spans="5:11" x14ac:dyDescent="0.2">
      <c r="E2802" s="50"/>
      <c r="H2802" s="12"/>
      <c r="K2802"/>
    </row>
    <row r="2803" spans="5:11" x14ac:dyDescent="0.2">
      <c r="E2803" s="50"/>
      <c r="H2803" s="12"/>
      <c r="K2803"/>
    </row>
    <row r="2804" spans="5:11" x14ac:dyDescent="0.2">
      <c r="E2804" s="50"/>
      <c r="H2804" s="12"/>
      <c r="K2804"/>
    </row>
    <row r="2805" spans="5:11" x14ac:dyDescent="0.2">
      <c r="E2805" s="50"/>
      <c r="H2805" s="12"/>
      <c r="K2805"/>
    </row>
    <row r="2806" spans="5:11" x14ac:dyDescent="0.2">
      <c r="E2806" s="50"/>
      <c r="H2806" s="12"/>
      <c r="K2806"/>
    </row>
    <row r="2807" spans="5:11" x14ac:dyDescent="0.2">
      <c r="E2807" s="50"/>
      <c r="H2807" s="12"/>
      <c r="K2807"/>
    </row>
    <row r="2808" spans="5:11" x14ac:dyDescent="0.2">
      <c r="E2808" s="50"/>
      <c r="H2808" s="12"/>
      <c r="K2808"/>
    </row>
    <row r="2809" spans="5:11" x14ac:dyDescent="0.2">
      <c r="E2809" s="50"/>
      <c r="H2809" s="12"/>
      <c r="K2809"/>
    </row>
    <row r="2810" spans="5:11" x14ac:dyDescent="0.2">
      <c r="E2810" s="50"/>
      <c r="H2810" s="12"/>
      <c r="K2810"/>
    </row>
    <row r="2811" spans="5:11" x14ac:dyDescent="0.2">
      <c r="E2811" s="50"/>
      <c r="H2811" s="12"/>
      <c r="K2811"/>
    </row>
    <row r="2812" spans="5:11" x14ac:dyDescent="0.2">
      <c r="E2812" s="50"/>
      <c r="H2812" s="12"/>
      <c r="K2812"/>
    </row>
    <row r="2813" spans="5:11" x14ac:dyDescent="0.2">
      <c r="E2813" s="50"/>
      <c r="H2813" s="12"/>
      <c r="K2813"/>
    </row>
    <row r="2814" spans="5:11" x14ac:dyDescent="0.2">
      <c r="E2814" s="50"/>
      <c r="H2814" s="12"/>
      <c r="K2814"/>
    </row>
    <row r="2815" spans="5:11" x14ac:dyDescent="0.2">
      <c r="E2815" s="50"/>
      <c r="H2815" s="12"/>
      <c r="K2815"/>
    </row>
    <row r="2816" spans="5:11" x14ac:dyDescent="0.2">
      <c r="E2816" s="50"/>
      <c r="H2816" s="12"/>
      <c r="K2816"/>
    </row>
    <row r="2817" spans="5:11" x14ac:dyDescent="0.2">
      <c r="E2817" s="50"/>
      <c r="H2817" s="12"/>
      <c r="K2817"/>
    </row>
    <row r="2818" spans="5:11" x14ac:dyDescent="0.2">
      <c r="E2818" s="50"/>
      <c r="H2818" s="12"/>
      <c r="K2818"/>
    </row>
    <row r="2819" spans="5:11" x14ac:dyDescent="0.2">
      <c r="E2819" s="50"/>
      <c r="H2819" s="12"/>
      <c r="K2819"/>
    </row>
    <row r="2820" spans="5:11" x14ac:dyDescent="0.2">
      <c r="E2820" s="50"/>
      <c r="H2820" s="12"/>
      <c r="K2820"/>
    </row>
    <row r="2821" spans="5:11" x14ac:dyDescent="0.2">
      <c r="E2821" s="50"/>
      <c r="H2821" s="12"/>
      <c r="K2821"/>
    </row>
    <row r="2822" spans="5:11" x14ac:dyDescent="0.2">
      <c r="E2822" s="50"/>
      <c r="F2822" s="42"/>
      <c r="H2822" s="12"/>
      <c r="K2822"/>
    </row>
    <row r="2823" spans="5:11" x14ac:dyDescent="0.2">
      <c r="E2823" s="50"/>
      <c r="H2823" s="12"/>
      <c r="K2823"/>
    </row>
    <row r="2824" spans="5:11" x14ac:dyDescent="0.2">
      <c r="E2824" s="50"/>
      <c r="H2824" s="12"/>
      <c r="K2824"/>
    </row>
    <row r="2825" spans="5:11" x14ac:dyDescent="0.2">
      <c r="E2825" s="50"/>
      <c r="H2825" s="12"/>
      <c r="K2825"/>
    </row>
    <row r="2826" spans="5:11" x14ac:dyDescent="0.2">
      <c r="E2826" s="50"/>
      <c r="H2826" s="12"/>
      <c r="K2826"/>
    </row>
    <row r="2827" spans="5:11" x14ac:dyDescent="0.2">
      <c r="E2827" s="50"/>
      <c r="H2827" s="12"/>
      <c r="K2827"/>
    </row>
    <row r="2828" spans="5:11" x14ac:dyDescent="0.2">
      <c r="E2828" s="50"/>
      <c r="H2828" s="12"/>
      <c r="K2828"/>
    </row>
    <row r="2829" spans="5:11" x14ac:dyDescent="0.2">
      <c r="E2829" s="50"/>
      <c r="H2829" s="12"/>
      <c r="K2829"/>
    </row>
    <row r="2830" spans="5:11" x14ac:dyDescent="0.2">
      <c r="E2830" s="50"/>
      <c r="H2830" s="12"/>
      <c r="K2830"/>
    </row>
    <row r="2831" spans="5:11" x14ac:dyDescent="0.2">
      <c r="E2831" s="50"/>
      <c r="H2831" s="12"/>
      <c r="K2831"/>
    </row>
    <row r="2832" spans="5:11" x14ac:dyDescent="0.2">
      <c r="E2832" s="50"/>
      <c r="H2832" s="12"/>
      <c r="K2832"/>
    </row>
    <row r="2833" spans="1:11" x14ac:dyDescent="0.2">
      <c r="E2833" s="50"/>
      <c r="H2833" s="12"/>
      <c r="K2833"/>
    </row>
    <row r="2834" spans="1:11" x14ac:dyDescent="0.2">
      <c r="E2834" s="50"/>
      <c r="H2834" s="12"/>
      <c r="K2834"/>
    </row>
    <row r="2835" spans="1:11" x14ac:dyDescent="0.2">
      <c r="E2835" s="50"/>
      <c r="H2835" s="12"/>
      <c r="K2835"/>
    </row>
    <row r="2836" spans="1:11" x14ac:dyDescent="0.2">
      <c r="E2836" s="50"/>
      <c r="H2836" s="12"/>
      <c r="K2836"/>
    </row>
    <row r="2837" spans="1:11" x14ac:dyDescent="0.2">
      <c r="E2837" s="50"/>
      <c r="H2837" s="12"/>
      <c r="K2837"/>
    </row>
    <row r="2838" spans="1:11" x14ac:dyDescent="0.2">
      <c r="E2838" s="50"/>
      <c r="H2838" s="12"/>
      <c r="K2838"/>
    </row>
    <row r="2839" spans="1:11" x14ac:dyDescent="0.2">
      <c r="E2839" s="50"/>
      <c r="H2839" s="12"/>
      <c r="K2839"/>
    </row>
    <row r="2840" spans="1:11" x14ac:dyDescent="0.2">
      <c r="E2840" s="50"/>
      <c r="H2840" s="12"/>
      <c r="K2840"/>
    </row>
    <row r="2841" spans="1:11" x14ac:dyDescent="0.2">
      <c r="E2841" s="50"/>
      <c r="H2841" s="12"/>
      <c r="K2841"/>
    </row>
    <row r="2842" spans="1:11" x14ac:dyDescent="0.2">
      <c r="E2842" s="50"/>
      <c r="H2842" s="12"/>
      <c r="K2842"/>
    </row>
    <row r="2843" spans="1:11" x14ac:dyDescent="0.2">
      <c r="E2843" s="50"/>
      <c r="H2843" s="12"/>
      <c r="K2843"/>
    </row>
    <row r="2844" spans="1:11" x14ac:dyDescent="0.2">
      <c r="E2844" s="50"/>
      <c r="H2844" s="12"/>
      <c r="K2844"/>
    </row>
    <row r="2845" spans="1:11" x14ac:dyDescent="0.2">
      <c r="E2845" s="50"/>
      <c r="H2845" s="12"/>
      <c r="K2845"/>
    </row>
    <row r="2846" spans="1:11" x14ac:dyDescent="0.2">
      <c r="E2846" s="50"/>
      <c r="H2846" s="12"/>
      <c r="K2846"/>
    </row>
    <row r="2847" spans="1:11" x14ac:dyDescent="0.2">
      <c r="A2847" s="43"/>
      <c r="B2847" s="43"/>
      <c r="C2847" s="43"/>
      <c r="D2847" s="28" t="s">
        <v>55</v>
      </c>
      <c r="E2847" s="53" t="s">
        <v>43</v>
      </c>
      <c r="G2847" s="29"/>
      <c r="H2847" s="12"/>
    </row>
    <row r="2848" spans="1:11" ht="12" customHeight="1" x14ac:dyDescent="0.2">
      <c r="A2848" s="45" t="s">
        <v>0</v>
      </c>
      <c r="D2848" s="27" t="s">
        <v>17</v>
      </c>
      <c r="E2848" s="50">
        <v>44256</v>
      </c>
      <c r="G2848" s="26" t="s">
        <v>12</v>
      </c>
      <c r="H2848" s="79">
        <v>44256</v>
      </c>
      <c r="I2848" s="12" t="s">
        <v>53</v>
      </c>
    </row>
    <row r="2849" spans="1:11" x14ac:dyDescent="0.2">
      <c r="A2849" s="46" t="s">
        <v>41</v>
      </c>
      <c r="D2849" s="27" t="s">
        <v>17</v>
      </c>
      <c r="E2849" s="50">
        <v>44257</v>
      </c>
      <c r="G2849" s="26" t="s">
        <v>20</v>
      </c>
      <c r="H2849" s="79">
        <v>44257</v>
      </c>
      <c r="I2849" s="12" t="s">
        <v>53</v>
      </c>
    </row>
    <row r="2850" spans="1:11" x14ac:dyDescent="0.2">
      <c r="D2850" s="27" t="s">
        <v>17</v>
      </c>
      <c r="E2850" s="50">
        <v>44258</v>
      </c>
      <c r="G2850" s="26" t="s">
        <v>21</v>
      </c>
      <c r="H2850" s="79">
        <v>44258</v>
      </c>
      <c r="I2850" s="12" t="s">
        <v>53</v>
      </c>
    </row>
    <row r="2851" spans="1:11" x14ac:dyDescent="0.2">
      <c r="D2851" s="27" t="s">
        <v>17</v>
      </c>
      <c r="E2851" s="50">
        <v>44259</v>
      </c>
      <c r="G2851" s="26" t="s">
        <v>19</v>
      </c>
      <c r="H2851" s="79">
        <v>44259</v>
      </c>
      <c r="I2851" s="12" t="s">
        <v>53</v>
      </c>
    </row>
    <row r="2852" spans="1:11" x14ac:dyDescent="0.2">
      <c r="D2852" s="27" t="s">
        <v>17</v>
      </c>
      <c r="E2852" s="50">
        <v>44260</v>
      </c>
      <c r="G2852" s="26" t="s">
        <v>14</v>
      </c>
      <c r="H2852" s="79">
        <v>44260</v>
      </c>
      <c r="I2852" s="12" t="s">
        <v>53</v>
      </c>
    </row>
    <row r="2853" spans="1:11" x14ac:dyDescent="0.2">
      <c r="D2853" s="27" t="s">
        <v>17</v>
      </c>
      <c r="E2853" s="50">
        <v>44261</v>
      </c>
      <c r="G2853" s="26" t="s">
        <v>15</v>
      </c>
      <c r="H2853" s="79">
        <v>44263</v>
      </c>
      <c r="I2853" s="12" t="s">
        <v>53</v>
      </c>
    </row>
    <row r="2854" spans="1:11" x14ac:dyDescent="0.2">
      <c r="D2854" s="27" t="s">
        <v>17</v>
      </c>
      <c r="E2854" s="50">
        <v>44262</v>
      </c>
      <c r="G2854" s="26" t="s">
        <v>16</v>
      </c>
      <c r="H2854" s="79">
        <v>44263</v>
      </c>
      <c r="I2854" s="12" t="s">
        <v>53</v>
      </c>
    </row>
    <row r="2855" spans="1:11" x14ac:dyDescent="0.2">
      <c r="D2855" s="27" t="s">
        <v>17</v>
      </c>
      <c r="E2855" s="50">
        <v>44263</v>
      </c>
      <c r="G2855" s="26" t="s">
        <v>25</v>
      </c>
      <c r="H2855" s="79">
        <v>44263</v>
      </c>
      <c r="I2855" s="12" t="s">
        <v>53</v>
      </c>
    </row>
    <row r="2856" spans="1:11" x14ac:dyDescent="0.2">
      <c r="D2856" s="27" t="s">
        <v>17</v>
      </c>
      <c r="E2856" s="50">
        <v>44264</v>
      </c>
      <c r="G2856" s="26" t="s">
        <v>26</v>
      </c>
      <c r="H2856" s="79">
        <v>44264</v>
      </c>
      <c r="I2856" s="12" t="s">
        <v>53</v>
      </c>
    </row>
    <row r="2857" spans="1:11" x14ac:dyDescent="0.2">
      <c r="D2857" s="27" t="s">
        <v>17</v>
      </c>
      <c r="E2857" s="50">
        <v>44265</v>
      </c>
      <c r="G2857" s="26" t="s">
        <v>36</v>
      </c>
      <c r="H2857" s="79">
        <v>44265</v>
      </c>
      <c r="I2857" s="12" t="s">
        <v>53</v>
      </c>
    </row>
    <row r="2858" spans="1:11" x14ac:dyDescent="0.2">
      <c r="D2858" s="27" t="s">
        <v>17</v>
      </c>
      <c r="E2858" s="50">
        <v>44266</v>
      </c>
      <c r="G2858" s="26" t="s">
        <v>31</v>
      </c>
      <c r="H2858" s="79">
        <v>44266</v>
      </c>
      <c r="I2858" s="12" t="s">
        <v>53</v>
      </c>
    </row>
    <row r="2859" spans="1:11" x14ac:dyDescent="0.2">
      <c r="D2859" s="27" t="s">
        <v>17</v>
      </c>
      <c r="E2859" s="50">
        <v>44267</v>
      </c>
      <c r="G2859" s="26" t="s">
        <v>29</v>
      </c>
      <c r="H2859" s="79">
        <v>44267</v>
      </c>
      <c r="I2859" s="12" t="s">
        <v>53</v>
      </c>
    </row>
    <row r="2860" spans="1:11" x14ac:dyDescent="0.2">
      <c r="D2860" s="27" t="s">
        <v>17</v>
      </c>
      <c r="E2860" s="50">
        <v>44268</v>
      </c>
      <c r="G2860" s="26" t="s">
        <v>32</v>
      </c>
      <c r="H2860" s="79">
        <v>44270</v>
      </c>
      <c r="I2860" s="12" t="s">
        <v>53</v>
      </c>
      <c r="K2860"/>
    </row>
    <row r="2861" spans="1:11" x14ac:dyDescent="0.2">
      <c r="D2861" s="27" t="s">
        <v>17</v>
      </c>
      <c r="E2861" s="50">
        <v>44269</v>
      </c>
      <c r="G2861" s="26" t="s">
        <v>33</v>
      </c>
      <c r="H2861" s="79">
        <v>44270</v>
      </c>
      <c r="I2861" s="12" t="s">
        <v>53</v>
      </c>
      <c r="K2861"/>
    </row>
    <row r="2862" spans="1:11" x14ac:dyDescent="0.2">
      <c r="D2862" s="27" t="s">
        <v>17</v>
      </c>
      <c r="E2862" s="50">
        <v>44270</v>
      </c>
      <c r="G2862" s="26" t="s">
        <v>34</v>
      </c>
      <c r="H2862" s="79">
        <v>44270</v>
      </c>
      <c r="I2862" s="12" t="s">
        <v>53</v>
      </c>
      <c r="K2862"/>
    </row>
    <row r="2863" spans="1:11" x14ac:dyDescent="0.2">
      <c r="D2863" s="27" t="s">
        <v>17</v>
      </c>
      <c r="E2863" s="50">
        <v>44271</v>
      </c>
      <c r="G2863" s="26" t="s">
        <v>7</v>
      </c>
      <c r="H2863" s="79">
        <v>44271</v>
      </c>
      <c r="I2863" s="12" t="s">
        <v>53</v>
      </c>
      <c r="K2863"/>
    </row>
    <row r="2864" spans="1:11" x14ac:dyDescent="0.2">
      <c r="D2864" s="27" t="s">
        <v>17</v>
      </c>
      <c r="E2864" s="50">
        <v>44272</v>
      </c>
      <c r="G2864" s="26" t="s">
        <v>8</v>
      </c>
      <c r="H2864" s="79">
        <v>44272</v>
      </c>
      <c r="I2864" s="12" t="s">
        <v>53</v>
      </c>
      <c r="K2864"/>
    </row>
    <row r="2865" spans="4:11" x14ac:dyDescent="0.2">
      <c r="D2865" s="27" t="s">
        <v>17</v>
      </c>
      <c r="E2865" s="50">
        <v>44273</v>
      </c>
      <c r="G2865" s="26" t="s">
        <v>9</v>
      </c>
      <c r="H2865" s="79">
        <v>44273</v>
      </c>
      <c r="I2865" s="12" t="s">
        <v>53</v>
      </c>
      <c r="K2865"/>
    </row>
    <row r="2866" spans="4:11" x14ac:dyDescent="0.2">
      <c r="D2866" s="27" t="s">
        <v>17</v>
      </c>
      <c r="E2866" s="50">
        <v>44274</v>
      </c>
      <c r="G2866" s="26" t="s">
        <v>52</v>
      </c>
      <c r="H2866" s="79">
        <v>44274</v>
      </c>
      <c r="I2866" s="12" t="s">
        <v>53</v>
      </c>
      <c r="K2866"/>
    </row>
    <row r="2867" spans="4:11" x14ac:dyDescent="0.2">
      <c r="D2867" s="27" t="s">
        <v>17</v>
      </c>
      <c r="E2867" s="50">
        <v>44275</v>
      </c>
      <c r="G2867" s="26" t="s">
        <v>30</v>
      </c>
      <c r="H2867" s="79">
        <v>44277</v>
      </c>
      <c r="I2867" s="12" t="s">
        <v>53</v>
      </c>
      <c r="K2867"/>
    </row>
    <row r="2868" spans="4:11" x14ac:dyDescent="0.2">
      <c r="D2868" s="27" t="s">
        <v>17</v>
      </c>
      <c r="E2868" s="50">
        <v>44276</v>
      </c>
      <c r="G2868" s="26" t="s">
        <v>51</v>
      </c>
      <c r="H2868" s="79">
        <v>44277</v>
      </c>
      <c r="I2868" s="12" t="s">
        <v>53</v>
      </c>
      <c r="K2868"/>
    </row>
    <row r="2869" spans="4:11" x14ac:dyDescent="0.2">
      <c r="D2869" s="27" t="s">
        <v>17</v>
      </c>
      <c r="E2869" s="50">
        <v>44277</v>
      </c>
      <c r="G2869" s="26" t="s">
        <v>38</v>
      </c>
      <c r="H2869" s="79">
        <v>44277</v>
      </c>
      <c r="I2869" s="12" t="s">
        <v>53</v>
      </c>
      <c r="K2869"/>
    </row>
    <row r="2870" spans="4:11" x14ac:dyDescent="0.2">
      <c r="D2870" s="27" t="s">
        <v>17</v>
      </c>
      <c r="E2870" s="50">
        <v>44278</v>
      </c>
      <c r="G2870" s="26" t="s">
        <v>39</v>
      </c>
      <c r="H2870" s="79">
        <v>44278</v>
      </c>
      <c r="I2870" s="12" t="s">
        <v>53</v>
      </c>
      <c r="K2870"/>
    </row>
    <row r="2871" spans="4:11" x14ac:dyDescent="0.2">
      <c r="D2871" s="27" t="s">
        <v>17</v>
      </c>
      <c r="E2871" s="50">
        <v>44279</v>
      </c>
      <c r="G2871" s="26" t="s">
        <v>27</v>
      </c>
      <c r="H2871" s="79">
        <v>44279</v>
      </c>
      <c r="I2871" s="12" t="s">
        <v>53</v>
      </c>
      <c r="K2871"/>
    </row>
    <row r="2872" spans="4:11" x14ac:dyDescent="0.2">
      <c r="D2872" s="27" t="s">
        <v>17</v>
      </c>
      <c r="E2872" s="50">
        <v>44280</v>
      </c>
      <c r="G2872" s="26" t="s">
        <v>28</v>
      </c>
      <c r="H2872" s="79">
        <v>44280</v>
      </c>
      <c r="I2872" s="12" t="s">
        <v>53</v>
      </c>
      <c r="K2872"/>
    </row>
    <row r="2873" spans="4:11" x14ac:dyDescent="0.2">
      <c r="D2873" s="27" t="s">
        <v>17</v>
      </c>
      <c r="E2873" s="50">
        <v>44281</v>
      </c>
      <c r="G2873" s="26" t="s">
        <v>18</v>
      </c>
      <c r="H2873" s="79">
        <v>44281</v>
      </c>
      <c r="I2873" s="12" t="s">
        <v>53</v>
      </c>
      <c r="K2873"/>
    </row>
    <row r="2874" spans="4:11" x14ac:dyDescent="0.2">
      <c r="D2874" s="27" t="s">
        <v>17</v>
      </c>
      <c r="E2874" s="50">
        <v>44282</v>
      </c>
      <c r="G2874" s="26" t="s">
        <v>6</v>
      </c>
      <c r="H2874" s="79">
        <v>44284</v>
      </c>
      <c r="I2874" s="12" t="s">
        <v>53</v>
      </c>
      <c r="K2874"/>
    </row>
    <row r="2875" spans="4:11" x14ac:dyDescent="0.2">
      <c r="D2875" s="27" t="s">
        <v>17</v>
      </c>
      <c r="E2875" s="50">
        <v>44283</v>
      </c>
      <c r="G2875" s="26" t="s">
        <v>22</v>
      </c>
      <c r="H2875" s="79">
        <v>44284</v>
      </c>
      <c r="I2875" s="12" t="s">
        <v>53</v>
      </c>
      <c r="K2875"/>
    </row>
    <row r="2876" spans="4:11" x14ac:dyDescent="0.2">
      <c r="D2876" s="27" t="s">
        <v>17</v>
      </c>
      <c r="E2876" s="50">
        <v>44284</v>
      </c>
      <c r="G2876" s="26" t="s">
        <v>45</v>
      </c>
      <c r="H2876" s="79">
        <v>44284</v>
      </c>
      <c r="I2876" s="12" t="s">
        <v>53</v>
      </c>
      <c r="K2876"/>
    </row>
    <row r="2877" spans="4:11" x14ac:dyDescent="0.2">
      <c r="D2877" s="27" t="s">
        <v>17</v>
      </c>
      <c r="E2877" s="50">
        <v>44285</v>
      </c>
      <c r="G2877" s="26" t="s">
        <v>13</v>
      </c>
      <c r="H2877" s="79">
        <v>44285</v>
      </c>
      <c r="I2877" s="12" t="s">
        <v>53</v>
      </c>
      <c r="K2877"/>
    </row>
    <row r="2878" spans="4:11" x14ac:dyDescent="0.2">
      <c r="D2878" s="27" t="s">
        <v>17</v>
      </c>
      <c r="E2878" s="50">
        <v>44286</v>
      </c>
      <c r="G2878" s="26"/>
      <c r="H2878" s="79">
        <v>44286</v>
      </c>
      <c r="I2878" s="12" t="s">
        <v>53</v>
      </c>
      <c r="K2878"/>
    </row>
    <row r="2879" spans="4:11" x14ac:dyDescent="0.2">
      <c r="D2879" s="27" t="s">
        <v>44</v>
      </c>
      <c r="E2879" s="65">
        <v>44261</v>
      </c>
      <c r="G2879" s="26" t="s">
        <v>1</v>
      </c>
      <c r="H2879" s="65">
        <v>44261</v>
      </c>
      <c r="I2879" s="12"/>
      <c r="K2879"/>
    </row>
    <row r="2880" spans="4:11" x14ac:dyDescent="0.2">
      <c r="D2880" s="27" t="s">
        <v>44</v>
      </c>
      <c r="E2880" s="65">
        <v>44262</v>
      </c>
      <c r="G2880" s="26" t="s">
        <v>10</v>
      </c>
      <c r="H2880" s="65">
        <v>44262</v>
      </c>
      <c r="K2880"/>
    </row>
    <row r="2881" spans="4:11" x14ac:dyDescent="0.2">
      <c r="D2881" s="27" t="s">
        <v>44</v>
      </c>
      <c r="E2881" s="65">
        <v>44268</v>
      </c>
      <c r="G2881" s="26" t="s">
        <v>11</v>
      </c>
      <c r="H2881" s="65">
        <v>44268</v>
      </c>
      <c r="K2881"/>
    </row>
    <row r="2882" spans="4:11" x14ac:dyDescent="0.2">
      <c r="D2882" s="27" t="s">
        <v>44</v>
      </c>
      <c r="E2882" s="65">
        <v>44269</v>
      </c>
      <c r="G2882" s="26" t="s">
        <v>23</v>
      </c>
      <c r="H2882" s="65">
        <v>44269</v>
      </c>
      <c r="K2882"/>
    </row>
    <row r="2883" spans="4:11" x14ac:dyDescent="0.2">
      <c r="D2883" s="27" t="s">
        <v>44</v>
      </c>
      <c r="E2883" s="65">
        <v>44275</v>
      </c>
      <c r="G2883" s="26" t="s">
        <v>4</v>
      </c>
      <c r="H2883" s="65">
        <v>44275</v>
      </c>
      <c r="K2883"/>
    </row>
    <row r="2884" spans="4:11" x14ac:dyDescent="0.2">
      <c r="D2884" s="27" t="s">
        <v>44</v>
      </c>
      <c r="E2884" s="65">
        <v>44276</v>
      </c>
      <c r="G2884" s="26" t="s">
        <v>24</v>
      </c>
      <c r="H2884" s="65">
        <v>44276</v>
      </c>
      <c r="K2884"/>
    </row>
    <row r="2885" spans="4:11" x14ac:dyDescent="0.2">
      <c r="D2885" s="27" t="s">
        <v>44</v>
      </c>
      <c r="E2885" s="65">
        <v>44282</v>
      </c>
      <c r="G2885" s="26" t="s">
        <v>37</v>
      </c>
      <c r="H2885" s="65">
        <v>44282</v>
      </c>
      <c r="K2885"/>
    </row>
    <row r="2886" spans="4:11" x14ac:dyDescent="0.2">
      <c r="D2886" s="27" t="s">
        <v>44</v>
      </c>
      <c r="E2886" s="65">
        <v>44283</v>
      </c>
      <c r="H2886" s="65">
        <v>44283</v>
      </c>
      <c r="K2886"/>
    </row>
    <row r="2887" spans="4:11" x14ac:dyDescent="0.2">
      <c r="D2887" s="27"/>
      <c r="E2887" s="3"/>
      <c r="H2887" s="3"/>
      <c r="K2887"/>
    </row>
    <row r="2888" spans="4:11" x14ac:dyDescent="0.2">
      <c r="E2888" s="3"/>
      <c r="H2888" s="3"/>
      <c r="K2888"/>
    </row>
    <row r="2891" spans="4:11" x14ac:dyDescent="0.2">
      <c r="I2891" s="30"/>
      <c r="K2891"/>
    </row>
    <row r="2892" spans="4:11" x14ac:dyDescent="0.2">
      <c r="E2892"/>
      <c r="F2892"/>
      <c r="H2892"/>
      <c r="I2892" s="30"/>
      <c r="K2892"/>
    </row>
    <row r="2893" spans="4:11" x14ac:dyDescent="0.2">
      <c r="E2893"/>
      <c r="F2893"/>
      <c r="H2893"/>
      <c r="I2893" s="30"/>
      <c r="K2893"/>
    </row>
    <row r="2894" spans="4:11" x14ac:dyDescent="0.2">
      <c r="E2894"/>
      <c r="F2894"/>
      <c r="H2894"/>
      <c r="I2894" s="30"/>
      <c r="K2894"/>
    </row>
    <row r="2895" spans="4:11" x14ac:dyDescent="0.2">
      <c r="E2895"/>
      <c r="F2895"/>
      <c r="H2895"/>
      <c r="I2895" s="30"/>
      <c r="K2895"/>
    </row>
    <row r="2896" spans="4:11" x14ac:dyDescent="0.2">
      <c r="E2896"/>
      <c r="F2896"/>
      <c r="H2896"/>
      <c r="I2896" s="30"/>
      <c r="K2896"/>
    </row>
    <row r="2897" spans="9:9" customFormat="1" x14ac:dyDescent="0.2">
      <c r="I2897" s="30"/>
    </row>
    <row r="2898" spans="9:9" customFormat="1" x14ac:dyDescent="0.2">
      <c r="I2898" s="30"/>
    </row>
    <row r="2899" spans="9:9" customFormat="1" x14ac:dyDescent="0.2">
      <c r="I2899" s="30"/>
    </row>
    <row r="2900" spans="9:9" customFormat="1" x14ac:dyDescent="0.2">
      <c r="I2900" s="30"/>
    </row>
    <row r="2901" spans="9:9" customFormat="1" x14ac:dyDescent="0.2">
      <c r="I2901" s="30"/>
    </row>
    <row r="2902" spans="9:9" customFormat="1" x14ac:dyDescent="0.2">
      <c r="I2902" s="30"/>
    </row>
    <row r="2903" spans="9:9" customFormat="1" x14ac:dyDescent="0.2">
      <c r="I2903" s="30"/>
    </row>
    <row r="2904" spans="9:9" customFormat="1" x14ac:dyDescent="0.2">
      <c r="I2904" s="30"/>
    </row>
    <row r="2905" spans="9:9" customFormat="1" x14ac:dyDescent="0.2">
      <c r="I2905" s="30"/>
    </row>
    <row r="2906" spans="9:9" customFormat="1" x14ac:dyDescent="0.2">
      <c r="I2906" s="30"/>
    </row>
    <row r="2907" spans="9:9" customFormat="1" x14ac:dyDescent="0.2">
      <c r="I2907" s="30"/>
    </row>
    <row r="2908" spans="9:9" customFormat="1" x14ac:dyDescent="0.2">
      <c r="I2908" s="30"/>
    </row>
    <row r="2909" spans="9:9" customFormat="1" x14ac:dyDescent="0.2">
      <c r="I2909" s="30"/>
    </row>
    <row r="2910" spans="9:9" customFormat="1" x14ac:dyDescent="0.2">
      <c r="I2910" s="30"/>
    </row>
    <row r="2911" spans="9:9" customFormat="1" x14ac:dyDescent="0.2">
      <c r="I2911" s="30"/>
    </row>
    <row r="2912" spans="9:9" customFormat="1" x14ac:dyDescent="0.2">
      <c r="I2912" s="30"/>
    </row>
    <row r="2913" spans="9:9" customFormat="1" x14ac:dyDescent="0.2">
      <c r="I2913" s="30"/>
    </row>
    <row r="2914" spans="9:9" customFormat="1" x14ac:dyDescent="0.2">
      <c r="I2914" s="30"/>
    </row>
    <row r="2915" spans="9:9" customFormat="1" x14ac:dyDescent="0.2">
      <c r="I2915" s="30"/>
    </row>
    <row r="2916" spans="9:9" customFormat="1" x14ac:dyDescent="0.2">
      <c r="I2916" s="30"/>
    </row>
    <row r="2917" spans="9:9" customFormat="1" x14ac:dyDescent="0.2">
      <c r="I2917" s="30"/>
    </row>
    <row r="2918" spans="9:9" customFormat="1" x14ac:dyDescent="0.2">
      <c r="I2918" s="30"/>
    </row>
    <row r="2919" spans="9:9" customFormat="1" x14ac:dyDescent="0.2">
      <c r="I2919" s="30"/>
    </row>
    <row r="2920" spans="9:9" customFormat="1" x14ac:dyDescent="0.2">
      <c r="I2920" s="30"/>
    </row>
    <row r="2921" spans="9:9" customFormat="1" x14ac:dyDescent="0.2">
      <c r="I2921" s="30"/>
    </row>
  </sheetData>
  <autoFilter ref="A1:H209" xr:uid="{00000000-0009-0000-0000-000012000000}">
    <sortState xmlns:xlrd2="http://schemas.microsoft.com/office/spreadsheetml/2017/richdata2" ref="A26:H29">
      <sortCondition ref="F1:F437"/>
    </sortState>
  </autoFilter>
  <pageMargins left="0.78740157499999996" right="0.78740157499999996" top="0.984251969" bottom="0.984251969" header="0.49212598499999999" footer="0.49212598499999999"/>
  <pageSetup paperSize="9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7030A0"/>
  </sheetPr>
  <dimension ref="A1:AH50"/>
  <sheetViews>
    <sheetView zoomScale="75" zoomScaleNormal="75" workbookViewId="0">
      <pane xSplit="1" ySplit="4" topLeftCell="B5" activePane="bottomRight" state="frozen"/>
      <selection activeCell="D26" sqref="D26"/>
      <selection pane="topRight" activeCell="D26" sqref="D26"/>
      <selection pane="bottomLeft" activeCell="D26" sqref="D26"/>
      <selection pane="bottomRight" activeCell="A17" sqref="A7:A17"/>
    </sheetView>
  </sheetViews>
  <sheetFormatPr defaultColWidth="15.7109375" defaultRowHeight="12.75" x14ac:dyDescent="0.2"/>
  <cols>
    <col min="1" max="1" width="15.7109375" customWidth="1"/>
    <col min="2" max="12" width="15.7109375" style="1" customWidth="1"/>
    <col min="13" max="26" width="15.7109375" customWidth="1"/>
  </cols>
  <sheetData>
    <row r="1" spans="1:24" s="2" customFormat="1" x14ac:dyDescent="0.2">
      <c r="A1" s="2">
        <v>1</v>
      </c>
      <c r="B1" s="2" t="str">
        <f>IF(B5=1,"Domingo",IF(B5=2,"Segunda",IF(B5=3,"Terça",IF(B5=4,"Quarta",IF(B5=5,"Quinta",IF(B5=6,"Sexta",IF(B5=7,"Sábado",0)))))))</f>
        <v>Segunda</v>
      </c>
      <c r="C1" s="2" t="str">
        <f t="shared" ref="C1:X1" si="0">IF(C5=1,"Domingo",IF(C5=2,"Segunda",IF(C5=3,"Terça",IF(C5=4,"Quarta",IF(C5=5,"Quinta",IF(C5=6,"Sexta",IF(C5=7,"Sábado",0)))))))</f>
        <v>Terça</v>
      </c>
      <c r="D1" s="2" t="str">
        <f t="shared" si="0"/>
        <v>Quarta</v>
      </c>
      <c r="E1" s="2" t="str">
        <f t="shared" si="0"/>
        <v>Quinta</v>
      </c>
      <c r="F1" s="2" t="str">
        <f t="shared" si="0"/>
        <v>Sexta</v>
      </c>
      <c r="G1" s="2" t="str">
        <f t="shared" si="0"/>
        <v>Segunda</v>
      </c>
      <c r="H1" s="2" t="str">
        <f t="shared" si="0"/>
        <v>Terça</v>
      </c>
      <c r="I1" s="2" t="str">
        <f t="shared" si="0"/>
        <v>Quarta</v>
      </c>
      <c r="J1" s="2" t="str">
        <f t="shared" si="0"/>
        <v>Quinta</v>
      </c>
      <c r="K1" s="2" t="str">
        <f t="shared" si="0"/>
        <v>Sexta</v>
      </c>
      <c r="L1" s="2" t="str">
        <f t="shared" si="0"/>
        <v>Segunda</v>
      </c>
      <c r="M1" s="2" t="str">
        <f t="shared" si="0"/>
        <v>Terça</v>
      </c>
      <c r="N1" s="2" t="str">
        <f t="shared" si="0"/>
        <v>Quarta</v>
      </c>
      <c r="O1" s="2" t="str">
        <f t="shared" si="0"/>
        <v>Quinta</v>
      </c>
      <c r="P1" s="2" t="str">
        <f t="shared" si="0"/>
        <v>Sexta</v>
      </c>
      <c r="Q1" s="2" t="str">
        <f t="shared" si="0"/>
        <v>Segunda</v>
      </c>
      <c r="R1" s="2" t="str">
        <f t="shared" si="0"/>
        <v>Terça</v>
      </c>
      <c r="S1" s="2" t="str">
        <f t="shared" si="0"/>
        <v>Quarta</v>
      </c>
      <c r="T1" s="2" t="str">
        <f t="shared" si="0"/>
        <v>Quinta</v>
      </c>
      <c r="U1" s="2" t="str">
        <f t="shared" si="0"/>
        <v>Sexta</v>
      </c>
      <c r="V1" s="2" t="str">
        <f t="shared" si="0"/>
        <v>Segunda</v>
      </c>
      <c r="W1" s="2" t="str">
        <f t="shared" si="0"/>
        <v>Terça</v>
      </c>
      <c r="X1" s="2">
        <f t="shared" si="0"/>
        <v>0</v>
      </c>
    </row>
    <row r="2" spans="1:24" s="3" customFormat="1" x14ac:dyDescent="0.2">
      <c r="A2" s="4" t="s">
        <v>2</v>
      </c>
      <c r="B2" s="3">
        <f t="shared" ref="B2:X2" si="1">B29</f>
        <v>44256</v>
      </c>
      <c r="C2" s="3">
        <f t="shared" si="1"/>
        <v>44257</v>
      </c>
      <c r="D2" s="3">
        <f t="shared" si="1"/>
        <v>44258</v>
      </c>
      <c r="E2" s="3">
        <f t="shared" si="1"/>
        <v>44259</v>
      </c>
      <c r="F2" s="3">
        <f t="shared" si="1"/>
        <v>44260</v>
      </c>
      <c r="G2" s="3">
        <f t="shared" si="1"/>
        <v>44263</v>
      </c>
      <c r="H2" s="3">
        <f t="shared" si="1"/>
        <v>44264</v>
      </c>
      <c r="I2" s="3">
        <f t="shared" si="1"/>
        <v>44265</v>
      </c>
      <c r="J2" s="3">
        <f t="shared" si="1"/>
        <v>44266</v>
      </c>
      <c r="K2" s="3">
        <f t="shared" si="1"/>
        <v>44267</v>
      </c>
      <c r="L2" s="3">
        <f t="shared" si="1"/>
        <v>44270</v>
      </c>
      <c r="M2" s="3">
        <f t="shared" si="1"/>
        <v>44271</v>
      </c>
      <c r="N2" s="3">
        <f t="shared" si="1"/>
        <v>44272</v>
      </c>
      <c r="O2" s="3">
        <f t="shared" si="1"/>
        <v>44273</v>
      </c>
      <c r="P2" s="3">
        <f t="shared" si="1"/>
        <v>44274</v>
      </c>
      <c r="Q2" s="3">
        <f t="shared" si="1"/>
        <v>44277</v>
      </c>
      <c r="R2" s="3">
        <f t="shared" si="1"/>
        <v>44278</v>
      </c>
      <c r="S2" s="3">
        <f t="shared" si="1"/>
        <v>44279</v>
      </c>
      <c r="T2" s="3">
        <f t="shared" si="1"/>
        <v>44280</v>
      </c>
      <c r="U2" s="3">
        <f t="shared" si="1"/>
        <v>44281</v>
      </c>
      <c r="V2" s="3">
        <f t="shared" si="1"/>
        <v>44284</v>
      </c>
      <c r="W2" s="3">
        <f t="shared" si="1"/>
        <v>44285</v>
      </c>
      <c r="X2" s="3">
        <f t="shared" si="1"/>
        <v>44286</v>
      </c>
    </row>
    <row r="3" spans="1:24" ht="3.75" customHeight="1" thickBo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24" ht="14.25" thickTop="1" thickBot="1" x14ac:dyDescent="0.25">
      <c r="A4" s="7" t="s">
        <v>40</v>
      </c>
      <c r="B4" s="8">
        <f>Fluxo_02_21!U34</f>
        <v>25852.980000000018</v>
      </c>
      <c r="C4" s="8">
        <f>B38</f>
        <v>14127.090000000018</v>
      </c>
      <c r="D4" s="8">
        <f>C38</f>
        <v>12387.240000000018</v>
      </c>
      <c r="E4" s="8">
        <f>D38</f>
        <v>10789.240000000018</v>
      </c>
      <c r="F4" s="8">
        <f>E38</f>
        <v>35754.520000000019</v>
      </c>
      <c r="G4" s="8">
        <f>F38</f>
        <v>-6884.8299999999799</v>
      </c>
      <c r="H4" s="8">
        <f t="shared" ref="H4:U4" si="2">G38</f>
        <v>-12834.139999999981</v>
      </c>
      <c r="I4" s="8">
        <f t="shared" si="2"/>
        <v>-12934.139999999981</v>
      </c>
      <c r="J4" s="8">
        <f t="shared" si="2"/>
        <v>2036.9900000000162</v>
      </c>
      <c r="K4" s="8">
        <f t="shared" si="2"/>
        <v>-8975.3699999999844</v>
      </c>
      <c r="L4" s="8">
        <f t="shared" si="2"/>
        <v>-10377.479999999985</v>
      </c>
      <c r="M4" s="8">
        <f t="shared" si="2"/>
        <v>-4813.4099999999853</v>
      </c>
      <c r="N4" s="8">
        <f t="shared" si="2"/>
        <v>-7353.8099999999849</v>
      </c>
      <c r="O4" s="8">
        <f t="shared" si="2"/>
        <v>34048.190000000024</v>
      </c>
      <c r="P4" s="8">
        <f t="shared" si="2"/>
        <v>38436.300000000025</v>
      </c>
      <c r="Q4" s="8">
        <f t="shared" si="2"/>
        <v>-14290.779999999977</v>
      </c>
      <c r="R4" s="8">
        <f t="shared" si="2"/>
        <v>-5554.1099999999769</v>
      </c>
      <c r="S4" s="8">
        <f t="shared" si="2"/>
        <v>-13927.939999999979</v>
      </c>
      <c r="T4" s="8">
        <f t="shared" si="2"/>
        <v>-15435.909999999978</v>
      </c>
      <c r="U4" s="8">
        <f t="shared" si="2"/>
        <v>18607.780000000024</v>
      </c>
      <c r="V4" s="8">
        <f>U38</f>
        <v>2052.4200000000237</v>
      </c>
      <c r="W4" s="8">
        <f>V38</f>
        <v>7262.3900000000231</v>
      </c>
      <c r="X4" s="8">
        <f>W38</f>
        <v>53113.130000000019</v>
      </c>
    </row>
    <row r="5" spans="1:24" ht="6.95" customHeight="1" thickTop="1" x14ac:dyDescent="0.2">
      <c r="A5" s="9"/>
      <c r="B5" s="10">
        <f t="shared" ref="B5:W5" si="3">WEEKDAY(B2)</f>
        <v>2</v>
      </c>
      <c r="C5" s="10">
        <f t="shared" si="3"/>
        <v>3</v>
      </c>
      <c r="D5" s="10">
        <f t="shared" si="3"/>
        <v>4</v>
      </c>
      <c r="E5" s="10">
        <f t="shared" si="3"/>
        <v>5</v>
      </c>
      <c r="F5" s="10">
        <f t="shared" si="3"/>
        <v>6</v>
      </c>
      <c r="G5" s="10">
        <f t="shared" si="3"/>
        <v>2</v>
      </c>
      <c r="H5" s="10">
        <f t="shared" si="3"/>
        <v>3</v>
      </c>
      <c r="I5" s="10">
        <f t="shared" si="3"/>
        <v>4</v>
      </c>
      <c r="J5" s="10">
        <f t="shared" si="3"/>
        <v>5</v>
      </c>
      <c r="K5" s="10">
        <f t="shared" si="3"/>
        <v>6</v>
      </c>
      <c r="L5" s="10">
        <f t="shared" si="3"/>
        <v>2</v>
      </c>
      <c r="M5" s="10">
        <f t="shared" si="3"/>
        <v>3</v>
      </c>
      <c r="N5" s="10">
        <f t="shared" si="3"/>
        <v>4</v>
      </c>
      <c r="O5" s="10">
        <f t="shared" si="3"/>
        <v>5</v>
      </c>
      <c r="P5" s="10">
        <f t="shared" si="3"/>
        <v>6</v>
      </c>
      <c r="Q5" s="10">
        <f t="shared" si="3"/>
        <v>2</v>
      </c>
      <c r="R5" s="10">
        <f t="shared" si="3"/>
        <v>3</v>
      </c>
      <c r="S5" s="10">
        <f t="shared" si="3"/>
        <v>4</v>
      </c>
      <c r="T5" s="10">
        <f t="shared" si="3"/>
        <v>5</v>
      </c>
      <c r="U5" s="10">
        <f t="shared" si="3"/>
        <v>6</v>
      </c>
      <c r="V5" s="10">
        <f t="shared" si="3"/>
        <v>2</v>
      </c>
      <c r="W5" s="10">
        <f t="shared" si="3"/>
        <v>3</v>
      </c>
    </row>
    <row r="6" spans="1:24" x14ac:dyDescent="0.2">
      <c r="A6" s="20" t="s">
        <v>3</v>
      </c>
      <c r="B6" s="23">
        <f t="shared" ref="B6:W6" si="4">SUM(B7:B26)</f>
        <v>1750</v>
      </c>
      <c r="C6" s="23">
        <f t="shared" si="4"/>
        <v>0</v>
      </c>
      <c r="D6" s="23">
        <f t="shared" si="4"/>
        <v>815</v>
      </c>
      <c r="E6" s="23">
        <f t="shared" si="4"/>
        <v>32491.23</v>
      </c>
      <c r="F6" s="23">
        <f t="shared" si="4"/>
        <v>17889</v>
      </c>
      <c r="G6" s="23">
        <f t="shared" si="4"/>
        <v>3225.37</v>
      </c>
      <c r="H6" s="23">
        <f t="shared" si="4"/>
        <v>0</v>
      </c>
      <c r="I6" s="23">
        <f t="shared" si="4"/>
        <v>45125.49</v>
      </c>
      <c r="J6" s="23">
        <f t="shared" si="4"/>
        <v>0</v>
      </c>
      <c r="K6" s="23">
        <f t="shared" si="4"/>
        <v>5784.56</v>
      </c>
      <c r="L6" s="23">
        <f t="shared" si="4"/>
        <v>39812</v>
      </c>
      <c r="M6" s="23">
        <f t="shared" si="4"/>
        <v>0</v>
      </c>
      <c r="N6" s="23">
        <f t="shared" si="4"/>
        <v>80188.850000000006</v>
      </c>
      <c r="O6" s="23">
        <f t="shared" si="4"/>
        <v>30480</v>
      </c>
      <c r="P6" s="23">
        <f t="shared" si="4"/>
        <v>0</v>
      </c>
      <c r="Q6" s="23">
        <f t="shared" si="4"/>
        <v>17534.900000000001</v>
      </c>
      <c r="R6" s="23">
        <f t="shared" si="4"/>
        <v>8736</v>
      </c>
      <c r="S6" s="23">
        <f t="shared" si="4"/>
        <v>0</v>
      </c>
      <c r="T6" s="23">
        <f t="shared" si="4"/>
        <v>65626</v>
      </c>
      <c r="U6" s="23">
        <f>SUM(U7:U26)</f>
        <v>0</v>
      </c>
      <c r="V6" s="23">
        <f>SUM(V7:V26)</f>
        <v>8145</v>
      </c>
      <c r="W6" s="23">
        <f t="shared" si="4"/>
        <v>50476.4</v>
      </c>
      <c r="X6" s="23">
        <f>SUM(X7:X26)</f>
        <v>1520</v>
      </c>
    </row>
    <row r="7" spans="1:24" x14ac:dyDescent="0.2">
      <c r="A7" t="s">
        <v>1820</v>
      </c>
      <c r="E7" s="74">
        <f>12636+11747.84+3500-837</f>
        <v>27046.84</v>
      </c>
      <c r="F7" s="74">
        <f>15074</f>
        <v>15074</v>
      </c>
      <c r="H7" s="15"/>
      <c r="I7" s="110">
        <v>45125.49</v>
      </c>
      <c r="J7" s="15"/>
      <c r="K7" s="15"/>
      <c r="L7" s="15"/>
      <c r="M7" s="74"/>
      <c r="N7" s="74">
        <f>18467</f>
        <v>18467</v>
      </c>
      <c r="O7" s="15"/>
      <c r="P7" s="15"/>
      <c r="Q7" s="115">
        <v>17534.900000000001</v>
      </c>
      <c r="R7" s="15"/>
      <c r="S7" s="15"/>
      <c r="W7" s="110">
        <v>50476.4</v>
      </c>
      <c r="X7" s="15"/>
    </row>
    <row r="8" spans="1:24" x14ac:dyDescent="0.2">
      <c r="A8" t="s">
        <v>1820</v>
      </c>
      <c r="E8" s="15"/>
      <c r="F8" s="48"/>
      <c r="G8" s="15"/>
      <c r="I8" s="15"/>
      <c r="J8" s="15"/>
      <c r="N8" s="1"/>
      <c r="O8" s="15"/>
      <c r="P8" s="1"/>
      <c r="Q8" s="15"/>
      <c r="R8" s="94"/>
      <c r="S8" s="15"/>
      <c r="T8" s="118">
        <f>16626</f>
        <v>16626</v>
      </c>
      <c r="U8" s="1"/>
    </row>
    <row r="9" spans="1:24" x14ac:dyDescent="0.2">
      <c r="A9" t="s">
        <v>1808</v>
      </c>
      <c r="C9"/>
      <c r="F9" s="104"/>
      <c r="L9" s="104">
        <f>10000+9700+16032</f>
        <v>35732</v>
      </c>
      <c r="M9" s="1"/>
      <c r="N9" s="109">
        <f>48000+6102+3167+5208.99-756.14</f>
        <v>61721.85</v>
      </c>
      <c r="O9" s="114">
        <f>16000+10000</f>
        <v>26000</v>
      </c>
      <c r="T9" s="118">
        <v>19000</v>
      </c>
    </row>
    <row r="10" spans="1:24" x14ac:dyDescent="0.2">
      <c r="A10" t="s">
        <v>1809</v>
      </c>
      <c r="C10"/>
      <c r="F10" s="104"/>
      <c r="G10" s="15"/>
      <c r="H10" s="15"/>
      <c r="I10" s="15"/>
      <c r="J10" s="15"/>
      <c r="K10" s="15"/>
      <c r="L10" s="15"/>
      <c r="M10" s="15"/>
      <c r="N10" s="15"/>
      <c r="P10" s="15"/>
      <c r="Q10" s="15"/>
      <c r="R10" s="116">
        <v>8736</v>
      </c>
      <c r="S10" s="15"/>
      <c r="T10" s="119"/>
      <c r="V10" s="15"/>
    </row>
    <row r="11" spans="1:24" x14ac:dyDescent="0.2">
      <c r="A11" t="s">
        <v>1810</v>
      </c>
      <c r="B11" s="74">
        <v>1750</v>
      </c>
      <c r="D11" s="106">
        <v>815</v>
      </c>
      <c r="E11" s="15"/>
      <c r="F11" s="74">
        <v>2815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T11" s="118">
        <v>30000</v>
      </c>
      <c r="X11" s="106">
        <v>1520</v>
      </c>
    </row>
    <row r="12" spans="1:24" x14ac:dyDescent="0.2">
      <c r="A12" t="s">
        <v>1811</v>
      </c>
      <c r="C12"/>
      <c r="D12"/>
      <c r="E12" s="15"/>
      <c r="F12" s="48"/>
      <c r="G12" s="74">
        <v>3225.37</v>
      </c>
      <c r="H12" s="15"/>
      <c r="I12" s="15"/>
      <c r="L12" s="15"/>
      <c r="N12" s="15"/>
      <c r="O12" s="15"/>
      <c r="P12" s="15"/>
    </row>
    <row r="13" spans="1:24" x14ac:dyDescent="0.2">
      <c r="A13" t="s">
        <v>1812</v>
      </c>
      <c r="B13" s="15"/>
      <c r="C13" s="15"/>
      <c r="D13" s="15"/>
      <c r="E13" s="15"/>
      <c r="F13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V13" s="15"/>
      <c r="W13" s="15"/>
    </row>
    <row r="14" spans="1:24" x14ac:dyDescent="0.2">
      <c r="A14" t="s">
        <v>1813</v>
      </c>
      <c r="B14"/>
      <c r="C14"/>
      <c r="D14" s="15"/>
      <c r="E14" s="110">
        <v>5444.39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V14" s="15"/>
      <c r="W14" s="15"/>
    </row>
    <row r="15" spans="1:24" x14ac:dyDescent="0.2">
      <c r="A15" t="s">
        <v>1826</v>
      </c>
      <c r="B15" s="15"/>
      <c r="C15"/>
      <c r="J15" s="15"/>
      <c r="K15" s="110">
        <f>5784.56</f>
        <v>5784.56</v>
      </c>
      <c r="L15" s="74">
        <v>4080</v>
      </c>
      <c r="M15" s="15"/>
      <c r="N15" s="15"/>
      <c r="O15" s="15"/>
      <c r="P15" s="15"/>
      <c r="Q15" s="15"/>
      <c r="R15" s="15"/>
      <c r="S15" s="15"/>
      <c r="T15" s="15"/>
      <c r="V15" s="74">
        <f>4080+4065</f>
        <v>8145</v>
      </c>
      <c r="W15" s="15"/>
    </row>
    <row r="16" spans="1:24" x14ac:dyDescent="0.2">
      <c r="A16" t="s">
        <v>1822</v>
      </c>
      <c r="B16"/>
      <c r="C16"/>
      <c r="D16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1:34" x14ac:dyDescent="0.2">
      <c r="A17" t="s">
        <v>1827</v>
      </c>
      <c r="B17"/>
      <c r="C17"/>
      <c r="E17" s="15"/>
      <c r="F17" s="15"/>
      <c r="G17" s="15"/>
      <c r="H17" s="15"/>
      <c r="I17" s="15"/>
      <c r="J17" s="15"/>
      <c r="K17" s="15"/>
      <c r="L17" s="71"/>
      <c r="M17" s="15"/>
      <c r="N17" s="15"/>
      <c r="O17" s="74">
        <v>4480</v>
      </c>
      <c r="P17" s="15"/>
      <c r="Q17" s="15"/>
      <c r="R17" s="15"/>
      <c r="S17" s="15"/>
      <c r="T17" s="15"/>
    </row>
    <row r="18" spans="1:34" x14ac:dyDescent="0.2">
      <c r="E18" s="19"/>
      <c r="F18" s="15"/>
      <c r="G18" s="15"/>
      <c r="I18" s="15"/>
      <c r="J18" s="15"/>
      <c r="M18" s="15"/>
      <c r="N18" s="15"/>
      <c r="O18" s="15"/>
      <c r="P18" s="19"/>
      <c r="R18" s="15"/>
      <c r="S18" s="15"/>
      <c r="T18" s="19"/>
    </row>
    <row r="19" spans="1:34" x14ac:dyDescent="0.2">
      <c r="E19" s="19"/>
      <c r="F19" s="15"/>
      <c r="G19" s="15"/>
      <c r="I19" s="15"/>
      <c r="J19" s="15"/>
      <c r="K19" s="15"/>
      <c r="M19" s="15"/>
      <c r="N19" s="1"/>
      <c r="O19" s="15"/>
      <c r="P19" s="19"/>
      <c r="R19" s="15"/>
      <c r="S19" s="15"/>
      <c r="T19" s="19"/>
    </row>
    <row r="20" spans="1:34" x14ac:dyDescent="0.2">
      <c r="A20" s="12"/>
      <c r="E20" s="19"/>
      <c r="F20" s="15"/>
      <c r="G20" s="15"/>
      <c r="I20" s="15"/>
      <c r="J20" s="15"/>
      <c r="K20" s="15"/>
      <c r="M20" s="15"/>
      <c r="N20" s="1"/>
      <c r="O20" s="108"/>
      <c r="P20" s="19"/>
      <c r="R20" s="15"/>
      <c r="S20" s="15"/>
      <c r="T20" s="19"/>
    </row>
    <row r="21" spans="1:34" x14ac:dyDescent="0.2">
      <c r="A21" s="12"/>
      <c r="B21" s="15"/>
      <c r="C21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34" x14ac:dyDescent="0.2">
      <c r="B22"/>
      <c r="C22"/>
      <c r="D22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spans="1:34" x14ac:dyDescent="0.2">
      <c r="B23" s="19"/>
      <c r="D23" s="19"/>
      <c r="E23" s="19"/>
      <c r="F23" s="19"/>
      <c r="G23" s="15"/>
      <c r="H23" s="19"/>
      <c r="I23" s="19"/>
      <c r="J23" s="19"/>
      <c r="M23" s="15"/>
      <c r="N23" s="15"/>
      <c r="O23" s="17"/>
      <c r="P23" s="19"/>
      <c r="Q23" s="19"/>
      <c r="R23" s="19"/>
      <c r="S23" s="19"/>
      <c r="T23" s="19"/>
    </row>
    <row r="24" spans="1:34" x14ac:dyDescent="0.2">
      <c r="D24" s="13"/>
      <c r="E24" s="16"/>
      <c r="F24" s="15"/>
      <c r="G24" s="15"/>
      <c r="I24" s="15"/>
      <c r="J24" s="15"/>
      <c r="M24" s="15"/>
      <c r="N24" s="15"/>
      <c r="O24" s="1"/>
      <c r="P24" s="19"/>
      <c r="Q24" s="1"/>
      <c r="R24" s="1"/>
      <c r="S24" s="1"/>
      <c r="T24" s="19"/>
    </row>
    <row r="25" spans="1:34" x14ac:dyDescent="0.2">
      <c r="A25" s="12"/>
      <c r="D25" s="13"/>
      <c r="E25" s="47"/>
      <c r="F25" s="15"/>
      <c r="G25" s="15"/>
      <c r="H25" s="13"/>
      <c r="I25" s="15"/>
      <c r="J25" s="15"/>
      <c r="M25" s="15"/>
      <c r="N25" s="13"/>
      <c r="O25" s="17"/>
      <c r="P25" s="19"/>
      <c r="R25" s="15"/>
      <c r="S25" s="13"/>
      <c r="T25" s="19"/>
    </row>
    <row r="26" spans="1:34" x14ac:dyDescent="0.2">
      <c r="A26" s="12"/>
      <c r="B26"/>
      <c r="C26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34" x14ac:dyDescent="0.2">
      <c r="A27" s="21" t="s">
        <v>54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34" x14ac:dyDescent="0.2">
      <c r="A28" s="80" t="s">
        <v>62</v>
      </c>
      <c r="B28" s="80" t="s">
        <v>42</v>
      </c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2"/>
    </row>
    <row r="29" spans="1:34" x14ac:dyDescent="0.2">
      <c r="A29" s="80" t="s">
        <v>50</v>
      </c>
      <c r="B29" s="83">
        <v>44256</v>
      </c>
      <c r="C29" s="84">
        <v>44257</v>
      </c>
      <c r="D29" s="84">
        <v>44258</v>
      </c>
      <c r="E29" s="84">
        <v>44259</v>
      </c>
      <c r="F29" s="84">
        <v>44260</v>
      </c>
      <c r="G29" s="84">
        <v>44263</v>
      </c>
      <c r="H29" s="84">
        <v>44264</v>
      </c>
      <c r="I29" s="84">
        <v>44265</v>
      </c>
      <c r="J29" s="84">
        <v>44266</v>
      </c>
      <c r="K29" s="84">
        <v>44267</v>
      </c>
      <c r="L29" s="84">
        <v>44270</v>
      </c>
      <c r="M29" s="84">
        <v>44271</v>
      </c>
      <c r="N29" s="84">
        <v>44272</v>
      </c>
      <c r="O29" s="84">
        <v>44273</v>
      </c>
      <c r="P29" s="84">
        <v>44274</v>
      </c>
      <c r="Q29" s="84">
        <v>44277</v>
      </c>
      <c r="R29" s="84">
        <v>44278</v>
      </c>
      <c r="S29" s="84">
        <v>44279</v>
      </c>
      <c r="T29" s="84">
        <v>44280</v>
      </c>
      <c r="U29" s="84">
        <v>44281</v>
      </c>
      <c r="V29" s="84">
        <v>44284</v>
      </c>
      <c r="W29" s="84">
        <v>44285</v>
      </c>
      <c r="X29" s="84">
        <v>44286</v>
      </c>
      <c r="Y29" s="85" t="s">
        <v>71</v>
      </c>
    </row>
    <row r="30" spans="1:34" s="11" customFormat="1" x14ac:dyDescent="0.2">
      <c r="A30" s="86" t="s">
        <v>63</v>
      </c>
      <c r="B30" s="86"/>
      <c r="C30" s="87">
        <v>725</v>
      </c>
      <c r="D30" s="87"/>
      <c r="E30" s="87"/>
      <c r="F30" s="87"/>
      <c r="G30" s="87"/>
      <c r="H30" s="87"/>
      <c r="I30" s="87"/>
      <c r="J30" s="87"/>
      <c r="K30" s="87">
        <v>4500</v>
      </c>
      <c r="L30" s="87">
        <v>4700</v>
      </c>
      <c r="M30" s="87"/>
      <c r="N30" s="87"/>
      <c r="O30" s="87"/>
      <c r="P30" s="87">
        <v>466.66999999999996</v>
      </c>
      <c r="Q30" s="87">
        <v>645.61</v>
      </c>
      <c r="R30" s="87"/>
      <c r="S30" s="87"/>
      <c r="T30" s="87"/>
      <c r="U30" s="87">
        <v>8982</v>
      </c>
      <c r="V30" s="87"/>
      <c r="W30" s="87"/>
      <c r="X30" s="87">
        <v>2616.9500000000003</v>
      </c>
      <c r="Y30" s="85">
        <v>22636.23</v>
      </c>
      <c r="Z30"/>
      <c r="AA30"/>
      <c r="AB30"/>
      <c r="AC30"/>
      <c r="AD30"/>
      <c r="AE30"/>
      <c r="AF30"/>
      <c r="AG30"/>
      <c r="AH30"/>
    </row>
    <row r="31" spans="1:34" s="11" customFormat="1" x14ac:dyDescent="0.2">
      <c r="A31" s="88" t="s">
        <v>1817</v>
      </c>
      <c r="B31" s="88">
        <v>5097.0899999999992</v>
      </c>
      <c r="C31"/>
      <c r="D31">
        <v>1883</v>
      </c>
      <c r="E31"/>
      <c r="F31"/>
      <c r="G31"/>
      <c r="H31"/>
      <c r="I31">
        <v>28290.07</v>
      </c>
      <c r="J31"/>
      <c r="K31">
        <v>195</v>
      </c>
      <c r="L31">
        <v>18880.29</v>
      </c>
      <c r="M31">
        <v>439.6</v>
      </c>
      <c r="N31"/>
      <c r="O31">
        <v>13748.8</v>
      </c>
      <c r="P31">
        <v>20177.640000000003</v>
      </c>
      <c r="Q31">
        <v>1973.71</v>
      </c>
      <c r="R31"/>
      <c r="S31">
        <v>319.91000000000003</v>
      </c>
      <c r="T31"/>
      <c r="U31"/>
      <c r="V31">
        <v>2014.0800000000002</v>
      </c>
      <c r="W31">
        <v>1596</v>
      </c>
      <c r="X31">
        <v>7201.3700000000008</v>
      </c>
      <c r="Y31" s="89">
        <v>101816.56</v>
      </c>
      <c r="Z31"/>
      <c r="AA31"/>
      <c r="AB31"/>
      <c r="AC31"/>
      <c r="AD31"/>
      <c r="AE31"/>
      <c r="AF31"/>
      <c r="AG31"/>
      <c r="AH31"/>
    </row>
    <row r="32" spans="1:34" s="11" customFormat="1" x14ac:dyDescent="0.2">
      <c r="A32" s="88" t="s">
        <v>1825</v>
      </c>
      <c r="B32" s="88"/>
      <c r="C32"/>
      <c r="D32"/>
      <c r="E32"/>
      <c r="F32"/>
      <c r="G32"/>
      <c r="H32"/>
      <c r="I32"/>
      <c r="J32"/>
      <c r="K32"/>
      <c r="L32"/>
      <c r="M32"/>
      <c r="N32">
        <v>1277.6300000000001</v>
      </c>
      <c r="O32"/>
      <c r="P32"/>
      <c r="Q32"/>
      <c r="R32"/>
      <c r="S32"/>
      <c r="T32">
        <v>500</v>
      </c>
      <c r="U32"/>
      <c r="V32"/>
      <c r="W32"/>
      <c r="X32"/>
      <c r="Y32" s="89">
        <v>1777.63</v>
      </c>
      <c r="Z32"/>
      <c r="AA32"/>
      <c r="AB32"/>
      <c r="AC32"/>
      <c r="AD32"/>
      <c r="AE32"/>
      <c r="AF32"/>
      <c r="AG32"/>
      <c r="AH32"/>
    </row>
    <row r="33" spans="1:34" s="11" customFormat="1" x14ac:dyDescent="0.2">
      <c r="A33" s="88" t="s">
        <v>1818</v>
      </c>
      <c r="B33" s="88"/>
      <c r="C33"/>
      <c r="D33"/>
      <c r="E33"/>
      <c r="F33"/>
      <c r="G33"/>
      <c r="H33"/>
      <c r="I33"/>
      <c r="J33"/>
      <c r="K33"/>
      <c r="L33">
        <v>3594.05</v>
      </c>
      <c r="M33"/>
      <c r="N33"/>
      <c r="O33">
        <v>388.19</v>
      </c>
      <c r="P33"/>
      <c r="Q33"/>
      <c r="R33"/>
      <c r="S33"/>
      <c r="T33"/>
      <c r="U33"/>
      <c r="V33"/>
      <c r="W33"/>
      <c r="X33"/>
      <c r="Y33" s="89">
        <v>3982.2400000000002</v>
      </c>
      <c r="Z33"/>
      <c r="AA33"/>
      <c r="AB33"/>
      <c r="AC33"/>
      <c r="AD33"/>
      <c r="AE33"/>
      <c r="AF33"/>
      <c r="AG33"/>
      <c r="AH33"/>
    </row>
    <row r="34" spans="1:34" s="11" customFormat="1" x14ac:dyDescent="0.2">
      <c r="A34" s="88" t="s">
        <v>1819</v>
      </c>
      <c r="B34" s="88">
        <v>8378.8000000000011</v>
      </c>
      <c r="C34">
        <v>1014.85</v>
      </c>
      <c r="D34">
        <v>530</v>
      </c>
      <c r="E34">
        <v>7525.9500000000007</v>
      </c>
      <c r="F34">
        <v>60528.35</v>
      </c>
      <c r="G34">
        <v>9174.68</v>
      </c>
      <c r="H34">
        <v>100</v>
      </c>
      <c r="I34">
        <v>1864.29</v>
      </c>
      <c r="J34">
        <v>11012.36</v>
      </c>
      <c r="K34">
        <v>2491.67</v>
      </c>
      <c r="L34">
        <v>7073.59</v>
      </c>
      <c r="M34">
        <v>2100.8000000000002</v>
      </c>
      <c r="N34">
        <v>37509.22</v>
      </c>
      <c r="O34">
        <v>11954.9</v>
      </c>
      <c r="P34">
        <v>32082.77</v>
      </c>
      <c r="Q34">
        <v>6178.9100000000008</v>
      </c>
      <c r="R34">
        <v>17109.830000000002</v>
      </c>
      <c r="S34">
        <v>1188.06</v>
      </c>
      <c r="T34">
        <v>31082.31</v>
      </c>
      <c r="U34">
        <v>7573.3600000000006</v>
      </c>
      <c r="V34">
        <v>920.95</v>
      </c>
      <c r="W34">
        <v>3029.66</v>
      </c>
      <c r="X34">
        <v>19041.300000000003</v>
      </c>
      <c r="Y34" s="89">
        <v>279466.61</v>
      </c>
      <c r="Z34"/>
      <c r="AA34"/>
      <c r="AB34"/>
      <c r="AC34"/>
      <c r="AD34"/>
      <c r="AE34"/>
      <c r="AF34"/>
      <c r="AG34"/>
      <c r="AH34"/>
    </row>
    <row r="35" spans="1:34" s="11" customFormat="1" x14ac:dyDescent="0.2">
      <c r="A35" s="90" t="s">
        <v>71</v>
      </c>
      <c r="B35" s="90">
        <v>13475.89</v>
      </c>
      <c r="C35" s="91">
        <v>1739.85</v>
      </c>
      <c r="D35" s="91">
        <v>2413</v>
      </c>
      <c r="E35" s="91">
        <v>7525.9500000000007</v>
      </c>
      <c r="F35" s="91">
        <v>60528.35</v>
      </c>
      <c r="G35" s="91">
        <v>9174.68</v>
      </c>
      <c r="H35" s="91">
        <v>100</v>
      </c>
      <c r="I35" s="91">
        <v>30154.36</v>
      </c>
      <c r="J35" s="91">
        <v>11012.36</v>
      </c>
      <c r="K35" s="91">
        <v>7186.67</v>
      </c>
      <c r="L35" s="91">
        <v>34247.93</v>
      </c>
      <c r="M35" s="91">
        <v>2540.4</v>
      </c>
      <c r="N35" s="91">
        <v>38786.85</v>
      </c>
      <c r="O35" s="91">
        <v>26091.89</v>
      </c>
      <c r="P35" s="91">
        <v>52727.08</v>
      </c>
      <c r="Q35" s="91">
        <v>8798.2300000000014</v>
      </c>
      <c r="R35" s="91">
        <v>17109.830000000002</v>
      </c>
      <c r="S35" s="91">
        <v>1507.97</v>
      </c>
      <c r="T35" s="91">
        <v>31582.31</v>
      </c>
      <c r="U35" s="91">
        <v>16555.36</v>
      </c>
      <c r="V35" s="91">
        <v>2935.03</v>
      </c>
      <c r="W35" s="91">
        <v>4625.66</v>
      </c>
      <c r="X35" s="91">
        <v>28859.620000000003</v>
      </c>
      <c r="Y35" s="92">
        <v>409679.27</v>
      </c>
      <c r="Z35"/>
      <c r="AA35"/>
      <c r="AB35"/>
      <c r="AC35"/>
      <c r="AD35"/>
      <c r="AE35"/>
      <c r="AF35"/>
      <c r="AG35"/>
      <c r="AH35"/>
    </row>
    <row r="36" spans="1:34" s="11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s="1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s="25" customFormat="1" ht="13.5" thickBot="1" x14ac:dyDescent="0.25">
      <c r="A38" s="24" t="s">
        <v>35</v>
      </c>
      <c r="B38" s="24">
        <f>B4+B6-GETPIVOTDATA("Valor",$A$28,"Pagto.",DATE(2021,3,1))</f>
        <v>14127.090000000018</v>
      </c>
      <c r="C38" s="24">
        <f>C4+C6-GETPIVOTDATA("Valor",$A$28,"Pagto.",DATE(2021,3,2))</f>
        <v>12387.240000000018</v>
      </c>
      <c r="D38" s="24">
        <f>D4+D6-GETPIVOTDATA("Valor",$A$28,"Pagto.",DATE(2021,3,3))</f>
        <v>10789.240000000018</v>
      </c>
      <c r="E38" s="24">
        <f>E4+E6-GETPIVOTDATA("Valor",$A$28,"Pagto.",DATE(2021,3,4))</f>
        <v>35754.520000000019</v>
      </c>
      <c r="F38" s="24">
        <f>F4+F6-GETPIVOTDATA("Valor",$A$28,"Pagto.",DATE(2021,3,5))</f>
        <v>-6884.8299999999799</v>
      </c>
      <c r="G38" s="24">
        <f>G4+G6-GETPIVOTDATA("Valor",$A$28,"Pagto.",DATE(2021,3,8))</f>
        <v>-12834.139999999981</v>
      </c>
      <c r="H38" s="24">
        <f>H4+H6-GETPIVOTDATA("Valor",$A$28,"Pagto.",DATE(2021,3,9))</f>
        <v>-12934.139999999981</v>
      </c>
      <c r="I38" s="24">
        <f>I4+I6-GETPIVOTDATA("Valor",$A$28,"Pagto.",DATE(2021,3,10))</f>
        <v>2036.9900000000162</v>
      </c>
      <c r="J38" s="24">
        <f>J4+J6-GETPIVOTDATA("Valor",$A$28,"Pagto.",DATE(2021,3,11))</f>
        <v>-8975.3699999999844</v>
      </c>
      <c r="K38" s="24">
        <f>K4+K6-GETPIVOTDATA("Valor",$A$28,"Pagto.",DATE(2021,3,12))</f>
        <v>-10377.479999999985</v>
      </c>
      <c r="L38" s="24">
        <f>L4+L6-GETPIVOTDATA("Valor",$A$28,"Pagto.",DATE(2021,3,15))</f>
        <v>-4813.4099999999853</v>
      </c>
      <c r="M38" s="24">
        <f>M4+M6-GETPIVOTDATA("Valor",$A$28,"Pagto.",DATE(2021,3,16))</f>
        <v>-7353.8099999999849</v>
      </c>
      <c r="N38" s="24">
        <f>N4+N6-GETPIVOTDATA("Valor",$A$28,"Pagto.",DATE(2021,3,17))</f>
        <v>34048.190000000024</v>
      </c>
      <c r="O38" s="24">
        <f>O4+O6-GETPIVOTDATA("Valor",$A$28,"Pagto.",DATE(2021,3,18))</f>
        <v>38436.300000000025</v>
      </c>
      <c r="P38" s="24">
        <f>P4+P6-GETPIVOTDATA("Valor",$A$28,"Pagto.",DATE(2021,3,19))</f>
        <v>-14290.779999999977</v>
      </c>
      <c r="Q38" s="24">
        <f>Q4+Q6-GETPIVOTDATA("Valor",$A$28,"Pagto.",DATE(2021,3,22))</f>
        <v>-5554.1099999999769</v>
      </c>
      <c r="R38" s="24">
        <f>R4+R6-GETPIVOTDATA("Valor",$A$28,"Pagto.",DATE(2021,3,23))</f>
        <v>-13927.939999999979</v>
      </c>
      <c r="S38" s="24">
        <f>S4+S6-GETPIVOTDATA("Valor",$A$28,"Pagto.",DATE(2021,3,24))</f>
        <v>-15435.909999999978</v>
      </c>
      <c r="T38" s="24">
        <f>T4+T6-GETPIVOTDATA("Valor",$A$28,"Pagto.",DATE(2021,3,25))</f>
        <v>18607.780000000024</v>
      </c>
      <c r="U38" s="24">
        <f>U4+U6-GETPIVOTDATA("Valor",$A$28,"Pagto.",DATE(2021,3,26))</f>
        <v>2052.4200000000237</v>
      </c>
      <c r="V38" s="24">
        <f>V4+V6-GETPIVOTDATA("Valor",$A$28,"Pagto.",DATE(2021,3,29))</f>
        <v>7262.3900000000231</v>
      </c>
      <c r="W38" s="24">
        <f>W4+W6-GETPIVOTDATA("Valor",$A$28,"Pagto.",DATE(2021,3,30))</f>
        <v>53113.130000000019</v>
      </c>
      <c r="X38" s="24">
        <f>X4+X6-GETPIVOTDATA("Valor",$A$28,"Pagto.",DATE(2021,3,31))</f>
        <v>25773.510000000017</v>
      </c>
    </row>
    <row r="39" spans="1:34" ht="13.5" thickTop="1" x14ac:dyDescent="0.2">
      <c r="B39"/>
      <c r="C39"/>
      <c r="D39"/>
      <c r="E39"/>
      <c r="F39"/>
      <c r="G39"/>
      <c r="H39"/>
      <c r="I39"/>
      <c r="J39"/>
      <c r="K39"/>
      <c r="L39"/>
    </row>
    <row r="40" spans="1:34" x14ac:dyDescent="0.2">
      <c r="B40"/>
      <c r="C40"/>
      <c r="D40"/>
      <c r="E40"/>
      <c r="F40"/>
      <c r="G40"/>
      <c r="H40"/>
      <c r="I40"/>
    </row>
    <row r="41" spans="1:34" x14ac:dyDescent="0.2">
      <c r="B41"/>
      <c r="C41"/>
      <c r="D41"/>
      <c r="E41"/>
      <c r="F41"/>
      <c r="G41"/>
      <c r="H41"/>
      <c r="I41"/>
    </row>
    <row r="42" spans="1:34" x14ac:dyDescent="0.2">
      <c r="B42"/>
      <c r="C42"/>
      <c r="D42"/>
      <c r="E42"/>
      <c r="F42"/>
      <c r="G42"/>
      <c r="H42"/>
      <c r="I42"/>
    </row>
    <row r="43" spans="1:34" x14ac:dyDescent="0.2">
      <c r="B43"/>
      <c r="C43"/>
      <c r="D43"/>
      <c r="E43"/>
      <c r="F43"/>
      <c r="G43"/>
      <c r="H43"/>
      <c r="I43"/>
    </row>
    <row r="44" spans="1:34" x14ac:dyDescent="0.2">
      <c r="B44"/>
      <c r="C44"/>
      <c r="D44"/>
      <c r="E44"/>
      <c r="F44"/>
      <c r="G44"/>
      <c r="H44"/>
      <c r="I44"/>
    </row>
    <row r="45" spans="1:34" x14ac:dyDescent="0.2">
      <c r="B45"/>
      <c r="C45"/>
      <c r="D45"/>
      <c r="E45"/>
      <c r="F45"/>
      <c r="G45"/>
      <c r="H45"/>
      <c r="I45"/>
    </row>
    <row r="46" spans="1:34" x14ac:dyDescent="0.2">
      <c r="B46"/>
      <c r="C46"/>
      <c r="D46"/>
      <c r="E46"/>
      <c r="F46"/>
      <c r="G46"/>
      <c r="H46"/>
      <c r="I46"/>
    </row>
    <row r="47" spans="1:34" x14ac:dyDescent="0.2">
      <c r="B47"/>
      <c r="C47"/>
      <c r="D47"/>
      <c r="E47"/>
      <c r="F47"/>
      <c r="G47"/>
      <c r="H47"/>
      <c r="I47"/>
    </row>
    <row r="48" spans="1:34" x14ac:dyDescent="0.2">
      <c r="B48"/>
      <c r="C48"/>
      <c r="D48"/>
      <c r="E48"/>
      <c r="F48"/>
      <c r="G48"/>
      <c r="H48"/>
      <c r="I48"/>
    </row>
    <row r="49" spans="2:9" x14ac:dyDescent="0.2">
      <c r="B49"/>
      <c r="C49"/>
      <c r="D49"/>
      <c r="E49"/>
      <c r="F49"/>
      <c r="G49"/>
      <c r="H49"/>
      <c r="I49"/>
    </row>
    <row r="50" spans="2:9" x14ac:dyDescent="0.2">
      <c r="B50"/>
      <c r="C50"/>
      <c r="D50"/>
      <c r="E50"/>
      <c r="F50"/>
      <c r="G50"/>
      <c r="H50"/>
      <c r="I50"/>
    </row>
  </sheetData>
  <conditionalFormatting sqref="A36 A38:XFD38 A4:XFD4">
    <cfRule type="cellIs" dxfId="8" priority="3" stopIfTrue="1" operator="lessThan">
      <formula>0</formula>
    </cfRule>
  </conditionalFormatting>
  <conditionalFormatting sqref="A1:XFD1">
    <cfRule type="cellIs" dxfId="7" priority="1" stopIfTrue="1" operator="equal">
      <formula>"Sábado"</formula>
    </cfRule>
    <cfRule type="cellIs" dxfId="6" priority="2" stopIfTrue="1" operator="equal">
      <formula>"Domingo"</formula>
    </cfRule>
  </conditionalFormatting>
  <pageMargins left="0.74791666666666667" right="0.74791666666666667" top="0.98402777777777783" bottom="0.98402777777777783" header="0.51180555555555562" footer="0.51180555555555562"/>
  <pageSetup paperSize="9" firstPageNumber="0" orientation="landscape" horizontalDpi="300" verticalDpi="300" r:id="rId2"/>
  <headerFooter alignWithMargins="0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6">
    <tabColor rgb="FF92D050"/>
  </sheetPr>
  <dimension ref="A1:K2879"/>
  <sheetViews>
    <sheetView zoomScale="90" workbookViewId="0">
      <pane ySplit="1" topLeftCell="A177" activePane="bottomLeft" state="frozen"/>
      <selection activeCell="J15" sqref="J15"/>
      <selection pane="bottomLeft" activeCell="D221" sqref="D221"/>
    </sheetView>
  </sheetViews>
  <sheetFormatPr defaultRowHeight="12.75" x14ac:dyDescent="0.2"/>
  <cols>
    <col min="1" max="1" width="7.140625" customWidth="1"/>
    <col min="2" max="2" width="5.7109375" customWidth="1"/>
    <col min="3" max="3" width="16.7109375" bestFit="1" customWidth="1"/>
    <col min="4" max="4" width="86.28515625" bestFit="1" customWidth="1"/>
    <col min="5" max="5" width="12.5703125" style="49" customWidth="1"/>
    <col min="6" max="6" width="17.42578125" style="40" customWidth="1"/>
    <col min="7" max="7" width="24.85546875" customWidth="1"/>
    <col min="8" max="8" width="15.28515625" style="75" customWidth="1"/>
    <col min="9" max="9" width="21.7109375" bestFit="1" customWidth="1"/>
    <col min="10" max="10" width="19" customWidth="1"/>
    <col min="11" max="11" width="18.28515625" style="1" customWidth="1"/>
    <col min="12" max="12" width="17.28515625" customWidth="1"/>
    <col min="13" max="13" width="14.140625" customWidth="1"/>
    <col min="14" max="14" width="19.140625" customWidth="1"/>
  </cols>
  <sheetData>
    <row r="1" spans="1:11" s="36" customFormat="1" x14ac:dyDescent="0.2">
      <c r="A1" s="36">
        <v>0</v>
      </c>
      <c r="B1" s="36" t="s">
        <v>5</v>
      </c>
      <c r="C1" s="36" t="s">
        <v>46</v>
      </c>
      <c r="D1" s="36" t="s">
        <v>47</v>
      </c>
      <c r="E1" s="36" t="s">
        <v>48</v>
      </c>
      <c r="F1" s="67" t="s">
        <v>78</v>
      </c>
      <c r="G1" s="36" t="s">
        <v>50</v>
      </c>
      <c r="H1" s="33" t="s">
        <v>42</v>
      </c>
      <c r="K1" s="37"/>
    </row>
    <row r="2" spans="1:11" ht="13.5" customHeight="1" x14ac:dyDescent="0.2">
      <c r="C2" s="12" t="s">
        <v>73</v>
      </c>
      <c r="D2" s="57" t="s">
        <v>380</v>
      </c>
      <c r="E2" s="60">
        <v>44228</v>
      </c>
      <c r="F2" s="58">
        <v>88.78</v>
      </c>
      <c r="G2" s="12" t="s">
        <v>1676</v>
      </c>
      <c r="H2" s="61">
        <f t="shared" ref="H2:H65" si="0">VLOOKUP(E2,$E$2803:$H$2834,4,FALSE)</f>
        <v>44228</v>
      </c>
    </row>
    <row r="3" spans="1:11" ht="13.5" customHeight="1" x14ac:dyDescent="0.2">
      <c r="C3" s="12" t="s">
        <v>199</v>
      </c>
      <c r="D3" s="57" t="s">
        <v>365</v>
      </c>
      <c r="E3" s="60">
        <v>44228</v>
      </c>
      <c r="F3" s="58">
        <f>2268.49+125+125+153+246+1000</f>
        <v>3917.49</v>
      </c>
      <c r="G3" s="12" t="s">
        <v>1676</v>
      </c>
      <c r="H3" s="61">
        <f t="shared" si="0"/>
        <v>44228</v>
      </c>
    </row>
    <row r="4" spans="1:11" ht="13.5" customHeight="1" x14ac:dyDescent="0.2">
      <c r="C4" s="12" t="s">
        <v>159</v>
      </c>
      <c r="D4" s="57" t="s">
        <v>191</v>
      </c>
      <c r="E4" s="60">
        <v>44228</v>
      </c>
      <c r="F4" s="58">
        <v>787.5</v>
      </c>
      <c r="G4" s="12" t="s">
        <v>1689</v>
      </c>
      <c r="H4" s="61">
        <f t="shared" si="0"/>
        <v>44228</v>
      </c>
    </row>
    <row r="5" spans="1:11" ht="13.5" customHeight="1" x14ac:dyDescent="0.2">
      <c r="C5" s="12" t="s">
        <v>164</v>
      </c>
      <c r="D5" s="57" t="s">
        <v>364</v>
      </c>
      <c r="E5" s="60">
        <v>44229</v>
      </c>
      <c r="F5" s="58">
        <v>50</v>
      </c>
      <c r="G5" s="12" t="s">
        <v>1689</v>
      </c>
      <c r="H5" s="61">
        <f t="shared" si="0"/>
        <v>44229</v>
      </c>
    </row>
    <row r="6" spans="1:11" ht="13.5" customHeight="1" x14ac:dyDescent="0.2">
      <c r="C6" s="12" t="s">
        <v>84</v>
      </c>
      <c r="D6" s="57" t="s">
        <v>340</v>
      </c>
      <c r="E6" s="60">
        <v>44229</v>
      </c>
      <c r="F6" s="58">
        <v>520.79999999999995</v>
      </c>
      <c r="G6" s="12" t="s">
        <v>1689</v>
      </c>
      <c r="H6" s="61">
        <f t="shared" si="0"/>
        <v>44229</v>
      </c>
    </row>
    <row r="7" spans="1:11" ht="13.5" customHeight="1" x14ac:dyDescent="0.2">
      <c r="C7" s="12" t="s">
        <v>76</v>
      </c>
      <c r="D7" s="57" t="s">
        <v>304</v>
      </c>
      <c r="E7" s="60">
        <v>44229</v>
      </c>
      <c r="F7" s="58">
        <v>1363.85</v>
      </c>
      <c r="G7" s="12" t="s">
        <v>1689</v>
      </c>
      <c r="H7" s="61">
        <f t="shared" si="0"/>
        <v>44229</v>
      </c>
    </row>
    <row r="8" spans="1:11" ht="13.5" customHeight="1" x14ac:dyDescent="0.2">
      <c r="C8" s="12" t="s">
        <v>97</v>
      </c>
      <c r="D8" s="57" t="s">
        <v>370</v>
      </c>
      <c r="E8" s="60">
        <v>44230</v>
      </c>
      <c r="F8" s="58">
        <v>151864.5</v>
      </c>
      <c r="G8" s="12" t="s">
        <v>1689</v>
      </c>
      <c r="H8" s="61">
        <f t="shared" si="0"/>
        <v>44230</v>
      </c>
    </row>
    <row r="9" spans="1:11" ht="13.5" customHeight="1" x14ac:dyDescent="0.2">
      <c r="C9" s="12" t="s">
        <v>83</v>
      </c>
      <c r="D9" s="57" t="s">
        <v>344</v>
      </c>
      <c r="E9" s="60">
        <v>44230</v>
      </c>
      <c r="F9" s="58">
        <v>1360</v>
      </c>
      <c r="G9" s="12" t="s">
        <v>1689</v>
      </c>
      <c r="H9" s="61">
        <f t="shared" si="0"/>
        <v>44230</v>
      </c>
    </row>
    <row r="10" spans="1:11" ht="13.5" customHeight="1" x14ac:dyDescent="0.2">
      <c r="C10" s="12" t="s">
        <v>72</v>
      </c>
      <c r="D10" s="57" t="s">
        <v>1763</v>
      </c>
      <c r="E10" s="60">
        <v>44230</v>
      </c>
      <c r="F10" s="58">
        <v>300</v>
      </c>
      <c r="G10" s="12" t="s">
        <v>1688</v>
      </c>
      <c r="H10" s="61">
        <f t="shared" si="0"/>
        <v>44230</v>
      </c>
    </row>
    <row r="11" spans="1:11" ht="13.5" customHeight="1" x14ac:dyDescent="0.2">
      <c r="C11" s="12" t="s">
        <v>97</v>
      </c>
      <c r="D11" s="57" t="s">
        <v>100</v>
      </c>
      <c r="E11" s="60">
        <v>44231</v>
      </c>
      <c r="F11" s="58">
        <v>2322.87</v>
      </c>
      <c r="G11" s="12" t="s">
        <v>1689</v>
      </c>
      <c r="H11" s="61">
        <f t="shared" si="0"/>
        <v>44231</v>
      </c>
    </row>
    <row r="12" spans="1:11" ht="13.5" customHeight="1" x14ac:dyDescent="0.2">
      <c r="C12" s="12" t="s">
        <v>192</v>
      </c>
      <c r="D12" s="57" t="s">
        <v>334</v>
      </c>
      <c r="E12" s="60">
        <v>44231</v>
      </c>
      <c r="F12" s="58">
        <v>459.36</v>
      </c>
      <c r="G12" s="12" t="s">
        <v>1689</v>
      </c>
      <c r="H12" s="61">
        <f t="shared" si="0"/>
        <v>44231</v>
      </c>
    </row>
    <row r="13" spans="1:11" ht="13.5" customHeight="1" x14ac:dyDescent="0.2">
      <c r="C13" s="12" t="s">
        <v>56</v>
      </c>
      <c r="D13" s="57" t="s">
        <v>377</v>
      </c>
      <c r="E13" s="60">
        <v>44231</v>
      </c>
      <c r="F13" s="58">
        <f>44659+673</f>
        <v>45332</v>
      </c>
      <c r="G13" s="12" t="s">
        <v>1689</v>
      </c>
      <c r="H13" s="61">
        <f t="shared" si="0"/>
        <v>44231</v>
      </c>
    </row>
    <row r="14" spans="1:11" ht="13.5" customHeight="1" x14ac:dyDescent="0.2">
      <c r="C14" s="12" t="s">
        <v>159</v>
      </c>
      <c r="D14" s="57" t="s">
        <v>376</v>
      </c>
      <c r="E14" s="60">
        <v>44232</v>
      </c>
      <c r="F14" s="58">
        <v>541.82000000000005</v>
      </c>
      <c r="G14" s="12" t="s">
        <v>1689</v>
      </c>
      <c r="H14" s="61">
        <f t="shared" si="0"/>
        <v>44232</v>
      </c>
    </row>
    <row r="15" spans="1:11" ht="13.5" customHeight="1" x14ac:dyDescent="0.2">
      <c r="C15" s="12" t="s">
        <v>84</v>
      </c>
      <c r="D15" s="57" t="s">
        <v>385</v>
      </c>
      <c r="E15" s="60">
        <v>44232</v>
      </c>
      <c r="F15" s="58">
        <v>93</v>
      </c>
      <c r="G15" s="12" t="s">
        <v>1689</v>
      </c>
      <c r="H15" s="61">
        <f t="shared" si="0"/>
        <v>44232</v>
      </c>
    </row>
    <row r="16" spans="1:11" ht="13.5" customHeight="1" x14ac:dyDescent="0.2">
      <c r="C16" s="12" t="s">
        <v>80</v>
      </c>
      <c r="D16" s="57" t="s">
        <v>392</v>
      </c>
      <c r="E16" s="60">
        <v>44232</v>
      </c>
      <c r="F16" s="58">
        <v>558</v>
      </c>
      <c r="G16" s="12" t="s">
        <v>1689</v>
      </c>
      <c r="H16" s="61">
        <f t="shared" si="0"/>
        <v>44232</v>
      </c>
    </row>
    <row r="17" spans="3:8" ht="13.5" customHeight="1" x14ac:dyDescent="0.2">
      <c r="C17" s="12" t="s">
        <v>80</v>
      </c>
      <c r="D17" s="57" t="s">
        <v>1711</v>
      </c>
      <c r="E17" s="60">
        <v>44232</v>
      </c>
      <c r="F17" s="58">
        <v>150</v>
      </c>
      <c r="G17" s="12" t="s">
        <v>1688</v>
      </c>
      <c r="H17" s="61">
        <f t="shared" si="0"/>
        <v>44232</v>
      </c>
    </row>
    <row r="18" spans="3:8" ht="13.5" customHeight="1" x14ac:dyDescent="0.2">
      <c r="C18" s="12" t="s">
        <v>80</v>
      </c>
      <c r="D18" s="57" t="s">
        <v>240</v>
      </c>
      <c r="E18" s="60">
        <v>44232</v>
      </c>
      <c r="F18" s="58">
        <v>100</v>
      </c>
      <c r="G18" s="12" t="s">
        <v>1688</v>
      </c>
      <c r="H18" s="61">
        <f t="shared" si="0"/>
        <v>44232</v>
      </c>
    </row>
    <row r="19" spans="3:8" ht="13.5" customHeight="1" x14ac:dyDescent="0.2">
      <c r="C19" s="12" t="s">
        <v>84</v>
      </c>
      <c r="D19" s="57" t="s">
        <v>387</v>
      </c>
      <c r="E19" s="60">
        <v>44232</v>
      </c>
      <c r="F19" s="58">
        <v>140</v>
      </c>
      <c r="G19" s="12" t="s">
        <v>1689</v>
      </c>
      <c r="H19" s="61">
        <f t="shared" si="0"/>
        <v>44232</v>
      </c>
    </row>
    <row r="20" spans="3:8" ht="13.5" customHeight="1" x14ac:dyDescent="0.2">
      <c r="C20" s="12" t="s">
        <v>72</v>
      </c>
      <c r="D20" s="57" t="s">
        <v>1711</v>
      </c>
      <c r="E20" s="60">
        <v>44232</v>
      </c>
      <c r="F20" s="58">
        <v>300</v>
      </c>
      <c r="G20" s="12" t="s">
        <v>1688</v>
      </c>
      <c r="H20" s="61">
        <f t="shared" si="0"/>
        <v>44232</v>
      </c>
    </row>
    <row r="21" spans="3:8" ht="13.5" customHeight="1" x14ac:dyDescent="0.2">
      <c r="C21" s="12" t="s">
        <v>96</v>
      </c>
      <c r="D21" s="57" t="s">
        <v>316</v>
      </c>
      <c r="E21" s="60">
        <v>44232</v>
      </c>
      <c r="F21" s="58">
        <v>1500</v>
      </c>
      <c r="G21" s="12" t="s">
        <v>1689</v>
      </c>
      <c r="H21" s="61">
        <f t="shared" si="0"/>
        <v>44232</v>
      </c>
    </row>
    <row r="22" spans="3:8" ht="13.5" customHeight="1" x14ac:dyDescent="0.2">
      <c r="C22" s="12" t="s">
        <v>96</v>
      </c>
      <c r="D22" s="57" t="s">
        <v>317</v>
      </c>
      <c r="E22" s="60">
        <v>44232</v>
      </c>
      <c r="F22" s="58">
        <v>1500</v>
      </c>
      <c r="G22" s="12" t="s">
        <v>1689</v>
      </c>
      <c r="H22" s="61">
        <f t="shared" si="0"/>
        <v>44232</v>
      </c>
    </row>
    <row r="23" spans="3:8" ht="13.5" customHeight="1" x14ac:dyDescent="0.2">
      <c r="C23" s="12" t="s">
        <v>96</v>
      </c>
      <c r="D23" s="57" t="s">
        <v>318</v>
      </c>
      <c r="E23" s="60">
        <v>44232</v>
      </c>
      <c r="F23" s="58">
        <v>1500</v>
      </c>
      <c r="G23" s="12" t="s">
        <v>1689</v>
      </c>
      <c r="H23" s="61">
        <f t="shared" si="0"/>
        <v>44232</v>
      </c>
    </row>
    <row r="24" spans="3:8" ht="13.5" customHeight="1" x14ac:dyDescent="0.2">
      <c r="C24" s="12" t="s">
        <v>131</v>
      </c>
      <c r="D24" s="57" t="s">
        <v>345</v>
      </c>
      <c r="E24" s="60">
        <v>44232</v>
      </c>
      <c r="F24" s="58">
        <v>678.5</v>
      </c>
      <c r="G24" s="12" t="s">
        <v>1688</v>
      </c>
      <c r="H24" s="61">
        <f t="shared" si="0"/>
        <v>44232</v>
      </c>
    </row>
    <row r="25" spans="3:8" ht="13.5" customHeight="1" x14ac:dyDescent="0.2">
      <c r="C25" s="12" t="s">
        <v>83</v>
      </c>
      <c r="D25" s="57" t="s">
        <v>361</v>
      </c>
      <c r="E25" s="60">
        <v>44232</v>
      </c>
      <c r="F25" s="58">
        <v>249</v>
      </c>
      <c r="G25" s="12" t="s">
        <v>1689</v>
      </c>
      <c r="H25" s="61">
        <f t="shared" si="0"/>
        <v>44232</v>
      </c>
    </row>
    <row r="26" spans="3:8" ht="13.5" customHeight="1" x14ac:dyDescent="0.2">
      <c r="C26" s="12" t="s">
        <v>76</v>
      </c>
      <c r="D26" s="57" t="s">
        <v>362</v>
      </c>
      <c r="E26" s="60">
        <v>44232</v>
      </c>
      <c r="F26" s="58">
        <v>2569.25</v>
      </c>
      <c r="G26" s="12" t="s">
        <v>1689</v>
      </c>
      <c r="H26" s="61">
        <f t="shared" si="0"/>
        <v>44232</v>
      </c>
    </row>
    <row r="27" spans="3:8" ht="13.5" customHeight="1" x14ac:dyDescent="0.2">
      <c r="C27" s="12" t="s">
        <v>159</v>
      </c>
      <c r="D27" s="57" t="s">
        <v>369</v>
      </c>
      <c r="E27" s="60">
        <v>44232</v>
      </c>
      <c r="F27" s="58">
        <v>286.29000000000002</v>
      </c>
      <c r="G27" s="12" t="s">
        <v>1689</v>
      </c>
      <c r="H27" s="61">
        <f t="shared" si="0"/>
        <v>44232</v>
      </c>
    </row>
    <row r="28" spans="3:8" ht="13.5" customHeight="1" x14ac:dyDescent="0.2">
      <c r="C28" s="12" t="s">
        <v>56</v>
      </c>
      <c r="D28" s="57" t="s">
        <v>79</v>
      </c>
      <c r="E28" s="60">
        <v>44232</v>
      </c>
      <c r="F28" s="58">
        <f>16153+818</f>
        <v>16971</v>
      </c>
      <c r="G28" s="12" t="s">
        <v>1689</v>
      </c>
      <c r="H28" s="61">
        <f t="shared" si="0"/>
        <v>44232</v>
      </c>
    </row>
    <row r="29" spans="3:8" ht="13.5" customHeight="1" x14ac:dyDescent="0.2">
      <c r="C29" s="12" t="s">
        <v>56</v>
      </c>
      <c r="D29" s="57" t="s">
        <v>378</v>
      </c>
      <c r="E29" s="60">
        <v>44232</v>
      </c>
      <c r="F29" s="58">
        <v>8358</v>
      </c>
      <c r="G29" s="12" t="s">
        <v>1689</v>
      </c>
      <c r="H29" s="61">
        <f t="shared" si="0"/>
        <v>44232</v>
      </c>
    </row>
    <row r="30" spans="3:8" ht="13.5" customHeight="1" x14ac:dyDescent="0.2">
      <c r="C30" s="12" t="s">
        <v>170</v>
      </c>
      <c r="D30" s="57" t="s">
        <v>388</v>
      </c>
      <c r="E30" s="60">
        <v>44232</v>
      </c>
      <c r="F30" s="58">
        <v>88</v>
      </c>
      <c r="G30" s="12" t="s">
        <v>1676</v>
      </c>
      <c r="H30" s="61">
        <f t="shared" si="0"/>
        <v>44232</v>
      </c>
    </row>
    <row r="31" spans="3:8" ht="13.5" customHeight="1" x14ac:dyDescent="0.2">
      <c r="C31" s="12" t="s">
        <v>164</v>
      </c>
      <c r="D31" s="57" t="s">
        <v>233</v>
      </c>
      <c r="E31" s="60">
        <v>44232</v>
      </c>
      <c r="F31" s="58">
        <v>2144.44</v>
      </c>
      <c r="G31" s="12" t="s">
        <v>1689</v>
      </c>
      <c r="H31" s="61">
        <f t="shared" si="0"/>
        <v>44232</v>
      </c>
    </row>
    <row r="32" spans="3:8" ht="13.5" customHeight="1" x14ac:dyDescent="0.2">
      <c r="C32" s="12" t="s">
        <v>159</v>
      </c>
      <c r="D32" s="57" t="s">
        <v>214</v>
      </c>
      <c r="E32" s="60">
        <v>44233</v>
      </c>
      <c r="F32" s="58">
        <v>1176.58</v>
      </c>
      <c r="G32" s="12" t="s">
        <v>1689</v>
      </c>
      <c r="H32" s="61">
        <f t="shared" si="0"/>
        <v>44235</v>
      </c>
    </row>
    <row r="33" spans="3:8" ht="13.5" customHeight="1" x14ac:dyDescent="0.2">
      <c r="C33" s="12" t="s">
        <v>192</v>
      </c>
      <c r="D33" s="57" t="s">
        <v>338</v>
      </c>
      <c r="E33" s="60">
        <v>44235</v>
      </c>
      <c r="F33" s="58">
        <v>1645.76</v>
      </c>
      <c r="G33" s="12" t="s">
        <v>1689</v>
      </c>
      <c r="H33" s="61">
        <f t="shared" si="0"/>
        <v>44235</v>
      </c>
    </row>
    <row r="34" spans="3:8" ht="13.5" customHeight="1" x14ac:dyDescent="0.2">
      <c r="C34" s="12" t="s">
        <v>159</v>
      </c>
      <c r="D34" s="57" t="s">
        <v>214</v>
      </c>
      <c r="E34" s="60">
        <v>44235</v>
      </c>
      <c r="F34" s="58">
        <v>1665.74</v>
      </c>
      <c r="G34" s="12" t="s">
        <v>1689</v>
      </c>
      <c r="H34" s="61">
        <f t="shared" si="0"/>
        <v>44235</v>
      </c>
    </row>
    <row r="35" spans="3:8" ht="13.5" customHeight="1" x14ac:dyDescent="0.2">
      <c r="C35" s="12" t="s">
        <v>97</v>
      </c>
      <c r="D35" s="57" t="s">
        <v>101</v>
      </c>
      <c r="E35" s="60">
        <v>44235</v>
      </c>
      <c r="F35" s="58">
        <v>2236.36</v>
      </c>
      <c r="G35" s="12" t="s">
        <v>1689</v>
      </c>
      <c r="H35" s="61">
        <f t="shared" si="0"/>
        <v>44235</v>
      </c>
    </row>
    <row r="36" spans="3:8" ht="13.5" customHeight="1" x14ac:dyDescent="0.2">
      <c r="C36" s="12" t="s">
        <v>56</v>
      </c>
      <c r="D36" s="57" t="s">
        <v>381</v>
      </c>
      <c r="E36" s="60">
        <v>44235</v>
      </c>
      <c r="F36" s="58">
        <f>54861.02-673-16153-818</f>
        <v>37217.019999999997</v>
      </c>
      <c r="G36" s="12" t="s">
        <v>1689</v>
      </c>
      <c r="H36" s="61">
        <f t="shared" si="0"/>
        <v>44235</v>
      </c>
    </row>
    <row r="37" spans="3:8" ht="13.5" customHeight="1" x14ac:dyDescent="0.2">
      <c r="C37" s="12" t="s">
        <v>56</v>
      </c>
      <c r="D37" s="57" t="s">
        <v>56</v>
      </c>
      <c r="E37" s="60">
        <v>44235</v>
      </c>
      <c r="F37" s="58">
        <v>8263</v>
      </c>
      <c r="G37" s="12" t="s">
        <v>1676</v>
      </c>
      <c r="H37" s="61">
        <f t="shared" si="0"/>
        <v>44235</v>
      </c>
    </row>
    <row r="38" spans="3:8" ht="13.5" customHeight="1" x14ac:dyDescent="0.2">
      <c r="C38" s="12" t="s">
        <v>56</v>
      </c>
      <c r="D38" s="57" t="s">
        <v>356</v>
      </c>
      <c r="E38" s="60">
        <v>44235</v>
      </c>
      <c r="F38" s="58">
        <v>2930</v>
      </c>
      <c r="G38" s="12" t="s">
        <v>1689</v>
      </c>
      <c r="H38" s="61">
        <f t="shared" si="0"/>
        <v>44235</v>
      </c>
    </row>
    <row r="39" spans="3:8" ht="13.5" customHeight="1" x14ac:dyDescent="0.2">
      <c r="C39" s="12" t="s">
        <v>56</v>
      </c>
      <c r="D39" s="57" t="s">
        <v>196</v>
      </c>
      <c r="E39" s="60">
        <v>44235</v>
      </c>
      <c r="F39" s="58">
        <f>671.53+750.08+730.86+256.62+342.15</f>
        <v>2751.2400000000002</v>
      </c>
      <c r="G39" s="12" t="s">
        <v>1689</v>
      </c>
      <c r="H39" s="61">
        <f t="shared" si="0"/>
        <v>44235</v>
      </c>
    </row>
    <row r="40" spans="3:8" ht="13.5" customHeight="1" x14ac:dyDescent="0.2">
      <c r="C40" s="12" t="s">
        <v>72</v>
      </c>
      <c r="D40" s="57" t="s">
        <v>1713</v>
      </c>
      <c r="E40" s="60">
        <v>44235</v>
      </c>
      <c r="F40" s="58">
        <v>160.62</v>
      </c>
      <c r="G40" s="12" t="s">
        <v>1688</v>
      </c>
      <c r="H40" s="61">
        <f t="shared" si="0"/>
        <v>44235</v>
      </c>
    </row>
    <row r="41" spans="3:8" ht="13.5" customHeight="1" x14ac:dyDescent="0.2">
      <c r="C41" s="12" t="s">
        <v>229</v>
      </c>
      <c r="D41" s="57" t="s">
        <v>351</v>
      </c>
      <c r="E41" s="60">
        <v>44235</v>
      </c>
      <c r="F41" s="58">
        <f>105+26.5+353.25+111.35</f>
        <v>596.1</v>
      </c>
      <c r="G41" s="12" t="s">
        <v>1689</v>
      </c>
      <c r="H41" s="61">
        <f t="shared" si="0"/>
        <v>44235</v>
      </c>
    </row>
    <row r="42" spans="3:8" ht="13.5" customHeight="1" x14ac:dyDescent="0.2">
      <c r="C42" s="12" t="s">
        <v>164</v>
      </c>
      <c r="D42" s="57" t="s">
        <v>1692</v>
      </c>
      <c r="E42" s="60">
        <v>44235</v>
      </c>
      <c r="F42" s="58">
        <v>90</v>
      </c>
      <c r="G42" s="12" t="s">
        <v>1689</v>
      </c>
      <c r="H42" s="61">
        <f t="shared" si="0"/>
        <v>44235</v>
      </c>
    </row>
    <row r="43" spans="3:8" ht="13.5" customHeight="1" x14ac:dyDescent="0.2">
      <c r="C43" s="12" t="s">
        <v>117</v>
      </c>
      <c r="D43" s="57" t="s">
        <v>403</v>
      </c>
      <c r="E43" s="60">
        <v>44235</v>
      </c>
      <c r="F43" s="58">
        <v>60</v>
      </c>
      <c r="G43" s="12" t="s">
        <v>1689</v>
      </c>
      <c r="H43" s="61">
        <f t="shared" si="0"/>
        <v>44235</v>
      </c>
    </row>
    <row r="44" spans="3:8" ht="13.5" customHeight="1" x14ac:dyDescent="0.2">
      <c r="C44" s="12" t="s">
        <v>80</v>
      </c>
      <c r="D44" s="57" t="s">
        <v>394</v>
      </c>
      <c r="E44" s="60">
        <v>44236</v>
      </c>
      <c r="F44" s="58">
        <v>50</v>
      </c>
      <c r="G44" s="12" t="s">
        <v>1689</v>
      </c>
      <c r="H44" s="61">
        <f t="shared" si="0"/>
        <v>44236</v>
      </c>
    </row>
    <row r="45" spans="3:8" ht="13.5" customHeight="1" x14ac:dyDescent="0.2">
      <c r="C45" s="12" t="s">
        <v>76</v>
      </c>
      <c r="D45" s="57" t="s">
        <v>366</v>
      </c>
      <c r="E45" s="60">
        <v>44236</v>
      </c>
      <c r="F45" s="58">
        <v>2663</v>
      </c>
      <c r="G45" s="12" t="s">
        <v>1676</v>
      </c>
      <c r="H45" s="61">
        <f t="shared" si="0"/>
        <v>44236</v>
      </c>
    </row>
    <row r="46" spans="3:8" ht="13.5" customHeight="1" x14ac:dyDescent="0.2">
      <c r="C46" s="12" t="s">
        <v>159</v>
      </c>
      <c r="D46" s="57" t="s">
        <v>357</v>
      </c>
      <c r="E46" s="60">
        <v>44236</v>
      </c>
      <c r="F46" s="58">
        <v>287.2</v>
      </c>
      <c r="G46" s="12" t="s">
        <v>1689</v>
      </c>
      <c r="H46" s="61">
        <f t="shared" si="0"/>
        <v>44236</v>
      </c>
    </row>
    <row r="47" spans="3:8" ht="13.5" customHeight="1" x14ac:dyDescent="0.2">
      <c r="C47" s="12" t="s">
        <v>72</v>
      </c>
      <c r="D47" s="57" t="s">
        <v>1756</v>
      </c>
      <c r="E47" s="60">
        <v>44236</v>
      </c>
      <c r="F47" s="58">
        <v>725</v>
      </c>
      <c r="G47" s="12" t="s">
        <v>1688</v>
      </c>
      <c r="H47" s="61">
        <f t="shared" si="0"/>
        <v>44236</v>
      </c>
    </row>
    <row r="48" spans="3:8" ht="13.5" customHeight="1" x14ac:dyDescent="0.2">
      <c r="C48" s="12" t="s">
        <v>192</v>
      </c>
      <c r="D48" s="57" t="s">
        <v>390</v>
      </c>
      <c r="E48" s="60">
        <v>44236</v>
      </c>
      <c r="F48" s="58">
        <v>716.61</v>
      </c>
      <c r="G48" s="12" t="s">
        <v>1689</v>
      </c>
      <c r="H48" s="61">
        <f t="shared" si="0"/>
        <v>44236</v>
      </c>
    </row>
    <row r="49" spans="3:8" ht="13.5" customHeight="1" x14ac:dyDescent="0.2">
      <c r="C49" s="12" t="s">
        <v>192</v>
      </c>
      <c r="D49" s="57" t="s">
        <v>391</v>
      </c>
      <c r="E49" s="60">
        <v>44236</v>
      </c>
      <c r="F49" s="58">
        <v>1152.83</v>
      </c>
      <c r="G49" s="12" t="s">
        <v>1689</v>
      </c>
      <c r="H49" s="61">
        <f t="shared" si="0"/>
        <v>44236</v>
      </c>
    </row>
    <row r="50" spans="3:8" ht="13.5" customHeight="1" x14ac:dyDescent="0.2">
      <c r="C50" s="12" t="s">
        <v>83</v>
      </c>
      <c r="D50" s="57" t="s">
        <v>206</v>
      </c>
      <c r="E50" s="60">
        <v>44236</v>
      </c>
      <c r="F50" s="58">
        <v>2618</v>
      </c>
      <c r="G50" s="12" t="s">
        <v>1689</v>
      </c>
      <c r="H50" s="61">
        <f t="shared" si="0"/>
        <v>44236</v>
      </c>
    </row>
    <row r="51" spans="3:8" ht="13.5" customHeight="1" x14ac:dyDescent="0.2">
      <c r="C51" s="12" t="s">
        <v>76</v>
      </c>
      <c r="D51" s="57" t="s">
        <v>269</v>
      </c>
      <c r="E51" s="60">
        <v>44236</v>
      </c>
      <c r="F51" s="58">
        <v>2409.61</v>
      </c>
      <c r="G51" s="12" t="s">
        <v>1689</v>
      </c>
      <c r="H51" s="61">
        <f t="shared" si="0"/>
        <v>44236</v>
      </c>
    </row>
    <row r="52" spans="3:8" ht="13.5" customHeight="1" x14ac:dyDescent="0.2">
      <c r="C52" s="12" t="s">
        <v>117</v>
      </c>
      <c r="D52" s="57" t="s">
        <v>341</v>
      </c>
      <c r="E52" s="60">
        <v>44236</v>
      </c>
      <c r="F52" s="58">
        <v>416.01</v>
      </c>
      <c r="G52" s="12" t="s">
        <v>1676</v>
      </c>
      <c r="H52" s="61">
        <f t="shared" si="0"/>
        <v>44236</v>
      </c>
    </row>
    <row r="53" spans="3:8" ht="13.5" customHeight="1" x14ac:dyDescent="0.2">
      <c r="C53" s="12" t="s">
        <v>135</v>
      </c>
      <c r="D53" s="57" t="s">
        <v>408</v>
      </c>
      <c r="E53" s="60">
        <v>44236</v>
      </c>
      <c r="F53" s="58">
        <v>150</v>
      </c>
      <c r="G53" s="12" t="s">
        <v>1689</v>
      </c>
      <c r="H53" s="61">
        <f t="shared" si="0"/>
        <v>44236</v>
      </c>
    </row>
    <row r="54" spans="3:8" ht="13.5" customHeight="1" x14ac:dyDescent="0.2">
      <c r="C54" s="12" t="s">
        <v>72</v>
      </c>
      <c r="D54" s="57" t="s">
        <v>65</v>
      </c>
      <c r="E54" s="60">
        <v>44236</v>
      </c>
      <c r="F54" s="58">
        <v>3000</v>
      </c>
      <c r="G54" s="12" t="s">
        <v>1688</v>
      </c>
      <c r="H54" s="61">
        <f t="shared" si="0"/>
        <v>44236</v>
      </c>
    </row>
    <row r="55" spans="3:8" ht="13.5" customHeight="1" x14ac:dyDescent="0.2">
      <c r="C55" s="12" t="s">
        <v>72</v>
      </c>
      <c r="D55" s="57" t="s">
        <v>1707</v>
      </c>
      <c r="E55" s="60">
        <v>44236</v>
      </c>
      <c r="F55" s="58">
        <v>2500</v>
      </c>
      <c r="G55" s="12" t="s">
        <v>1688</v>
      </c>
      <c r="H55" s="61">
        <f t="shared" si="0"/>
        <v>44236</v>
      </c>
    </row>
    <row r="56" spans="3:8" ht="13.5" customHeight="1" x14ac:dyDescent="0.2">
      <c r="C56" s="12" t="s">
        <v>72</v>
      </c>
      <c r="D56" s="57" t="s">
        <v>1763</v>
      </c>
      <c r="E56" s="60">
        <v>44236</v>
      </c>
      <c r="F56" s="58">
        <v>2000</v>
      </c>
      <c r="G56" s="12" t="s">
        <v>1688</v>
      </c>
      <c r="H56" s="61">
        <f t="shared" si="0"/>
        <v>44236</v>
      </c>
    </row>
    <row r="57" spans="3:8" ht="13.5" customHeight="1" x14ac:dyDescent="0.2">
      <c r="C57" s="12" t="s">
        <v>117</v>
      </c>
      <c r="D57" s="57" t="s">
        <v>342</v>
      </c>
      <c r="E57" s="60">
        <v>44236</v>
      </c>
      <c r="F57" s="58">
        <v>379.66</v>
      </c>
      <c r="G57" s="12" t="s">
        <v>1676</v>
      </c>
      <c r="H57" s="61">
        <f t="shared" si="0"/>
        <v>44236</v>
      </c>
    </row>
    <row r="58" spans="3:8" ht="13.5" customHeight="1" x14ac:dyDescent="0.2">
      <c r="C58" s="12" t="s">
        <v>84</v>
      </c>
      <c r="D58" s="57" t="s">
        <v>382</v>
      </c>
      <c r="E58" s="60">
        <v>44236</v>
      </c>
      <c r="F58" s="58">
        <v>688.2</v>
      </c>
      <c r="G58" s="12" t="s">
        <v>1689</v>
      </c>
      <c r="H58" s="61">
        <f t="shared" si="0"/>
        <v>44236</v>
      </c>
    </row>
    <row r="59" spans="3:8" ht="13.5" customHeight="1" x14ac:dyDescent="0.2">
      <c r="C59" s="12" t="s">
        <v>75</v>
      </c>
      <c r="D59" s="57" t="s">
        <v>401</v>
      </c>
      <c r="E59" s="60">
        <v>44237</v>
      </c>
      <c r="F59" s="58">
        <v>1750</v>
      </c>
      <c r="G59" s="12" t="s">
        <v>1689</v>
      </c>
      <c r="H59" s="61">
        <f t="shared" si="0"/>
        <v>44237</v>
      </c>
    </row>
    <row r="60" spans="3:8" ht="13.5" customHeight="1" x14ac:dyDescent="0.2">
      <c r="C60" s="12" t="s">
        <v>163</v>
      </c>
      <c r="D60" s="57" t="s">
        <v>397</v>
      </c>
      <c r="E60" s="60">
        <v>44237</v>
      </c>
      <c r="F60" s="58">
        <v>10000</v>
      </c>
      <c r="G60" s="12" t="s">
        <v>1689</v>
      </c>
      <c r="H60" s="61">
        <f t="shared" si="0"/>
        <v>44237</v>
      </c>
    </row>
    <row r="61" spans="3:8" ht="13.5" customHeight="1" x14ac:dyDescent="0.2">
      <c r="C61" s="12" t="s">
        <v>192</v>
      </c>
      <c r="D61" s="57" t="s">
        <v>405</v>
      </c>
      <c r="E61" s="60">
        <v>44237</v>
      </c>
      <c r="F61" s="58">
        <v>198.06</v>
      </c>
      <c r="G61" s="12" t="s">
        <v>1689</v>
      </c>
      <c r="H61" s="61">
        <f t="shared" si="0"/>
        <v>44237</v>
      </c>
    </row>
    <row r="62" spans="3:8" ht="13.5" customHeight="1" x14ac:dyDescent="0.2">
      <c r="C62" s="12" t="s">
        <v>72</v>
      </c>
      <c r="D62" s="57" t="s">
        <v>363</v>
      </c>
      <c r="E62" s="60">
        <v>44237</v>
      </c>
      <c r="F62" s="58">
        <v>1735.17</v>
      </c>
      <c r="G62" s="12" t="s">
        <v>1689</v>
      </c>
      <c r="H62" s="61">
        <f t="shared" si="0"/>
        <v>44237</v>
      </c>
    </row>
    <row r="63" spans="3:8" ht="13.5" customHeight="1" x14ac:dyDescent="0.2">
      <c r="C63" s="12" t="s">
        <v>96</v>
      </c>
      <c r="D63" s="57" t="s">
        <v>129</v>
      </c>
      <c r="E63" s="60">
        <v>44237</v>
      </c>
      <c r="F63" s="58">
        <v>280</v>
      </c>
      <c r="G63" s="12" t="s">
        <v>1689</v>
      </c>
      <c r="H63" s="61">
        <f t="shared" si="0"/>
        <v>44237</v>
      </c>
    </row>
    <row r="64" spans="3:8" ht="13.5" customHeight="1" x14ac:dyDescent="0.2">
      <c r="C64" s="12" t="s">
        <v>216</v>
      </c>
      <c r="D64" s="57" t="s">
        <v>217</v>
      </c>
      <c r="E64" s="60">
        <v>44237</v>
      </c>
      <c r="F64" s="58">
        <v>90</v>
      </c>
      <c r="G64" s="12" t="s">
        <v>1676</v>
      </c>
      <c r="H64" s="61">
        <f t="shared" si="0"/>
        <v>44237</v>
      </c>
    </row>
    <row r="65" spans="3:8" ht="13.5" customHeight="1" x14ac:dyDescent="0.2">
      <c r="C65" s="12" t="s">
        <v>77</v>
      </c>
      <c r="D65" s="57" t="s">
        <v>303</v>
      </c>
      <c r="E65" s="60">
        <v>44237</v>
      </c>
      <c r="F65" s="16">
        <v>243.21</v>
      </c>
      <c r="G65" s="12" t="s">
        <v>1689</v>
      </c>
      <c r="H65" s="61">
        <f t="shared" si="0"/>
        <v>44237</v>
      </c>
    </row>
    <row r="66" spans="3:8" ht="13.5" customHeight="1" x14ac:dyDescent="0.2">
      <c r="C66" s="12" t="s">
        <v>135</v>
      </c>
      <c r="D66" s="57" t="s">
        <v>409</v>
      </c>
      <c r="E66" s="60">
        <v>44237</v>
      </c>
      <c r="F66" s="58">
        <v>150</v>
      </c>
      <c r="G66" s="12" t="s">
        <v>1689</v>
      </c>
      <c r="H66" s="61">
        <f t="shared" ref="H66:H129" si="1">VLOOKUP(E66,$E$2803:$H$2834,4,FALSE)</f>
        <v>44237</v>
      </c>
    </row>
    <row r="67" spans="3:8" ht="13.5" customHeight="1" x14ac:dyDescent="0.2">
      <c r="C67" s="12" t="s">
        <v>192</v>
      </c>
      <c r="D67" s="57" t="s">
        <v>404</v>
      </c>
      <c r="E67" s="60">
        <v>44237</v>
      </c>
      <c r="F67" s="58">
        <v>758.09</v>
      </c>
      <c r="G67" s="12" t="s">
        <v>1689</v>
      </c>
      <c r="H67" s="61">
        <f t="shared" si="1"/>
        <v>44237</v>
      </c>
    </row>
    <row r="68" spans="3:8" ht="13.5" customHeight="1" x14ac:dyDescent="0.2">
      <c r="C68" s="12" t="s">
        <v>96</v>
      </c>
      <c r="D68" s="57" t="s">
        <v>331</v>
      </c>
      <c r="E68" s="60">
        <v>44238</v>
      </c>
      <c r="F68" s="58">
        <v>1751.33</v>
      </c>
      <c r="G68" s="12" t="s">
        <v>1689</v>
      </c>
      <c r="H68" s="61">
        <f t="shared" si="1"/>
        <v>44238</v>
      </c>
    </row>
    <row r="69" spans="3:8" ht="13.5" customHeight="1" x14ac:dyDescent="0.2">
      <c r="C69" s="12" t="s">
        <v>88</v>
      </c>
      <c r="D69" s="57" t="s">
        <v>1764</v>
      </c>
      <c r="E69" s="60">
        <v>44238</v>
      </c>
      <c r="F69" s="58">
        <v>471</v>
      </c>
      <c r="G69" s="12" t="s">
        <v>1689</v>
      </c>
      <c r="H69" s="61">
        <f t="shared" si="1"/>
        <v>44238</v>
      </c>
    </row>
    <row r="70" spans="3:8" ht="13.5" customHeight="1" x14ac:dyDescent="0.2">
      <c r="C70" s="12" t="s">
        <v>88</v>
      </c>
      <c r="D70" s="57" t="s">
        <v>383</v>
      </c>
      <c r="E70" s="60">
        <v>44238</v>
      </c>
      <c r="F70" s="58">
        <v>2468</v>
      </c>
      <c r="G70" s="12" t="s">
        <v>1689</v>
      </c>
      <c r="H70" s="61">
        <f t="shared" si="1"/>
        <v>44238</v>
      </c>
    </row>
    <row r="71" spans="3:8" ht="13.5" customHeight="1" x14ac:dyDescent="0.2">
      <c r="C71" s="12" t="s">
        <v>229</v>
      </c>
      <c r="D71" s="57" t="s">
        <v>389</v>
      </c>
      <c r="E71" s="60">
        <v>44238</v>
      </c>
      <c r="F71" s="58">
        <v>110</v>
      </c>
      <c r="G71" s="12" t="s">
        <v>1676</v>
      </c>
      <c r="H71" s="61">
        <f t="shared" si="1"/>
        <v>44238</v>
      </c>
    </row>
    <row r="72" spans="3:8" ht="13.5" customHeight="1" x14ac:dyDescent="0.2">
      <c r="C72" s="12" t="s">
        <v>159</v>
      </c>
      <c r="D72" s="57" t="s">
        <v>326</v>
      </c>
      <c r="E72" s="60">
        <v>44238</v>
      </c>
      <c r="F72" s="58">
        <v>271.33</v>
      </c>
      <c r="G72" s="12" t="s">
        <v>1689</v>
      </c>
      <c r="H72" s="61">
        <f t="shared" si="1"/>
        <v>44238</v>
      </c>
    </row>
    <row r="73" spans="3:8" ht="13.5" customHeight="1" x14ac:dyDescent="0.2">
      <c r="C73" s="12" t="s">
        <v>170</v>
      </c>
      <c r="D73" s="57" t="s">
        <v>411</v>
      </c>
      <c r="E73" s="60">
        <v>44238</v>
      </c>
      <c r="F73" s="58">
        <v>780</v>
      </c>
      <c r="G73" s="12" t="s">
        <v>1676</v>
      </c>
      <c r="H73" s="61">
        <f t="shared" si="1"/>
        <v>44238</v>
      </c>
    </row>
    <row r="74" spans="3:8" ht="13.5" customHeight="1" x14ac:dyDescent="0.2">
      <c r="C74" s="12" t="s">
        <v>164</v>
      </c>
      <c r="D74" s="57" t="s">
        <v>414</v>
      </c>
      <c r="E74" s="60">
        <v>44238</v>
      </c>
      <c r="F74" s="58">
        <v>24.3</v>
      </c>
      <c r="G74" s="12" t="s">
        <v>1689</v>
      </c>
      <c r="H74" s="61">
        <f t="shared" si="1"/>
        <v>44238</v>
      </c>
    </row>
    <row r="75" spans="3:8" ht="13.5" customHeight="1" x14ac:dyDescent="0.2">
      <c r="C75" s="12" t="s">
        <v>159</v>
      </c>
      <c r="D75" s="57" t="s">
        <v>376</v>
      </c>
      <c r="E75" s="60">
        <v>44238</v>
      </c>
      <c r="F75" s="58">
        <v>465.97</v>
      </c>
      <c r="G75" s="12" t="s">
        <v>1689</v>
      </c>
      <c r="H75" s="61">
        <f t="shared" si="1"/>
        <v>44238</v>
      </c>
    </row>
    <row r="76" spans="3:8" ht="13.5" customHeight="1" x14ac:dyDescent="0.2">
      <c r="C76" s="12" t="s">
        <v>170</v>
      </c>
      <c r="D76" s="57" t="s">
        <v>416</v>
      </c>
      <c r="E76" s="60">
        <v>44238</v>
      </c>
      <c r="F76" s="58">
        <v>211.44</v>
      </c>
      <c r="G76" s="12" t="s">
        <v>1676</v>
      </c>
      <c r="H76" s="61">
        <f t="shared" si="1"/>
        <v>44238</v>
      </c>
    </row>
    <row r="77" spans="3:8" ht="13.5" customHeight="1" x14ac:dyDescent="0.2">
      <c r="C77" s="12" t="s">
        <v>77</v>
      </c>
      <c r="D77" s="57" t="s">
        <v>415</v>
      </c>
      <c r="E77" s="60">
        <v>44239</v>
      </c>
      <c r="F77" s="58">
        <f>1194.75+208.65+42.91</f>
        <v>1446.3100000000002</v>
      </c>
      <c r="G77" s="12" t="s">
        <v>1676</v>
      </c>
      <c r="H77" s="61">
        <f t="shared" si="1"/>
        <v>44239</v>
      </c>
    </row>
    <row r="78" spans="3:8" ht="13.5" customHeight="1" x14ac:dyDescent="0.2">
      <c r="C78" s="12" t="s">
        <v>83</v>
      </c>
      <c r="D78" s="57" t="s">
        <v>1765</v>
      </c>
      <c r="E78" s="60">
        <v>44239</v>
      </c>
      <c r="F78" s="58">
        <v>830</v>
      </c>
      <c r="G78" s="12" t="s">
        <v>1689</v>
      </c>
      <c r="H78" s="61">
        <f t="shared" si="1"/>
        <v>44239</v>
      </c>
    </row>
    <row r="79" spans="3:8" ht="13.5" customHeight="1" x14ac:dyDescent="0.2">
      <c r="C79" s="12" t="s">
        <v>88</v>
      </c>
      <c r="D79" s="57" t="s">
        <v>120</v>
      </c>
      <c r="E79" s="60">
        <v>44239</v>
      </c>
      <c r="F79" s="58">
        <v>1613.5</v>
      </c>
      <c r="G79" s="12" t="s">
        <v>1689</v>
      </c>
      <c r="H79" s="61">
        <f t="shared" si="1"/>
        <v>44239</v>
      </c>
    </row>
    <row r="80" spans="3:8" ht="13.5" customHeight="1" x14ac:dyDescent="0.2">
      <c r="C80" s="12" t="s">
        <v>149</v>
      </c>
      <c r="D80" s="57" t="s">
        <v>335</v>
      </c>
      <c r="E80" s="60">
        <v>44239</v>
      </c>
      <c r="F80" s="58">
        <v>619</v>
      </c>
      <c r="G80" s="12" t="s">
        <v>1676</v>
      </c>
      <c r="H80" s="61">
        <f t="shared" si="1"/>
        <v>44239</v>
      </c>
    </row>
    <row r="81" spans="3:8" ht="13.5" customHeight="1" x14ac:dyDescent="0.2">
      <c r="C81" s="12" t="s">
        <v>149</v>
      </c>
      <c r="D81" s="57" t="s">
        <v>417</v>
      </c>
      <c r="E81" s="60">
        <v>44239</v>
      </c>
      <c r="F81" s="58">
        <v>1155</v>
      </c>
      <c r="G81" s="12" t="s">
        <v>1676</v>
      </c>
      <c r="H81" s="61">
        <f t="shared" si="1"/>
        <v>44239</v>
      </c>
    </row>
    <row r="82" spans="3:8" ht="13.5" customHeight="1" x14ac:dyDescent="0.2">
      <c r="C82" s="12" t="s">
        <v>96</v>
      </c>
      <c r="D82" s="57" t="s">
        <v>419</v>
      </c>
      <c r="E82" s="60">
        <v>44239</v>
      </c>
      <c r="F82" s="58">
        <v>2200</v>
      </c>
      <c r="G82" s="12" t="s">
        <v>1689</v>
      </c>
      <c r="H82" s="61">
        <f t="shared" si="1"/>
        <v>44239</v>
      </c>
    </row>
    <row r="83" spans="3:8" ht="13.5" customHeight="1" x14ac:dyDescent="0.2">
      <c r="C83" s="12" t="s">
        <v>72</v>
      </c>
      <c r="D83" s="57" t="s">
        <v>309</v>
      </c>
      <c r="E83" s="60">
        <v>44239</v>
      </c>
      <c r="F83" s="58">
        <v>293.82</v>
      </c>
      <c r="G83" s="12" t="s">
        <v>1688</v>
      </c>
      <c r="H83" s="61">
        <f t="shared" si="1"/>
        <v>44239</v>
      </c>
    </row>
    <row r="84" spans="3:8" ht="13.5" customHeight="1" x14ac:dyDescent="0.2">
      <c r="C84" s="12" t="s">
        <v>80</v>
      </c>
      <c r="D84" s="57" t="s">
        <v>425</v>
      </c>
      <c r="E84" s="60">
        <v>44239</v>
      </c>
      <c r="F84" s="58">
        <f>250+150</f>
        <v>400</v>
      </c>
      <c r="G84" s="12" t="s">
        <v>1689</v>
      </c>
      <c r="H84" s="61">
        <f t="shared" si="1"/>
        <v>44239</v>
      </c>
    </row>
    <row r="85" spans="3:8" ht="13.5" customHeight="1" x14ac:dyDescent="0.2">
      <c r="C85" s="12" t="s">
        <v>72</v>
      </c>
      <c r="D85" s="57" t="s">
        <v>1714</v>
      </c>
      <c r="E85" s="60">
        <v>44239</v>
      </c>
      <c r="F85" s="58">
        <f>20+60+180+15.79+430</f>
        <v>705.79</v>
      </c>
      <c r="G85" s="12" t="s">
        <v>1688</v>
      </c>
      <c r="H85" s="61">
        <f t="shared" si="1"/>
        <v>44239</v>
      </c>
    </row>
    <row r="86" spans="3:8" ht="13.5" customHeight="1" x14ac:dyDescent="0.2">
      <c r="C86" s="12" t="s">
        <v>72</v>
      </c>
      <c r="D86" s="57" t="s">
        <v>1715</v>
      </c>
      <c r="E86" s="60">
        <v>44239</v>
      </c>
      <c r="F86" s="58">
        <v>250</v>
      </c>
      <c r="G86" s="12" t="s">
        <v>1688</v>
      </c>
      <c r="H86" s="61">
        <f t="shared" si="1"/>
        <v>44239</v>
      </c>
    </row>
    <row r="87" spans="3:8" ht="13.5" customHeight="1" x14ac:dyDescent="0.2">
      <c r="C87" s="12" t="s">
        <v>89</v>
      </c>
      <c r="D87" s="57" t="s">
        <v>402</v>
      </c>
      <c r="E87" s="60">
        <v>44239</v>
      </c>
      <c r="F87" s="58">
        <v>880.59</v>
      </c>
      <c r="G87" s="12" t="s">
        <v>1689</v>
      </c>
      <c r="H87" s="61">
        <f t="shared" si="1"/>
        <v>44239</v>
      </c>
    </row>
    <row r="88" spans="3:8" ht="13.5" customHeight="1" x14ac:dyDescent="0.2">
      <c r="C88" s="12" t="s">
        <v>164</v>
      </c>
      <c r="D88" s="57" t="s">
        <v>399</v>
      </c>
      <c r="E88" s="60">
        <v>44239</v>
      </c>
      <c r="F88" s="58">
        <v>4111.3</v>
      </c>
      <c r="G88" s="12" t="s">
        <v>1689</v>
      </c>
      <c r="H88" s="61">
        <f t="shared" si="1"/>
        <v>44239</v>
      </c>
    </row>
    <row r="89" spans="3:8" ht="13.5" customHeight="1" x14ac:dyDescent="0.2">
      <c r="C89" s="12" t="s">
        <v>159</v>
      </c>
      <c r="D89" s="57" t="s">
        <v>214</v>
      </c>
      <c r="E89" s="60">
        <v>44239</v>
      </c>
      <c r="F89" s="58">
        <v>605.08000000000004</v>
      </c>
      <c r="G89" s="12" t="s">
        <v>1689</v>
      </c>
      <c r="H89" s="61">
        <f t="shared" si="1"/>
        <v>44239</v>
      </c>
    </row>
    <row r="90" spans="3:8" ht="13.5" customHeight="1" x14ac:dyDescent="0.2">
      <c r="C90" s="95"/>
      <c r="D90" s="96"/>
      <c r="E90" s="60">
        <v>44240</v>
      </c>
      <c r="F90" s="58">
        <v>0</v>
      </c>
      <c r="G90" s="12" t="s">
        <v>1689</v>
      </c>
      <c r="H90" s="61">
        <f t="shared" si="1"/>
        <v>44242</v>
      </c>
    </row>
    <row r="91" spans="3:8" ht="13.5" customHeight="1" x14ac:dyDescent="0.2">
      <c r="D91" s="56"/>
      <c r="E91" s="60">
        <v>44241</v>
      </c>
      <c r="F91" s="58">
        <v>0</v>
      </c>
      <c r="G91" s="12" t="s">
        <v>1689</v>
      </c>
      <c r="H91" s="61">
        <f t="shared" si="1"/>
        <v>44242</v>
      </c>
    </row>
    <row r="92" spans="3:8" ht="13.5" customHeight="1" x14ac:dyDescent="0.2">
      <c r="C92" s="12" t="s">
        <v>164</v>
      </c>
      <c r="D92" s="57" t="s">
        <v>433</v>
      </c>
      <c r="E92" s="60">
        <v>44242</v>
      </c>
      <c r="F92" s="58">
        <v>250</v>
      </c>
      <c r="G92" s="12" t="s">
        <v>1676</v>
      </c>
      <c r="H92" s="61">
        <f t="shared" si="1"/>
        <v>44242</v>
      </c>
    </row>
    <row r="93" spans="3:8" ht="13.5" customHeight="1" x14ac:dyDescent="0.2">
      <c r="C93" s="12" t="s">
        <v>170</v>
      </c>
      <c r="D93" s="57" t="s">
        <v>432</v>
      </c>
      <c r="E93" s="60">
        <v>44243</v>
      </c>
      <c r="F93" s="58">
        <v>64</v>
      </c>
      <c r="G93" s="12" t="s">
        <v>1676</v>
      </c>
      <c r="H93" s="61">
        <f t="shared" si="1"/>
        <v>44243</v>
      </c>
    </row>
    <row r="94" spans="3:8" ht="13.5" customHeight="1" x14ac:dyDescent="0.2">
      <c r="C94" s="12" t="s">
        <v>171</v>
      </c>
      <c r="D94" s="57" t="s">
        <v>172</v>
      </c>
      <c r="E94" s="60">
        <v>44244</v>
      </c>
      <c r="F94" s="58">
        <v>45.76</v>
      </c>
      <c r="G94" s="12" t="s">
        <v>1676</v>
      </c>
      <c r="H94" s="61">
        <f t="shared" si="1"/>
        <v>44244</v>
      </c>
    </row>
    <row r="95" spans="3:8" ht="13.5" customHeight="1" x14ac:dyDescent="0.2">
      <c r="C95" s="12" t="s">
        <v>86</v>
      </c>
      <c r="D95" s="57" t="s">
        <v>368</v>
      </c>
      <c r="E95" s="60">
        <v>44244</v>
      </c>
      <c r="F95" s="58">
        <v>80.25</v>
      </c>
      <c r="G95" s="12" t="s">
        <v>1676</v>
      </c>
      <c r="H95" s="61">
        <f t="shared" si="1"/>
        <v>44244</v>
      </c>
    </row>
    <row r="96" spans="3:8" ht="13.5" customHeight="1" x14ac:dyDescent="0.2">
      <c r="C96" s="12" t="s">
        <v>80</v>
      </c>
      <c r="D96" s="57" t="s">
        <v>443</v>
      </c>
      <c r="E96" s="60">
        <v>44244</v>
      </c>
      <c r="F96" s="58">
        <v>100</v>
      </c>
      <c r="G96" s="12" t="s">
        <v>1689</v>
      </c>
      <c r="H96" s="61">
        <f t="shared" si="1"/>
        <v>44244</v>
      </c>
    </row>
    <row r="97" spans="3:8" ht="13.5" customHeight="1" x14ac:dyDescent="0.2">
      <c r="C97" s="12" t="s">
        <v>97</v>
      </c>
      <c r="D97" s="57" t="s">
        <v>102</v>
      </c>
      <c r="E97" s="60">
        <v>44244</v>
      </c>
      <c r="F97" s="58">
        <v>14028.3</v>
      </c>
      <c r="G97" s="12" t="s">
        <v>1676</v>
      </c>
      <c r="H97" s="61">
        <f t="shared" si="1"/>
        <v>44244</v>
      </c>
    </row>
    <row r="98" spans="3:8" ht="13.5" customHeight="1" x14ac:dyDescent="0.2">
      <c r="C98" s="12" t="s">
        <v>86</v>
      </c>
      <c r="D98" s="57" t="s">
        <v>85</v>
      </c>
      <c r="E98" s="60">
        <v>44244</v>
      </c>
      <c r="F98" s="16">
        <v>84</v>
      </c>
      <c r="G98" s="12" t="s">
        <v>1689</v>
      </c>
      <c r="H98" s="61">
        <f t="shared" si="1"/>
        <v>44244</v>
      </c>
    </row>
    <row r="99" spans="3:8" ht="13.5" customHeight="1" x14ac:dyDescent="0.2">
      <c r="C99" s="12" t="s">
        <v>89</v>
      </c>
      <c r="D99" s="57" t="s">
        <v>336</v>
      </c>
      <c r="E99" s="60">
        <v>44244</v>
      </c>
      <c r="F99" s="58">
        <v>3594.05</v>
      </c>
      <c r="G99" s="12" t="s">
        <v>64</v>
      </c>
      <c r="H99" s="61">
        <f t="shared" si="1"/>
        <v>44244</v>
      </c>
    </row>
    <row r="100" spans="3:8" ht="14.25" customHeight="1" x14ac:dyDescent="0.2">
      <c r="C100" s="12" t="s">
        <v>117</v>
      </c>
      <c r="D100" s="57" t="s">
        <v>352</v>
      </c>
      <c r="E100" s="60">
        <v>44244</v>
      </c>
      <c r="F100" s="58">
        <v>430.83</v>
      </c>
      <c r="G100" s="12" t="s">
        <v>1676</v>
      </c>
      <c r="H100" s="61">
        <f t="shared" si="1"/>
        <v>44244</v>
      </c>
    </row>
    <row r="101" spans="3:8" ht="13.5" customHeight="1" x14ac:dyDescent="0.2">
      <c r="C101" s="12" t="s">
        <v>97</v>
      </c>
      <c r="D101" s="57" t="s">
        <v>246</v>
      </c>
      <c r="E101" s="60">
        <v>44244</v>
      </c>
      <c r="F101" s="58">
        <v>695.57</v>
      </c>
      <c r="G101" s="12" t="s">
        <v>1689</v>
      </c>
      <c r="H101" s="61">
        <f t="shared" si="1"/>
        <v>44244</v>
      </c>
    </row>
    <row r="102" spans="3:8" ht="13.5" customHeight="1" x14ac:dyDescent="0.2">
      <c r="C102" s="12" t="s">
        <v>192</v>
      </c>
      <c r="D102" s="57" t="s">
        <v>436</v>
      </c>
      <c r="E102" s="60">
        <v>44244</v>
      </c>
      <c r="F102" s="58">
        <f>735.54+980.72</f>
        <v>1716.26</v>
      </c>
      <c r="G102" s="12" t="s">
        <v>1689</v>
      </c>
      <c r="H102" s="61">
        <f t="shared" si="1"/>
        <v>44244</v>
      </c>
    </row>
    <row r="103" spans="3:8" ht="13.5" customHeight="1" x14ac:dyDescent="0.2">
      <c r="C103" s="12" t="s">
        <v>192</v>
      </c>
      <c r="D103" s="57" t="s">
        <v>431</v>
      </c>
      <c r="E103" s="60">
        <v>44244</v>
      </c>
      <c r="F103" s="58">
        <v>2920.09</v>
      </c>
      <c r="G103" s="12" t="s">
        <v>1689</v>
      </c>
      <c r="H103" s="61">
        <f t="shared" si="1"/>
        <v>44244</v>
      </c>
    </row>
    <row r="104" spans="3:8" ht="13.5" customHeight="1" x14ac:dyDescent="0.2">
      <c r="C104" s="12" t="s">
        <v>84</v>
      </c>
      <c r="D104" s="57" t="s">
        <v>410</v>
      </c>
      <c r="E104" s="60">
        <v>44244</v>
      </c>
      <c r="F104" s="58">
        <v>651</v>
      </c>
      <c r="G104" s="12" t="s">
        <v>1689</v>
      </c>
      <c r="H104" s="61">
        <f t="shared" si="1"/>
        <v>44244</v>
      </c>
    </row>
    <row r="105" spans="3:8" ht="13.5" customHeight="1" x14ac:dyDescent="0.2">
      <c r="C105" s="12" t="s">
        <v>159</v>
      </c>
      <c r="D105" s="57" t="s">
        <v>357</v>
      </c>
      <c r="E105" s="60">
        <v>44245</v>
      </c>
      <c r="F105" s="58">
        <v>522.70000000000005</v>
      </c>
      <c r="G105" s="12" t="s">
        <v>1689</v>
      </c>
      <c r="H105" s="61">
        <f t="shared" si="1"/>
        <v>44245</v>
      </c>
    </row>
    <row r="106" spans="3:8" ht="13.5" customHeight="1" x14ac:dyDescent="0.2">
      <c r="C106" s="12" t="s">
        <v>83</v>
      </c>
      <c r="D106" s="57" t="s">
        <v>310</v>
      </c>
      <c r="E106" s="60">
        <v>44245</v>
      </c>
      <c r="F106" s="58">
        <v>124</v>
      </c>
      <c r="G106" s="12" t="s">
        <v>1689</v>
      </c>
      <c r="H106" s="61">
        <f t="shared" si="1"/>
        <v>44245</v>
      </c>
    </row>
    <row r="107" spans="3:8" ht="13.5" customHeight="1" x14ac:dyDescent="0.2">
      <c r="C107" s="12" t="s">
        <v>83</v>
      </c>
      <c r="D107" s="57" t="s">
        <v>207</v>
      </c>
      <c r="E107" s="60">
        <v>44245</v>
      </c>
      <c r="F107" s="58">
        <v>2618</v>
      </c>
      <c r="G107" s="12" t="s">
        <v>1689</v>
      </c>
      <c r="H107" s="61">
        <f t="shared" si="1"/>
        <v>44245</v>
      </c>
    </row>
    <row r="108" spans="3:8" ht="13.5" customHeight="1" x14ac:dyDescent="0.2">
      <c r="C108" s="12" t="s">
        <v>229</v>
      </c>
      <c r="D108" s="57" t="s">
        <v>319</v>
      </c>
      <c r="E108" s="60">
        <v>44245</v>
      </c>
      <c r="F108" s="58">
        <v>110</v>
      </c>
      <c r="G108" s="12" t="s">
        <v>1676</v>
      </c>
      <c r="H108" s="61">
        <f t="shared" si="1"/>
        <v>44245</v>
      </c>
    </row>
    <row r="109" spans="3:8" ht="13.5" customHeight="1" x14ac:dyDescent="0.2">
      <c r="C109" s="12" t="s">
        <v>72</v>
      </c>
      <c r="D109" s="57" t="s">
        <v>1766</v>
      </c>
      <c r="E109" s="60">
        <v>44245</v>
      </c>
      <c r="F109" s="58">
        <v>2300</v>
      </c>
      <c r="G109" s="12" t="s">
        <v>1688</v>
      </c>
      <c r="H109" s="61">
        <f t="shared" si="1"/>
        <v>44245</v>
      </c>
    </row>
    <row r="110" spans="3:8" ht="13.5" customHeight="1" x14ac:dyDescent="0.2">
      <c r="C110" s="12" t="s">
        <v>159</v>
      </c>
      <c r="D110" s="57" t="s">
        <v>376</v>
      </c>
      <c r="E110" s="60">
        <v>44245</v>
      </c>
      <c r="F110" s="58">
        <v>206.8</v>
      </c>
      <c r="G110" s="12" t="s">
        <v>1689</v>
      </c>
      <c r="H110" s="61">
        <f t="shared" si="1"/>
        <v>44245</v>
      </c>
    </row>
    <row r="111" spans="3:8" ht="13.5" customHeight="1" x14ac:dyDescent="0.2">
      <c r="C111" s="12" t="s">
        <v>84</v>
      </c>
      <c r="D111" s="57" t="s">
        <v>412</v>
      </c>
      <c r="E111" s="60">
        <v>44245</v>
      </c>
      <c r="F111" s="58">
        <v>2640</v>
      </c>
      <c r="G111" s="12" t="s">
        <v>1689</v>
      </c>
      <c r="H111" s="61">
        <f t="shared" si="1"/>
        <v>44245</v>
      </c>
    </row>
    <row r="112" spans="3:8" ht="13.5" customHeight="1" x14ac:dyDescent="0.2">
      <c r="C112" s="12" t="s">
        <v>89</v>
      </c>
      <c r="D112" s="57" t="s">
        <v>453</v>
      </c>
      <c r="E112" s="60">
        <v>44245</v>
      </c>
      <c r="F112" s="58">
        <v>160</v>
      </c>
      <c r="G112" s="12" t="s">
        <v>1689</v>
      </c>
      <c r="H112" s="61">
        <f t="shared" si="1"/>
        <v>44245</v>
      </c>
    </row>
    <row r="113" spans="3:8" ht="13.5" customHeight="1" x14ac:dyDescent="0.2">
      <c r="C113" s="12" t="s">
        <v>89</v>
      </c>
      <c r="D113" s="57" t="s">
        <v>451</v>
      </c>
      <c r="E113" s="60">
        <v>44246</v>
      </c>
      <c r="F113" s="58">
        <v>220</v>
      </c>
      <c r="G113" s="12" t="s">
        <v>1689</v>
      </c>
      <c r="H113" s="61">
        <f t="shared" si="1"/>
        <v>44246</v>
      </c>
    </row>
    <row r="114" spans="3:8" ht="13.5" customHeight="1" x14ac:dyDescent="0.2">
      <c r="C114" s="12" t="s">
        <v>89</v>
      </c>
      <c r="D114" s="57" t="s">
        <v>452</v>
      </c>
      <c r="E114" s="60">
        <v>44246</v>
      </c>
      <c r="F114" s="58">
        <v>160</v>
      </c>
      <c r="G114" s="12" t="s">
        <v>1689</v>
      </c>
      <c r="H114" s="61">
        <f t="shared" si="1"/>
        <v>44246</v>
      </c>
    </row>
    <row r="115" spans="3:8" ht="13.5" customHeight="1" x14ac:dyDescent="0.2">
      <c r="C115" s="12" t="s">
        <v>170</v>
      </c>
      <c r="D115" s="57" t="s">
        <v>455</v>
      </c>
      <c r="E115" s="60">
        <v>44246</v>
      </c>
      <c r="F115" s="58">
        <v>301.7</v>
      </c>
      <c r="G115" s="12" t="s">
        <v>1676</v>
      </c>
      <c r="H115" s="61">
        <f t="shared" si="1"/>
        <v>44246</v>
      </c>
    </row>
    <row r="116" spans="3:8" ht="13.5" customHeight="1" x14ac:dyDescent="0.2">
      <c r="C116" s="12" t="s">
        <v>170</v>
      </c>
      <c r="D116" s="57" t="s">
        <v>435</v>
      </c>
      <c r="E116" s="60">
        <v>44246</v>
      </c>
      <c r="F116" s="58">
        <f>5+15+30</f>
        <v>50</v>
      </c>
      <c r="G116" s="12" t="s">
        <v>1689</v>
      </c>
      <c r="H116" s="61">
        <f t="shared" si="1"/>
        <v>44246</v>
      </c>
    </row>
    <row r="117" spans="3:8" ht="13.5" customHeight="1" x14ac:dyDescent="0.2">
      <c r="C117" s="12" t="s">
        <v>80</v>
      </c>
      <c r="D117" s="57" t="s">
        <v>450</v>
      </c>
      <c r="E117" s="60">
        <v>44246</v>
      </c>
      <c r="F117" s="58">
        <v>250</v>
      </c>
      <c r="G117" s="12" t="s">
        <v>1689</v>
      </c>
      <c r="H117" s="61">
        <f t="shared" si="1"/>
        <v>44246</v>
      </c>
    </row>
    <row r="118" spans="3:8" ht="13.5" customHeight="1" x14ac:dyDescent="0.2">
      <c r="C118" s="12" t="s">
        <v>76</v>
      </c>
      <c r="D118" s="57" t="s">
        <v>438</v>
      </c>
      <c r="E118" s="60">
        <v>44246</v>
      </c>
      <c r="F118" s="58">
        <v>130</v>
      </c>
      <c r="G118" s="12" t="s">
        <v>1689</v>
      </c>
      <c r="H118" s="61">
        <f t="shared" si="1"/>
        <v>44246</v>
      </c>
    </row>
    <row r="119" spans="3:8" ht="13.5" customHeight="1" x14ac:dyDescent="0.2">
      <c r="C119" s="12" t="s">
        <v>74</v>
      </c>
      <c r="D119" s="57" t="s">
        <v>393</v>
      </c>
      <c r="E119" s="60">
        <v>44246</v>
      </c>
      <c r="F119" s="58">
        <v>476.45</v>
      </c>
      <c r="G119" s="12" t="s">
        <v>1676</v>
      </c>
      <c r="H119" s="61">
        <f t="shared" si="1"/>
        <v>44246</v>
      </c>
    </row>
    <row r="120" spans="3:8" ht="13.5" customHeight="1" x14ac:dyDescent="0.2">
      <c r="C120" s="12" t="s">
        <v>72</v>
      </c>
      <c r="D120" s="57" t="s">
        <v>359</v>
      </c>
      <c r="E120" s="60">
        <v>44246</v>
      </c>
      <c r="F120" s="58">
        <v>216.67</v>
      </c>
      <c r="G120" s="12" t="s">
        <v>1688</v>
      </c>
      <c r="H120" s="61">
        <f t="shared" si="1"/>
        <v>44246</v>
      </c>
    </row>
    <row r="121" spans="3:8" ht="13.5" customHeight="1" x14ac:dyDescent="0.2">
      <c r="C121" s="12" t="s">
        <v>173</v>
      </c>
      <c r="D121" s="57" t="s">
        <v>439</v>
      </c>
      <c r="E121" s="60">
        <v>44246</v>
      </c>
      <c r="F121" s="58">
        <v>475</v>
      </c>
      <c r="G121" s="12" t="s">
        <v>1689</v>
      </c>
      <c r="H121" s="61">
        <f t="shared" si="1"/>
        <v>44246</v>
      </c>
    </row>
    <row r="122" spans="3:8" ht="13.5" customHeight="1" x14ac:dyDescent="0.2">
      <c r="C122" s="12" t="s">
        <v>192</v>
      </c>
      <c r="D122" s="57" t="s">
        <v>1767</v>
      </c>
      <c r="E122" s="60">
        <v>44246</v>
      </c>
      <c r="F122" s="58">
        <v>4.9800000000000004</v>
      </c>
      <c r="G122" s="12" t="s">
        <v>1689</v>
      </c>
      <c r="H122" s="61">
        <f t="shared" si="1"/>
        <v>44246</v>
      </c>
    </row>
    <row r="123" spans="3:8" ht="13.5" customHeight="1" x14ac:dyDescent="0.2">
      <c r="C123" s="12" t="s">
        <v>192</v>
      </c>
      <c r="D123" s="57" t="s">
        <v>1768</v>
      </c>
      <c r="E123" s="60">
        <v>44246</v>
      </c>
      <c r="F123" s="58">
        <v>3.74</v>
      </c>
      <c r="G123" s="12" t="s">
        <v>1689</v>
      </c>
      <c r="H123" s="61">
        <f t="shared" si="1"/>
        <v>44246</v>
      </c>
    </row>
    <row r="124" spans="3:8" ht="13.5" customHeight="1" x14ac:dyDescent="0.2">
      <c r="C124" s="12" t="s">
        <v>72</v>
      </c>
      <c r="D124" s="57" t="s">
        <v>1707</v>
      </c>
      <c r="E124" s="60">
        <v>44246</v>
      </c>
      <c r="F124" s="58">
        <v>2000</v>
      </c>
      <c r="G124" s="12" t="s">
        <v>1688</v>
      </c>
      <c r="H124" s="61">
        <f t="shared" si="1"/>
        <v>44246</v>
      </c>
    </row>
    <row r="125" spans="3:8" ht="13.5" customHeight="1" x14ac:dyDescent="0.2">
      <c r="C125" s="12" t="s">
        <v>84</v>
      </c>
      <c r="D125" s="57" t="s">
        <v>406</v>
      </c>
      <c r="E125" s="60">
        <v>44246</v>
      </c>
      <c r="F125" s="58">
        <v>4825</v>
      </c>
      <c r="G125" s="12" t="s">
        <v>1689</v>
      </c>
      <c r="H125" s="61">
        <f t="shared" si="1"/>
        <v>44246</v>
      </c>
    </row>
    <row r="126" spans="3:8" ht="13.5" customHeight="1" x14ac:dyDescent="0.2">
      <c r="C126" s="12" t="s">
        <v>72</v>
      </c>
      <c r="D126" s="57" t="s">
        <v>1716</v>
      </c>
      <c r="E126" s="60">
        <v>44246</v>
      </c>
      <c r="F126" s="58">
        <v>1482.06</v>
      </c>
      <c r="G126" s="12" t="s">
        <v>1688</v>
      </c>
      <c r="H126" s="61">
        <f t="shared" si="1"/>
        <v>44246</v>
      </c>
    </row>
    <row r="127" spans="3:8" ht="13.5" customHeight="1" x14ac:dyDescent="0.2">
      <c r="C127" s="12" t="s">
        <v>56</v>
      </c>
      <c r="D127" s="57" t="s">
        <v>395</v>
      </c>
      <c r="E127" s="60">
        <v>44246</v>
      </c>
      <c r="F127" s="58">
        <v>1926</v>
      </c>
      <c r="G127" s="12" t="s">
        <v>1689</v>
      </c>
      <c r="H127" s="61">
        <f t="shared" si="1"/>
        <v>44246</v>
      </c>
    </row>
    <row r="128" spans="3:8" ht="13.5" customHeight="1" x14ac:dyDescent="0.2">
      <c r="C128" s="12" t="s">
        <v>80</v>
      </c>
      <c r="D128" s="57" t="s">
        <v>447</v>
      </c>
      <c r="E128" s="60">
        <v>44246</v>
      </c>
      <c r="F128" s="58">
        <v>130</v>
      </c>
      <c r="G128" s="12" t="s">
        <v>1689</v>
      </c>
      <c r="H128" s="61">
        <f t="shared" si="1"/>
        <v>44246</v>
      </c>
    </row>
    <row r="129" spans="3:8" ht="13.5" customHeight="1" x14ac:dyDescent="0.2">
      <c r="C129" s="12" t="s">
        <v>74</v>
      </c>
      <c r="D129" s="57" t="s">
        <v>69</v>
      </c>
      <c r="E129" s="60">
        <v>44246</v>
      </c>
      <c r="F129" s="58">
        <v>12464.67</v>
      </c>
      <c r="G129" s="12" t="s">
        <v>1689</v>
      </c>
      <c r="H129" s="61">
        <f t="shared" si="1"/>
        <v>44246</v>
      </c>
    </row>
    <row r="130" spans="3:8" ht="13.5" customHeight="1" x14ac:dyDescent="0.2">
      <c r="C130" s="12" t="s">
        <v>74</v>
      </c>
      <c r="D130" s="57" t="s">
        <v>446</v>
      </c>
      <c r="E130" s="60">
        <v>44246</v>
      </c>
      <c r="F130" s="58">
        <v>132.22</v>
      </c>
      <c r="G130" s="12" t="s">
        <v>1689</v>
      </c>
      <c r="H130" s="61">
        <f t="shared" ref="H130:H193" si="2">VLOOKUP(E130,$E$2803:$H$2834,4,FALSE)</f>
        <v>44246</v>
      </c>
    </row>
    <row r="131" spans="3:8" ht="13.5" customHeight="1" x14ac:dyDescent="0.2">
      <c r="C131" s="12" t="s">
        <v>74</v>
      </c>
      <c r="D131" s="57" t="s">
        <v>448</v>
      </c>
      <c r="E131" s="60">
        <v>44246</v>
      </c>
      <c r="F131" s="58">
        <v>60.56</v>
      </c>
      <c r="G131" s="12" t="s">
        <v>1689</v>
      </c>
      <c r="H131" s="61">
        <f t="shared" si="2"/>
        <v>44246</v>
      </c>
    </row>
    <row r="132" spans="3:8" ht="13.5" customHeight="1" x14ac:dyDescent="0.2">
      <c r="C132" s="12" t="s">
        <v>74</v>
      </c>
      <c r="D132" s="57" t="s">
        <v>449</v>
      </c>
      <c r="E132" s="60">
        <v>44246</v>
      </c>
      <c r="F132" s="58">
        <v>187.74</v>
      </c>
      <c r="G132" s="12" t="s">
        <v>1689</v>
      </c>
      <c r="H132" s="61">
        <f t="shared" si="2"/>
        <v>44246</v>
      </c>
    </row>
    <row r="133" spans="3:8" ht="13.5" customHeight="1" x14ac:dyDescent="0.2">
      <c r="C133" s="12" t="s">
        <v>76</v>
      </c>
      <c r="D133" s="57" t="s">
        <v>426</v>
      </c>
      <c r="E133" s="60">
        <v>44246</v>
      </c>
      <c r="F133" s="58">
        <v>2663</v>
      </c>
      <c r="G133" s="12" t="s">
        <v>1676</v>
      </c>
      <c r="H133" s="61">
        <f t="shared" si="2"/>
        <v>44246</v>
      </c>
    </row>
    <row r="134" spans="3:8" ht="13.5" customHeight="1" x14ac:dyDescent="0.2">
      <c r="C134" s="12" t="s">
        <v>86</v>
      </c>
      <c r="D134" s="57" t="s">
        <v>427</v>
      </c>
      <c r="E134" s="60">
        <v>44246</v>
      </c>
      <c r="F134" s="58">
        <v>1278.05</v>
      </c>
      <c r="G134" s="12" t="s">
        <v>68</v>
      </c>
      <c r="H134" s="61">
        <f t="shared" si="2"/>
        <v>44246</v>
      </c>
    </row>
    <row r="135" spans="3:8" ht="13.5" customHeight="1" x14ac:dyDescent="0.2">
      <c r="C135" s="12" t="s">
        <v>243</v>
      </c>
      <c r="D135" s="57" t="s">
        <v>308</v>
      </c>
      <c r="E135" s="60">
        <v>44246</v>
      </c>
      <c r="F135" s="58">
        <v>1000</v>
      </c>
      <c r="G135" s="12" t="s">
        <v>1689</v>
      </c>
      <c r="H135" s="61">
        <f t="shared" si="2"/>
        <v>44246</v>
      </c>
    </row>
    <row r="136" spans="3:8" ht="13.5" customHeight="1" x14ac:dyDescent="0.2">
      <c r="C136" s="12" t="s">
        <v>76</v>
      </c>
      <c r="D136" s="57" t="s">
        <v>360</v>
      </c>
      <c r="E136" s="60">
        <v>44246</v>
      </c>
      <c r="F136" s="58">
        <v>1986.04</v>
      </c>
      <c r="G136" s="12" t="s">
        <v>1689</v>
      </c>
      <c r="H136" s="61">
        <f t="shared" si="2"/>
        <v>44246</v>
      </c>
    </row>
    <row r="137" spans="3:8" ht="13.5" customHeight="1" x14ac:dyDescent="0.2">
      <c r="C137" s="12" t="s">
        <v>159</v>
      </c>
      <c r="D137" s="57" t="s">
        <v>357</v>
      </c>
      <c r="E137" s="60">
        <v>44246</v>
      </c>
      <c r="F137" s="58">
        <v>173.8</v>
      </c>
      <c r="G137" s="12" t="s">
        <v>1689</v>
      </c>
      <c r="H137" s="61">
        <f t="shared" si="2"/>
        <v>44246</v>
      </c>
    </row>
    <row r="138" spans="3:8" ht="13.5" customHeight="1" x14ac:dyDescent="0.2">
      <c r="C138" s="12" t="s">
        <v>159</v>
      </c>
      <c r="D138" s="57" t="s">
        <v>357</v>
      </c>
      <c r="E138" s="60">
        <v>44246</v>
      </c>
      <c r="F138" s="58">
        <v>358.4</v>
      </c>
      <c r="G138" s="12" t="s">
        <v>1689</v>
      </c>
      <c r="H138" s="61">
        <f t="shared" si="2"/>
        <v>44246</v>
      </c>
    </row>
    <row r="139" spans="3:8" ht="13.5" customHeight="1" x14ac:dyDescent="0.2">
      <c r="C139" s="12" t="s">
        <v>216</v>
      </c>
      <c r="D139" s="57" t="s">
        <v>332</v>
      </c>
      <c r="E139" s="60">
        <v>44247</v>
      </c>
      <c r="F139" s="58">
        <v>160</v>
      </c>
      <c r="G139" s="12" t="s">
        <v>1689</v>
      </c>
      <c r="H139" s="61">
        <f t="shared" si="2"/>
        <v>44249</v>
      </c>
    </row>
    <row r="140" spans="3:8" ht="13.5" customHeight="1" x14ac:dyDescent="0.2">
      <c r="C140" s="12" t="s">
        <v>192</v>
      </c>
      <c r="D140" s="57" t="s">
        <v>1769</v>
      </c>
      <c r="E140" s="60">
        <v>44248</v>
      </c>
      <c r="F140" s="58">
        <f>318.44+4.98</f>
        <v>323.42</v>
      </c>
      <c r="G140" s="12" t="s">
        <v>1689</v>
      </c>
      <c r="H140" s="61">
        <f t="shared" si="2"/>
        <v>44249</v>
      </c>
    </row>
    <row r="141" spans="3:8" ht="13.5" customHeight="1" x14ac:dyDescent="0.2">
      <c r="C141" s="12" t="s">
        <v>72</v>
      </c>
      <c r="D141" s="57" t="s">
        <v>504</v>
      </c>
      <c r="E141" s="60">
        <v>44249</v>
      </c>
      <c r="F141" s="58">
        <v>50</v>
      </c>
      <c r="G141" s="12" t="s">
        <v>1676</v>
      </c>
      <c r="H141" s="61">
        <f t="shared" si="2"/>
        <v>44249</v>
      </c>
    </row>
    <row r="142" spans="3:8" ht="13.5" customHeight="1" x14ac:dyDescent="0.2">
      <c r="C142" s="12" t="s">
        <v>192</v>
      </c>
      <c r="D142" s="57" t="s">
        <v>1770</v>
      </c>
      <c r="E142" s="60">
        <v>44249</v>
      </c>
      <c r="F142" s="58">
        <f>3.74+262.64</f>
        <v>266.38</v>
      </c>
      <c r="G142" s="12" t="s">
        <v>1689</v>
      </c>
      <c r="H142" s="61">
        <f t="shared" si="2"/>
        <v>44249</v>
      </c>
    </row>
    <row r="143" spans="3:8" ht="13.5" customHeight="1" x14ac:dyDescent="0.2">
      <c r="C143" s="12" t="s">
        <v>159</v>
      </c>
      <c r="D143" s="57" t="s">
        <v>214</v>
      </c>
      <c r="E143" s="60">
        <v>44249</v>
      </c>
      <c r="F143" s="58">
        <v>504.62</v>
      </c>
      <c r="G143" s="12" t="s">
        <v>1689</v>
      </c>
      <c r="H143" s="61">
        <f t="shared" si="2"/>
        <v>44249</v>
      </c>
    </row>
    <row r="144" spans="3:8" ht="13.5" customHeight="1" x14ac:dyDescent="0.2">
      <c r="C144" s="12" t="s">
        <v>96</v>
      </c>
      <c r="D144" s="57" t="s">
        <v>124</v>
      </c>
      <c r="E144" s="60">
        <v>44249</v>
      </c>
      <c r="F144" s="58">
        <v>2000</v>
      </c>
      <c r="G144" s="12" t="s">
        <v>1689</v>
      </c>
      <c r="H144" s="61">
        <f t="shared" si="2"/>
        <v>44249</v>
      </c>
    </row>
    <row r="145" spans="3:8" ht="13.5" customHeight="1" x14ac:dyDescent="0.2">
      <c r="C145" s="12" t="s">
        <v>88</v>
      </c>
      <c r="D145" s="57" t="s">
        <v>202</v>
      </c>
      <c r="E145" s="60">
        <v>44249</v>
      </c>
      <c r="F145" s="58">
        <v>1997</v>
      </c>
      <c r="G145" s="12" t="s">
        <v>1676</v>
      </c>
      <c r="H145" s="61">
        <f t="shared" si="2"/>
        <v>44249</v>
      </c>
    </row>
    <row r="146" spans="3:8" ht="13.5" customHeight="1" x14ac:dyDescent="0.2">
      <c r="C146" s="12" t="s">
        <v>80</v>
      </c>
      <c r="D146" s="57" t="s">
        <v>454</v>
      </c>
      <c r="E146" s="60">
        <v>44249</v>
      </c>
      <c r="F146" s="58">
        <v>300</v>
      </c>
      <c r="G146" s="12" t="s">
        <v>1689</v>
      </c>
      <c r="H146" s="61">
        <f t="shared" si="2"/>
        <v>44249</v>
      </c>
    </row>
    <row r="147" spans="3:8" ht="13.5" customHeight="1" x14ac:dyDescent="0.2">
      <c r="C147" s="12" t="s">
        <v>173</v>
      </c>
      <c r="D147" s="57" t="s">
        <v>429</v>
      </c>
      <c r="E147" s="60">
        <v>44249</v>
      </c>
      <c r="F147" s="58">
        <v>303.08</v>
      </c>
      <c r="G147" s="12" t="s">
        <v>1676</v>
      </c>
      <c r="H147" s="61">
        <f t="shared" si="2"/>
        <v>44249</v>
      </c>
    </row>
    <row r="148" spans="3:8" ht="13.5" customHeight="1" x14ac:dyDescent="0.2">
      <c r="C148" s="12" t="s">
        <v>75</v>
      </c>
      <c r="D148" s="57" t="s">
        <v>400</v>
      </c>
      <c r="E148" s="60">
        <v>44249</v>
      </c>
      <c r="F148" s="58">
        <v>1750</v>
      </c>
      <c r="G148" s="12" t="s">
        <v>1676</v>
      </c>
      <c r="H148" s="61">
        <f t="shared" si="2"/>
        <v>44249</v>
      </c>
    </row>
    <row r="149" spans="3:8" ht="13.5" customHeight="1" x14ac:dyDescent="0.2">
      <c r="C149" s="12" t="s">
        <v>76</v>
      </c>
      <c r="D149" s="57" t="s">
        <v>430</v>
      </c>
      <c r="E149" s="60">
        <v>44249</v>
      </c>
      <c r="F149" s="58">
        <v>1781.57</v>
      </c>
      <c r="G149" s="12" t="s">
        <v>1689</v>
      </c>
      <c r="H149" s="61">
        <f t="shared" si="2"/>
        <v>44249</v>
      </c>
    </row>
    <row r="150" spans="3:8" ht="13.5" customHeight="1" x14ac:dyDescent="0.2">
      <c r="C150" s="12" t="s">
        <v>173</v>
      </c>
      <c r="D150" s="57" t="s">
        <v>462</v>
      </c>
      <c r="E150" s="60">
        <v>44249</v>
      </c>
      <c r="F150" s="58">
        <v>362.86</v>
      </c>
      <c r="G150" s="12" t="s">
        <v>1676</v>
      </c>
      <c r="H150" s="61">
        <f t="shared" si="2"/>
        <v>44249</v>
      </c>
    </row>
    <row r="151" spans="3:8" ht="13.5" customHeight="1" x14ac:dyDescent="0.2">
      <c r="C151" s="12" t="s">
        <v>164</v>
      </c>
      <c r="D151" s="57" t="s">
        <v>209</v>
      </c>
      <c r="E151" s="60">
        <v>44249</v>
      </c>
      <c r="F151" s="58">
        <v>220</v>
      </c>
      <c r="G151" s="12" t="s">
        <v>1676</v>
      </c>
      <c r="H151" s="61">
        <f t="shared" si="2"/>
        <v>44249</v>
      </c>
    </row>
    <row r="152" spans="3:8" ht="13.5" customHeight="1" x14ac:dyDescent="0.2">
      <c r="C152" s="12" t="s">
        <v>74</v>
      </c>
      <c r="D152" s="57" t="s">
        <v>358</v>
      </c>
      <c r="E152" s="60">
        <v>44249</v>
      </c>
      <c r="F152" s="58">
        <v>11610.91</v>
      </c>
      <c r="G152" s="12" t="s">
        <v>1689</v>
      </c>
      <c r="H152" s="61">
        <f t="shared" si="2"/>
        <v>44249</v>
      </c>
    </row>
    <row r="153" spans="3:8" ht="13.5" customHeight="1" x14ac:dyDescent="0.2">
      <c r="C153" s="12" t="s">
        <v>88</v>
      </c>
      <c r="D153" s="57" t="s">
        <v>239</v>
      </c>
      <c r="E153" s="60">
        <v>44249</v>
      </c>
      <c r="F153" s="58">
        <v>1163</v>
      </c>
      <c r="G153" s="12" t="s">
        <v>1689</v>
      </c>
      <c r="H153" s="61">
        <f t="shared" si="2"/>
        <v>44249</v>
      </c>
    </row>
    <row r="154" spans="3:8" ht="13.5" customHeight="1" x14ac:dyDescent="0.2">
      <c r="C154" s="12" t="s">
        <v>131</v>
      </c>
      <c r="D154" s="57" t="s">
        <v>132</v>
      </c>
      <c r="E154" s="60">
        <v>44249</v>
      </c>
      <c r="F154" s="58">
        <v>645.61</v>
      </c>
      <c r="G154" s="12" t="s">
        <v>1688</v>
      </c>
      <c r="H154" s="61">
        <f t="shared" si="2"/>
        <v>44249</v>
      </c>
    </row>
    <row r="155" spans="3:8" ht="13.5" customHeight="1" x14ac:dyDescent="0.2">
      <c r="C155" s="12" t="s">
        <v>159</v>
      </c>
      <c r="D155" s="57" t="s">
        <v>325</v>
      </c>
      <c r="E155" s="60">
        <v>44249</v>
      </c>
      <c r="F155" s="58">
        <v>271.39999999999998</v>
      </c>
      <c r="G155" s="12" t="s">
        <v>1689</v>
      </c>
      <c r="H155" s="61">
        <f t="shared" si="2"/>
        <v>44249</v>
      </c>
    </row>
    <row r="156" spans="3:8" ht="13.5" customHeight="1" x14ac:dyDescent="0.2">
      <c r="C156" s="12" t="s">
        <v>192</v>
      </c>
      <c r="D156" s="57" t="s">
        <v>315</v>
      </c>
      <c r="E156" s="60">
        <v>44249</v>
      </c>
      <c r="F156" s="58">
        <v>2165.59</v>
      </c>
      <c r="G156" s="12" t="s">
        <v>1689</v>
      </c>
      <c r="H156" s="61">
        <f t="shared" si="2"/>
        <v>44249</v>
      </c>
    </row>
    <row r="157" spans="3:8" ht="13.5" customHeight="1" x14ac:dyDescent="0.2">
      <c r="C157" s="12" t="s">
        <v>149</v>
      </c>
      <c r="D157" s="57" t="s">
        <v>1693</v>
      </c>
      <c r="E157" s="60">
        <v>44249</v>
      </c>
      <c r="F157" s="58">
        <v>165</v>
      </c>
      <c r="G157" s="12" t="s">
        <v>1676</v>
      </c>
      <c r="H157" s="61">
        <f t="shared" si="2"/>
        <v>44249</v>
      </c>
    </row>
    <row r="158" spans="3:8" ht="13.5" customHeight="1" x14ac:dyDescent="0.2">
      <c r="C158" s="12" t="s">
        <v>149</v>
      </c>
      <c r="D158" s="57" t="s">
        <v>1678</v>
      </c>
      <c r="E158" s="60">
        <v>44249</v>
      </c>
      <c r="F158" s="58">
        <v>150</v>
      </c>
      <c r="G158" s="12" t="s">
        <v>1676</v>
      </c>
      <c r="H158" s="61">
        <f t="shared" si="2"/>
        <v>44249</v>
      </c>
    </row>
    <row r="159" spans="3:8" ht="13.5" customHeight="1" x14ac:dyDescent="0.2">
      <c r="C159" s="12" t="s">
        <v>170</v>
      </c>
      <c r="D159" s="57" t="s">
        <v>473</v>
      </c>
      <c r="E159" s="60">
        <v>44249</v>
      </c>
      <c r="F159" s="58">
        <v>72</v>
      </c>
      <c r="G159" s="12" t="s">
        <v>1689</v>
      </c>
      <c r="H159" s="61">
        <f t="shared" si="2"/>
        <v>44249</v>
      </c>
    </row>
    <row r="160" spans="3:8" ht="13.5" customHeight="1" x14ac:dyDescent="0.2">
      <c r="C160" s="12" t="s">
        <v>135</v>
      </c>
      <c r="D160" s="57" t="s">
        <v>165</v>
      </c>
      <c r="E160" s="60">
        <v>44249</v>
      </c>
      <c r="F160" s="58">
        <v>720.18</v>
      </c>
      <c r="G160" s="12" t="s">
        <v>1676</v>
      </c>
      <c r="H160" s="61">
        <f t="shared" si="2"/>
        <v>44249</v>
      </c>
    </row>
    <row r="161" spans="3:8" ht="13.5" customHeight="1" x14ac:dyDescent="0.2">
      <c r="C161" s="12" t="s">
        <v>135</v>
      </c>
      <c r="D161" s="57" t="s">
        <v>169</v>
      </c>
      <c r="E161" s="60">
        <v>44249</v>
      </c>
      <c r="F161" s="58">
        <v>2978.25</v>
      </c>
      <c r="G161" s="12" t="s">
        <v>1676</v>
      </c>
      <c r="H161" s="61">
        <f t="shared" si="2"/>
        <v>44249</v>
      </c>
    </row>
    <row r="162" spans="3:8" ht="13.5" customHeight="1" x14ac:dyDescent="0.2">
      <c r="C162" s="12" t="s">
        <v>96</v>
      </c>
      <c r="D162" s="57" t="s">
        <v>152</v>
      </c>
      <c r="E162" s="60">
        <v>44249</v>
      </c>
      <c r="F162" s="58">
        <v>1350</v>
      </c>
      <c r="G162" s="12" t="s">
        <v>1689</v>
      </c>
      <c r="H162" s="61">
        <f t="shared" si="2"/>
        <v>44249</v>
      </c>
    </row>
    <row r="163" spans="3:8" ht="13.5" customHeight="1" x14ac:dyDescent="0.2">
      <c r="C163" s="12" t="s">
        <v>187</v>
      </c>
      <c r="D163" s="57" t="s">
        <v>505</v>
      </c>
      <c r="E163" s="60">
        <v>44249</v>
      </c>
      <c r="F163" s="58">
        <v>10</v>
      </c>
      <c r="G163" s="12" t="s">
        <v>1689</v>
      </c>
      <c r="H163" s="61">
        <f t="shared" si="2"/>
        <v>44249</v>
      </c>
    </row>
    <row r="164" spans="3:8" ht="13.5" customHeight="1" x14ac:dyDescent="0.2">
      <c r="C164" s="12" t="s">
        <v>97</v>
      </c>
      <c r="D164" s="57" t="s">
        <v>247</v>
      </c>
      <c r="E164" s="60">
        <v>44249</v>
      </c>
      <c r="F164" s="58">
        <v>403.06</v>
      </c>
      <c r="G164" s="12" t="s">
        <v>1689</v>
      </c>
      <c r="H164" s="61">
        <f t="shared" si="2"/>
        <v>44249</v>
      </c>
    </row>
    <row r="165" spans="3:8" ht="13.5" customHeight="1" x14ac:dyDescent="0.2">
      <c r="C165" s="12" t="s">
        <v>74</v>
      </c>
      <c r="D165" s="57" t="s">
        <v>358</v>
      </c>
      <c r="E165" s="60">
        <v>44249</v>
      </c>
      <c r="F165" s="58">
        <v>1340.68</v>
      </c>
      <c r="G165" s="12" t="s">
        <v>1676</v>
      </c>
      <c r="H165" s="61">
        <f t="shared" si="2"/>
        <v>44249</v>
      </c>
    </row>
    <row r="166" spans="3:8" ht="13.5" customHeight="1" x14ac:dyDescent="0.2">
      <c r="C166" s="12" t="s">
        <v>96</v>
      </c>
      <c r="D166" s="57" t="s">
        <v>291</v>
      </c>
      <c r="E166" s="60">
        <v>44249</v>
      </c>
      <c r="F166" s="58">
        <v>1884</v>
      </c>
      <c r="G166" s="12" t="s">
        <v>1689</v>
      </c>
      <c r="H166" s="61">
        <f t="shared" si="2"/>
        <v>44249</v>
      </c>
    </row>
    <row r="167" spans="3:8" ht="13.5" customHeight="1" x14ac:dyDescent="0.2">
      <c r="C167" s="12" t="s">
        <v>135</v>
      </c>
      <c r="D167" s="57" t="s">
        <v>136</v>
      </c>
      <c r="E167" s="60">
        <v>44249</v>
      </c>
      <c r="F167" s="58">
        <v>150</v>
      </c>
      <c r="G167" s="12" t="s">
        <v>1689</v>
      </c>
      <c r="H167" s="61">
        <f t="shared" si="2"/>
        <v>44249</v>
      </c>
    </row>
    <row r="168" spans="3:8" ht="13.5" customHeight="1" x14ac:dyDescent="0.2">
      <c r="C168" s="12" t="s">
        <v>159</v>
      </c>
      <c r="D168" s="57" t="s">
        <v>191</v>
      </c>
      <c r="E168" s="60">
        <v>44249</v>
      </c>
      <c r="F168" s="58">
        <v>1125</v>
      </c>
      <c r="G168" s="12" t="s">
        <v>1689</v>
      </c>
      <c r="H168" s="61">
        <f t="shared" si="2"/>
        <v>44249</v>
      </c>
    </row>
    <row r="169" spans="3:8" ht="13.5" customHeight="1" x14ac:dyDescent="0.2">
      <c r="C169" s="12" t="s">
        <v>159</v>
      </c>
      <c r="D169" s="57" t="s">
        <v>434</v>
      </c>
      <c r="E169" s="60">
        <v>44249</v>
      </c>
      <c r="F169" s="58">
        <v>450</v>
      </c>
      <c r="G169" s="12" t="s">
        <v>1689</v>
      </c>
      <c r="H169" s="61">
        <f t="shared" si="2"/>
        <v>44249</v>
      </c>
    </row>
    <row r="170" spans="3:8" ht="13.5" customHeight="1" x14ac:dyDescent="0.2">
      <c r="C170" s="12" t="s">
        <v>131</v>
      </c>
      <c r="D170" s="57" t="s">
        <v>456</v>
      </c>
      <c r="E170" s="60">
        <v>44250</v>
      </c>
      <c r="F170" s="58">
        <v>319.91000000000003</v>
      </c>
      <c r="G170" s="12" t="s">
        <v>1676</v>
      </c>
      <c r="H170" s="61">
        <f t="shared" si="2"/>
        <v>44250</v>
      </c>
    </row>
    <row r="171" spans="3:8" ht="13.5" customHeight="1" x14ac:dyDescent="0.2">
      <c r="C171" s="12" t="s">
        <v>77</v>
      </c>
      <c r="D171" s="57" t="s">
        <v>287</v>
      </c>
      <c r="E171" s="60">
        <v>44250</v>
      </c>
      <c r="F171" s="58">
        <v>378.23</v>
      </c>
      <c r="G171" s="12" t="s">
        <v>64</v>
      </c>
      <c r="H171" s="61">
        <f t="shared" si="2"/>
        <v>44250</v>
      </c>
    </row>
    <row r="172" spans="3:8" ht="13.5" customHeight="1" x14ac:dyDescent="0.2">
      <c r="C172" s="12" t="s">
        <v>216</v>
      </c>
      <c r="D172" s="57" t="s">
        <v>502</v>
      </c>
      <c r="E172" s="60">
        <v>44250</v>
      </c>
      <c r="F172" s="58">
        <v>41.45</v>
      </c>
      <c r="G172" s="12" t="s">
        <v>1689</v>
      </c>
      <c r="H172" s="61">
        <f t="shared" si="2"/>
        <v>44250</v>
      </c>
    </row>
    <row r="173" spans="3:8" ht="13.5" customHeight="1" x14ac:dyDescent="0.2">
      <c r="C173" s="12" t="s">
        <v>216</v>
      </c>
      <c r="D173" s="57" t="s">
        <v>503</v>
      </c>
      <c r="E173" s="60">
        <v>44250</v>
      </c>
      <c r="F173" s="58">
        <v>120</v>
      </c>
      <c r="G173" s="12" t="s">
        <v>1689</v>
      </c>
      <c r="H173" s="61">
        <f t="shared" si="2"/>
        <v>44250</v>
      </c>
    </row>
    <row r="174" spans="3:8" ht="13.5" customHeight="1" x14ac:dyDescent="0.2">
      <c r="C174" s="12" t="s">
        <v>83</v>
      </c>
      <c r="D174" s="57" t="s">
        <v>474</v>
      </c>
      <c r="E174" s="60">
        <v>44250</v>
      </c>
      <c r="F174" s="58">
        <v>377</v>
      </c>
      <c r="G174" s="12" t="s">
        <v>1689</v>
      </c>
      <c r="H174" s="61">
        <f t="shared" si="2"/>
        <v>44250</v>
      </c>
    </row>
    <row r="175" spans="3:8" ht="13.5" customHeight="1" x14ac:dyDescent="0.2">
      <c r="C175" s="12" t="s">
        <v>170</v>
      </c>
      <c r="D175" s="57" t="s">
        <v>499</v>
      </c>
      <c r="E175" s="60">
        <v>44250</v>
      </c>
      <c r="F175" s="58">
        <v>1011.34</v>
      </c>
      <c r="G175" s="12" t="s">
        <v>1676</v>
      </c>
      <c r="H175" s="61">
        <f t="shared" si="2"/>
        <v>44250</v>
      </c>
    </row>
    <row r="176" spans="3:8" ht="13.5" customHeight="1" x14ac:dyDescent="0.2">
      <c r="C176" s="12" t="s">
        <v>84</v>
      </c>
      <c r="D176" s="57" t="s">
        <v>227</v>
      </c>
      <c r="E176" s="60">
        <v>44250</v>
      </c>
      <c r="F176" s="58">
        <v>372</v>
      </c>
      <c r="G176" s="12" t="s">
        <v>1689</v>
      </c>
      <c r="H176" s="61">
        <f t="shared" si="2"/>
        <v>44250</v>
      </c>
    </row>
    <row r="177" spans="3:11" ht="13.5" customHeight="1" x14ac:dyDescent="0.2">
      <c r="C177" s="12" t="s">
        <v>159</v>
      </c>
      <c r="D177" s="57" t="s">
        <v>214</v>
      </c>
      <c r="E177" s="60">
        <v>44250</v>
      </c>
      <c r="F177" s="58">
        <v>373.66</v>
      </c>
      <c r="G177" s="12" t="s">
        <v>1689</v>
      </c>
      <c r="H177" s="61">
        <f t="shared" si="2"/>
        <v>44250</v>
      </c>
    </row>
    <row r="178" spans="3:11" ht="13.5" customHeight="1" x14ac:dyDescent="0.2">
      <c r="C178" s="12" t="s">
        <v>88</v>
      </c>
      <c r="D178" s="57" t="s">
        <v>463</v>
      </c>
      <c r="E178" s="60">
        <v>44251</v>
      </c>
      <c r="F178" s="58">
        <v>1180.5</v>
      </c>
      <c r="G178" s="12" t="s">
        <v>1689</v>
      </c>
      <c r="H178" s="61">
        <f t="shared" si="2"/>
        <v>44251</v>
      </c>
    </row>
    <row r="179" spans="3:11" ht="13.5" customHeight="1" x14ac:dyDescent="0.2">
      <c r="C179" s="12" t="s">
        <v>170</v>
      </c>
      <c r="D179" s="57" t="s">
        <v>507</v>
      </c>
      <c r="E179" s="60">
        <v>44251</v>
      </c>
      <c r="F179" s="58">
        <v>829.84</v>
      </c>
      <c r="G179" s="12" t="s">
        <v>1676</v>
      </c>
      <c r="H179" s="61">
        <f t="shared" si="2"/>
        <v>44251</v>
      </c>
    </row>
    <row r="180" spans="3:11" ht="13.5" customHeight="1" x14ac:dyDescent="0.2">
      <c r="C180" s="12" t="s">
        <v>159</v>
      </c>
      <c r="D180" s="57" t="s">
        <v>508</v>
      </c>
      <c r="E180" s="60">
        <v>44251</v>
      </c>
      <c r="F180" s="58">
        <v>169.92</v>
      </c>
      <c r="G180" s="12" t="s">
        <v>1689</v>
      </c>
      <c r="H180" s="61">
        <f t="shared" si="2"/>
        <v>44251</v>
      </c>
    </row>
    <row r="181" spans="3:11" ht="13.5" customHeight="1" x14ac:dyDescent="0.2">
      <c r="C181" s="12" t="s">
        <v>173</v>
      </c>
      <c r="D181" s="57" t="s">
        <v>511</v>
      </c>
      <c r="E181" s="60">
        <v>44251</v>
      </c>
      <c r="F181" s="58">
        <v>42</v>
      </c>
      <c r="G181" s="12" t="s">
        <v>1676</v>
      </c>
      <c r="H181" s="61">
        <f t="shared" si="2"/>
        <v>44251</v>
      </c>
    </row>
    <row r="182" spans="3:11" ht="13.5" customHeight="1" x14ac:dyDescent="0.2">
      <c r="C182" s="12" t="s">
        <v>56</v>
      </c>
      <c r="D182" s="57" t="s">
        <v>437</v>
      </c>
      <c r="E182" s="60">
        <v>44251</v>
      </c>
      <c r="F182" s="58">
        <v>9305</v>
      </c>
      <c r="G182" s="12" t="s">
        <v>1689</v>
      </c>
      <c r="H182" s="61">
        <f t="shared" si="2"/>
        <v>44251</v>
      </c>
    </row>
    <row r="183" spans="3:11" ht="13.5" customHeight="1" x14ac:dyDescent="0.2">
      <c r="C183" s="12" t="s">
        <v>192</v>
      </c>
      <c r="D183" s="57" t="s">
        <v>466</v>
      </c>
      <c r="E183" s="60">
        <v>44251</v>
      </c>
      <c r="F183" s="58">
        <v>366.88</v>
      </c>
      <c r="G183" s="12" t="s">
        <v>1689</v>
      </c>
      <c r="H183" s="61">
        <f t="shared" si="2"/>
        <v>44251</v>
      </c>
    </row>
    <row r="184" spans="3:11" ht="13.5" customHeight="1" x14ac:dyDescent="0.2">
      <c r="C184" s="12" t="s">
        <v>82</v>
      </c>
      <c r="D184" s="57" t="s">
        <v>162</v>
      </c>
      <c r="E184" s="60">
        <v>44251</v>
      </c>
      <c r="F184" s="58">
        <v>1331.95</v>
      </c>
      <c r="G184" s="12" t="s">
        <v>1676</v>
      </c>
      <c r="H184" s="61">
        <f t="shared" si="2"/>
        <v>44251</v>
      </c>
    </row>
    <row r="185" spans="3:11" ht="13.5" customHeight="1" x14ac:dyDescent="0.2">
      <c r="C185" s="12" t="s">
        <v>56</v>
      </c>
      <c r="D185" s="57" t="s">
        <v>396</v>
      </c>
      <c r="E185" s="60">
        <v>44252</v>
      </c>
      <c r="F185" s="58">
        <f>10056+1446</f>
        <v>11502</v>
      </c>
      <c r="G185" s="12" t="s">
        <v>1689</v>
      </c>
      <c r="H185" s="61">
        <f t="shared" si="2"/>
        <v>44252</v>
      </c>
    </row>
    <row r="186" spans="3:11" ht="13.5" customHeight="1" x14ac:dyDescent="0.2">
      <c r="C186" s="12" t="s">
        <v>56</v>
      </c>
      <c r="D186" s="57" t="s">
        <v>329</v>
      </c>
      <c r="E186" s="60">
        <v>44252</v>
      </c>
      <c r="F186" s="58">
        <f>3037-124+2441</f>
        <v>5354</v>
      </c>
      <c r="G186" s="12" t="s">
        <v>1689</v>
      </c>
      <c r="H186" s="61">
        <f t="shared" si="2"/>
        <v>44252</v>
      </c>
    </row>
    <row r="187" spans="3:11" ht="13.5" customHeight="1" x14ac:dyDescent="0.2">
      <c r="C187" s="12" t="s">
        <v>135</v>
      </c>
      <c r="D187" s="57" t="s">
        <v>413</v>
      </c>
      <c r="E187" s="60">
        <v>44252</v>
      </c>
      <c r="F187" s="58">
        <v>3250</v>
      </c>
      <c r="G187" s="12" t="s">
        <v>1689</v>
      </c>
      <c r="H187" s="61">
        <f t="shared" si="2"/>
        <v>44252</v>
      </c>
    </row>
    <row r="188" spans="3:11" ht="13.5" customHeight="1" x14ac:dyDescent="0.2">
      <c r="C188" s="12" t="s">
        <v>187</v>
      </c>
      <c r="D188" s="57" t="s">
        <v>205</v>
      </c>
      <c r="E188" s="60">
        <v>44252</v>
      </c>
      <c r="F188" s="58">
        <v>69.599999999999994</v>
      </c>
      <c r="G188" s="12" t="s">
        <v>1689</v>
      </c>
      <c r="H188" s="61">
        <f t="shared" si="2"/>
        <v>44252</v>
      </c>
    </row>
    <row r="189" spans="3:11" ht="13.5" customHeight="1" x14ac:dyDescent="0.2">
      <c r="C189" s="12" t="s">
        <v>83</v>
      </c>
      <c r="D189" s="57" t="s">
        <v>328</v>
      </c>
      <c r="E189" s="60">
        <v>44252</v>
      </c>
      <c r="F189" s="58">
        <v>168</v>
      </c>
      <c r="G189" s="12" t="s">
        <v>1689</v>
      </c>
      <c r="H189" s="61">
        <f t="shared" si="2"/>
        <v>44252</v>
      </c>
    </row>
    <row r="190" spans="3:11" ht="13.5" customHeight="1" x14ac:dyDescent="0.2">
      <c r="C190" s="12" t="s">
        <v>72</v>
      </c>
      <c r="D190" s="57" t="s">
        <v>1771</v>
      </c>
      <c r="E190" s="60">
        <v>44252</v>
      </c>
      <c r="F190" s="58">
        <v>2500</v>
      </c>
      <c r="G190" s="12" t="s">
        <v>1688</v>
      </c>
      <c r="H190" s="61">
        <f t="shared" si="2"/>
        <v>44252</v>
      </c>
    </row>
    <row r="191" spans="3:11" ht="13.5" customHeight="1" x14ac:dyDescent="0.2">
      <c r="C191" s="12" t="s">
        <v>173</v>
      </c>
      <c r="D191" s="57" t="s">
        <v>439</v>
      </c>
      <c r="E191" s="60">
        <v>44252</v>
      </c>
      <c r="F191" s="58">
        <v>1125</v>
      </c>
      <c r="G191" s="12" t="s">
        <v>1689</v>
      </c>
      <c r="H191" s="61">
        <f t="shared" si="2"/>
        <v>44252</v>
      </c>
    </row>
    <row r="192" spans="3:11" ht="13.5" customHeight="1" x14ac:dyDescent="0.2">
      <c r="C192" s="12" t="s">
        <v>187</v>
      </c>
      <c r="D192" s="57" t="s">
        <v>205</v>
      </c>
      <c r="E192" s="60">
        <v>44252</v>
      </c>
      <c r="F192" s="58">
        <v>84</v>
      </c>
      <c r="G192" s="12" t="s">
        <v>1689</v>
      </c>
      <c r="H192" s="61">
        <f t="shared" si="2"/>
        <v>44252</v>
      </c>
      <c r="K192"/>
    </row>
    <row r="193" spans="3:11" ht="13.5" customHeight="1" x14ac:dyDescent="0.2">
      <c r="C193" s="12" t="s">
        <v>192</v>
      </c>
      <c r="D193" s="57" t="s">
        <v>465</v>
      </c>
      <c r="E193" s="60">
        <v>44253</v>
      </c>
      <c r="F193" s="58">
        <v>370.27</v>
      </c>
      <c r="G193" s="12" t="s">
        <v>1689</v>
      </c>
      <c r="H193" s="61">
        <f t="shared" si="2"/>
        <v>44253</v>
      </c>
      <c r="K193"/>
    </row>
    <row r="194" spans="3:11" ht="13.5" customHeight="1" x14ac:dyDescent="0.2">
      <c r="C194" s="12" t="s">
        <v>80</v>
      </c>
      <c r="D194" s="57" t="s">
        <v>515</v>
      </c>
      <c r="E194" s="60">
        <v>44253</v>
      </c>
      <c r="F194" s="58">
        <v>100</v>
      </c>
      <c r="G194" s="12" t="s">
        <v>1689</v>
      </c>
      <c r="H194" s="61">
        <f t="shared" ref="H194:H212" si="3">VLOOKUP(E194,$E$2803:$H$2834,4,FALSE)</f>
        <v>44253</v>
      </c>
      <c r="K194"/>
    </row>
    <row r="195" spans="3:11" ht="13.5" customHeight="1" x14ac:dyDescent="0.2">
      <c r="C195" s="12" t="s">
        <v>83</v>
      </c>
      <c r="D195" s="57" t="s">
        <v>516</v>
      </c>
      <c r="E195" s="60">
        <v>44253</v>
      </c>
      <c r="F195" s="58">
        <v>365.97</v>
      </c>
      <c r="G195" s="12" t="s">
        <v>1689</v>
      </c>
      <c r="H195" s="61">
        <f t="shared" si="3"/>
        <v>44253</v>
      </c>
      <c r="K195"/>
    </row>
    <row r="196" spans="3:11" ht="13.5" customHeight="1" x14ac:dyDescent="0.2">
      <c r="C196" s="12" t="s">
        <v>159</v>
      </c>
      <c r="D196" s="57" t="s">
        <v>518</v>
      </c>
      <c r="E196" s="60">
        <v>44253</v>
      </c>
      <c r="F196" s="58">
        <v>60</v>
      </c>
      <c r="G196" s="12" t="s">
        <v>1689</v>
      </c>
      <c r="H196" s="61">
        <f t="shared" si="3"/>
        <v>44253</v>
      </c>
      <c r="K196"/>
    </row>
    <row r="197" spans="3:11" ht="13.5" customHeight="1" x14ac:dyDescent="0.2">
      <c r="C197" s="12" t="s">
        <v>159</v>
      </c>
      <c r="D197" s="57" t="s">
        <v>521</v>
      </c>
      <c r="E197" s="60">
        <v>44253</v>
      </c>
      <c r="F197" s="58">
        <v>1097.01</v>
      </c>
      <c r="G197" s="12" t="s">
        <v>1689</v>
      </c>
      <c r="H197" s="61">
        <f t="shared" si="3"/>
        <v>44253</v>
      </c>
      <c r="K197"/>
    </row>
    <row r="198" spans="3:11" ht="13.5" customHeight="1" x14ac:dyDescent="0.2">
      <c r="C198" s="12" t="s">
        <v>83</v>
      </c>
      <c r="D198" s="57" t="s">
        <v>367</v>
      </c>
      <c r="E198" s="60">
        <v>44253</v>
      </c>
      <c r="F198" s="58">
        <v>2618</v>
      </c>
      <c r="G198" s="12" t="s">
        <v>1689</v>
      </c>
      <c r="H198" s="61">
        <f t="shared" si="3"/>
        <v>44253</v>
      </c>
      <c r="K198"/>
    </row>
    <row r="199" spans="3:11" ht="13.5" customHeight="1" x14ac:dyDescent="0.2">
      <c r="C199" s="12" t="s">
        <v>84</v>
      </c>
      <c r="D199" s="57" t="s">
        <v>407</v>
      </c>
      <c r="E199" s="60">
        <v>44253</v>
      </c>
      <c r="F199" s="58">
        <v>4825</v>
      </c>
      <c r="G199" s="12" t="s">
        <v>1689</v>
      </c>
      <c r="H199" s="61">
        <f t="shared" si="3"/>
        <v>44253</v>
      </c>
      <c r="K199"/>
    </row>
    <row r="200" spans="3:11" ht="13.5" customHeight="1" x14ac:dyDescent="0.2">
      <c r="C200" s="12" t="s">
        <v>72</v>
      </c>
      <c r="D200" s="57" t="s">
        <v>1707</v>
      </c>
      <c r="E200" s="60">
        <v>44253</v>
      </c>
      <c r="F200" s="58">
        <v>2500</v>
      </c>
      <c r="G200" s="12" t="s">
        <v>1688</v>
      </c>
      <c r="H200" s="61">
        <f t="shared" si="3"/>
        <v>44253</v>
      </c>
      <c r="K200"/>
    </row>
    <row r="201" spans="3:11" ht="13.5" customHeight="1" x14ac:dyDescent="0.2">
      <c r="C201" s="12" t="s">
        <v>72</v>
      </c>
      <c r="D201" s="57" t="s">
        <v>65</v>
      </c>
      <c r="E201" s="60">
        <v>44253</v>
      </c>
      <c r="F201" s="58">
        <v>2000</v>
      </c>
      <c r="G201" s="12" t="s">
        <v>1688</v>
      </c>
      <c r="H201" s="61">
        <f t="shared" si="3"/>
        <v>44253</v>
      </c>
      <c r="K201"/>
    </row>
    <row r="202" spans="3:11" ht="13.5" customHeight="1" x14ac:dyDescent="0.2">
      <c r="C202" s="12" t="s">
        <v>76</v>
      </c>
      <c r="D202" s="57" t="s">
        <v>444</v>
      </c>
      <c r="E202" s="60">
        <v>44253</v>
      </c>
      <c r="F202" s="58">
        <v>1125</v>
      </c>
      <c r="G202" s="12" t="s">
        <v>1676</v>
      </c>
      <c r="H202" s="61">
        <f t="shared" si="3"/>
        <v>44253</v>
      </c>
      <c r="K202"/>
    </row>
    <row r="203" spans="3:11" ht="13.5" customHeight="1" x14ac:dyDescent="0.2">
      <c r="C203" s="12" t="s">
        <v>170</v>
      </c>
      <c r="D203" s="57" t="s">
        <v>514</v>
      </c>
      <c r="E203" s="60">
        <v>44253</v>
      </c>
      <c r="F203" s="58">
        <v>240</v>
      </c>
      <c r="G203" s="12" t="s">
        <v>1689</v>
      </c>
      <c r="H203" s="61">
        <f t="shared" si="3"/>
        <v>44253</v>
      </c>
      <c r="K203"/>
    </row>
    <row r="204" spans="3:11" ht="13.5" customHeight="1" x14ac:dyDescent="0.2">
      <c r="C204" s="12" t="s">
        <v>135</v>
      </c>
      <c r="D204" s="57" t="s">
        <v>467</v>
      </c>
      <c r="E204" s="60">
        <v>44253</v>
      </c>
      <c r="F204" s="58">
        <v>703.3</v>
      </c>
      <c r="G204" s="12" t="s">
        <v>1689</v>
      </c>
      <c r="H204" s="61">
        <f t="shared" si="3"/>
        <v>44253</v>
      </c>
      <c r="K204"/>
    </row>
    <row r="205" spans="3:11" ht="13.5" customHeight="1" x14ac:dyDescent="0.2">
      <c r="C205" s="12" t="s">
        <v>72</v>
      </c>
      <c r="D205" s="57" t="s">
        <v>386</v>
      </c>
      <c r="E205" s="60">
        <v>44253</v>
      </c>
      <c r="F205" s="58">
        <v>1751.25</v>
      </c>
      <c r="G205" s="12" t="s">
        <v>1688</v>
      </c>
      <c r="H205" s="61">
        <f t="shared" si="3"/>
        <v>44253</v>
      </c>
      <c r="K205"/>
    </row>
    <row r="206" spans="3:11" ht="13.5" customHeight="1" x14ac:dyDescent="0.2">
      <c r="C206" s="12" t="s">
        <v>76</v>
      </c>
      <c r="D206" s="57" t="s">
        <v>384</v>
      </c>
      <c r="E206" s="60">
        <v>44253</v>
      </c>
      <c r="F206" s="58">
        <v>3505</v>
      </c>
      <c r="G206" s="12" t="s">
        <v>1676</v>
      </c>
      <c r="H206" s="61">
        <f t="shared" si="3"/>
        <v>44253</v>
      </c>
      <c r="K206"/>
    </row>
    <row r="207" spans="3:11" ht="13.5" customHeight="1" x14ac:dyDescent="0.2">
      <c r="C207" s="12" t="s">
        <v>88</v>
      </c>
      <c r="D207" s="57" t="s">
        <v>121</v>
      </c>
      <c r="E207" s="60">
        <v>44253</v>
      </c>
      <c r="F207" s="58">
        <v>1613.5</v>
      </c>
      <c r="G207" s="12" t="s">
        <v>1689</v>
      </c>
      <c r="H207" s="61">
        <f t="shared" si="3"/>
        <v>44253</v>
      </c>
      <c r="K207"/>
    </row>
    <row r="208" spans="3:11" ht="13.5" customHeight="1" x14ac:dyDescent="0.2">
      <c r="C208" s="12" t="s">
        <v>80</v>
      </c>
      <c r="D208" s="57" t="s">
        <v>506</v>
      </c>
      <c r="E208" s="60">
        <v>44253</v>
      </c>
      <c r="F208" s="58">
        <v>100</v>
      </c>
      <c r="G208" s="12" t="s">
        <v>1689</v>
      </c>
      <c r="H208" s="61">
        <f t="shared" si="3"/>
        <v>44253</v>
      </c>
      <c r="K208"/>
    </row>
    <row r="209" spans="3:11" ht="13.5" customHeight="1" x14ac:dyDescent="0.2">
      <c r="C209" s="12" t="s">
        <v>80</v>
      </c>
      <c r="D209" s="57" t="s">
        <v>1757</v>
      </c>
      <c r="E209" s="60">
        <v>44253</v>
      </c>
      <c r="F209" s="58">
        <v>174</v>
      </c>
      <c r="G209" s="12" t="s">
        <v>1688</v>
      </c>
      <c r="H209" s="61">
        <f t="shared" si="3"/>
        <v>44253</v>
      </c>
      <c r="K209"/>
    </row>
    <row r="210" spans="3:11" ht="13.5" customHeight="1" x14ac:dyDescent="0.2">
      <c r="C210" s="12" t="s">
        <v>97</v>
      </c>
      <c r="D210" s="57" t="s">
        <v>500</v>
      </c>
      <c r="E210" s="60">
        <v>44253</v>
      </c>
      <c r="F210" s="58">
        <v>1260.77</v>
      </c>
      <c r="G210" s="12" t="s">
        <v>1689</v>
      </c>
      <c r="H210" s="61">
        <f t="shared" si="3"/>
        <v>44253</v>
      </c>
      <c r="K210"/>
    </row>
    <row r="211" spans="3:11" ht="11.25" customHeight="1" x14ac:dyDescent="0.2">
      <c r="C211" s="12" t="s">
        <v>97</v>
      </c>
      <c r="D211" s="57" t="s">
        <v>501</v>
      </c>
      <c r="E211" s="60">
        <v>44253</v>
      </c>
      <c r="F211" s="58">
        <v>590.11</v>
      </c>
      <c r="G211" s="12" t="s">
        <v>1689</v>
      </c>
      <c r="H211" s="61">
        <f t="shared" si="3"/>
        <v>44253</v>
      </c>
      <c r="K211"/>
    </row>
    <row r="212" spans="3:11" ht="13.5" customHeight="1" x14ac:dyDescent="0.2">
      <c r="C212" s="12" t="s">
        <v>97</v>
      </c>
      <c r="D212" s="57" t="s">
        <v>348</v>
      </c>
      <c r="E212" s="60">
        <v>44253</v>
      </c>
      <c r="F212" s="58">
        <v>522.08000000000004</v>
      </c>
      <c r="G212" s="12" t="s">
        <v>1689</v>
      </c>
      <c r="H212" s="61">
        <f t="shared" si="3"/>
        <v>44253</v>
      </c>
      <c r="K212"/>
    </row>
    <row r="213" spans="3:11" ht="13.5" customHeight="1" x14ac:dyDescent="0.2">
      <c r="E213" s="52"/>
      <c r="H213" s="61"/>
      <c r="K213"/>
    </row>
    <row r="214" spans="3:11" ht="13.5" customHeight="1" x14ac:dyDescent="0.2">
      <c r="E214" s="52"/>
      <c r="H214" s="61"/>
      <c r="K214"/>
    </row>
    <row r="215" spans="3:11" ht="13.5" customHeight="1" x14ac:dyDescent="0.2">
      <c r="E215" s="52"/>
      <c r="H215" s="61"/>
      <c r="K215"/>
    </row>
    <row r="216" spans="3:11" ht="13.5" customHeight="1" x14ac:dyDescent="0.2">
      <c r="E216" s="52"/>
      <c r="H216" s="61"/>
      <c r="K216"/>
    </row>
    <row r="217" spans="3:11" ht="13.5" customHeight="1" x14ac:dyDescent="0.2">
      <c r="E217" s="52"/>
      <c r="H217" s="61"/>
      <c r="K217"/>
    </row>
    <row r="218" spans="3:11" ht="13.5" customHeight="1" x14ac:dyDescent="0.2">
      <c r="E218" s="52"/>
      <c r="H218" s="61"/>
      <c r="K218"/>
    </row>
    <row r="219" spans="3:11" ht="13.5" customHeight="1" x14ac:dyDescent="0.2">
      <c r="E219" s="52"/>
      <c r="H219" s="61"/>
      <c r="K219"/>
    </row>
    <row r="220" spans="3:11" ht="13.5" customHeight="1" x14ac:dyDescent="0.2">
      <c r="E220" s="52"/>
      <c r="H220" s="61"/>
      <c r="K220"/>
    </row>
    <row r="221" spans="3:11" ht="13.5" customHeight="1" x14ac:dyDescent="0.2">
      <c r="E221" s="52"/>
      <c r="H221" s="61"/>
      <c r="K221"/>
    </row>
    <row r="222" spans="3:11" ht="13.5" customHeight="1" x14ac:dyDescent="0.2">
      <c r="E222" s="52"/>
      <c r="H222" s="61"/>
      <c r="K222"/>
    </row>
    <row r="223" spans="3:11" ht="13.5" customHeight="1" x14ac:dyDescent="0.2">
      <c r="E223" s="52"/>
      <c r="H223" s="61"/>
      <c r="K223"/>
    </row>
    <row r="224" spans="3:11" ht="13.5" customHeight="1" x14ac:dyDescent="0.2">
      <c r="E224" s="52"/>
      <c r="H224" s="61"/>
      <c r="K224"/>
    </row>
    <row r="225" spans="5:11" ht="13.5" customHeight="1" x14ac:dyDescent="0.2">
      <c r="E225" s="52"/>
      <c r="H225" s="61"/>
      <c r="K225"/>
    </row>
    <row r="226" spans="5:11" ht="13.5" customHeight="1" x14ac:dyDescent="0.2">
      <c r="E226" s="52"/>
      <c r="H226" s="61"/>
      <c r="K226"/>
    </row>
    <row r="227" spans="5:11" ht="13.5" customHeight="1" x14ac:dyDescent="0.2">
      <c r="E227" s="52"/>
      <c r="H227" s="61"/>
      <c r="K227"/>
    </row>
    <row r="228" spans="5:11" ht="13.5" customHeight="1" x14ac:dyDescent="0.2">
      <c r="E228" s="52"/>
      <c r="H228" s="61"/>
      <c r="K228"/>
    </row>
    <row r="229" spans="5:11" ht="13.5" customHeight="1" x14ac:dyDescent="0.2">
      <c r="E229" s="52"/>
      <c r="H229" s="61"/>
      <c r="K229"/>
    </row>
    <row r="230" spans="5:11" ht="13.5" customHeight="1" x14ac:dyDescent="0.2">
      <c r="E230" s="52"/>
      <c r="H230" s="61"/>
      <c r="K230"/>
    </row>
    <row r="231" spans="5:11" ht="13.5" customHeight="1" x14ac:dyDescent="0.2">
      <c r="E231" s="52"/>
      <c r="H231" s="61"/>
      <c r="K231"/>
    </row>
    <row r="232" spans="5:11" ht="13.5" customHeight="1" x14ac:dyDescent="0.2">
      <c r="E232" s="52"/>
      <c r="H232" s="61"/>
      <c r="K232"/>
    </row>
    <row r="233" spans="5:11" ht="13.5" customHeight="1" x14ac:dyDescent="0.2">
      <c r="E233" s="52"/>
      <c r="H233" s="61"/>
      <c r="K233"/>
    </row>
    <row r="234" spans="5:11" ht="13.5" customHeight="1" x14ac:dyDescent="0.2">
      <c r="E234" s="52"/>
      <c r="H234" s="61"/>
      <c r="K234"/>
    </row>
    <row r="235" spans="5:11" ht="13.5" customHeight="1" x14ac:dyDescent="0.2">
      <c r="E235" s="52"/>
      <c r="H235" s="61"/>
      <c r="K235"/>
    </row>
    <row r="236" spans="5:11" ht="13.5" customHeight="1" x14ac:dyDescent="0.2">
      <c r="E236" s="52"/>
      <c r="H236" s="61"/>
      <c r="K236"/>
    </row>
    <row r="237" spans="5:11" ht="13.5" customHeight="1" x14ac:dyDescent="0.2">
      <c r="E237" s="52"/>
      <c r="H237" s="61"/>
      <c r="K237"/>
    </row>
    <row r="238" spans="5:11" ht="13.5" customHeight="1" x14ac:dyDescent="0.2">
      <c r="E238" s="52"/>
      <c r="H238" s="61"/>
      <c r="K238"/>
    </row>
    <row r="239" spans="5:11" ht="13.5" customHeight="1" x14ac:dyDescent="0.2">
      <c r="E239" s="52"/>
      <c r="H239" s="61"/>
      <c r="K239"/>
    </row>
    <row r="240" spans="5:11" ht="13.5" customHeight="1" x14ac:dyDescent="0.2">
      <c r="E240" s="52"/>
      <c r="H240" s="61"/>
      <c r="K240"/>
    </row>
    <row r="241" spans="5:11" ht="13.5" customHeight="1" x14ac:dyDescent="0.2">
      <c r="E241" s="52"/>
      <c r="H241" s="61"/>
      <c r="K241"/>
    </row>
    <row r="242" spans="5:11" ht="13.5" customHeight="1" x14ac:dyDescent="0.2">
      <c r="E242" s="52"/>
      <c r="H242" s="61"/>
      <c r="K242"/>
    </row>
    <row r="243" spans="5:11" ht="13.5" customHeight="1" x14ac:dyDescent="0.2">
      <c r="E243" s="52"/>
      <c r="H243" s="61"/>
      <c r="K243"/>
    </row>
    <row r="244" spans="5:11" ht="13.5" customHeight="1" x14ac:dyDescent="0.2">
      <c r="E244" s="52"/>
      <c r="H244" s="61"/>
      <c r="K244"/>
    </row>
    <row r="245" spans="5:11" ht="13.5" customHeight="1" x14ac:dyDescent="0.2">
      <c r="E245" s="52"/>
      <c r="H245" s="61"/>
      <c r="K245"/>
    </row>
    <row r="246" spans="5:11" ht="13.5" customHeight="1" x14ac:dyDescent="0.2">
      <c r="E246" s="52"/>
      <c r="H246" s="61"/>
      <c r="K246"/>
    </row>
    <row r="247" spans="5:11" ht="13.5" customHeight="1" x14ac:dyDescent="0.2">
      <c r="E247" s="52"/>
      <c r="H247" s="61"/>
      <c r="K247"/>
    </row>
    <row r="248" spans="5:11" ht="13.5" customHeight="1" x14ac:dyDescent="0.2">
      <c r="E248" s="52"/>
      <c r="H248" s="61"/>
      <c r="K248"/>
    </row>
    <row r="249" spans="5:11" ht="13.5" customHeight="1" x14ac:dyDescent="0.2">
      <c r="E249" s="52"/>
      <c r="H249" s="61"/>
      <c r="K249"/>
    </row>
    <row r="250" spans="5:11" ht="13.5" customHeight="1" x14ac:dyDescent="0.2">
      <c r="E250" s="52"/>
      <c r="H250" s="61"/>
      <c r="K250"/>
    </row>
    <row r="251" spans="5:11" ht="13.5" customHeight="1" x14ac:dyDescent="0.2">
      <c r="E251" s="52"/>
      <c r="H251" s="61"/>
      <c r="K251"/>
    </row>
    <row r="252" spans="5:11" ht="13.5" customHeight="1" x14ac:dyDescent="0.2">
      <c r="E252" s="52"/>
      <c r="H252" s="61"/>
      <c r="K252"/>
    </row>
    <row r="253" spans="5:11" ht="13.5" customHeight="1" x14ac:dyDescent="0.2">
      <c r="E253" s="52"/>
      <c r="H253" s="61"/>
      <c r="K253"/>
    </row>
    <row r="254" spans="5:11" ht="13.5" customHeight="1" x14ac:dyDescent="0.2">
      <c r="E254" s="52"/>
      <c r="H254" s="61"/>
      <c r="K254"/>
    </row>
    <row r="255" spans="5:11" ht="13.5" customHeight="1" x14ac:dyDescent="0.2">
      <c r="E255" s="52"/>
      <c r="H255" s="61"/>
      <c r="K255"/>
    </row>
    <row r="256" spans="5:11" ht="13.5" customHeight="1" x14ac:dyDescent="0.2">
      <c r="E256" s="52"/>
      <c r="H256" s="61"/>
      <c r="K256"/>
    </row>
    <row r="257" spans="5:11" ht="13.5" customHeight="1" x14ac:dyDescent="0.2">
      <c r="E257" s="52"/>
      <c r="H257" s="61"/>
      <c r="K257"/>
    </row>
    <row r="258" spans="5:11" ht="13.5" customHeight="1" x14ac:dyDescent="0.2">
      <c r="E258" s="52"/>
      <c r="H258" s="61"/>
      <c r="K258"/>
    </row>
    <row r="259" spans="5:11" ht="13.5" customHeight="1" x14ac:dyDescent="0.2">
      <c r="E259" s="52"/>
      <c r="H259" s="61"/>
      <c r="K259"/>
    </row>
    <row r="260" spans="5:11" ht="13.5" customHeight="1" x14ac:dyDescent="0.2">
      <c r="E260" s="52"/>
      <c r="H260" s="61"/>
      <c r="K260"/>
    </row>
    <row r="261" spans="5:11" ht="13.5" customHeight="1" x14ac:dyDescent="0.2">
      <c r="E261" s="52"/>
      <c r="H261" s="61"/>
      <c r="K261"/>
    </row>
    <row r="262" spans="5:11" ht="13.5" customHeight="1" x14ac:dyDescent="0.2">
      <c r="E262" s="52"/>
      <c r="H262" s="61"/>
      <c r="K262"/>
    </row>
    <row r="263" spans="5:11" ht="13.5" customHeight="1" x14ac:dyDescent="0.2">
      <c r="E263" s="52"/>
      <c r="H263" s="61"/>
      <c r="K263"/>
    </row>
    <row r="264" spans="5:11" ht="13.5" customHeight="1" x14ac:dyDescent="0.2">
      <c r="E264" s="52"/>
      <c r="H264" s="61"/>
      <c r="K264"/>
    </row>
    <row r="265" spans="5:11" ht="13.5" customHeight="1" x14ac:dyDescent="0.2">
      <c r="E265" s="52"/>
      <c r="H265" s="61"/>
      <c r="K265"/>
    </row>
    <row r="266" spans="5:11" ht="13.5" customHeight="1" x14ac:dyDescent="0.2">
      <c r="E266" s="52"/>
      <c r="H266" s="61"/>
      <c r="K266"/>
    </row>
    <row r="267" spans="5:11" ht="13.5" customHeight="1" x14ac:dyDescent="0.2">
      <c r="E267" s="52"/>
      <c r="H267" s="61"/>
      <c r="K267"/>
    </row>
    <row r="268" spans="5:11" ht="13.5" customHeight="1" x14ac:dyDescent="0.2">
      <c r="E268" s="52"/>
      <c r="H268" s="61"/>
      <c r="K268"/>
    </row>
    <row r="269" spans="5:11" ht="13.5" customHeight="1" x14ac:dyDescent="0.2">
      <c r="E269" s="52"/>
      <c r="H269" s="61"/>
      <c r="K269"/>
    </row>
    <row r="270" spans="5:11" ht="13.5" customHeight="1" x14ac:dyDescent="0.2">
      <c r="E270" s="52"/>
      <c r="H270" s="61"/>
      <c r="K270"/>
    </row>
    <row r="271" spans="5:11" ht="13.5" customHeight="1" x14ac:dyDescent="0.2">
      <c r="E271" s="52"/>
      <c r="H271" s="61"/>
      <c r="K271"/>
    </row>
    <row r="272" spans="5:11" ht="13.5" customHeight="1" x14ac:dyDescent="0.2">
      <c r="E272" s="52"/>
      <c r="H272" s="61"/>
      <c r="K272"/>
    </row>
    <row r="273" spans="5:11" ht="13.5" customHeight="1" x14ac:dyDescent="0.2">
      <c r="E273" s="52"/>
      <c r="H273" s="61"/>
      <c r="K273"/>
    </row>
    <row r="274" spans="5:11" ht="13.5" customHeight="1" x14ac:dyDescent="0.2">
      <c r="E274" s="52"/>
      <c r="H274" s="61"/>
      <c r="K274"/>
    </row>
    <row r="275" spans="5:11" ht="13.5" customHeight="1" x14ac:dyDescent="0.2">
      <c r="E275" s="52"/>
      <c r="H275" s="61"/>
      <c r="K275"/>
    </row>
    <row r="276" spans="5:11" ht="13.5" customHeight="1" x14ac:dyDescent="0.2">
      <c r="E276" s="52"/>
      <c r="H276" s="61"/>
      <c r="K276"/>
    </row>
    <row r="277" spans="5:11" ht="13.5" customHeight="1" x14ac:dyDescent="0.2">
      <c r="E277" s="52"/>
      <c r="H277" s="61"/>
      <c r="K277"/>
    </row>
    <row r="278" spans="5:11" ht="13.5" customHeight="1" x14ac:dyDescent="0.2">
      <c r="E278" s="52"/>
      <c r="H278" s="61"/>
      <c r="K278"/>
    </row>
    <row r="279" spans="5:11" ht="13.5" customHeight="1" x14ac:dyDescent="0.2">
      <c r="E279" s="52"/>
      <c r="H279" s="61"/>
      <c r="K279"/>
    </row>
    <row r="280" spans="5:11" ht="13.5" customHeight="1" x14ac:dyDescent="0.2">
      <c r="E280" s="52"/>
      <c r="H280" s="61"/>
      <c r="K280"/>
    </row>
    <row r="281" spans="5:11" ht="13.5" customHeight="1" x14ac:dyDescent="0.2">
      <c r="E281" s="52"/>
      <c r="H281" s="61"/>
      <c r="K281"/>
    </row>
    <row r="282" spans="5:11" ht="13.5" customHeight="1" x14ac:dyDescent="0.2">
      <c r="E282" s="52"/>
      <c r="H282" s="61"/>
      <c r="K282"/>
    </row>
    <row r="283" spans="5:11" ht="13.5" customHeight="1" x14ac:dyDescent="0.2">
      <c r="E283" s="52"/>
      <c r="H283" s="61"/>
      <c r="K283"/>
    </row>
    <row r="284" spans="5:11" ht="13.5" customHeight="1" x14ac:dyDescent="0.2">
      <c r="E284" s="52"/>
      <c r="H284" s="61"/>
      <c r="K284"/>
    </row>
    <row r="285" spans="5:11" ht="13.5" customHeight="1" x14ac:dyDescent="0.2">
      <c r="E285" s="52"/>
      <c r="H285" s="61"/>
      <c r="K285"/>
    </row>
    <row r="286" spans="5:11" ht="14.25" customHeight="1" x14ac:dyDescent="0.2">
      <c r="E286" s="52"/>
      <c r="H286" s="61"/>
      <c r="K286"/>
    </row>
    <row r="287" spans="5:11" ht="14.25" customHeight="1" x14ac:dyDescent="0.2">
      <c r="E287" s="52"/>
      <c r="H287" s="61"/>
      <c r="K287"/>
    </row>
    <row r="288" spans="5:11" ht="14.25" customHeight="1" x14ac:dyDescent="0.2">
      <c r="E288" s="52"/>
      <c r="H288" s="61"/>
      <c r="K288"/>
    </row>
    <row r="289" spans="5:11" ht="14.25" customHeight="1" x14ac:dyDescent="0.2">
      <c r="E289" s="52"/>
      <c r="H289" s="61"/>
      <c r="K289"/>
    </row>
    <row r="290" spans="5:11" ht="14.25" customHeight="1" x14ac:dyDescent="0.2">
      <c r="E290" s="52"/>
      <c r="H290" s="61"/>
      <c r="K290"/>
    </row>
    <row r="291" spans="5:11" ht="14.25" customHeight="1" x14ac:dyDescent="0.2">
      <c r="E291" s="52"/>
      <c r="H291" s="61"/>
      <c r="K291"/>
    </row>
    <row r="292" spans="5:11" ht="14.25" customHeight="1" x14ac:dyDescent="0.2">
      <c r="E292" s="52"/>
      <c r="H292" s="61"/>
      <c r="K292"/>
    </row>
    <row r="293" spans="5:11" ht="14.25" customHeight="1" x14ac:dyDescent="0.2">
      <c r="E293" s="52"/>
      <c r="H293" s="61"/>
      <c r="K293"/>
    </row>
    <row r="294" spans="5:11" ht="14.25" customHeight="1" x14ac:dyDescent="0.2">
      <c r="E294" s="52"/>
      <c r="H294" s="61"/>
      <c r="K294"/>
    </row>
    <row r="295" spans="5:11" ht="14.25" customHeight="1" x14ac:dyDescent="0.2">
      <c r="E295" s="52"/>
      <c r="H295" s="61"/>
      <c r="K295"/>
    </row>
    <row r="296" spans="5:11" ht="14.25" customHeight="1" x14ac:dyDescent="0.2">
      <c r="E296" s="52"/>
      <c r="H296" s="61"/>
      <c r="K296"/>
    </row>
    <row r="297" spans="5:11" ht="14.25" customHeight="1" x14ac:dyDescent="0.2">
      <c r="E297" s="52"/>
      <c r="H297" s="61"/>
      <c r="K297"/>
    </row>
    <row r="298" spans="5:11" ht="14.25" customHeight="1" x14ac:dyDescent="0.2">
      <c r="E298" s="52"/>
      <c r="H298" s="61"/>
      <c r="K298"/>
    </row>
    <row r="299" spans="5:11" ht="14.25" customHeight="1" x14ac:dyDescent="0.2">
      <c r="E299" s="52"/>
      <c r="H299" s="61"/>
      <c r="K299"/>
    </row>
    <row r="300" spans="5:11" ht="14.25" customHeight="1" x14ac:dyDescent="0.2">
      <c r="E300" s="52"/>
      <c r="H300" s="61"/>
      <c r="K300"/>
    </row>
    <row r="301" spans="5:11" ht="14.25" customHeight="1" x14ac:dyDescent="0.2">
      <c r="E301" s="52"/>
      <c r="H301" s="61"/>
      <c r="K301"/>
    </row>
    <row r="302" spans="5:11" ht="14.25" customHeight="1" x14ac:dyDescent="0.2">
      <c r="E302" s="52"/>
      <c r="H302" s="61"/>
      <c r="K302"/>
    </row>
    <row r="303" spans="5:11" ht="14.25" customHeight="1" x14ac:dyDescent="0.2">
      <c r="E303" s="52"/>
      <c r="H303" s="61"/>
      <c r="K303"/>
    </row>
    <row r="304" spans="5:11" ht="14.25" customHeight="1" x14ac:dyDescent="0.2">
      <c r="E304" s="52"/>
      <c r="H304" s="61"/>
      <c r="K304"/>
    </row>
    <row r="305" spans="5:11" ht="14.25" customHeight="1" x14ac:dyDescent="0.2">
      <c r="E305" s="52"/>
      <c r="H305" s="61"/>
      <c r="K305"/>
    </row>
    <row r="306" spans="5:11" ht="14.25" customHeight="1" x14ac:dyDescent="0.2">
      <c r="E306" s="52"/>
      <c r="H306" s="61"/>
      <c r="K306"/>
    </row>
    <row r="307" spans="5:11" ht="14.25" customHeight="1" x14ac:dyDescent="0.2">
      <c r="E307" s="52"/>
      <c r="H307" s="61"/>
      <c r="K307"/>
    </row>
    <row r="308" spans="5:11" ht="14.25" customHeight="1" x14ac:dyDescent="0.2">
      <c r="E308" s="52"/>
      <c r="H308" s="61"/>
      <c r="K308"/>
    </row>
    <row r="309" spans="5:11" ht="14.25" customHeight="1" x14ac:dyDescent="0.2">
      <c r="E309" s="52"/>
      <c r="H309" s="61"/>
      <c r="K309"/>
    </row>
    <row r="310" spans="5:11" ht="14.25" customHeight="1" x14ac:dyDescent="0.2">
      <c r="E310" s="52"/>
      <c r="H310" s="61"/>
      <c r="K310"/>
    </row>
    <row r="311" spans="5:11" ht="14.25" customHeight="1" x14ac:dyDescent="0.2">
      <c r="E311" s="52"/>
      <c r="H311" s="61"/>
      <c r="K311"/>
    </row>
    <row r="312" spans="5:11" ht="14.25" customHeight="1" x14ac:dyDescent="0.2">
      <c r="E312" s="52"/>
      <c r="H312" s="61"/>
      <c r="K312"/>
    </row>
    <row r="313" spans="5:11" ht="14.25" customHeight="1" x14ac:dyDescent="0.2">
      <c r="E313" s="52"/>
      <c r="H313" s="61"/>
      <c r="K313"/>
    </row>
    <row r="314" spans="5:11" ht="14.25" customHeight="1" x14ac:dyDescent="0.2">
      <c r="E314" s="52"/>
      <c r="H314" s="61"/>
      <c r="K314"/>
    </row>
    <row r="315" spans="5:11" ht="14.25" customHeight="1" x14ac:dyDescent="0.2">
      <c r="E315" s="52"/>
      <c r="H315" s="61"/>
      <c r="K315"/>
    </row>
    <row r="316" spans="5:11" ht="14.25" customHeight="1" x14ac:dyDescent="0.2">
      <c r="E316" s="52"/>
      <c r="H316" s="61"/>
      <c r="K316"/>
    </row>
    <row r="317" spans="5:11" ht="14.25" customHeight="1" x14ac:dyDescent="0.2">
      <c r="E317" s="52"/>
      <c r="H317" s="61"/>
      <c r="K317"/>
    </row>
    <row r="318" spans="5:11" ht="14.25" customHeight="1" x14ac:dyDescent="0.2">
      <c r="E318" s="52"/>
      <c r="H318" s="61"/>
      <c r="K318"/>
    </row>
    <row r="319" spans="5:11" ht="14.25" customHeight="1" x14ac:dyDescent="0.2">
      <c r="E319" s="52"/>
      <c r="H319" s="61"/>
      <c r="K319"/>
    </row>
    <row r="320" spans="5:11" ht="14.25" customHeight="1" x14ac:dyDescent="0.2">
      <c r="E320" s="52"/>
      <c r="H320" s="61"/>
      <c r="K320"/>
    </row>
    <row r="321" spans="5:11" ht="14.25" customHeight="1" x14ac:dyDescent="0.2">
      <c r="E321" s="52"/>
      <c r="H321" s="61"/>
      <c r="K321"/>
    </row>
    <row r="322" spans="5:11" ht="14.25" customHeight="1" x14ac:dyDescent="0.2">
      <c r="E322" s="52"/>
      <c r="H322" s="61"/>
      <c r="K322"/>
    </row>
    <row r="323" spans="5:11" ht="14.25" customHeight="1" x14ac:dyDescent="0.2">
      <c r="E323" s="52"/>
      <c r="H323" s="61"/>
      <c r="K323"/>
    </row>
    <row r="324" spans="5:11" ht="14.25" customHeight="1" x14ac:dyDescent="0.2">
      <c r="E324" s="52"/>
      <c r="H324" s="61"/>
      <c r="K324"/>
    </row>
    <row r="325" spans="5:11" ht="14.25" customHeight="1" x14ac:dyDescent="0.2">
      <c r="E325" s="52"/>
      <c r="H325" s="61"/>
      <c r="K325"/>
    </row>
    <row r="326" spans="5:11" ht="14.25" customHeight="1" x14ac:dyDescent="0.2">
      <c r="E326" s="52"/>
      <c r="H326" s="61"/>
      <c r="K326"/>
    </row>
    <row r="327" spans="5:11" ht="14.25" customHeight="1" x14ac:dyDescent="0.2">
      <c r="E327" s="52"/>
      <c r="H327" s="61"/>
      <c r="K327"/>
    </row>
    <row r="328" spans="5:11" ht="14.25" customHeight="1" x14ac:dyDescent="0.2">
      <c r="E328" s="52"/>
      <c r="H328" s="61"/>
      <c r="K328"/>
    </row>
    <row r="329" spans="5:11" ht="14.25" customHeight="1" x14ac:dyDescent="0.2">
      <c r="E329" s="52"/>
      <c r="H329" s="61"/>
      <c r="K329"/>
    </row>
    <row r="330" spans="5:11" ht="14.25" customHeight="1" x14ac:dyDescent="0.2">
      <c r="E330" s="52"/>
      <c r="H330" s="61"/>
      <c r="K330"/>
    </row>
    <row r="331" spans="5:11" ht="14.25" customHeight="1" x14ac:dyDescent="0.2">
      <c r="E331" s="52"/>
      <c r="H331" s="61"/>
      <c r="K331"/>
    </row>
    <row r="332" spans="5:11" ht="14.25" customHeight="1" x14ac:dyDescent="0.2">
      <c r="E332" s="52"/>
      <c r="H332" s="61"/>
      <c r="K332"/>
    </row>
    <row r="333" spans="5:11" ht="14.25" customHeight="1" x14ac:dyDescent="0.2">
      <c r="E333" s="52"/>
      <c r="H333" s="61"/>
      <c r="K333"/>
    </row>
    <row r="334" spans="5:11" ht="14.25" customHeight="1" x14ac:dyDescent="0.2">
      <c r="E334" s="52"/>
      <c r="H334" s="61"/>
      <c r="K334"/>
    </row>
    <row r="335" spans="5:11" ht="14.25" customHeight="1" x14ac:dyDescent="0.2">
      <c r="E335" s="52"/>
      <c r="H335" s="61"/>
      <c r="K335"/>
    </row>
    <row r="336" spans="5:11" ht="14.25" customHeight="1" x14ac:dyDescent="0.2">
      <c r="E336" s="52"/>
      <c r="H336" s="61"/>
      <c r="K336"/>
    </row>
    <row r="337" spans="5:11" ht="14.25" customHeight="1" x14ac:dyDescent="0.2">
      <c r="E337" s="52"/>
      <c r="H337" s="61"/>
      <c r="K337"/>
    </row>
    <row r="338" spans="5:11" ht="14.25" customHeight="1" x14ac:dyDescent="0.2">
      <c r="E338" s="52"/>
      <c r="H338" s="61"/>
      <c r="K338"/>
    </row>
    <row r="339" spans="5:11" ht="14.25" customHeight="1" x14ac:dyDescent="0.2">
      <c r="E339" s="52"/>
      <c r="H339" s="61"/>
      <c r="K339"/>
    </row>
    <row r="340" spans="5:11" ht="14.25" customHeight="1" x14ac:dyDescent="0.2">
      <c r="E340" s="52"/>
      <c r="H340" s="61"/>
      <c r="K340"/>
    </row>
    <row r="341" spans="5:11" ht="14.25" customHeight="1" x14ac:dyDescent="0.2">
      <c r="E341" s="52"/>
      <c r="H341" s="61"/>
      <c r="K341"/>
    </row>
    <row r="342" spans="5:11" ht="14.25" customHeight="1" x14ac:dyDescent="0.2">
      <c r="E342" s="52"/>
      <c r="H342" s="61"/>
      <c r="K342"/>
    </row>
    <row r="343" spans="5:11" ht="14.25" customHeight="1" x14ac:dyDescent="0.2">
      <c r="E343" s="52"/>
      <c r="H343" s="61"/>
      <c r="K343"/>
    </row>
    <row r="344" spans="5:11" ht="14.25" customHeight="1" x14ac:dyDescent="0.2">
      <c r="E344" s="52"/>
      <c r="H344" s="61"/>
      <c r="K344"/>
    </row>
    <row r="345" spans="5:11" ht="14.25" customHeight="1" x14ac:dyDescent="0.2">
      <c r="E345" s="52"/>
      <c r="H345" s="61"/>
      <c r="K345"/>
    </row>
    <row r="346" spans="5:11" ht="14.25" customHeight="1" x14ac:dyDescent="0.2">
      <c r="E346" s="52"/>
      <c r="H346" s="61"/>
      <c r="K346"/>
    </row>
    <row r="347" spans="5:11" ht="14.25" customHeight="1" x14ac:dyDescent="0.2">
      <c r="E347" s="52"/>
      <c r="H347" s="61"/>
      <c r="K347"/>
    </row>
    <row r="348" spans="5:11" ht="14.25" customHeight="1" x14ac:dyDescent="0.2">
      <c r="E348" s="52"/>
      <c r="H348" s="61"/>
      <c r="K348"/>
    </row>
    <row r="349" spans="5:11" ht="14.25" customHeight="1" x14ac:dyDescent="0.2">
      <c r="E349" s="52"/>
      <c r="H349" s="61"/>
      <c r="K349"/>
    </row>
    <row r="350" spans="5:11" ht="14.25" customHeight="1" x14ac:dyDescent="0.2">
      <c r="E350" s="52"/>
      <c r="H350" s="61"/>
      <c r="K350"/>
    </row>
    <row r="351" spans="5:11" ht="14.25" customHeight="1" x14ac:dyDescent="0.2">
      <c r="E351" s="52"/>
      <c r="H351" s="61"/>
      <c r="K351"/>
    </row>
    <row r="352" spans="5:11" ht="14.25" customHeight="1" x14ac:dyDescent="0.2">
      <c r="E352" s="52"/>
      <c r="H352" s="61"/>
      <c r="K352"/>
    </row>
    <row r="353" spans="5:11" ht="14.25" customHeight="1" x14ac:dyDescent="0.2">
      <c r="E353" s="52"/>
      <c r="H353" s="61"/>
      <c r="K353"/>
    </row>
    <row r="354" spans="5:11" ht="14.25" customHeight="1" x14ac:dyDescent="0.2">
      <c r="E354" s="52"/>
      <c r="H354" s="61"/>
      <c r="K354"/>
    </row>
    <row r="355" spans="5:11" ht="14.25" customHeight="1" x14ac:dyDescent="0.2">
      <c r="E355" s="52"/>
      <c r="H355" s="61"/>
      <c r="K355"/>
    </row>
    <row r="356" spans="5:11" ht="14.25" customHeight="1" x14ac:dyDescent="0.2">
      <c r="E356" s="52"/>
      <c r="H356" s="61"/>
      <c r="K356"/>
    </row>
    <row r="357" spans="5:11" ht="14.25" customHeight="1" x14ac:dyDescent="0.2">
      <c r="E357" s="52"/>
      <c r="H357" s="61"/>
      <c r="K357"/>
    </row>
    <row r="358" spans="5:11" ht="14.25" customHeight="1" x14ac:dyDescent="0.2">
      <c r="E358" s="52"/>
      <c r="H358" s="61"/>
      <c r="K358"/>
    </row>
    <row r="359" spans="5:11" ht="14.25" customHeight="1" x14ac:dyDescent="0.2">
      <c r="E359" s="52"/>
      <c r="H359" s="61"/>
      <c r="K359"/>
    </row>
    <row r="360" spans="5:11" ht="14.25" customHeight="1" x14ac:dyDescent="0.2">
      <c r="E360" s="52"/>
      <c r="H360" s="61"/>
      <c r="K360"/>
    </row>
    <row r="361" spans="5:11" ht="14.25" customHeight="1" x14ac:dyDescent="0.2">
      <c r="E361" s="52"/>
      <c r="H361" s="61"/>
      <c r="K361"/>
    </row>
    <row r="362" spans="5:11" ht="14.25" customHeight="1" x14ac:dyDescent="0.2">
      <c r="E362" s="52"/>
      <c r="H362" s="61"/>
      <c r="K362"/>
    </row>
    <row r="363" spans="5:11" ht="14.25" customHeight="1" x14ac:dyDescent="0.2">
      <c r="E363" s="52"/>
      <c r="H363" s="61"/>
      <c r="K363"/>
    </row>
    <row r="364" spans="5:11" ht="14.25" customHeight="1" x14ac:dyDescent="0.2">
      <c r="E364" s="52"/>
      <c r="H364" s="61"/>
      <c r="K364"/>
    </row>
    <row r="365" spans="5:11" ht="14.25" customHeight="1" x14ac:dyDescent="0.2">
      <c r="E365" s="52"/>
      <c r="H365" s="61"/>
      <c r="K365"/>
    </row>
    <row r="366" spans="5:11" ht="14.25" customHeight="1" x14ac:dyDescent="0.2">
      <c r="E366" s="52"/>
      <c r="H366" s="61"/>
      <c r="K366"/>
    </row>
    <row r="367" spans="5:11" ht="14.25" customHeight="1" x14ac:dyDescent="0.2">
      <c r="E367" s="52"/>
      <c r="H367" s="61"/>
      <c r="K367"/>
    </row>
    <row r="368" spans="5:11" ht="14.25" customHeight="1" x14ac:dyDescent="0.2">
      <c r="E368" s="52"/>
      <c r="H368" s="61"/>
      <c r="K368"/>
    </row>
    <row r="369" spans="5:11" ht="14.25" customHeight="1" x14ac:dyDescent="0.2">
      <c r="E369" s="52"/>
      <c r="H369" s="61"/>
      <c r="K369"/>
    </row>
    <row r="370" spans="5:11" ht="14.25" customHeight="1" x14ac:dyDescent="0.2">
      <c r="E370" s="52"/>
      <c r="H370" s="61"/>
      <c r="K370"/>
    </row>
    <row r="371" spans="5:11" ht="14.25" customHeight="1" x14ac:dyDescent="0.2">
      <c r="E371" s="52"/>
      <c r="H371" s="61"/>
      <c r="K371"/>
    </row>
    <row r="372" spans="5:11" ht="14.25" customHeight="1" x14ac:dyDescent="0.2">
      <c r="E372" s="52"/>
      <c r="H372" s="61"/>
      <c r="K372"/>
    </row>
    <row r="373" spans="5:11" ht="14.25" customHeight="1" x14ac:dyDescent="0.2">
      <c r="E373" s="52"/>
      <c r="H373" s="61"/>
      <c r="K373"/>
    </row>
    <row r="374" spans="5:11" ht="14.25" customHeight="1" x14ac:dyDescent="0.2">
      <c r="E374" s="52"/>
      <c r="H374" s="61"/>
      <c r="K374"/>
    </row>
    <row r="375" spans="5:11" ht="14.25" customHeight="1" x14ac:dyDescent="0.2">
      <c r="E375" s="52"/>
      <c r="H375" s="61"/>
      <c r="K375"/>
    </row>
    <row r="376" spans="5:11" ht="14.25" customHeight="1" x14ac:dyDescent="0.2">
      <c r="E376" s="52"/>
      <c r="H376" s="61"/>
      <c r="K376"/>
    </row>
    <row r="377" spans="5:11" ht="14.25" customHeight="1" x14ac:dyDescent="0.2">
      <c r="E377" s="52"/>
      <c r="H377" s="61"/>
      <c r="K377"/>
    </row>
    <row r="378" spans="5:11" ht="14.25" customHeight="1" x14ac:dyDescent="0.2">
      <c r="E378" s="52"/>
      <c r="H378" s="61"/>
      <c r="K378"/>
    </row>
    <row r="379" spans="5:11" ht="14.25" customHeight="1" x14ac:dyDescent="0.2">
      <c r="E379" s="52"/>
      <c r="H379" s="61"/>
      <c r="K379"/>
    </row>
    <row r="380" spans="5:11" ht="14.25" customHeight="1" x14ac:dyDescent="0.2">
      <c r="E380" s="52"/>
      <c r="H380" s="61"/>
      <c r="K380"/>
    </row>
    <row r="381" spans="5:11" ht="14.25" customHeight="1" x14ac:dyDescent="0.2">
      <c r="E381" s="52"/>
      <c r="H381" s="61"/>
      <c r="K381"/>
    </row>
    <row r="382" spans="5:11" ht="14.25" customHeight="1" x14ac:dyDescent="0.2">
      <c r="E382" s="52"/>
      <c r="H382" s="61"/>
      <c r="K382"/>
    </row>
    <row r="383" spans="5:11" ht="14.25" customHeight="1" x14ac:dyDescent="0.2">
      <c r="E383" s="52"/>
      <c r="H383" s="61"/>
      <c r="K383"/>
    </row>
    <row r="384" spans="5:11" ht="14.25" customHeight="1" x14ac:dyDescent="0.2">
      <c r="E384" s="52"/>
      <c r="H384" s="61"/>
      <c r="K384"/>
    </row>
    <row r="385" spans="5:11" ht="14.25" customHeight="1" x14ac:dyDescent="0.2">
      <c r="E385" s="52"/>
      <c r="H385" s="61"/>
      <c r="K385"/>
    </row>
    <row r="386" spans="5:11" ht="14.25" customHeight="1" x14ac:dyDescent="0.2">
      <c r="E386" s="52"/>
      <c r="H386" s="61"/>
      <c r="K386"/>
    </row>
    <row r="387" spans="5:11" ht="14.25" customHeight="1" x14ac:dyDescent="0.2">
      <c r="E387" s="52"/>
      <c r="H387" s="61"/>
      <c r="K387"/>
    </row>
    <row r="388" spans="5:11" ht="14.25" customHeight="1" x14ac:dyDescent="0.2">
      <c r="E388" s="52"/>
      <c r="H388" s="61"/>
      <c r="K388"/>
    </row>
    <row r="389" spans="5:11" ht="14.25" customHeight="1" x14ac:dyDescent="0.2">
      <c r="E389" s="52"/>
      <c r="H389" s="61"/>
      <c r="K389"/>
    </row>
    <row r="390" spans="5:11" ht="14.25" customHeight="1" x14ac:dyDescent="0.2">
      <c r="E390" s="52"/>
      <c r="H390" s="61"/>
      <c r="K390"/>
    </row>
    <row r="391" spans="5:11" ht="14.25" customHeight="1" x14ac:dyDescent="0.2">
      <c r="E391" s="52"/>
      <c r="H391" s="61"/>
      <c r="K391"/>
    </row>
    <row r="392" spans="5:11" ht="14.25" customHeight="1" x14ac:dyDescent="0.2">
      <c r="E392" s="52"/>
      <c r="H392" s="61"/>
      <c r="K392"/>
    </row>
    <row r="393" spans="5:11" ht="14.25" customHeight="1" x14ac:dyDescent="0.2">
      <c r="E393" s="52"/>
      <c r="H393" s="61"/>
      <c r="K393"/>
    </row>
    <row r="394" spans="5:11" ht="14.25" customHeight="1" x14ac:dyDescent="0.2">
      <c r="E394" s="52"/>
      <c r="H394" s="61"/>
      <c r="K394"/>
    </row>
    <row r="395" spans="5:11" ht="14.25" customHeight="1" x14ac:dyDescent="0.2">
      <c r="E395" s="52"/>
      <c r="H395" s="61"/>
      <c r="K395"/>
    </row>
    <row r="396" spans="5:11" ht="14.25" customHeight="1" x14ac:dyDescent="0.2">
      <c r="E396" s="52"/>
      <c r="H396" s="61"/>
      <c r="K396"/>
    </row>
    <row r="397" spans="5:11" ht="14.25" customHeight="1" x14ac:dyDescent="0.2">
      <c r="E397" s="52"/>
      <c r="H397" s="61"/>
      <c r="K397"/>
    </row>
    <row r="398" spans="5:11" ht="14.25" customHeight="1" x14ac:dyDescent="0.2">
      <c r="E398" s="52"/>
      <c r="H398" s="61"/>
      <c r="K398"/>
    </row>
    <row r="399" spans="5:11" ht="14.25" customHeight="1" x14ac:dyDescent="0.2">
      <c r="E399" s="52"/>
      <c r="H399" s="61"/>
      <c r="K399"/>
    </row>
    <row r="400" spans="5:11" ht="14.25" customHeight="1" x14ac:dyDescent="0.2">
      <c r="E400" s="52"/>
      <c r="H400" s="61"/>
      <c r="K400"/>
    </row>
    <row r="401" spans="5:11" ht="14.25" customHeight="1" x14ac:dyDescent="0.2">
      <c r="E401" s="52"/>
      <c r="H401" s="61"/>
      <c r="K401"/>
    </row>
    <row r="402" spans="5:11" ht="14.25" customHeight="1" x14ac:dyDescent="0.2">
      <c r="E402" s="52"/>
      <c r="H402" s="61"/>
      <c r="K402"/>
    </row>
    <row r="403" spans="5:11" ht="14.25" customHeight="1" x14ac:dyDescent="0.2">
      <c r="E403" s="52"/>
      <c r="H403" s="61"/>
      <c r="K403"/>
    </row>
    <row r="404" spans="5:11" ht="14.25" customHeight="1" x14ac:dyDescent="0.2">
      <c r="E404" s="52"/>
      <c r="H404" s="61"/>
      <c r="K404"/>
    </row>
    <row r="405" spans="5:11" ht="14.25" customHeight="1" x14ac:dyDescent="0.2">
      <c r="E405" s="52"/>
      <c r="H405" s="61"/>
      <c r="K405"/>
    </row>
    <row r="406" spans="5:11" ht="14.25" customHeight="1" x14ac:dyDescent="0.2">
      <c r="E406" s="52"/>
      <c r="H406" s="61"/>
      <c r="K406"/>
    </row>
    <row r="407" spans="5:11" ht="14.25" customHeight="1" x14ac:dyDescent="0.2">
      <c r="E407" s="52"/>
      <c r="H407" s="61"/>
      <c r="K407"/>
    </row>
    <row r="408" spans="5:11" ht="14.25" customHeight="1" x14ac:dyDescent="0.2">
      <c r="E408" s="52"/>
      <c r="H408" s="61"/>
      <c r="K408"/>
    </row>
    <row r="409" spans="5:11" ht="14.25" customHeight="1" x14ac:dyDescent="0.2">
      <c r="E409" s="52"/>
      <c r="H409" s="61"/>
      <c r="K409"/>
    </row>
    <row r="410" spans="5:11" ht="14.25" customHeight="1" x14ac:dyDescent="0.2">
      <c r="E410" s="52"/>
      <c r="H410" s="61"/>
      <c r="K410"/>
    </row>
    <row r="411" spans="5:11" ht="14.25" customHeight="1" x14ac:dyDescent="0.2">
      <c r="E411" s="52"/>
      <c r="H411" s="61"/>
      <c r="K411"/>
    </row>
    <row r="412" spans="5:11" ht="14.25" customHeight="1" x14ac:dyDescent="0.2">
      <c r="E412" s="52"/>
      <c r="H412" s="61"/>
      <c r="K412"/>
    </row>
    <row r="413" spans="5:11" ht="14.25" customHeight="1" x14ac:dyDescent="0.2">
      <c r="E413" s="52"/>
      <c r="H413" s="61"/>
      <c r="K413"/>
    </row>
    <row r="414" spans="5:11" ht="14.25" customHeight="1" x14ac:dyDescent="0.2">
      <c r="E414" s="52"/>
      <c r="H414" s="61"/>
      <c r="K414"/>
    </row>
    <row r="415" spans="5:11" ht="14.25" customHeight="1" x14ac:dyDescent="0.2">
      <c r="E415" s="52"/>
      <c r="H415" s="61"/>
      <c r="K415"/>
    </row>
    <row r="416" spans="5:11" ht="14.25" customHeight="1" x14ac:dyDescent="0.2">
      <c r="E416" s="52"/>
      <c r="H416" s="61"/>
      <c r="K416"/>
    </row>
    <row r="417" spans="5:11" ht="14.25" customHeight="1" x14ac:dyDescent="0.2">
      <c r="E417" s="52"/>
      <c r="H417" s="61"/>
      <c r="K417"/>
    </row>
    <row r="418" spans="5:11" ht="14.25" customHeight="1" x14ac:dyDescent="0.2">
      <c r="E418" s="52"/>
      <c r="F418" s="41"/>
      <c r="H418" s="61"/>
      <c r="K418"/>
    </row>
    <row r="419" spans="5:11" ht="14.25" customHeight="1" x14ac:dyDescent="0.2">
      <c r="E419" s="52"/>
      <c r="F419" s="41"/>
      <c r="H419" s="61"/>
      <c r="K419"/>
    </row>
    <row r="420" spans="5:11" ht="14.25" customHeight="1" x14ac:dyDescent="0.2">
      <c r="E420" s="52"/>
      <c r="F420" s="41"/>
      <c r="H420" s="61"/>
      <c r="K420"/>
    </row>
    <row r="421" spans="5:11" ht="14.25" customHeight="1" x14ac:dyDescent="0.2">
      <c r="E421" s="52"/>
      <c r="F421" s="41"/>
      <c r="H421" s="61"/>
      <c r="K421"/>
    </row>
    <row r="422" spans="5:11" ht="14.25" customHeight="1" x14ac:dyDescent="0.2">
      <c r="E422" s="52"/>
      <c r="F422" s="41"/>
      <c r="H422" s="61"/>
      <c r="K422"/>
    </row>
    <row r="423" spans="5:11" ht="14.25" customHeight="1" x14ac:dyDescent="0.2">
      <c r="E423" s="52"/>
      <c r="F423" s="41"/>
      <c r="H423" s="61"/>
      <c r="K423"/>
    </row>
    <row r="424" spans="5:11" ht="14.25" customHeight="1" x14ac:dyDescent="0.2">
      <c r="E424" s="52"/>
      <c r="F424" s="41"/>
      <c r="H424" s="61"/>
      <c r="K424"/>
    </row>
    <row r="425" spans="5:11" ht="14.25" customHeight="1" x14ac:dyDescent="0.2">
      <c r="E425" s="52"/>
      <c r="F425" s="41"/>
      <c r="H425" s="61"/>
      <c r="K425"/>
    </row>
    <row r="426" spans="5:11" ht="14.25" customHeight="1" x14ac:dyDescent="0.2">
      <c r="E426" s="52"/>
      <c r="F426" s="41"/>
      <c r="H426" s="61"/>
      <c r="K426"/>
    </row>
    <row r="427" spans="5:11" ht="14.25" customHeight="1" x14ac:dyDescent="0.2">
      <c r="E427" s="52"/>
      <c r="F427" s="41"/>
      <c r="H427" s="61"/>
      <c r="K427"/>
    </row>
    <row r="428" spans="5:11" ht="14.25" customHeight="1" x14ac:dyDescent="0.2">
      <c r="E428" s="52"/>
      <c r="F428" s="41"/>
      <c r="H428" s="61"/>
      <c r="K428"/>
    </row>
    <row r="429" spans="5:11" ht="14.25" customHeight="1" x14ac:dyDescent="0.2">
      <c r="E429" s="52"/>
      <c r="F429" s="41"/>
      <c r="H429" s="61"/>
      <c r="K429"/>
    </row>
    <row r="430" spans="5:11" ht="13.5" customHeight="1" x14ac:dyDescent="0.2">
      <c r="E430" s="52"/>
      <c r="F430" s="41"/>
      <c r="H430" s="61"/>
      <c r="K430"/>
    </row>
    <row r="431" spans="5:11" ht="13.5" customHeight="1" x14ac:dyDescent="0.2">
      <c r="E431" s="52"/>
      <c r="F431" s="41"/>
      <c r="H431" s="61"/>
      <c r="K431"/>
    </row>
    <row r="432" spans="5:11" ht="13.5" customHeight="1" x14ac:dyDescent="0.2">
      <c r="E432" s="52"/>
      <c r="F432" s="41"/>
      <c r="H432" s="61"/>
      <c r="K432"/>
    </row>
    <row r="433" spans="5:11" ht="13.5" customHeight="1" x14ac:dyDescent="0.2">
      <c r="E433" s="52"/>
      <c r="F433" s="41"/>
      <c r="H433" s="61"/>
      <c r="K433"/>
    </row>
    <row r="434" spans="5:11" ht="13.5" customHeight="1" x14ac:dyDescent="0.2">
      <c r="E434" s="52"/>
      <c r="F434" s="41"/>
      <c r="H434" s="61"/>
      <c r="K434"/>
    </row>
    <row r="435" spans="5:11" ht="13.5" customHeight="1" x14ac:dyDescent="0.2">
      <c r="E435" s="52"/>
      <c r="F435" s="41"/>
      <c r="H435" s="61"/>
      <c r="K435"/>
    </row>
    <row r="436" spans="5:11" ht="13.5" customHeight="1" x14ac:dyDescent="0.2">
      <c r="E436" s="52"/>
      <c r="F436" s="41"/>
      <c r="H436" s="61"/>
      <c r="K436"/>
    </row>
    <row r="437" spans="5:11" ht="13.5" customHeight="1" x14ac:dyDescent="0.2">
      <c r="E437" s="52"/>
      <c r="F437" s="41"/>
      <c r="H437" s="61"/>
      <c r="K437"/>
    </row>
    <row r="438" spans="5:11" ht="13.5" customHeight="1" x14ac:dyDescent="0.2">
      <c r="E438" s="52"/>
      <c r="F438" s="41"/>
      <c r="H438" s="61"/>
      <c r="K438"/>
    </row>
    <row r="439" spans="5:11" ht="13.5" customHeight="1" x14ac:dyDescent="0.2">
      <c r="E439" s="52"/>
      <c r="F439" s="41"/>
      <c r="H439" s="61"/>
      <c r="K439"/>
    </row>
    <row r="440" spans="5:11" ht="13.5" customHeight="1" x14ac:dyDescent="0.2">
      <c r="E440" s="52"/>
      <c r="F440" s="41"/>
      <c r="H440" s="61"/>
      <c r="K440"/>
    </row>
    <row r="441" spans="5:11" ht="13.5" customHeight="1" x14ac:dyDescent="0.2">
      <c r="E441" s="52"/>
      <c r="F441" s="41"/>
      <c r="H441" s="61"/>
      <c r="K441"/>
    </row>
    <row r="442" spans="5:11" ht="13.5" customHeight="1" x14ac:dyDescent="0.2">
      <c r="E442" s="52"/>
      <c r="F442" s="41"/>
      <c r="H442" s="61"/>
      <c r="K442"/>
    </row>
    <row r="443" spans="5:11" ht="13.5" customHeight="1" x14ac:dyDescent="0.2">
      <c r="E443" s="52"/>
      <c r="F443" s="41"/>
      <c r="H443" s="61"/>
      <c r="K443"/>
    </row>
    <row r="444" spans="5:11" ht="13.5" customHeight="1" x14ac:dyDescent="0.2">
      <c r="E444" s="52"/>
      <c r="F444" s="41"/>
      <c r="H444" s="61"/>
      <c r="K444"/>
    </row>
    <row r="445" spans="5:11" ht="13.5" customHeight="1" x14ac:dyDescent="0.2">
      <c r="E445" s="52"/>
      <c r="F445" s="41"/>
      <c r="H445" s="61"/>
      <c r="K445"/>
    </row>
    <row r="446" spans="5:11" ht="13.5" customHeight="1" x14ac:dyDescent="0.2">
      <c r="E446" s="52"/>
      <c r="F446" s="41"/>
      <c r="H446" s="61"/>
      <c r="K446"/>
    </row>
    <row r="447" spans="5:11" ht="13.5" customHeight="1" x14ac:dyDescent="0.2">
      <c r="E447" s="52"/>
      <c r="F447" s="41"/>
      <c r="H447" s="61"/>
      <c r="K447"/>
    </row>
    <row r="448" spans="5:11" ht="13.5" customHeight="1" x14ac:dyDescent="0.2">
      <c r="E448" s="52"/>
      <c r="F448" s="41"/>
      <c r="H448" s="61"/>
      <c r="K448"/>
    </row>
    <row r="449" spans="5:11" ht="13.5" customHeight="1" x14ac:dyDescent="0.2">
      <c r="E449" s="52"/>
      <c r="F449" s="41"/>
      <c r="H449" s="61"/>
      <c r="K449"/>
    </row>
    <row r="450" spans="5:11" ht="13.5" customHeight="1" x14ac:dyDescent="0.2">
      <c r="E450" s="52"/>
      <c r="F450" s="41"/>
      <c r="H450" s="61"/>
      <c r="K450"/>
    </row>
    <row r="451" spans="5:11" ht="13.5" customHeight="1" x14ac:dyDescent="0.2">
      <c r="E451" s="52"/>
      <c r="F451" s="41"/>
      <c r="H451" s="61"/>
      <c r="K451"/>
    </row>
    <row r="452" spans="5:11" ht="13.5" customHeight="1" x14ac:dyDescent="0.2">
      <c r="E452" s="52"/>
      <c r="F452" s="41"/>
      <c r="H452" s="61"/>
      <c r="K452"/>
    </row>
    <row r="453" spans="5:11" ht="13.5" customHeight="1" x14ac:dyDescent="0.2">
      <c r="E453" s="52"/>
      <c r="F453" s="41"/>
      <c r="H453" s="61"/>
      <c r="K453"/>
    </row>
    <row r="454" spans="5:11" ht="13.5" customHeight="1" x14ac:dyDescent="0.2">
      <c r="E454" s="52"/>
      <c r="H454" s="61"/>
      <c r="K454"/>
    </row>
    <row r="455" spans="5:11" ht="13.5" customHeight="1" x14ac:dyDescent="0.2">
      <c r="E455" s="52"/>
      <c r="H455" s="61"/>
      <c r="K455"/>
    </row>
    <row r="456" spans="5:11" ht="13.5" customHeight="1" x14ac:dyDescent="0.2">
      <c r="E456" s="52"/>
      <c r="H456" s="61"/>
      <c r="K456"/>
    </row>
    <row r="457" spans="5:11" ht="13.5" customHeight="1" x14ac:dyDescent="0.2">
      <c r="E457" s="52"/>
      <c r="H457" s="61"/>
      <c r="K457"/>
    </row>
    <row r="458" spans="5:11" ht="13.5" customHeight="1" x14ac:dyDescent="0.2">
      <c r="E458" s="52"/>
      <c r="H458" s="61"/>
      <c r="K458"/>
    </row>
    <row r="459" spans="5:11" ht="13.5" customHeight="1" x14ac:dyDescent="0.2">
      <c r="E459" s="52"/>
      <c r="H459" s="61"/>
      <c r="K459"/>
    </row>
    <row r="460" spans="5:11" ht="13.5" customHeight="1" x14ac:dyDescent="0.2">
      <c r="E460" s="52"/>
      <c r="H460" s="61"/>
      <c r="K460"/>
    </row>
    <row r="461" spans="5:11" ht="13.5" customHeight="1" x14ac:dyDescent="0.2">
      <c r="E461" s="52"/>
      <c r="H461" s="61"/>
      <c r="K461"/>
    </row>
    <row r="462" spans="5:11" ht="13.5" customHeight="1" x14ac:dyDescent="0.2">
      <c r="E462" s="52"/>
      <c r="H462" s="61"/>
      <c r="K462"/>
    </row>
    <row r="463" spans="5:11" ht="13.5" customHeight="1" x14ac:dyDescent="0.2">
      <c r="E463" s="52"/>
      <c r="H463" s="61"/>
      <c r="K463"/>
    </row>
    <row r="464" spans="5:11" ht="13.5" customHeight="1" x14ac:dyDescent="0.2">
      <c r="E464" s="52"/>
      <c r="H464" s="61"/>
      <c r="K464"/>
    </row>
    <row r="465" spans="5:11" ht="13.5" customHeight="1" x14ac:dyDescent="0.2">
      <c r="E465" s="52"/>
      <c r="H465" s="61"/>
      <c r="K465"/>
    </row>
    <row r="466" spans="5:11" ht="13.5" customHeight="1" x14ac:dyDescent="0.2">
      <c r="E466" s="52"/>
      <c r="H466" s="61"/>
      <c r="K466"/>
    </row>
    <row r="467" spans="5:11" ht="13.5" customHeight="1" x14ac:dyDescent="0.2">
      <c r="E467" s="52"/>
      <c r="H467" s="61"/>
      <c r="K467"/>
    </row>
    <row r="468" spans="5:11" ht="13.5" customHeight="1" x14ac:dyDescent="0.2">
      <c r="E468" s="52"/>
      <c r="H468" s="61"/>
      <c r="K468"/>
    </row>
    <row r="469" spans="5:11" ht="13.5" customHeight="1" x14ac:dyDescent="0.2">
      <c r="E469" s="52"/>
      <c r="H469" s="61"/>
      <c r="K469"/>
    </row>
    <row r="470" spans="5:11" ht="13.5" customHeight="1" x14ac:dyDescent="0.2">
      <c r="E470" s="52"/>
      <c r="H470" s="61"/>
      <c r="K470"/>
    </row>
    <row r="471" spans="5:11" ht="13.5" customHeight="1" x14ac:dyDescent="0.2">
      <c r="E471" s="52"/>
      <c r="H471" s="61"/>
      <c r="K471"/>
    </row>
    <row r="472" spans="5:11" ht="13.5" customHeight="1" x14ac:dyDescent="0.2">
      <c r="E472" s="52"/>
      <c r="H472" s="61"/>
      <c r="K472"/>
    </row>
    <row r="473" spans="5:11" ht="13.5" customHeight="1" x14ac:dyDescent="0.2">
      <c r="E473" s="52"/>
      <c r="H473" s="61"/>
      <c r="K473"/>
    </row>
    <row r="474" spans="5:11" ht="13.5" customHeight="1" x14ac:dyDescent="0.2">
      <c r="E474" s="52"/>
      <c r="H474" s="61"/>
      <c r="K474"/>
    </row>
    <row r="475" spans="5:11" ht="13.5" customHeight="1" x14ac:dyDescent="0.2">
      <c r="E475" s="52"/>
      <c r="H475" s="61"/>
      <c r="K475"/>
    </row>
    <row r="476" spans="5:11" ht="13.5" customHeight="1" x14ac:dyDescent="0.2">
      <c r="E476" s="52"/>
      <c r="H476" s="61"/>
      <c r="K476"/>
    </row>
    <row r="477" spans="5:11" ht="13.5" customHeight="1" x14ac:dyDescent="0.2">
      <c r="E477" s="52"/>
      <c r="H477" s="61"/>
      <c r="K477"/>
    </row>
    <row r="478" spans="5:11" ht="13.5" customHeight="1" x14ac:dyDescent="0.2">
      <c r="E478" s="52"/>
      <c r="H478" s="61"/>
      <c r="K478"/>
    </row>
    <row r="479" spans="5:11" ht="13.5" customHeight="1" x14ac:dyDescent="0.2">
      <c r="E479" s="52"/>
      <c r="H479" s="61"/>
      <c r="K479"/>
    </row>
    <row r="480" spans="5:11" ht="13.5" customHeight="1" x14ac:dyDescent="0.2">
      <c r="E480" s="52"/>
      <c r="H480" s="61"/>
      <c r="K480"/>
    </row>
    <row r="481" spans="5:11" ht="13.5" customHeight="1" x14ac:dyDescent="0.2">
      <c r="E481" s="52"/>
      <c r="H481" s="61"/>
      <c r="K481"/>
    </row>
    <row r="482" spans="5:11" ht="13.5" customHeight="1" x14ac:dyDescent="0.2">
      <c r="E482" s="52"/>
      <c r="H482" s="61"/>
      <c r="K482"/>
    </row>
    <row r="483" spans="5:11" ht="13.5" customHeight="1" x14ac:dyDescent="0.2">
      <c r="E483" s="52"/>
      <c r="H483" s="61"/>
      <c r="K483"/>
    </row>
    <row r="484" spans="5:11" ht="13.5" customHeight="1" x14ac:dyDescent="0.2">
      <c r="E484" s="52"/>
      <c r="H484" s="61"/>
      <c r="K484"/>
    </row>
    <row r="485" spans="5:11" ht="13.5" customHeight="1" x14ac:dyDescent="0.2">
      <c r="E485" s="52"/>
      <c r="H485" s="61"/>
      <c r="K485"/>
    </row>
    <row r="486" spans="5:11" ht="13.5" customHeight="1" x14ac:dyDescent="0.2">
      <c r="E486" s="52"/>
      <c r="H486" s="61"/>
      <c r="K486"/>
    </row>
    <row r="487" spans="5:11" ht="13.5" customHeight="1" x14ac:dyDescent="0.2">
      <c r="E487" s="52"/>
      <c r="H487" s="61"/>
      <c r="K487"/>
    </row>
    <row r="488" spans="5:11" ht="13.5" customHeight="1" x14ac:dyDescent="0.2">
      <c r="E488" s="52"/>
      <c r="H488" s="61"/>
      <c r="K488"/>
    </row>
    <row r="489" spans="5:11" ht="13.5" customHeight="1" x14ac:dyDescent="0.2">
      <c r="E489" s="52"/>
      <c r="H489" s="61"/>
      <c r="K489"/>
    </row>
    <row r="490" spans="5:11" ht="13.5" customHeight="1" x14ac:dyDescent="0.2">
      <c r="E490" s="52"/>
      <c r="H490" s="61"/>
      <c r="K490"/>
    </row>
    <row r="491" spans="5:11" ht="13.5" customHeight="1" x14ac:dyDescent="0.2">
      <c r="E491" s="52"/>
      <c r="H491" s="61"/>
      <c r="K491"/>
    </row>
    <row r="492" spans="5:11" ht="13.5" customHeight="1" x14ac:dyDescent="0.2">
      <c r="E492" s="52"/>
      <c r="H492" s="61"/>
      <c r="K492"/>
    </row>
    <row r="493" spans="5:11" ht="13.5" customHeight="1" x14ac:dyDescent="0.2">
      <c r="E493" s="52"/>
      <c r="H493" s="61"/>
      <c r="K493"/>
    </row>
    <row r="494" spans="5:11" ht="13.5" customHeight="1" x14ac:dyDescent="0.2">
      <c r="E494" s="52"/>
      <c r="H494" s="61"/>
      <c r="K494"/>
    </row>
    <row r="495" spans="5:11" ht="13.5" customHeight="1" x14ac:dyDescent="0.2">
      <c r="E495" s="52"/>
      <c r="H495" s="61"/>
      <c r="K495"/>
    </row>
    <row r="496" spans="5:11" ht="13.5" customHeight="1" x14ac:dyDescent="0.2">
      <c r="E496" s="52"/>
      <c r="H496" s="61"/>
      <c r="K496"/>
    </row>
    <row r="497" spans="5:11" ht="13.5" customHeight="1" x14ac:dyDescent="0.2">
      <c r="E497" s="52"/>
      <c r="H497" s="61"/>
      <c r="K497"/>
    </row>
    <row r="498" spans="5:11" ht="13.5" customHeight="1" x14ac:dyDescent="0.2">
      <c r="E498" s="52"/>
      <c r="H498" s="61"/>
      <c r="K498"/>
    </row>
    <row r="499" spans="5:11" ht="13.5" customHeight="1" x14ac:dyDescent="0.2">
      <c r="E499" s="52"/>
      <c r="H499" s="61"/>
      <c r="K499"/>
    </row>
    <row r="500" spans="5:11" ht="13.5" customHeight="1" x14ac:dyDescent="0.2">
      <c r="E500" s="52"/>
      <c r="H500" s="61"/>
      <c r="K500"/>
    </row>
    <row r="501" spans="5:11" ht="13.5" customHeight="1" x14ac:dyDescent="0.2">
      <c r="E501" s="52"/>
      <c r="H501" s="61"/>
      <c r="K501"/>
    </row>
    <row r="502" spans="5:11" ht="13.5" customHeight="1" x14ac:dyDescent="0.2">
      <c r="E502" s="52"/>
      <c r="H502" s="61"/>
      <c r="K502"/>
    </row>
    <row r="503" spans="5:11" ht="13.5" customHeight="1" x14ac:dyDescent="0.2">
      <c r="E503" s="52"/>
      <c r="H503" s="61"/>
      <c r="K503"/>
    </row>
    <row r="504" spans="5:11" ht="13.5" customHeight="1" x14ac:dyDescent="0.2">
      <c r="E504" s="52"/>
      <c r="H504" s="61"/>
      <c r="K504"/>
    </row>
    <row r="505" spans="5:11" ht="13.5" customHeight="1" x14ac:dyDescent="0.2">
      <c r="E505" s="52"/>
      <c r="H505" s="61"/>
      <c r="K505"/>
    </row>
    <row r="506" spans="5:11" ht="13.5" customHeight="1" x14ac:dyDescent="0.2">
      <c r="E506" s="52"/>
      <c r="H506" s="61"/>
      <c r="K506"/>
    </row>
    <row r="507" spans="5:11" ht="13.5" customHeight="1" x14ac:dyDescent="0.2">
      <c r="E507" s="52"/>
      <c r="H507" s="61"/>
      <c r="K507"/>
    </row>
    <row r="508" spans="5:11" ht="13.5" customHeight="1" x14ac:dyDescent="0.2">
      <c r="E508" s="52"/>
      <c r="H508" s="61"/>
      <c r="K508"/>
    </row>
    <row r="509" spans="5:11" ht="13.5" customHeight="1" x14ac:dyDescent="0.2">
      <c r="E509" s="52"/>
      <c r="H509" s="61"/>
      <c r="K509"/>
    </row>
    <row r="510" spans="5:11" ht="13.5" customHeight="1" x14ac:dyDescent="0.2">
      <c r="E510" s="52"/>
      <c r="H510" s="61"/>
      <c r="K510"/>
    </row>
    <row r="511" spans="5:11" ht="13.5" customHeight="1" x14ac:dyDescent="0.2">
      <c r="E511" s="52"/>
      <c r="H511" s="61"/>
      <c r="K511"/>
    </row>
    <row r="512" spans="5:11" ht="13.5" customHeight="1" x14ac:dyDescent="0.2">
      <c r="E512" s="52"/>
      <c r="H512" s="61"/>
      <c r="K512"/>
    </row>
    <row r="513" spans="5:11" ht="13.5" customHeight="1" x14ac:dyDescent="0.2">
      <c r="E513" s="52"/>
      <c r="H513" s="61"/>
      <c r="K513"/>
    </row>
    <row r="514" spans="5:11" ht="13.5" customHeight="1" x14ac:dyDescent="0.2">
      <c r="E514" s="52"/>
      <c r="H514" s="61"/>
      <c r="K514"/>
    </row>
    <row r="515" spans="5:11" ht="13.5" customHeight="1" x14ac:dyDescent="0.2">
      <c r="E515" s="52"/>
      <c r="H515" s="61"/>
      <c r="K515"/>
    </row>
    <row r="516" spans="5:11" ht="13.5" customHeight="1" x14ac:dyDescent="0.2">
      <c r="E516" s="52"/>
      <c r="H516" s="61"/>
      <c r="K516"/>
    </row>
    <row r="517" spans="5:11" ht="13.5" customHeight="1" x14ac:dyDescent="0.2">
      <c r="E517" s="52"/>
      <c r="H517" s="61"/>
      <c r="K517"/>
    </row>
    <row r="518" spans="5:11" ht="13.5" customHeight="1" x14ac:dyDescent="0.2">
      <c r="E518" s="52"/>
      <c r="H518" s="61"/>
      <c r="K518"/>
    </row>
    <row r="519" spans="5:11" ht="13.5" customHeight="1" x14ac:dyDescent="0.2">
      <c r="E519" s="52"/>
      <c r="H519" s="61"/>
      <c r="K519"/>
    </row>
    <row r="520" spans="5:11" ht="13.5" customHeight="1" x14ac:dyDescent="0.2">
      <c r="E520" s="52"/>
      <c r="H520" s="61"/>
      <c r="K520"/>
    </row>
    <row r="521" spans="5:11" ht="13.5" customHeight="1" x14ac:dyDescent="0.2">
      <c r="E521" s="52"/>
      <c r="H521" s="61"/>
      <c r="K521"/>
    </row>
    <row r="522" spans="5:11" ht="13.5" customHeight="1" x14ac:dyDescent="0.2">
      <c r="E522" s="52"/>
      <c r="H522" s="61"/>
      <c r="K522"/>
    </row>
    <row r="523" spans="5:11" ht="13.5" customHeight="1" x14ac:dyDescent="0.2">
      <c r="E523" s="52"/>
      <c r="H523" s="61"/>
      <c r="K523"/>
    </row>
    <row r="524" spans="5:11" ht="13.5" customHeight="1" x14ac:dyDescent="0.2">
      <c r="E524" s="52"/>
      <c r="H524" s="61"/>
      <c r="K524"/>
    </row>
    <row r="525" spans="5:11" ht="13.5" customHeight="1" x14ac:dyDescent="0.2">
      <c r="E525" s="52"/>
      <c r="H525" s="61"/>
      <c r="K525"/>
    </row>
    <row r="526" spans="5:11" ht="13.5" customHeight="1" x14ac:dyDescent="0.2">
      <c r="E526" s="52"/>
      <c r="H526" s="61"/>
      <c r="K526"/>
    </row>
    <row r="527" spans="5:11" ht="13.5" customHeight="1" x14ac:dyDescent="0.2">
      <c r="E527" s="52"/>
      <c r="H527" s="61"/>
      <c r="K527"/>
    </row>
    <row r="528" spans="5:11" ht="13.5" customHeight="1" x14ac:dyDescent="0.2">
      <c r="E528" s="52"/>
      <c r="H528" s="61"/>
      <c r="K528"/>
    </row>
    <row r="529" spans="5:11" ht="13.5" customHeight="1" x14ac:dyDescent="0.2">
      <c r="E529" s="52"/>
      <c r="H529" s="61"/>
      <c r="K529"/>
    </row>
    <row r="530" spans="5:11" ht="13.5" customHeight="1" x14ac:dyDescent="0.2">
      <c r="E530" s="52"/>
      <c r="H530" s="61"/>
      <c r="K530"/>
    </row>
    <row r="531" spans="5:11" ht="13.5" customHeight="1" x14ac:dyDescent="0.2">
      <c r="E531" s="52"/>
      <c r="H531" s="61"/>
      <c r="K531"/>
    </row>
    <row r="532" spans="5:11" ht="13.5" customHeight="1" x14ac:dyDescent="0.2">
      <c r="E532" s="52"/>
      <c r="H532" s="61"/>
      <c r="K532"/>
    </row>
    <row r="533" spans="5:11" ht="13.5" customHeight="1" x14ac:dyDescent="0.2">
      <c r="E533" s="52"/>
      <c r="H533" s="61"/>
      <c r="K533"/>
    </row>
    <row r="534" spans="5:11" ht="13.5" customHeight="1" x14ac:dyDescent="0.2">
      <c r="E534" s="52"/>
      <c r="H534" s="61"/>
      <c r="K534"/>
    </row>
    <row r="535" spans="5:11" ht="13.5" customHeight="1" x14ac:dyDescent="0.2">
      <c r="E535" s="52"/>
      <c r="H535" s="61"/>
      <c r="K535"/>
    </row>
    <row r="536" spans="5:11" ht="13.5" customHeight="1" x14ac:dyDescent="0.2">
      <c r="E536" s="52"/>
      <c r="H536" s="61"/>
      <c r="K536"/>
    </row>
    <row r="537" spans="5:11" ht="13.5" customHeight="1" x14ac:dyDescent="0.2">
      <c r="E537" s="52"/>
      <c r="H537" s="61"/>
      <c r="K537"/>
    </row>
    <row r="538" spans="5:11" ht="13.5" customHeight="1" x14ac:dyDescent="0.2">
      <c r="E538" s="52"/>
      <c r="H538" s="61"/>
      <c r="K538"/>
    </row>
    <row r="539" spans="5:11" ht="13.5" customHeight="1" x14ac:dyDescent="0.2">
      <c r="E539" s="52"/>
      <c r="H539" s="61"/>
      <c r="K539"/>
    </row>
    <row r="540" spans="5:11" ht="13.5" customHeight="1" x14ac:dyDescent="0.2">
      <c r="E540" s="52"/>
      <c r="H540" s="61"/>
      <c r="K540"/>
    </row>
    <row r="541" spans="5:11" ht="13.5" customHeight="1" x14ac:dyDescent="0.2">
      <c r="E541" s="52"/>
      <c r="H541" s="61"/>
      <c r="K541"/>
    </row>
    <row r="542" spans="5:11" ht="13.5" customHeight="1" x14ac:dyDescent="0.2">
      <c r="E542" s="52"/>
      <c r="H542" s="61"/>
      <c r="K542"/>
    </row>
    <row r="543" spans="5:11" ht="13.5" customHeight="1" x14ac:dyDescent="0.2">
      <c r="E543" s="52"/>
      <c r="H543" s="61"/>
      <c r="K543"/>
    </row>
    <row r="544" spans="5:11" ht="13.5" customHeight="1" x14ac:dyDescent="0.2">
      <c r="E544" s="52"/>
      <c r="H544" s="61"/>
      <c r="K544"/>
    </row>
    <row r="545" spans="5:11" ht="13.5" customHeight="1" x14ac:dyDescent="0.2">
      <c r="E545" s="52"/>
      <c r="H545" s="61"/>
      <c r="K545"/>
    </row>
    <row r="546" spans="5:11" ht="13.5" customHeight="1" x14ac:dyDescent="0.2">
      <c r="E546" s="52"/>
      <c r="H546" s="61"/>
      <c r="K546"/>
    </row>
    <row r="547" spans="5:11" ht="13.5" customHeight="1" x14ac:dyDescent="0.2">
      <c r="E547" s="52"/>
      <c r="H547" s="61"/>
      <c r="K547"/>
    </row>
    <row r="548" spans="5:11" ht="13.5" customHeight="1" x14ac:dyDescent="0.2">
      <c r="E548" s="52"/>
      <c r="H548" s="61"/>
      <c r="K548"/>
    </row>
    <row r="549" spans="5:11" ht="13.5" customHeight="1" x14ac:dyDescent="0.2">
      <c r="E549" s="52"/>
      <c r="H549" s="61"/>
      <c r="K549"/>
    </row>
    <row r="550" spans="5:11" ht="13.5" customHeight="1" x14ac:dyDescent="0.2">
      <c r="E550" s="52"/>
      <c r="H550" s="61"/>
      <c r="K550"/>
    </row>
    <row r="551" spans="5:11" ht="13.5" customHeight="1" x14ac:dyDescent="0.2">
      <c r="E551" s="52"/>
      <c r="H551" s="61"/>
      <c r="K551"/>
    </row>
    <row r="552" spans="5:11" ht="13.5" customHeight="1" x14ac:dyDescent="0.2">
      <c r="E552" s="52"/>
      <c r="H552" s="61"/>
      <c r="K552"/>
    </row>
    <row r="553" spans="5:11" ht="13.5" customHeight="1" x14ac:dyDescent="0.2">
      <c r="E553" s="52"/>
      <c r="H553" s="61"/>
      <c r="K553"/>
    </row>
    <row r="554" spans="5:11" ht="13.5" customHeight="1" x14ac:dyDescent="0.2">
      <c r="E554" s="52"/>
      <c r="H554" s="61"/>
      <c r="K554"/>
    </row>
    <row r="555" spans="5:11" ht="13.5" customHeight="1" x14ac:dyDescent="0.2">
      <c r="E555" s="52"/>
      <c r="H555" s="61"/>
      <c r="K555"/>
    </row>
    <row r="556" spans="5:11" ht="13.5" customHeight="1" x14ac:dyDescent="0.2">
      <c r="E556" s="52"/>
      <c r="H556" s="61"/>
      <c r="K556"/>
    </row>
    <row r="557" spans="5:11" ht="13.5" customHeight="1" x14ac:dyDescent="0.2">
      <c r="E557" s="52"/>
      <c r="H557" s="61"/>
      <c r="K557"/>
    </row>
    <row r="558" spans="5:11" ht="13.5" customHeight="1" x14ac:dyDescent="0.2">
      <c r="E558" s="52"/>
      <c r="H558" s="61"/>
      <c r="K558"/>
    </row>
    <row r="559" spans="5:11" ht="13.5" customHeight="1" x14ac:dyDescent="0.2">
      <c r="E559" s="52"/>
      <c r="H559" s="61"/>
      <c r="K559"/>
    </row>
    <row r="560" spans="5:11" ht="13.5" customHeight="1" x14ac:dyDescent="0.2">
      <c r="E560" s="52"/>
      <c r="H560" s="61"/>
      <c r="K560"/>
    </row>
    <row r="561" spans="5:11" ht="13.5" customHeight="1" x14ac:dyDescent="0.2">
      <c r="E561" s="52"/>
      <c r="H561" s="61"/>
      <c r="K561"/>
    </row>
    <row r="562" spans="5:11" ht="13.5" customHeight="1" x14ac:dyDescent="0.2">
      <c r="E562" s="52"/>
      <c r="H562" s="61"/>
      <c r="K562"/>
    </row>
    <row r="563" spans="5:11" ht="13.5" customHeight="1" x14ac:dyDescent="0.2">
      <c r="E563" s="52"/>
      <c r="H563" s="61"/>
      <c r="K563"/>
    </row>
    <row r="564" spans="5:11" ht="13.5" customHeight="1" x14ac:dyDescent="0.2">
      <c r="E564" s="52"/>
      <c r="H564" s="61"/>
      <c r="K564"/>
    </row>
    <row r="565" spans="5:11" ht="13.5" customHeight="1" x14ac:dyDescent="0.2">
      <c r="E565" s="52"/>
      <c r="H565" s="61"/>
      <c r="K565"/>
    </row>
    <row r="566" spans="5:11" ht="13.5" customHeight="1" x14ac:dyDescent="0.2">
      <c r="E566" s="52"/>
      <c r="H566" s="61"/>
      <c r="K566"/>
    </row>
    <row r="567" spans="5:11" ht="13.5" customHeight="1" x14ac:dyDescent="0.2">
      <c r="E567" s="52"/>
      <c r="H567" s="61"/>
      <c r="K567"/>
    </row>
    <row r="568" spans="5:11" ht="13.5" customHeight="1" x14ac:dyDescent="0.2">
      <c r="E568" s="52"/>
      <c r="H568" s="61"/>
      <c r="K568"/>
    </row>
    <row r="569" spans="5:11" ht="13.5" customHeight="1" x14ac:dyDescent="0.2">
      <c r="E569" s="52"/>
      <c r="H569" s="61"/>
      <c r="K569"/>
    </row>
    <row r="570" spans="5:11" ht="13.5" customHeight="1" x14ac:dyDescent="0.2">
      <c r="E570" s="52"/>
      <c r="H570" s="61"/>
      <c r="K570"/>
    </row>
    <row r="571" spans="5:11" ht="13.5" customHeight="1" x14ac:dyDescent="0.2">
      <c r="E571" s="52"/>
      <c r="H571" s="61"/>
      <c r="K571"/>
    </row>
    <row r="572" spans="5:11" ht="13.5" customHeight="1" x14ac:dyDescent="0.2">
      <c r="E572" s="52"/>
      <c r="H572" s="61"/>
      <c r="K572"/>
    </row>
    <row r="573" spans="5:11" ht="13.5" customHeight="1" x14ac:dyDescent="0.2">
      <c r="E573" s="52"/>
      <c r="H573" s="61"/>
      <c r="K573"/>
    </row>
    <row r="574" spans="5:11" ht="13.5" customHeight="1" x14ac:dyDescent="0.2">
      <c r="E574" s="52"/>
      <c r="H574" s="61"/>
      <c r="K574"/>
    </row>
    <row r="575" spans="5:11" ht="13.5" customHeight="1" x14ac:dyDescent="0.2">
      <c r="E575" s="52"/>
      <c r="H575" s="61"/>
      <c r="K575"/>
    </row>
    <row r="576" spans="5:11" ht="13.5" customHeight="1" x14ac:dyDescent="0.2">
      <c r="E576" s="52"/>
      <c r="H576" s="61"/>
      <c r="K576"/>
    </row>
    <row r="577" spans="5:11" ht="13.5" customHeight="1" x14ac:dyDescent="0.2">
      <c r="E577" s="52"/>
      <c r="H577" s="61"/>
      <c r="K577"/>
    </row>
    <row r="578" spans="5:11" ht="13.5" customHeight="1" x14ac:dyDescent="0.2">
      <c r="E578" s="52"/>
      <c r="H578" s="61"/>
      <c r="K578"/>
    </row>
    <row r="579" spans="5:11" ht="13.5" customHeight="1" x14ac:dyDescent="0.2">
      <c r="E579" s="52"/>
      <c r="H579" s="61"/>
      <c r="K579"/>
    </row>
    <row r="580" spans="5:11" ht="13.5" customHeight="1" x14ac:dyDescent="0.2">
      <c r="E580" s="52"/>
      <c r="H580" s="61"/>
      <c r="K580"/>
    </row>
    <row r="581" spans="5:11" ht="13.5" customHeight="1" x14ac:dyDescent="0.2">
      <c r="E581" s="52"/>
      <c r="H581" s="61"/>
      <c r="K581"/>
    </row>
    <row r="582" spans="5:11" ht="13.5" customHeight="1" x14ac:dyDescent="0.2">
      <c r="E582" s="52"/>
      <c r="H582" s="61"/>
      <c r="K582"/>
    </row>
    <row r="583" spans="5:11" ht="13.5" customHeight="1" x14ac:dyDescent="0.2">
      <c r="E583" s="52"/>
      <c r="H583" s="61"/>
      <c r="K583"/>
    </row>
    <row r="584" spans="5:11" ht="13.5" customHeight="1" x14ac:dyDescent="0.2">
      <c r="E584" s="52"/>
      <c r="H584" s="61"/>
      <c r="K584"/>
    </row>
    <row r="585" spans="5:11" ht="13.5" customHeight="1" x14ac:dyDescent="0.2">
      <c r="E585" s="52"/>
      <c r="H585" s="61"/>
      <c r="K585"/>
    </row>
    <row r="586" spans="5:11" ht="13.5" customHeight="1" x14ac:dyDescent="0.2">
      <c r="E586" s="52"/>
      <c r="H586" s="61"/>
      <c r="K586"/>
    </row>
    <row r="587" spans="5:11" ht="13.5" customHeight="1" x14ac:dyDescent="0.2">
      <c r="E587" s="52"/>
      <c r="H587" s="61"/>
      <c r="K587"/>
    </row>
    <row r="588" spans="5:11" ht="13.5" customHeight="1" x14ac:dyDescent="0.2">
      <c r="E588" s="52"/>
      <c r="H588" s="61"/>
      <c r="K588"/>
    </row>
    <row r="589" spans="5:11" ht="13.5" customHeight="1" x14ac:dyDescent="0.2">
      <c r="E589" s="52"/>
      <c r="H589" s="61"/>
      <c r="K589"/>
    </row>
    <row r="590" spans="5:11" ht="13.5" customHeight="1" x14ac:dyDescent="0.2">
      <c r="E590" s="52"/>
      <c r="H590" s="61"/>
      <c r="K590"/>
    </row>
    <row r="591" spans="5:11" ht="13.5" customHeight="1" x14ac:dyDescent="0.2">
      <c r="E591" s="52"/>
      <c r="H591" s="61"/>
      <c r="K591"/>
    </row>
    <row r="592" spans="5:11" ht="13.5" customHeight="1" x14ac:dyDescent="0.2">
      <c r="E592" s="52"/>
      <c r="H592" s="61"/>
      <c r="K592"/>
    </row>
    <row r="593" spans="5:11" ht="13.5" customHeight="1" x14ac:dyDescent="0.2">
      <c r="E593" s="52"/>
      <c r="H593" s="61"/>
      <c r="K593"/>
    </row>
    <row r="594" spans="5:11" ht="13.5" customHeight="1" x14ac:dyDescent="0.2">
      <c r="E594" s="52"/>
      <c r="H594" s="61"/>
      <c r="K594"/>
    </row>
    <row r="595" spans="5:11" ht="13.5" customHeight="1" x14ac:dyDescent="0.2">
      <c r="E595" s="52"/>
      <c r="H595" s="61"/>
      <c r="K595"/>
    </row>
    <row r="596" spans="5:11" ht="13.5" customHeight="1" x14ac:dyDescent="0.2">
      <c r="E596" s="52"/>
      <c r="H596" s="61"/>
      <c r="K596"/>
    </row>
    <row r="597" spans="5:11" ht="13.5" customHeight="1" x14ac:dyDescent="0.2">
      <c r="E597" s="52"/>
      <c r="H597" s="61"/>
      <c r="K597"/>
    </row>
    <row r="598" spans="5:11" ht="13.5" customHeight="1" x14ac:dyDescent="0.2">
      <c r="E598" s="52"/>
      <c r="H598" s="61"/>
      <c r="K598"/>
    </row>
    <row r="599" spans="5:11" ht="13.5" customHeight="1" x14ac:dyDescent="0.2">
      <c r="E599" s="52"/>
      <c r="H599" s="61"/>
      <c r="K599"/>
    </row>
    <row r="600" spans="5:11" ht="13.5" customHeight="1" x14ac:dyDescent="0.2">
      <c r="E600" s="52"/>
      <c r="H600" s="61"/>
      <c r="K600"/>
    </row>
    <row r="601" spans="5:11" ht="13.5" customHeight="1" x14ac:dyDescent="0.2">
      <c r="E601" s="52"/>
      <c r="H601" s="61"/>
      <c r="K601"/>
    </row>
    <row r="602" spans="5:11" ht="13.5" customHeight="1" x14ac:dyDescent="0.2">
      <c r="E602" s="52"/>
      <c r="H602" s="61"/>
      <c r="K602"/>
    </row>
    <row r="603" spans="5:11" ht="13.5" customHeight="1" x14ac:dyDescent="0.2">
      <c r="E603" s="52"/>
      <c r="H603" s="61"/>
      <c r="K603"/>
    </row>
    <row r="604" spans="5:11" ht="13.5" customHeight="1" x14ac:dyDescent="0.2">
      <c r="E604" s="52"/>
      <c r="H604" s="61"/>
      <c r="K604"/>
    </row>
    <row r="605" spans="5:11" ht="13.5" customHeight="1" x14ac:dyDescent="0.2">
      <c r="E605" s="52"/>
      <c r="H605" s="61"/>
      <c r="K605"/>
    </row>
    <row r="606" spans="5:11" ht="13.5" customHeight="1" x14ac:dyDescent="0.2">
      <c r="E606" s="52"/>
      <c r="H606" s="61"/>
      <c r="K606"/>
    </row>
    <row r="607" spans="5:11" ht="13.5" customHeight="1" x14ac:dyDescent="0.2">
      <c r="E607" s="52"/>
      <c r="H607" s="61"/>
      <c r="K607"/>
    </row>
    <row r="608" spans="5:11" ht="13.5" customHeight="1" x14ac:dyDescent="0.2">
      <c r="E608" s="52"/>
      <c r="H608" s="61"/>
      <c r="K608"/>
    </row>
    <row r="609" spans="5:11" ht="13.5" customHeight="1" x14ac:dyDescent="0.2">
      <c r="E609" s="52"/>
      <c r="H609" s="61"/>
      <c r="K609"/>
    </row>
    <row r="610" spans="5:11" ht="13.5" customHeight="1" x14ac:dyDescent="0.2">
      <c r="E610" s="52"/>
      <c r="H610" s="61"/>
      <c r="K610"/>
    </row>
    <row r="611" spans="5:11" ht="13.5" customHeight="1" x14ac:dyDescent="0.2">
      <c r="E611" s="52"/>
      <c r="H611" s="61"/>
      <c r="K611"/>
    </row>
    <row r="612" spans="5:11" ht="13.5" customHeight="1" x14ac:dyDescent="0.2">
      <c r="E612" s="52"/>
      <c r="H612" s="61"/>
      <c r="K612"/>
    </row>
    <row r="613" spans="5:11" ht="13.5" customHeight="1" x14ac:dyDescent="0.2">
      <c r="E613" s="52"/>
      <c r="H613" s="61"/>
      <c r="K613"/>
    </row>
    <row r="614" spans="5:11" ht="13.5" customHeight="1" x14ac:dyDescent="0.2">
      <c r="E614" s="52"/>
      <c r="H614" s="61"/>
      <c r="K614"/>
    </row>
    <row r="615" spans="5:11" ht="13.5" customHeight="1" x14ac:dyDescent="0.2">
      <c r="E615" s="52"/>
      <c r="H615" s="61"/>
      <c r="K615"/>
    </row>
    <row r="616" spans="5:11" ht="13.5" customHeight="1" x14ac:dyDescent="0.2">
      <c r="E616" s="52"/>
      <c r="H616" s="61"/>
      <c r="K616"/>
    </row>
    <row r="617" spans="5:11" ht="13.5" customHeight="1" x14ac:dyDescent="0.2">
      <c r="E617" s="52"/>
      <c r="H617" s="61"/>
      <c r="K617"/>
    </row>
    <row r="618" spans="5:11" ht="13.5" customHeight="1" x14ac:dyDescent="0.2">
      <c r="E618" s="52"/>
      <c r="H618" s="61"/>
      <c r="K618"/>
    </row>
    <row r="619" spans="5:11" ht="13.5" customHeight="1" x14ac:dyDescent="0.2">
      <c r="E619" s="52"/>
      <c r="H619" s="61"/>
      <c r="K619"/>
    </row>
    <row r="620" spans="5:11" ht="13.5" customHeight="1" x14ac:dyDescent="0.2">
      <c r="E620" s="52"/>
      <c r="H620" s="61"/>
      <c r="K620"/>
    </row>
    <row r="621" spans="5:11" ht="13.5" customHeight="1" x14ac:dyDescent="0.2">
      <c r="E621" s="52"/>
      <c r="H621" s="61"/>
      <c r="K621"/>
    </row>
    <row r="622" spans="5:11" ht="13.5" customHeight="1" x14ac:dyDescent="0.2">
      <c r="E622" s="52"/>
      <c r="H622" s="61"/>
      <c r="K622"/>
    </row>
    <row r="623" spans="5:11" ht="13.5" customHeight="1" x14ac:dyDescent="0.2">
      <c r="E623" s="52"/>
      <c r="H623" s="61"/>
      <c r="K623"/>
    </row>
    <row r="624" spans="5:11" ht="13.5" customHeight="1" x14ac:dyDescent="0.2">
      <c r="E624" s="52"/>
      <c r="H624" s="61"/>
      <c r="K624"/>
    </row>
    <row r="625" spans="5:11" ht="13.5" customHeight="1" x14ac:dyDescent="0.2">
      <c r="E625" s="52"/>
      <c r="H625" s="61"/>
      <c r="K625"/>
    </row>
    <row r="626" spans="5:11" ht="13.5" customHeight="1" x14ac:dyDescent="0.2">
      <c r="E626" s="52"/>
      <c r="H626" s="61"/>
      <c r="K626"/>
    </row>
    <row r="627" spans="5:11" ht="13.5" customHeight="1" x14ac:dyDescent="0.2">
      <c r="E627" s="52"/>
      <c r="H627" s="61"/>
      <c r="K627"/>
    </row>
    <row r="628" spans="5:11" ht="13.5" customHeight="1" x14ac:dyDescent="0.2">
      <c r="E628" s="52"/>
      <c r="H628" s="61"/>
      <c r="K628"/>
    </row>
    <row r="629" spans="5:11" ht="13.5" customHeight="1" x14ac:dyDescent="0.2">
      <c r="E629" s="52"/>
      <c r="H629" s="61"/>
      <c r="K629"/>
    </row>
    <row r="630" spans="5:11" ht="13.5" customHeight="1" x14ac:dyDescent="0.2">
      <c r="E630" s="52"/>
      <c r="H630" s="61"/>
      <c r="K630"/>
    </row>
    <row r="631" spans="5:11" ht="13.5" customHeight="1" x14ac:dyDescent="0.2">
      <c r="E631" s="52"/>
      <c r="H631" s="61"/>
      <c r="K631"/>
    </row>
    <row r="632" spans="5:11" ht="13.5" customHeight="1" x14ac:dyDescent="0.2">
      <c r="E632" s="52"/>
      <c r="H632" s="61"/>
      <c r="K632"/>
    </row>
    <row r="633" spans="5:11" ht="13.5" customHeight="1" x14ac:dyDescent="0.2">
      <c r="E633" s="52"/>
      <c r="H633" s="61"/>
      <c r="K633"/>
    </row>
    <row r="634" spans="5:11" ht="13.5" customHeight="1" x14ac:dyDescent="0.2">
      <c r="E634" s="52"/>
      <c r="H634" s="61"/>
      <c r="K634"/>
    </row>
    <row r="635" spans="5:11" ht="13.5" customHeight="1" x14ac:dyDescent="0.2">
      <c r="E635" s="52"/>
      <c r="H635" s="61"/>
      <c r="K635"/>
    </row>
    <row r="636" spans="5:11" ht="13.5" customHeight="1" x14ac:dyDescent="0.2">
      <c r="E636" s="52"/>
      <c r="H636" s="61"/>
      <c r="K636"/>
    </row>
    <row r="637" spans="5:11" ht="13.5" customHeight="1" x14ac:dyDescent="0.2">
      <c r="E637" s="52"/>
      <c r="H637" s="61"/>
      <c r="K637"/>
    </row>
    <row r="638" spans="5:11" ht="13.5" customHeight="1" x14ac:dyDescent="0.2">
      <c r="E638" s="52"/>
      <c r="H638" s="61"/>
      <c r="K638"/>
    </row>
    <row r="639" spans="5:11" ht="13.5" customHeight="1" x14ac:dyDescent="0.2">
      <c r="E639" s="52"/>
      <c r="H639" s="61"/>
      <c r="K639"/>
    </row>
    <row r="640" spans="5:11" ht="13.5" customHeight="1" x14ac:dyDescent="0.2">
      <c r="E640" s="52"/>
      <c r="H640" s="61"/>
      <c r="K640"/>
    </row>
    <row r="641" spans="5:11" ht="13.5" customHeight="1" x14ac:dyDescent="0.2">
      <c r="E641" s="52"/>
      <c r="H641" s="61"/>
      <c r="K641"/>
    </row>
    <row r="642" spans="5:11" ht="13.5" customHeight="1" x14ac:dyDescent="0.2">
      <c r="E642" s="52"/>
      <c r="H642" s="61"/>
      <c r="K642"/>
    </row>
    <row r="643" spans="5:11" ht="13.5" customHeight="1" x14ac:dyDescent="0.2">
      <c r="E643" s="52"/>
      <c r="H643" s="61"/>
      <c r="K643"/>
    </row>
    <row r="644" spans="5:11" ht="13.5" customHeight="1" x14ac:dyDescent="0.2">
      <c r="E644" s="52"/>
      <c r="H644" s="61"/>
      <c r="K644"/>
    </row>
    <row r="645" spans="5:11" ht="13.5" customHeight="1" x14ac:dyDescent="0.2">
      <c r="E645" s="52"/>
      <c r="H645" s="61"/>
      <c r="K645"/>
    </row>
    <row r="646" spans="5:11" ht="13.5" customHeight="1" x14ac:dyDescent="0.2">
      <c r="E646" s="52"/>
      <c r="H646" s="61"/>
      <c r="K646"/>
    </row>
    <row r="647" spans="5:11" ht="13.5" customHeight="1" x14ac:dyDescent="0.2">
      <c r="E647" s="52"/>
      <c r="H647" s="61"/>
      <c r="K647"/>
    </row>
    <row r="648" spans="5:11" ht="13.5" customHeight="1" x14ac:dyDescent="0.2">
      <c r="E648" s="52"/>
      <c r="H648" s="61"/>
      <c r="K648"/>
    </row>
    <row r="649" spans="5:11" ht="13.5" customHeight="1" x14ac:dyDescent="0.2">
      <c r="E649" s="52"/>
      <c r="H649" s="61"/>
      <c r="K649"/>
    </row>
    <row r="650" spans="5:11" ht="13.5" customHeight="1" x14ac:dyDescent="0.2">
      <c r="E650" s="52"/>
      <c r="H650" s="61"/>
      <c r="K650"/>
    </row>
    <row r="651" spans="5:11" ht="13.5" customHeight="1" x14ac:dyDescent="0.2">
      <c r="E651" s="52"/>
      <c r="H651" s="61"/>
      <c r="K651"/>
    </row>
    <row r="652" spans="5:11" ht="13.5" customHeight="1" x14ac:dyDescent="0.2">
      <c r="E652" s="52"/>
      <c r="H652" s="61"/>
      <c r="K652"/>
    </row>
    <row r="653" spans="5:11" ht="13.5" customHeight="1" x14ac:dyDescent="0.2">
      <c r="E653" s="52"/>
      <c r="H653" s="61"/>
      <c r="K653"/>
    </row>
    <row r="654" spans="5:11" ht="13.5" customHeight="1" x14ac:dyDescent="0.2">
      <c r="E654" s="52"/>
      <c r="H654" s="61"/>
      <c r="K654"/>
    </row>
    <row r="655" spans="5:11" ht="13.5" customHeight="1" x14ac:dyDescent="0.2">
      <c r="E655" s="52"/>
      <c r="H655" s="61"/>
      <c r="K655"/>
    </row>
    <row r="656" spans="5:11" ht="13.5" customHeight="1" x14ac:dyDescent="0.2">
      <c r="E656" s="52"/>
      <c r="H656" s="61"/>
      <c r="K656"/>
    </row>
    <row r="657" spans="5:11" ht="13.5" customHeight="1" x14ac:dyDescent="0.2">
      <c r="E657" s="52"/>
      <c r="H657" s="61"/>
      <c r="K657"/>
    </row>
    <row r="658" spans="5:11" ht="13.5" customHeight="1" x14ac:dyDescent="0.2">
      <c r="E658" s="52"/>
      <c r="H658" s="61"/>
      <c r="K658"/>
    </row>
    <row r="659" spans="5:11" ht="13.5" customHeight="1" x14ac:dyDescent="0.2">
      <c r="E659" s="52"/>
      <c r="H659" s="61"/>
      <c r="K659"/>
    </row>
    <row r="660" spans="5:11" ht="13.5" customHeight="1" x14ac:dyDescent="0.2">
      <c r="E660" s="52"/>
      <c r="H660" s="61"/>
      <c r="K660"/>
    </row>
    <row r="661" spans="5:11" ht="13.5" customHeight="1" x14ac:dyDescent="0.2">
      <c r="E661" s="52"/>
      <c r="H661" s="61"/>
      <c r="K661"/>
    </row>
    <row r="662" spans="5:11" ht="13.5" customHeight="1" x14ac:dyDescent="0.2">
      <c r="E662" s="52"/>
      <c r="H662" s="61"/>
      <c r="K662"/>
    </row>
    <row r="663" spans="5:11" ht="13.5" customHeight="1" x14ac:dyDescent="0.2">
      <c r="E663" s="52"/>
      <c r="H663" s="61"/>
      <c r="K663"/>
    </row>
    <row r="664" spans="5:11" ht="13.5" customHeight="1" x14ac:dyDescent="0.2">
      <c r="E664" s="52"/>
      <c r="H664" s="61"/>
      <c r="K664"/>
    </row>
    <row r="665" spans="5:11" ht="13.5" customHeight="1" x14ac:dyDescent="0.2">
      <c r="E665" s="52"/>
      <c r="H665" s="61"/>
      <c r="K665"/>
    </row>
    <row r="666" spans="5:11" ht="13.5" customHeight="1" x14ac:dyDescent="0.2">
      <c r="E666" s="52"/>
      <c r="H666" s="61"/>
      <c r="K666"/>
    </row>
    <row r="667" spans="5:11" ht="13.5" customHeight="1" x14ac:dyDescent="0.2">
      <c r="E667" s="52"/>
      <c r="H667" s="61"/>
      <c r="K667"/>
    </row>
    <row r="668" spans="5:11" ht="13.5" customHeight="1" x14ac:dyDescent="0.2">
      <c r="E668" s="52"/>
      <c r="H668" s="61"/>
      <c r="K668"/>
    </row>
    <row r="669" spans="5:11" ht="13.5" customHeight="1" x14ac:dyDescent="0.2">
      <c r="E669" s="52"/>
      <c r="H669" s="61"/>
      <c r="K669"/>
    </row>
    <row r="670" spans="5:11" ht="13.5" customHeight="1" x14ac:dyDescent="0.2">
      <c r="E670" s="52"/>
      <c r="H670" s="61"/>
      <c r="K670"/>
    </row>
    <row r="671" spans="5:11" ht="13.5" customHeight="1" x14ac:dyDescent="0.2">
      <c r="E671" s="52"/>
      <c r="H671" s="61"/>
      <c r="K671"/>
    </row>
    <row r="672" spans="5:11" ht="13.5" customHeight="1" x14ac:dyDescent="0.2">
      <c r="E672" s="52"/>
      <c r="H672" s="61"/>
      <c r="K672"/>
    </row>
    <row r="673" spans="5:11" ht="13.5" customHeight="1" x14ac:dyDescent="0.2">
      <c r="E673" s="52"/>
      <c r="H673" s="61"/>
      <c r="K673"/>
    </row>
    <row r="674" spans="5:11" ht="13.5" customHeight="1" x14ac:dyDescent="0.2">
      <c r="E674" s="52"/>
      <c r="H674" s="61"/>
      <c r="K674"/>
    </row>
    <row r="675" spans="5:11" ht="13.5" customHeight="1" x14ac:dyDescent="0.2">
      <c r="E675" s="52"/>
      <c r="H675" s="61"/>
      <c r="K675"/>
    </row>
    <row r="676" spans="5:11" ht="13.5" customHeight="1" x14ac:dyDescent="0.2">
      <c r="E676" s="52"/>
      <c r="H676" s="61"/>
      <c r="K676"/>
    </row>
    <row r="677" spans="5:11" ht="13.5" customHeight="1" x14ac:dyDescent="0.2">
      <c r="E677" s="52"/>
      <c r="H677" s="61"/>
      <c r="K677"/>
    </row>
    <row r="678" spans="5:11" ht="13.5" customHeight="1" x14ac:dyDescent="0.2">
      <c r="E678" s="52"/>
      <c r="H678" s="61"/>
      <c r="K678"/>
    </row>
    <row r="679" spans="5:11" ht="13.5" customHeight="1" x14ac:dyDescent="0.2">
      <c r="E679" s="52"/>
      <c r="H679" s="61"/>
      <c r="K679"/>
    </row>
    <row r="680" spans="5:11" ht="13.5" customHeight="1" x14ac:dyDescent="0.2">
      <c r="E680" s="52"/>
      <c r="H680" s="61"/>
      <c r="K680"/>
    </row>
    <row r="681" spans="5:11" ht="13.5" customHeight="1" x14ac:dyDescent="0.2">
      <c r="E681" s="52"/>
      <c r="H681" s="61"/>
      <c r="K681"/>
    </row>
    <row r="682" spans="5:11" ht="13.5" customHeight="1" x14ac:dyDescent="0.2">
      <c r="E682" s="52"/>
      <c r="H682" s="61"/>
      <c r="K682"/>
    </row>
    <row r="683" spans="5:11" ht="13.5" customHeight="1" x14ac:dyDescent="0.2">
      <c r="E683" s="52"/>
      <c r="H683" s="61"/>
      <c r="K683"/>
    </row>
    <row r="684" spans="5:11" ht="13.5" customHeight="1" x14ac:dyDescent="0.2">
      <c r="E684" s="52"/>
      <c r="H684" s="61"/>
      <c r="K684"/>
    </row>
    <row r="685" spans="5:11" ht="13.5" customHeight="1" x14ac:dyDescent="0.2">
      <c r="E685" s="52"/>
      <c r="H685" s="61"/>
      <c r="K685"/>
    </row>
    <row r="686" spans="5:11" ht="13.5" customHeight="1" x14ac:dyDescent="0.2">
      <c r="E686" s="52"/>
      <c r="H686" s="61"/>
      <c r="K686"/>
    </row>
    <row r="687" spans="5:11" ht="13.5" customHeight="1" x14ac:dyDescent="0.2">
      <c r="E687" s="52"/>
      <c r="H687" s="61"/>
      <c r="K687"/>
    </row>
    <row r="688" spans="5:11" ht="13.5" customHeight="1" x14ac:dyDescent="0.2">
      <c r="E688" s="52"/>
      <c r="H688" s="61"/>
      <c r="K688"/>
    </row>
    <row r="689" spans="5:11" ht="13.5" customHeight="1" x14ac:dyDescent="0.2">
      <c r="E689" s="52"/>
      <c r="H689" s="61"/>
      <c r="K689"/>
    </row>
    <row r="690" spans="5:11" ht="13.5" customHeight="1" x14ac:dyDescent="0.2">
      <c r="E690" s="52"/>
      <c r="H690" s="61"/>
      <c r="K690"/>
    </row>
    <row r="691" spans="5:11" ht="13.5" customHeight="1" x14ac:dyDescent="0.2">
      <c r="E691" s="52"/>
      <c r="H691" s="61"/>
      <c r="K691"/>
    </row>
    <row r="692" spans="5:11" ht="13.5" customHeight="1" x14ac:dyDescent="0.2">
      <c r="E692" s="52"/>
      <c r="H692" s="61"/>
      <c r="K692"/>
    </row>
    <row r="693" spans="5:11" ht="13.5" customHeight="1" x14ac:dyDescent="0.2">
      <c r="E693" s="52"/>
      <c r="H693" s="61"/>
      <c r="K693"/>
    </row>
    <row r="694" spans="5:11" ht="13.5" customHeight="1" x14ac:dyDescent="0.2">
      <c r="E694" s="52"/>
      <c r="H694" s="61"/>
      <c r="K694"/>
    </row>
    <row r="695" spans="5:11" ht="13.5" customHeight="1" x14ac:dyDescent="0.2">
      <c r="E695" s="52"/>
      <c r="H695" s="61"/>
      <c r="K695"/>
    </row>
    <row r="696" spans="5:11" ht="13.5" customHeight="1" x14ac:dyDescent="0.2">
      <c r="E696" s="52"/>
      <c r="H696" s="61"/>
      <c r="K696"/>
    </row>
    <row r="697" spans="5:11" ht="13.5" customHeight="1" x14ac:dyDescent="0.2">
      <c r="E697" s="52"/>
      <c r="H697" s="61"/>
      <c r="K697"/>
    </row>
    <row r="698" spans="5:11" ht="13.5" customHeight="1" x14ac:dyDescent="0.2">
      <c r="E698" s="52"/>
      <c r="H698" s="61"/>
      <c r="K698"/>
    </row>
    <row r="699" spans="5:11" ht="13.5" customHeight="1" x14ac:dyDescent="0.2">
      <c r="E699" s="52"/>
      <c r="H699" s="61"/>
      <c r="K699"/>
    </row>
    <row r="700" spans="5:11" ht="13.5" customHeight="1" x14ac:dyDescent="0.2">
      <c r="E700" s="52"/>
      <c r="H700" s="61"/>
      <c r="K700"/>
    </row>
    <row r="701" spans="5:11" ht="13.5" customHeight="1" x14ac:dyDescent="0.2">
      <c r="E701" s="52"/>
      <c r="H701" s="61"/>
      <c r="K701"/>
    </row>
    <row r="702" spans="5:11" ht="13.5" customHeight="1" x14ac:dyDescent="0.2">
      <c r="E702" s="52"/>
      <c r="H702" s="61"/>
      <c r="K702"/>
    </row>
    <row r="703" spans="5:11" ht="13.5" customHeight="1" x14ac:dyDescent="0.2">
      <c r="E703" s="52"/>
      <c r="H703" s="61"/>
      <c r="K703"/>
    </row>
    <row r="704" spans="5:11" ht="13.5" customHeight="1" x14ac:dyDescent="0.2">
      <c r="E704" s="52"/>
      <c r="H704" s="61"/>
      <c r="K704"/>
    </row>
    <row r="705" spans="5:11" ht="13.5" customHeight="1" x14ac:dyDescent="0.2">
      <c r="E705" s="52"/>
      <c r="H705" s="61"/>
      <c r="K705"/>
    </row>
    <row r="706" spans="5:11" ht="13.5" customHeight="1" x14ac:dyDescent="0.2">
      <c r="E706" s="52"/>
      <c r="H706" s="61"/>
      <c r="K706"/>
    </row>
    <row r="707" spans="5:11" ht="13.5" customHeight="1" x14ac:dyDescent="0.2">
      <c r="E707" s="52"/>
      <c r="H707" s="61"/>
      <c r="K707"/>
    </row>
    <row r="708" spans="5:11" ht="13.5" customHeight="1" x14ac:dyDescent="0.2">
      <c r="E708" s="52"/>
      <c r="H708" s="61"/>
      <c r="K708"/>
    </row>
    <row r="709" spans="5:11" ht="13.5" customHeight="1" x14ac:dyDescent="0.2">
      <c r="E709" s="52"/>
      <c r="H709" s="61"/>
      <c r="K709"/>
    </row>
    <row r="710" spans="5:11" ht="13.5" customHeight="1" x14ac:dyDescent="0.2">
      <c r="E710" s="52"/>
      <c r="H710" s="61"/>
      <c r="K710"/>
    </row>
    <row r="711" spans="5:11" ht="13.5" customHeight="1" x14ac:dyDescent="0.2">
      <c r="E711" s="52"/>
      <c r="H711" s="61"/>
      <c r="K711"/>
    </row>
    <row r="712" spans="5:11" ht="13.5" customHeight="1" x14ac:dyDescent="0.2">
      <c r="E712" s="52"/>
      <c r="H712" s="61"/>
      <c r="K712"/>
    </row>
    <row r="713" spans="5:11" ht="13.5" customHeight="1" x14ac:dyDescent="0.2">
      <c r="E713" s="52"/>
      <c r="H713" s="61"/>
      <c r="K713"/>
    </row>
    <row r="714" spans="5:11" ht="13.5" customHeight="1" x14ac:dyDescent="0.2">
      <c r="E714" s="52"/>
      <c r="H714" s="61"/>
    </row>
    <row r="715" spans="5:11" ht="13.5" customHeight="1" x14ac:dyDescent="0.2">
      <c r="E715" s="52"/>
      <c r="H715" s="61"/>
    </row>
    <row r="716" spans="5:11" ht="13.5" customHeight="1" x14ac:dyDescent="0.2">
      <c r="E716" s="52"/>
      <c r="H716" s="61"/>
    </row>
    <row r="717" spans="5:11" ht="13.5" customHeight="1" x14ac:dyDescent="0.2">
      <c r="E717" s="52"/>
      <c r="H717" s="61"/>
    </row>
    <row r="718" spans="5:11" ht="13.5" customHeight="1" x14ac:dyDescent="0.2">
      <c r="E718" s="52"/>
      <c r="H718" s="61"/>
    </row>
    <row r="719" spans="5:11" ht="13.5" customHeight="1" x14ac:dyDescent="0.2">
      <c r="E719" s="52"/>
      <c r="H719" s="61"/>
      <c r="K719"/>
    </row>
    <row r="720" spans="5:11" ht="13.5" customHeight="1" x14ac:dyDescent="0.2">
      <c r="E720" s="52"/>
      <c r="H720" s="61"/>
      <c r="K720"/>
    </row>
    <row r="721" spans="5:11" ht="13.5" customHeight="1" x14ac:dyDescent="0.2">
      <c r="E721" s="52"/>
      <c r="H721" s="61"/>
      <c r="K721"/>
    </row>
    <row r="722" spans="5:11" ht="13.5" customHeight="1" x14ac:dyDescent="0.2">
      <c r="E722" s="52"/>
      <c r="H722" s="61"/>
      <c r="K722"/>
    </row>
    <row r="723" spans="5:11" ht="13.5" customHeight="1" x14ac:dyDescent="0.2">
      <c r="E723" s="52"/>
      <c r="H723" s="61"/>
      <c r="K723"/>
    </row>
    <row r="724" spans="5:11" ht="13.5" customHeight="1" x14ac:dyDescent="0.2">
      <c r="E724" s="52"/>
      <c r="H724" s="61"/>
      <c r="K724"/>
    </row>
    <row r="725" spans="5:11" ht="13.5" customHeight="1" x14ac:dyDescent="0.2">
      <c r="E725" s="52"/>
      <c r="H725" s="61"/>
      <c r="K725"/>
    </row>
    <row r="726" spans="5:11" ht="13.5" customHeight="1" x14ac:dyDescent="0.2">
      <c r="E726" s="52"/>
      <c r="H726" s="61"/>
      <c r="K726"/>
    </row>
    <row r="727" spans="5:11" ht="13.5" customHeight="1" x14ac:dyDescent="0.2">
      <c r="E727" s="52"/>
      <c r="H727" s="61"/>
      <c r="K727"/>
    </row>
    <row r="728" spans="5:11" ht="13.5" customHeight="1" x14ac:dyDescent="0.2">
      <c r="E728" s="52"/>
      <c r="H728" s="61"/>
      <c r="K728"/>
    </row>
    <row r="729" spans="5:11" ht="13.5" customHeight="1" x14ac:dyDescent="0.2">
      <c r="E729" s="52"/>
      <c r="H729" s="61"/>
      <c r="K729"/>
    </row>
    <row r="730" spans="5:11" ht="13.5" customHeight="1" x14ac:dyDescent="0.2">
      <c r="E730" s="52"/>
      <c r="H730" s="61"/>
      <c r="K730"/>
    </row>
    <row r="731" spans="5:11" ht="13.5" customHeight="1" x14ac:dyDescent="0.2">
      <c r="E731" s="52"/>
      <c r="H731" s="61"/>
      <c r="K731"/>
    </row>
    <row r="732" spans="5:11" ht="13.5" customHeight="1" x14ac:dyDescent="0.2">
      <c r="E732" s="52"/>
      <c r="H732" s="61"/>
      <c r="K732"/>
    </row>
    <row r="733" spans="5:11" ht="13.5" customHeight="1" x14ac:dyDescent="0.2">
      <c r="E733" s="52"/>
      <c r="H733" s="61"/>
      <c r="K733"/>
    </row>
    <row r="734" spans="5:11" ht="13.5" customHeight="1" x14ac:dyDescent="0.2">
      <c r="E734" s="52"/>
      <c r="H734" s="61"/>
      <c r="K734"/>
    </row>
    <row r="735" spans="5:11" ht="13.5" customHeight="1" x14ac:dyDescent="0.2">
      <c r="E735" s="52"/>
      <c r="H735" s="61"/>
      <c r="K735"/>
    </row>
    <row r="736" spans="5:11" ht="13.5" customHeight="1" x14ac:dyDescent="0.2">
      <c r="E736" s="50"/>
      <c r="H736" s="61"/>
      <c r="K736"/>
    </row>
    <row r="737" spans="5:11" ht="13.5" customHeight="1" x14ac:dyDescent="0.2">
      <c r="E737" s="50"/>
      <c r="H737" s="61"/>
      <c r="K737"/>
    </row>
    <row r="738" spans="5:11" ht="13.5" customHeight="1" x14ac:dyDescent="0.2">
      <c r="E738" s="50"/>
      <c r="H738" s="61"/>
      <c r="K738"/>
    </row>
    <row r="739" spans="5:11" ht="13.5" customHeight="1" x14ac:dyDescent="0.2">
      <c r="E739" s="50"/>
      <c r="H739" s="61"/>
      <c r="K739"/>
    </row>
    <row r="740" spans="5:11" ht="13.5" customHeight="1" x14ac:dyDescent="0.2">
      <c r="E740" s="50"/>
      <c r="H740" s="61"/>
      <c r="K740"/>
    </row>
    <row r="741" spans="5:11" ht="13.5" customHeight="1" x14ac:dyDescent="0.2">
      <c r="E741" s="50"/>
      <c r="H741" s="61"/>
      <c r="K741"/>
    </row>
    <row r="742" spans="5:11" ht="13.5" customHeight="1" x14ac:dyDescent="0.2">
      <c r="E742" s="50"/>
      <c r="H742" s="61"/>
      <c r="K742"/>
    </row>
    <row r="743" spans="5:11" ht="13.5" customHeight="1" x14ac:dyDescent="0.2">
      <c r="E743" s="50"/>
      <c r="H743" s="61"/>
      <c r="K743"/>
    </row>
    <row r="744" spans="5:11" ht="13.5" customHeight="1" x14ac:dyDescent="0.2">
      <c r="E744" s="50"/>
      <c r="H744" s="61"/>
      <c r="K744"/>
    </row>
    <row r="745" spans="5:11" ht="13.5" customHeight="1" x14ac:dyDescent="0.2">
      <c r="E745" s="50"/>
      <c r="H745" s="61"/>
      <c r="K745"/>
    </row>
    <row r="746" spans="5:11" ht="13.5" customHeight="1" x14ac:dyDescent="0.2">
      <c r="E746" s="50"/>
      <c r="H746" s="61"/>
      <c r="K746"/>
    </row>
    <row r="747" spans="5:11" ht="13.5" customHeight="1" x14ac:dyDescent="0.2">
      <c r="E747" s="50"/>
      <c r="H747" s="61"/>
      <c r="K747"/>
    </row>
    <row r="748" spans="5:11" ht="13.5" customHeight="1" x14ac:dyDescent="0.2">
      <c r="E748" s="50"/>
      <c r="H748" s="61"/>
      <c r="K748"/>
    </row>
    <row r="749" spans="5:11" ht="13.5" customHeight="1" x14ac:dyDescent="0.2">
      <c r="E749" s="50"/>
      <c r="H749" s="61"/>
      <c r="K749"/>
    </row>
    <row r="750" spans="5:11" ht="13.5" customHeight="1" x14ac:dyDescent="0.2">
      <c r="E750" s="50"/>
      <c r="H750" s="61"/>
      <c r="K750"/>
    </row>
    <row r="751" spans="5:11" ht="13.5" customHeight="1" x14ac:dyDescent="0.2">
      <c r="E751" s="50"/>
      <c r="H751" s="61"/>
      <c r="K751"/>
    </row>
    <row r="752" spans="5:11" ht="13.5" customHeight="1" x14ac:dyDescent="0.2">
      <c r="E752" s="50"/>
      <c r="H752" s="61"/>
      <c r="K752"/>
    </row>
    <row r="753" spans="5:11" ht="13.5" customHeight="1" x14ac:dyDescent="0.2">
      <c r="E753" s="50"/>
      <c r="H753" s="61"/>
      <c r="K753"/>
    </row>
    <row r="754" spans="5:11" ht="13.5" customHeight="1" x14ac:dyDescent="0.2">
      <c r="E754" s="50"/>
      <c r="H754" s="61"/>
      <c r="K754"/>
    </row>
    <row r="755" spans="5:11" ht="13.5" customHeight="1" x14ac:dyDescent="0.2">
      <c r="E755" s="50"/>
      <c r="H755" s="61"/>
      <c r="K755"/>
    </row>
    <row r="756" spans="5:11" ht="13.5" customHeight="1" x14ac:dyDescent="0.2">
      <c r="E756" s="50"/>
      <c r="H756" s="61"/>
      <c r="K756"/>
    </row>
    <row r="757" spans="5:11" ht="13.5" customHeight="1" x14ac:dyDescent="0.2">
      <c r="E757" s="50"/>
      <c r="H757" s="61"/>
      <c r="K757"/>
    </row>
    <row r="758" spans="5:11" ht="13.5" customHeight="1" x14ac:dyDescent="0.2">
      <c r="E758" s="50"/>
      <c r="H758" s="61"/>
      <c r="K758"/>
    </row>
    <row r="759" spans="5:11" ht="13.5" customHeight="1" x14ac:dyDescent="0.2">
      <c r="E759" s="50"/>
      <c r="H759" s="61"/>
      <c r="K759"/>
    </row>
    <row r="760" spans="5:11" ht="13.5" customHeight="1" x14ac:dyDescent="0.2">
      <c r="E760" s="50"/>
      <c r="H760" s="61"/>
      <c r="K760"/>
    </row>
    <row r="761" spans="5:11" ht="13.5" customHeight="1" x14ac:dyDescent="0.2">
      <c r="E761" s="50"/>
      <c r="H761" s="61"/>
      <c r="K761"/>
    </row>
    <row r="762" spans="5:11" ht="13.5" customHeight="1" x14ac:dyDescent="0.2">
      <c r="E762" s="50"/>
      <c r="H762" s="61"/>
      <c r="K762"/>
    </row>
    <row r="763" spans="5:11" ht="13.5" customHeight="1" x14ac:dyDescent="0.2">
      <c r="E763" s="50"/>
      <c r="H763" s="61"/>
      <c r="K763"/>
    </row>
    <row r="764" spans="5:11" ht="13.5" customHeight="1" x14ac:dyDescent="0.2">
      <c r="E764" s="50"/>
      <c r="H764" s="61"/>
      <c r="K764"/>
    </row>
    <row r="765" spans="5:11" ht="13.5" customHeight="1" x14ac:dyDescent="0.2">
      <c r="E765" s="50"/>
      <c r="H765" s="61"/>
      <c r="K765"/>
    </row>
    <row r="766" spans="5:11" ht="13.5" customHeight="1" x14ac:dyDescent="0.2">
      <c r="E766" s="50"/>
      <c r="H766" s="61"/>
      <c r="K766"/>
    </row>
    <row r="767" spans="5:11" ht="13.5" customHeight="1" x14ac:dyDescent="0.2">
      <c r="E767" s="50"/>
      <c r="H767" s="61"/>
      <c r="K767"/>
    </row>
    <row r="768" spans="5:11" ht="13.5" customHeight="1" x14ac:dyDescent="0.2">
      <c r="E768" s="50"/>
      <c r="H768" s="61"/>
      <c r="K768"/>
    </row>
    <row r="769" spans="5:11" ht="13.5" customHeight="1" x14ac:dyDescent="0.2">
      <c r="E769" s="50"/>
      <c r="H769" s="61"/>
      <c r="K769"/>
    </row>
    <row r="770" spans="5:11" ht="13.5" customHeight="1" x14ac:dyDescent="0.2">
      <c r="E770" s="50"/>
      <c r="H770" s="61"/>
      <c r="K770"/>
    </row>
    <row r="771" spans="5:11" ht="13.5" customHeight="1" x14ac:dyDescent="0.2">
      <c r="E771" s="50"/>
      <c r="H771" s="61"/>
      <c r="K771"/>
    </row>
    <row r="772" spans="5:11" ht="13.5" customHeight="1" x14ac:dyDescent="0.2">
      <c r="E772" s="50"/>
      <c r="H772" s="61"/>
      <c r="K772"/>
    </row>
    <row r="773" spans="5:11" ht="13.5" customHeight="1" x14ac:dyDescent="0.2">
      <c r="E773" s="50"/>
      <c r="H773" s="61"/>
      <c r="K773"/>
    </row>
    <row r="774" spans="5:11" ht="13.5" customHeight="1" x14ac:dyDescent="0.2">
      <c r="E774" s="50"/>
      <c r="H774" s="61"/>
      <c r="K774"/>
    </row>
    <row r="775" spans="5:11" ht="13.5" customHeight="1" x14ac:dyDescent="0.2">
      <c r="E775" s="50"/>
      <c r="H775" s="61"/>
      <c r="K775"/>
    </row>
    <row r="776" spans="5:11" ht="13.5" customHeight="1" x14ac:dyDescent="0.2">
      <c r="E776" s="50"/>
      <c r="H776" s="61"/>
      <c r="K776"/>
    </row>
    <row r="777" spans="5:11" ht="13.5" customHeight="1" x14ac:dyDescent="0.2">
      <c r="E777" s="50"/>
      <c r="H777" s="61"/>
      <c r="K777"/>
    </row>
    <row r="778" spans="5:11" ht="13.5" customHeight="1" x14ac:dyDescent="0.2">
      <c r="E778" s="50"/>
      <c r="H778" s="61"/>
      <c r="K778"/>
    </row>
    <row r="779" spans="5:11" ht="13.5" customHeight="1" x14ac:dyDescent="0.2">
      <c r="E779" s="50"/>
      <c r="H779" s="61"/>
      <c r="K779"/>
    </row>
    <row r="780" spans="5:11" ht="13.5" customHeight="1" x14ac:dyDescent="0.2">
      <c r="E780" s="50"/>
      <c r="H780" s="61"/>
      <c r="K780"/>
    </row>
    <row r="781" spans="5:11" ht="13.5" customHeight="1" x14ac:dyDescent="0.2">
      <c r="E781" s="50"/>
      <c r="H781" s="61"/>
      <c r="K781"/>
    </row>
    <row r="782" spans="5:11" ht="13.5" customHeight="1" x14ac:dyDescent="0.2">
      <c r="E782" s="50"/>
      <c r="H782" s="61"/>
      <c r="K782"/>
    </row>
    <row r="783" spans="5:11" ht="13.5" customHeight="1" x14ac:dyDescent="0.2">
      <c r="E783" s="50"/>
      <c r="H783" s="61"/>
      <c r="K783"/>
    </row>
    <row r="784" spans="5:11" ht="13.5" customHeight="1" x14ac:dyDescent="0.2">
      <c r="E784" s="50"/>
      <c r="H784" s="61"/>
      <c r="K784"/>
    </row>
    <row r="785" spans="5:11" ht="13.5" customHeight="1" x14ac:dyDescent="0.2">
      <c r="E785" s="50"/>
      <c r="H785" s="61"/>
      <c r="K785"/>
    </row>
    <row r="786" spans="5:11" ht="13.5" customHeight="1" x14ac:dyDescent="0.2">
      <c r="E786" s="50"/>
      <c r="H786" s="61"/>
      <c r="K786"/>
    </row>
    <row r="787" spans="5:11" ht="13.5" customHeight="1" x14ac:dyDescent="0.2">
      <c r="E787" s="50"/>
      <c r="H787" s="61"/>
      <c r="K787"/>
    </row>
    <row r="788" spans="5:11" ht="13.5" customHeight="1" x14ac:dyDescent="0.2">
      <c r="E788" s="50"/>
      <c r="H788" s="61"/>
      <c r="K788"/>
    </row>
    <row r="789" spans="5:11" ht="13.5" customHeight="1" x14ac:dyDescent="0.2">
      <c r="E789" s="50"/>
      <c r="H789" s="61"/>
      <c r="K789"/>
    </row>
    <row r="790" spans="5:11" ht="13.5" customHeight="1" x14ac:dyDescent="0.2">
      <c r="E790" s="50"/>
      <c r="H790" s="12"/>
      <c r="K790"/>
    </row>
    <row r="791" spans="5:11" ht="13.5" customHeight="1" x14ac:dyDescent="0.2">
      <c r="E791" s="50"/>
      <c r="H791" s="12"/>
      <c r="K791"/>
    </row>
    <row r="792" spans="5:11" ht="13.5" customHeight="1" x14ac:dyDescent="0.2">
      <c r="E792" s="50"/>
      <c r="H792" s="12"/>
      <c r="K792"/>
    </row>
    <row r="793" spans="5:11" ht="13.5" customHeight="1" x14ac:dyDescent="0.2">
      <c r="E793" s="50"/>
      <c r="H793" s="12"/>
      <c r="K793"/>
    </row>
    <row r="794" spans="5:11" ht="13.5" customHeight="1" x14ac:dyDescent="0.2">
      <c r="E794" s="50"/>
      <c r="H794" s="12"/>
      <c r="K794"/>
    </row>
    <row r="795" spans="5:11" ht="13.5" customHeight="1" x14ac:dyDescent="0.2">
      <c r="E795" s="50"/>
      <c r="H795" s="12"/>
      <c r="K795"/>
    </row>
    <row r="796" spans="5:11" ht="13.5" customHeight="1" x14ac:dyDescent="0.2">
      <c r="E796" s="50"/>
      <c r="H796" s="12"/>
      <c r="K796"/>
    </row>
    <row r="797" spans="5:11" ht="13.5" customHeight="1" x14ac:dyDescent="0.2">
      <c r="E797" s="50"/>
      <c r="H797" s="12"/>
      <c r="K797"/>
    </row>
    <row r="798" spans="5:11" ht="13.5" customHeight="1" x14ac:dyDescent="0.2">
      <c r="E798" s="50"/>
      <c r="H798" s="12"/>
      <c r="K798"/>
    </row>
    <row r="799" spans="5:11" ht="13.5" customHeight="1" x14ac:dyDescent="0.2">
      <c r="E799" s="50"/>
      <c r="H799" s="12"/>
      <c r="K799"/>
    </row>
    <row r="800" spans="5:11" ht="13.5" customHeight="1" x14ac:dyDescent="0.2">
      <c r="E800" s="50"/>
      <c r="H800" s="12"/>
      <c r="K800"/>
    </row>
    <row r="801" spans="5:11" ht="13.5" customHeight="1" x14ac:dyDescent="0.2">
      <c r="E801" s="50"/>
      <c r="H801" s="12"/>
      <c r="K801"/>
    </row>
    <row r="802" spans="5:11" ht="13.5" customHeight="1" x14ac:dyDescent="0.2">
      <c r="E802" s="50"/>
      <c r="H802" s="12"/>
      <c r="K802"/>
    </row>
    <row r="803" spans="5:11" ht="13.5" customHeight="1" x14ac:dyDescent="0.2">
      <c r="E803" s="50"/>
      <c r="H803" s="12"/>
      <c r="K803"/>
    </row>
    <row r="804" spans="5:11" ht="13.5" customHeight="1" x14ac:dyDescent="0.2">
      <c r="E804" s="50"/>
      <c r="H804" s="12"/>
      <c r="K804"/>
    </row>
    <row r="805" spans="5:11" ht="13.5" customHeight="1" x14ac:dyDescent="0.2">
      <c r="E805" s="50"/>
      <c r="H805" s="12"/>
      <c r="K805"/>
    </row>
    <row r="806" spans="5:11" ht="13.5" customHeight="1" x14ac:dyDescent="0.2">
      <c r="E806" s="50"/>
      <c r="H806" s="12"/>
      <c r="K806"/>
    </row>
    <row r="807" spans="5:11" ht="13.5" customHeight="1" x14ac:dyDescent="0.2">
      <c r="E807" s="50"/>
      <c r="H807" s="12"/>
      <c r="K807"/>
    </row>
    <row r="808" spans="5:11" ht="13.5" customHeight="1" x14ac:dyDescent="0.2">
      <c r="E808" s="50"/>
      <c r="H808" s="12"/>
      <c r="K808"/>
    </row>
    <row r="809" spans="5:11" ht="13.5" customHeight="1" x14ac:dyDescent="0.2">
      <c r="E809" s="50"/>
      <c r="H809" s="12"/>
      <c r="K809"/>
    </row>
    <row r="810" spans="5:11" ht="13.5" customHeight="1" x14ac:dyDescent="0.2">
      <c r="E810" s="50"/>
      <c r="H810" s="12"/>
      <c r="K810"/>
    </row>
    <row r="811" spans="5:11" ht="13.5" customHeight="1" x14ac:dyDescent="0.2">
      <c r="E811" s="50"/>
      <c r="H811" s="12"/>
      <c r="K811"/>
    </row>
    <row r="812" spans="5:11" ht="13.5" customHeight="1" x14ac:dyDescent="0.2">
      <c r="E812" s="50"/>
      <c r="H812" s="12"/>
      <c r="K812"/>
    </row>
    <row r="813" spans="5:11" ht="13.5" customHeight="1" x14ac:dyDescent="0.2">
      <c r="E813" s="50"/>
      <c r="H813" s="12"/>
      <c r="K813"/>
    </row>
    <row r="814" spans="5:11" ht="13.5" customHeight="1" x14ac:dyDescent="0.2">
      <c r="E814" s="50"/>
      <c r="H814" s="12"/>
      <c r="K814"/>
    </row>
    <row r="815" spans="5:11" ht="13.5" customHeight="1" x14ac:dyDescent="0.2">
      <c r="E815" s="50"/>
      <c r="H815" s="12"/>
      <c r="K815"/>
    </row>
    <row r="816" spans="5:11" ht="13.5" customHeight="1" x14ac:dyDescent="0.2">
      <c r="E816" s="50"/>
      <c r="H816" s="12"/>
      <c r="K816"/>
    </row>
    <row r="817" spans="5:11" ht="13.5" customHeight="1" x14ac:dyDescent="0.2">
      <c r="E817" s="50"/>
      <c r="H817" s="12"/>
      <c r="K817"/>
    </row>
    <row r="818" spans="5:11" ht="13.5" customHeight="1" x14ac:dyDescent="0.2">
      <c r="E818" s="50"/>
      <c r="H818" s="12"/>
      <c r="K818"/>
    </row>
    <row r="819" spans="5:11" ht="13.5" customHeight="1" x14ac:dyDescent="0.2">
      <c r="E819" s="50"/>
      <c r="H819" s="12"/>
      <c r="K819"/>
    </row>
    <row r="820" spans="5:11" ht="13.5" customHeight="1" x14ac:dyDescent="0.2">
      <c r="E820" s="50"/>
      <c r="H820" s="12"/>
      <c r="K820"/>
    </row>
    <row r="821" spans="5:11" ht="13.5" customHeight="1" x14ac:dyDescent="0.2">
      <c r="E821" s="50"/>
      <c r="H821" s="12"/>
      <c r="K821"/>
    </row>
    <row r="822" spans="5:11" ht="13.5" customHeight="1" x14ac:dyDescent="0.2">
      <c r="E822" s="50"/>
      <c r="H822" s="12"/>
      <c r="K822"/>
    </row>
    <row r="823" spans="5:11" ht="13.5" customHeight="1" x14ac:dyDescent="0.2">
      <c r="E823" s="50"/>
      <c r="H823" s="12"/>
      <c r="K823"/>
    </row>
    <row r="824" spans="5:11" ht="13.5" customHeight="1" x14ac:dyDescent="0.2">
      <c r="E824" s="50"/>
      <c r="H824" s="12"/>
      <c r="K824"/>
    </row>
    <row r="825" spans="5:11" ht="13.5" customHeight="1" x14ac:dyDescent="0.2">
      <c r="E825" s="50"/>
      <c r="H825" s="12"/>
      <c r="K825"/>
    </row>
    <row r="826" spans="5:11" ht="13.5" customHeight="1" x14ac:dyDescent="0.2">
      <c r="E826" s="50"/>
      <c r="H826" s="12"/>
      <c r="K826"/>
    </row>
    <row r="827" spans="5:11" ht="13.5" customHeight="1" x14ac:dyDescent="0.2">
      <c r="E827" s="50"/>
      <c r="H827" s="12"/>
      <c r="K827"/>
    </row>
    <row r="828" spans="5:11" ht="13.5" customHeight="1" x14ac:dyDescent="0.2">
      <c r="E828" s="50"/>
      <c r="H828" s="12"/>
      <c r="K828"/>
    </row>
    <row r="829" spans="5:11" ht="13.5" customHeight="1" x14ac:dyDescent="0.2">
      <c r="E829" s="50"/>
      <c r="H829" s="12"/>
      <c r="K829"/>
    </row>
    <row r="830" spans="5:11" ht="13.5" customHeight="1" x14ac:dyDescent="0.2">
      <c r="E830" s="50"/>
      <c r="H830" s="12"/>
      <c r="K830"/>
    </row>
    <row r="831" spans="5:11" ht="13.5" customHeight="1" x14ac:dyDescent="0.2">
      <c r="E831" s="50"/>
      <c r="H831" s="12"/>
      <c r="K831"/>
    </row>
    <row r="832" spans="5:11" ht="13.5" customHeight="1" x14ac:dyDescent="0.2">
      <c r="E832" s="50"/>
      <c r="H832" s="12"/>
      <c r="K832"/>
    </row>
    <row r="833" spans="5:11" ht="13.5" customHeight="1" x14ac:dyDescent="0.2">
      <c r="E833" s="50"/>
      <c r="H833" s="12"/>
      <c r="K833"/>
    </row>
    <row r="834" spans="5:11" ht="13.5" customHeight="1" x14ac:dyDescent="0.2">
      <c r="E834" s="50"/>
      <c r="H834" s="12"/>
      <c r="K834"/>
    </row>
    <row r="835" spans="5:11" ht="13.5" customHeight="1" x14ac:dyDescent="0.2">
      <c r="E835" s="50"/>
      <c r="H835" s="12"/>
      <c r="K835"/>
    </row>
    <row r="836" spans="5:11" ht="13.5" customHeight="1" x14ac:dyDescent="0.2">
      <c r="E836" s="50"/>
      <c r="H836" s="12"/>
      <c r="K836"/>
    </row>
    <row r="837" spans="5:11" ht="13.5" customHeight="1" x14ac:dyDescent="0.2">
      <c r="E837" s="50"/>
      <c r="H837" s="12"/>
      <c r="K837"/>
    </row>
    <row r="838" spans="5:11" ht="13.5" customHeight="1" x14ac:dyDescent="0.2">
      <c r="E838" s="50"/>
      <c r="H838" s="12"/>
      <c r="K838"/>
    </row>
    <row r="839" spans="5:11" ht="13.5" customHeight="1" x14ac:dyDescent="0.2">
      <c r="E839" s="50"/>
      <c r="H839" s="12"/>
      <c r="K839"/>
    </row>
    <row r="840" spans="5:11" ht="13.5" customHeight="1" x14ac:dyDescent="0.2">
      <c r="E840" s="50"/>
      <c r="H840" s="12"/>
      <c r="K840"/>
    </row>
    <row r="841" spans="5:11" ht="13.5" customHeight="1" x14ac:dyDescent="0.2">
      <c r="E841" s="50"/>
      <c r="H841" s="12"/>
      <c r="K841"/>
    </row>
    <row r="842" spans="5:11" ht="13.5" customHeight="1" x14ac:dyDescent="0.2">
      <c r="E842" s="50"/>
      <c r="H842" s="12"/>
      <c r="K842"/>
    </row>
    <row r="843" spans="5:11" ht="13.5" customHeight="1" x14ac:dyDescent="0.2">
      <c r="E843" s="50"/>
      <c r="H843" s="12"/>
      <c r="K843"/>
    </row>
    <row r="844" spans="5:11" ht="13.5" customHeight="1" x14ac:dyDescent="0.2">
      <c r="E844" s="50"/>
      <c r="H844" s="12"/>
      <c r="K844"/>
    </row>
    <row r="845" spans="5:11" ht="13.5" customHeight="1" x14ac:dyDescent="0.2">
      <c r="E845" s="50"/>
      <c r="H845" s="12"/>
      <c r="K845"/>
    </row>
    <row r="846" spans="5:11" ht="13.5" customHeight="1" x14ac:dyDescent="0.2">
      <c r="E846" s="50"/>
      <c r="H846" s="12"/>
      <c r="K846"/>
    </row>
    <row r="847" spans="5:11" ht="13.5" customHeight="1" x14ac:dyDescent="0.2">
      <c r="E847" s="50"/>
      <c r="H847" s="12"/>
      <c r="K847"/>
    </row>
    <row r="848" spans="5:11" ht="13.5" customHeight="1" x14ac:dyDescent="0.2">
      <c r="E848" s="50"/>
      <c r="H848" s="12"/>
      <c r="K848"/>
    </row>
    <row r="849" spans="5:11" ht="13.5" customHeight="1" x14ac:dyDescent="0.2">
      <c r="E849" s="50"/>
      <c r="H849" s="12"/>
      <c r="K849"/>
    </row>
    <row r="850" spans="5:11" ht="13.5" customHeight="1" x14ac:dyDescent="0.2">
      <c r="E850" s="50"/>
      <c r="H850" s="12"/>
      <c r="K850"/>
    </row>
    <row r="851" spans="5:11" ht="13.5" customHeight="1" x14ac:dyDescent="0.2">
      <c r="E851" s="50"/>
      <c r="H851" s="12"/>
      <c r="K851"/>
    </row>
    <row r="852" spans="5:11" ht="13.5" customHeight="1" x14ac:dyDescent="0.2">
      <c r="E852" s="50"/>
      <c r="H852" s="12"/>
      <c r="K852"/>
    </row>
    <row r="853" spans="5:11" ht="13.5" customHeight="1" x14ac:dyDescent="0.2">
      <c r="E853" s="50"/>
      <c r="H853" s="12"/>
      <c r="K853"/>
    </row>
    <row r="854" spans="5:11" ht="13.5" customHeight="1" x14ac:dyDescent="0.2">
      <c r="E854" s="50"/>
      <c r="H854" s="12"/>
      <c r="K854"/>
    </row>
    <row r="855" spans="5:11" ht="13.5" customHeight="1" x14ac:dyDescent="0.2">
      <c r="E855" s="50"/>
      <c r="H855" s="12"/>
      <c r="K855"/>
    </row>
    <row r="856" spans="5:11" ht="13.5" customHeight="1" x14ac:dyDescent="0.2">
      <c r="E856" s="50"/>
      <c r="H856" s="12"/>
      <c r="K856"/>
    </row>
    <row r="857" spans="5:11" ht="13.5" customHeight="1" x14ac:dyDescent="0.2">
      <c r="E857" s="50"/>
      <c r="H857" s="12"/>
      <c r="K857"/>
    </row>
    <row r="858" spans="5:11" ht="13.5" customHeight="1" x14ac:dyDescent="0.2">
      <c r="E858" s="50"/>
      <c r="H858" s="12"/>
      <c r="K858"/>
    </row>
    <row r="859" spans="5:11" ht="13.5" customHeight="1" x14ac:dyDescent="0.2">
      <c r="E859" s="50"/>
      <c r="H859" s="12"/>
      <c r="K859"/>
    </row>
    <row r="860" spans="5:11" ht="13.5" customHeight="1" x14ac:dyDescent="0.2">
      <c r="E860" s="50"/>
      <c r="H860" s="12"/>
      <c r="K860"/>
    </row>
    <row r="861" spans="5:11" ht="13.5" customHeight="1" x14ac:dyDescent="0.2">
      <c r="E861" s="50"/>
      <c r="H861" s="12"/>
      <c r="K861"/>
    </row>
    <row r="862" spans="5:11" ht="13.5" customHeight="1" x14ac:dyDescent="0.2">
      <c r="E862" s="50"/>
      <c r="H862" s="12"/>
      <c r="K862"/>
    </row>
    <row r="863" spans="5:11" ht="13.5" customHeight="1" x14ac:dyDescent="0.2">
      <c r="E863" s="50"/>
      <c r="H863" s="12"/>
      <c r="K863"/>
    </row>
    <row r="864" spans="5:11" ht="13.5" customHeight="1" x14ac:dyDescent="0.2">
      <c r="E864" s="50"/>
      <c r="H864" s="12"/>
      <c r="K864"/>
    </row>
    <row r="865" spans="5:11" ht="13.5" customHeight="1" x14ac:dyDescent="0.2">
      <c r="E865" s="50"/>
      <c r="H865" s="12"/>
      <c r="K865"/>
    </row>
    <row r="866" spans="5:11" ht="13.5" customHeight="1" x14ac:dyDescent="0.2">
      <c r="E866" s="50"/>
      <c r="H866" s="12"/>
      <c r="K866"/>
    </row>
    <row r="867" spans="5:11" ht="13.5" customHeight="1" x14ac:dyDescent="0.2">
      <c r="E867" s="50"/>
      <c r="H867" s="12"/>
      <c r="K867"/>
    </row>
    <row r="868" spans="5:11" ht="13.5" customHeight="1" x14ac:dyDescent="0.2">
      <c r="E868" s="50"/>
      <c r="H868" s="12"/>
      <c r="K868"/>
    </row>
    <row r="869" spans="5:11" ht="13.5" customHeight="1" x14ac:dyDescent="0.2">
      <c r="E869" s="50"/>
      <c r="H869" s="12"/>
      <c r="K869"/>
    </row>
    <row r="870" spans="5:11" ht="13.5" customHeight="1" x14ac:dyDescent="0.2">
      <c r="E870" s="50"/>
      <c r="H870" s="12"/>
      <c r="K870"/>
    </row>
    <row r="871" spans="5:11" ht="13.5" customHeight="1" x14ac:dyDescent="0.2">
      <c r="E871" s="50"/>
      <c r="H871" s="12"/>
      <c r="K871"/>
    </row>
    <row r="872" spans="5:11" ht="13.5" customHeight="1" x14ac:dyDescent="0.2">
      <c r="E872" s="50"/>
      <c r="H872" s="12"/>
      <c r="K872"/>
    </row>
    <row r="873" spans="5:11" ht="13.5" customHeight="1" x14ac:dyDescent="0.2">
      <c r="E873" s="50"/>
      <c r="H873" s="12"/>
      <c r="K873"/>
    </row>
    <row r="874" spans="5:11" ht="13.5" customHeight="1" x14ac:dyDescent="0.2">
      <c r="E874" s="50"/>
      <c r="H874" s="12"/>
      <c r="K874"/>
    </row>
    <row r="875" spans="5:11" ht="13.5" customHeight="1" x14ac:dyDescent="0.2">
      <c r="E875" s="50"/>
      <c r="H875" s="12"/>
      <c r="K875"/>
    </row>
    <row r="876" spans="5:11" ht="13.5" customHeight="1" x14ac:dyDescent="0.2">
      <c r="E876" s="50"/>
      <c r="H876" s="12"/>
      <c r="K876"/>
    </row>
    <row r="877" spans="5:11" ht="13.5" customHeight="1" x14ac:dyDescent="0.2">
      <c r="E877" s="50"/>
      <c r="H877" s="12"/>
      <c r="K877"/>
    </row>
    <row r="878" spans="5:11" ht="13.5" customHeight="1" x14ac:dyDescent="0.2">
      <c r="E878" s="50"/>
      <c r="H878" s="12"/>
      <c r="K878"/>
    </row>
    <row r="879" spans="5:11" ht="13.5" customHeight="1" x14ac:dyDescent="0.2">
      <c r="E879" s="50"/>
      <c r="H879" s="12"/>
      <c r="K879"/>
    </row>
    <row r="880" spans="5:11" ht="13.5" customHeight="1" x14ac:dyDescent="0.2">
      <c r="E880" s="50"/>
      <c r="H880" s="12"/>
      <c r="K880"/>
    </row>
    <row r="881" spans="5:11" ht="13.5" customHeight="1" x14ac:dyDescent="0.2">
      <c r="E881" s="50"/>
      <c r="H881" s="12"/>
      <c r="K881"/>
    </row>
    <row r="882" spans="5:11" ht="13.5" customHeight="1" x14ac:dyDescent="0.2">
      <c r="E882" s="50"/>
      <c r="H882" s="12"/>
      <c r="K882"/>
    </row>
    <row r="883" spans="5:11" ht="13.5" customHeight="1" x14ac:dyDescent="0.2">
      <c r="E883" s="50"/>
      <c r="H883" s="12"/>
      <c r="K883"/>
    </row>
    <row r="884" spans="5:11" ht="13.5" customHeight="1" x14ac:dyDescent="0.2">
      <c r="E884" s="50"/>
      <c r="H884" s="12"/>
      <c r="K884"/>
    </row>
    <row r="885" spans="5:11" ht="13.5" customHeight="1" x14ac:dyDescent="0.2">
      <c r="E885" s="50"/>
      <c r="H885" s="12"/>
      <c r="K885"/>
    </row>
    <row r="886" spans="5:11" ht="13.5" customHeight="1" x14ac:dyDescent="0.2">
      <c r="E886" s="50"/>
      <c r="H886" s="12"/>
      <c r="K886"/>
    </row>
    <row r="887" spans="5:11" ht="13.5" customHeight="1" x14ac:dyDescent="0.2">
      <c r="E887" s="50"/>
      <c r="H887" s="12"/>
      <c r="K887"/>
    </row>
    <row r="888" spans="5:11" ht="13.5" customHeight="1" x14ac:dyDescent="0.2">
      <c r="E888" s="50"/>
      <c r="H888" s="12"/>
      <c r="K888"/>
    </row>
    <row r="889" spans="5:11" ht="13.5" customHeight="1" x14ac:dyDescent="0.2">
      <c r="E889" s="50"/>
      <c r="H889" s="12"/>
      <c r="K889"/>
    </row>
    <row r="890" spans="5:11" ht="13.5" customHeight="1" x14ac:dyDescent="0.2">
      <c r="E890" s="50"/>
      <c r="H890" s="12"/>
      <c r="K890"/>
    </row>
    <row r="891" spans="5:11" ht="14.25" customHeight="1" x14ac:dyDescent="0.2">
      <c r="E891" s="50"/>
      <c r="H891" s="12"/>
      <c r="K891"/>
    </row>
    <row r="892" spans="5:11" ht="13.5" customHeight="1" x14ac:dyDescent="0.2">
      <c r="E892" s="50"/>
      <c r="H892" s="12"/>
      <c r="K892"/>
    </row>
    <row r="893" spans="5:11" ht="13.5" customHeight="1" x14ac:dyDescent="0.2">
      <c r="E893" s="50"/>
      <c r="H893" s="12"/>
      <c r="K893"/>
    </row>
    <row r="894" spans="5:11" ht="13.5" customHeight="1" x14ac:dyDescent="0.2">
      <c r="E894" s="50"/>
      <c r="H894" s="12"/>
      <c r="K894"/>
    </row>
    <row r="895" spans="5:11" ht="13.5" customHeight="1" x14ac:dyDescent="0.2">
      <c r="E895" s="50"/>
      <c r="H895" s="12"/>
      <c r="K895"/>
    </row>
    <row r="896" spans="5:11" ht="13.5" customHeight="1" x14ac:dyDescent="0.2">
      <c r="E896" s="50"/>
      <c r="H896" s="12"/>
      <c r="K896"/>
    </row>
    <row r="897" spans="5:11" ht="13.5" customHeight="1" x14ac:dyDescent="0.2">
      <c r="E897" s="50"/>
      <c r="H897" s="12"/>
      <c r="K897"/>
    </row>
    <row r="898" spans="5:11" ht="13.5" customHeight="1" x14ac:dyDescent="0.2">
      <c r="E898" s="50"/>
      <c r="H898" s="12"/>
      <c r="K898"/>
    </row>
    <row r="899" spans="5:11" ht="13.5" customHeight="1" x14ac:dyDescent="0.2">
      <c r="E899" s="50"/>
      <c r="H899" s="12"/>
      <c r="K899"/>
    </row>
    <row r="900" spans="5:11" ht="13.5" customHeight="1" x14ac:dyDescent="0.2">
      <c r="E900" s="50"/>
      <c r="H900" s="12"/>
      <c r="K900"/>
    </row>
    <row r="901" spans="5:11" ht="13.5" customHeight="1" x14ac:dyDescent="0.2">
      <c r="E901" s="50"/>
      <c r="H901" s="12"/>
      <c r="K901"/>
    </row>
    <row r="902" spans="5:11" ht="13.5" customHeight="1" x14ac:dyDescent="0.2">
      <c r="E902" s="50"/>
      <c r="H902" s="12"/>
      <c r="K902"/>
    </row>
    <row r="903" spans="5:11" ht="13.5" customHeight="1" x14ac:dyDescent="0.2">
      <c r="E903" s="50"/>
      <c r="H903" s="12"/>
      <c r="K903"/>
    </row>
    <row r="904" spans="5:11" ht="13.5" customHeight="1" x14ac:dyDescent="0.2">
      <c r="E904" s="50"/>
      <c r="H904" s="12"/>
      <c r="K904"/>
    </row>
    <row r="905" spans="5:11" ht="13.5" customHeight="1" x14ac:dyDescent="0.2">
      <c r="E905" s="50"/>
      <c r="H905" s="12"/>
      <c r="K905"/>
    </row>
    <row r="906" spans="5:11" ht="13.5" customHeight="1" x14ac:dyDescent="0.2">
      <c r="E906" s="50"/>
      <c r="H906" s="12"/>
      <c r="K906"/>
    </row>
    <row r="907" spans="5:11" ht="13.5" customHeight="1" x14ac:dyDescent="0.2">
      <c r="E907" s="50"/>
      <c r="H907" s="12"/>
      <c r="K907"/>
    </row>
    <row r="908" spans="5:11" ht="13.5" customHeight="1" x14ac:dyDescent="0.2">
      <c r="E908" s="50"/>
      <c r="H908" s="12"/>
      <c r="K908"/>
    </row>
    <row r="909" spans="5:11" ht="13.5" customHeight="1" x14ac:dyDescent="0.2">
      <c r="E909" s="50"/>
      <c r="H909" s="12"/>
      <c r="K909"/>
    </row>
    <row r="910" spans="5:11" ht="13.5" customHeight="1" x14ac:dyDescent="0.2">
      <c r="E910" s="50"/>
      <c r="H910" s="12"/>
      <c r="K910"/>
    </row>
    <row r="911" spans="5:11" ht="13.5" customHeight="1" x14ac:dyDescent="0.2">
      <c r="E911" s="50"/>
      <c r="H911" s="12"/>
      <c r="K911"/>
    </row>
    <row r="912" spans="5:11" ht="13.5" customHeight="1" x14ac:dyDescent="0.2">
      <c r="E912" s="50"/>
      <c r="H912" s="12"/>
      <c r="K912"/>
    </row>
    <row r="913" spans="5:11" ht="13.5" customHeight="1" x14ac:dyDescent="0.2">
      <c r="E913" s="50"/>
      <c r="H913" s="12"/>
      <c r="K913"/>
    </row>
    <row r="914" spans="5:11" ht="13.5" customHeight="1" x14ac:dyDescent="0.2">
      <c r="E914" s="50"/>
      <c r="H914" s="12"/>
      <c r="K914"/>
    </row>
    <row r="915" spans="5:11" ht="13.5" customHeight="1" x14ac:dyDescent="0.2">
      <c r="E915" s="50"/>
      <c r="H915" s="12"/>
      <c r="K915"/>
    </row>
    <row r="916" spans="5:11" ht="13.5" customHeight="1" x14ac:dyDescent="0.2">
      <c r="E916" s="50"/>
      <c r="H916" s="12"/>
      <c r="K916"/>
    </row>
    <row r="917" spans="5:11" ht="13.5" customHeight="1" x14ac:dyDescent="0.2">
      <c r="E917" s="50"/>
      <c r="H917" s="12"/>
      <c r="K917"/>
    </row>
    <row r="918" spans="5:11" ht="13.5" customHeight="1" x14ac:dyDescent="0.2">
      <c r="E918" s="50"/>
      <c r="H918" s="12"/>
      <c r="K918"/>
    </row>
    <row r="919" spans="5:11" ht="13.5" customHeight="1" x14ac:dyDescent="0.2">
      <c r="E919" s="50"/>
      <c r="H919" s="12"/>
      <c r="K919"/>
    </row>
    <row r="920" spans="5:11" ht="13.5" customHeight="1" x14ac:dyDescent="0.2">
      <c r="E920" s="50"/>
      <c r="H920" s="12"/>
      <c r="K920"/>
    </row>
    <row r="921" spans="5:11" ht="13.5" customHeight="1" x14ac:dyDescent="0.2">
      <c r="E921" s="50"/>
      <c r="H921" s="12"/>
      <c r="K921"/>
    </row>
    <row r="922" spans="5:11" ht="13.5" customHeight="1" x14ac:dyDescent="0.2">
      <c r="E922" s="50"/>
      <c r="H922" s="12"/>
      <c r="K922"/>
    </row>
    <row r="923" spans="5:11" ht="13.5" customHeight="1" x14ac:dyDescent="0.2">
      <c r="E923" s="50"/>
      <c r="H923" s="12"/>
      <c r="K923"/>
    </row>
    <row r="924" spans="5:11" ht="13.5" customHeight="1" x14ac:dyDescent="0.2">
      <c r="E924" s="50"/>
      <c r="H924" s="12"/>
      <c r="K924"/>
    </row>
    <row r="925" spans="5:11" ht="13.5" customHeight="1" x14ac:dyDescent="0.2">
      <c r="E925" s="50"/>
      <c r="H925" s="12"/>
      <c r="K925"/>
    </row>
    <row r="926" spans="5:11" ht="13.5" customHeight="1" x14ac:dyDescent="0.2">
      <c r="E926" s="50"/>
      <c r="H926" s="12"/>
      <c r="K926"/>
    </row>
    <row r="927" spans="5:11" ht="13.5" customHeight="1" x14ac:dyDescent="0.2">
      <c r="E927" s="50"/>
      <c r="H927" s="12"/>
      <c r="K927"/>
    </row>
    <row r="928" spans="5:11" ht="13.5" customHeight="1" x14ac:dyDescent="0.2">
      <c r="E928" s="50"/>
      <c r="H928" s="12"/>
      <c r="K928"/>
    </row>
    <row r="929" spans="5:11" ht="13.5" customHeight="1" x14ac:dyDescent="0.2">
      <c r="E929" s="50"/>
      <c r="H929" s="12"/>
      <c r="K929"/>
    </row>
    <row r="930" spans="5:11" ht="13.5" customHeight="1" x14ac:dyDescent="0.2">
      <c r="E930" s="50"/>
      <c r="H930" s="12"/>
      <c r="K930"/>
    </row>
    <row r="931" spans="5:11" ht="13.5" customHeight="1" x14ac:dyDescent="0.2">
      <c r="E931" s="50"/>
      <c r="H931" s="12"/>
      <c r="K931"/>
    </row>
    <row r="932" spans="5:11" ht="13.5" customHeight="1" x14ac:dyDescent="0.2">
      <c r="E932" s="50"/>
      <c r="H932" s="12"/>
      <c r="K932"/>
    </row>
    <row r="933" spans="5:11" ht="13.5" customHeight="1" x14ac:dyDescent="0.2">
      <c r="E933" s="50"/>
      <c r="H933" s="12"/>
      <c r="K933"/>
    </row>
    <row r="934" spans="5:11" ht="13.5" customHeight="1" x14ac:dyDescent="0.2">
      <c r="E934" s="50"/>
      <c r="H934" s="12"/>
      <c r="K934"/>
    </row>
    <row r="935" spans="5:11" ht="13.5" customHeight="1" x14ac:dyDescent="0.2">
      <c r="E935" s="50"/>
      <c r="H935" s="12"/>
      <c r="K935"/>
    </row>
    <row r="936" spans="5:11" ht="13.5" customHeight="1" x14ac:dyDescent="0.2">
      <c r="E936" s="50"/>
      <c r="H936" s="12"/>
      <c r="K936"/>
    </row>
    <row r="937" spans="5:11" ht="13.5" customHeight="1" x14ac:dyDescent="0.2">
      <c r="E937" s="50"/>
      <c r="H937" s="12"/>
      <c r="K937"/>
    </row>
    <row r="938" spans="5:11" ht="13.5" customHeight="1" x14ac:dyDescent="0.2">
      <c r="E938" s="50"/>
      <c r="H938" s="12"/>
      <c r="K938"/>
    </row>
    <row r="939" spans="5:11" ht="13.5" customHeight="1" x14ac:dyDescent="0.2">
      <c r="E939" s="50"/>
      <c r="H939" s="12"/>
      <c r="K939"/>
    </row>
    <row r="940" spans="5:11" ht="13.5" customHeight="1" x14ac:dyDescent="0.2">
      <c r="E940" s="50"/>
      <c r="H940" s="12"/>
      <c r="K940"/>
    </row>
    <row r="941" spans="5:11" ht="13.5" customHeight="1" x14ac:dyDescent="0.2">
      <c r="E941" s="50"/>
      <c r="H941" s="12"/>
      <c r="K941"/>
    </row>
    <row r="942" spans="5:11" ht="13.5" customHeight="1" x14ac:dyDescent="0.2">
      <c r="E942" s="50"/>
      <c r="H942" s="12"/>
      <c r="K942"/>
    </row>
    <row r="943" spans="5:11" ht="13.5" customHeight="1" x14ac:dyDescent="0.2">
      <c r="E943" s="50"/>
      <c r="H943" s="12"/>
      <c r="K943"/>
    </row>
    <row r="944" spans="5:11" ht="13.5" customHeight="1" x14ac:dyDescent="0.2">
      <c r="E944" s="50"/>
      <c r="H944" s="12"/>
      <c r="K944"/>
    </row>
    <row r="945" spans="5:11" ht="13.5" customHeight="1" x14ac:dyDescent="0.2">
      <c r="E945" s="50"/>
      <c r="H945" s="12"/>
      <c r="K945"/>
    </row>
    <row r="946" spans="5:11" ht="13.5" customHeight="1" x14ac:dyDescent="0.2">
      <c r="E946" s="50"/>
      <c r="H946" s="12"/>
      <c r="K946"/>
    </row>
    <row r="947" spans="5:11" ht="13.5" customHeight="1" x14ac:dyDescent="0.2">
      <c r="E947" s="50"/>
      <c r="H947" s="12"/>
      <c r="K947"/>
    </row>
    <row r="948" spans="5:11" ht="13.5" customHeight="1" x14ac:dyDescent="0.2">
      <c r="E948" s="50"/>
      <c r="H948" s="12"/>
      <c r="K948"/>
    </row>
    <row r="949" spans="5:11" ht="13.5" customHeight="1" x14ac:dyDescent="0.2">
      <c r="E949" s="50"/>
      <c r="H949" s="12"/>
      <c r="K949"/>
    </row>
    <row r="950" spans="5:11" ht="13.5" customHeight="1" x14ac:dyDescent="0.2">
      <c r="E950" s="50"/>
      <c r="H950" s="12"/>
      <c r="K950"/>
    </row>
    <row r="951" spans="5:11" ht="13.5" customHeight="1" x14ac:dyDescent="0.2">
      <c r="E951" s="50"/>
      <c r="H951" s="12"/>
      <c r="K951"/>
    </row>
    <row r="952" spans="5:11" ht="13.5" customHeight="1" x14ac:dyDescent="0.2">
      <c r="E952" s="50"/>
      <c r="H952" s="12"/>
      <c r="K952"/>
    </row>
    <row r="953" spans="5:11" ht="13.5" customHeight="1" x14ac:dyDescent="0.2">
      <c r="E953" s="50"/>
      <c r="H953" s="12"/>
      <c r="K953"/>
    </row>
    <row r="954" spans="5:11" ht="13.5" customHeight="1" x14ac:dyDescent="0.2">
      <c r="E954" s="50"/>
      <c r="H954" s="12"/>
      <c r="K954"/>
    </row>
    <row r="955" spans="5:11" ht="13.5" customHeight="1" x14ac:dyDescent="0.2">
      <c r="E955" s="50"/>
      <c r="H955" s="12"/>
      <c r="K955"/>
    </row>
    <row r="956" spans="5:11" ht="13.5" customHeight="1" x14ac:dyDescent="0.2">
      <c r="E956" s="50"/>
      <c r="H956" s="12"/>
      <c r="K956"/>
    </row>
    <row r="957" spans="5:11" ht="13.5" customHeight="1" x14ac:dyDescent="0.2">
      <c r="E957" s="50"/>
      <c r="H957" s="12"/>
      <c r="K957"/>
    </row>
    <row r="958" spans="5:11" ht="13.5" customHeight="1" x14ac:dyDescent="0.2">
      <c r="E958" s="50"/>
      <c r="H958" s="12"/>
      <c r="K958"/>
    </row>
    <row r="959" spans="5:11" ht="13.5" customHeight="1" x14ac:dyDescent="0.2">
      <c r="E959" s="50"/>
      <c r="H959" s="12"/>
      <c r="K959"/>
    </row>
    <row r="960" spans="5:11" ht="13.5" customHeight="1" x14ac:dyDescent="0.2">
      <c r="E960" s="50"/>
      <c r="H960" s="12"/>
      <c r="K960"/>
    </row>
    <row r="961" spans="5:11" ht="12.75" customHeight="1" x14ac:dyDescent="0.2">
      <c r="E961" s="50"/>
      <c r="H961" s="12"/>
      <c r="K961"/>
    </row>
    <row r="962" spans="5:11" ht="12.75" customHeight="1" x14ac:dyDescent="0.2">
      <c r="E962" s="50"/>
      <c r="H962" s="12"/>
      <c r="K962"/>
    </row>
    <row r="963" spans="5:11" ht="12.75" customHeight="1" x14ac:dyDescent="0.2">
      <c r="E963" s="50"/>
      <c r="H963" s="12"/>
      <c r="K963"/>
    </row>
    <row r="964" spans="5:11" ht="12.75" customHeight="1" x14ac:dyDescent="0.2">
      <c r="E964" s="50"/>
      <c r="H964" s="12"/>
      <c r="K964"/>
    </row>
    <row r="965" spans="5:11" ht="12.75" customHeight="1" x14ac:dyDescent="0.2">
      <c r="E965" s="50"/>
      <c r="H965" s="12"/>
      <c r="K965"/>
    </row>
    <row r="966" spans="5:11" ht="12.75" customHeight="1" x14ac:dyDescent="0.2">
      <c r="E966" s="50"/>
      <c r="H966" s="12"/>
      <c r="K966"/>
    </row>
    <row r="967" spans="5:11" ht="12.75" customHeight="1" x14ac:dyDescent="0.2">
      <c r="E967" s="50"/>
      <c r="H967" s="12"/>
      <c r="K967"/>
    </row>
    <row r="968" spans="5:11" ht="12.75" customHeight="1" x14ac:dyDescent="0.2">
      <c r="E968" s="50"/>
      <c r="H968" s="12"/>
      <c r="K968"/>
    </row>
    <row r="969" spans="5:11" ht="12.75" customHeight="1" x14ac:dyDescent="0.2">
      <c r="E969" s="50"/>
      <c r="H969" s="12"/>
      <c r="K969"/>
    </row>
    <row r="970" spans="5:11" ht="12.75" customHeight="1" x14ac:dyDescent="0.2">
      <c r="E970" s="50"/>
      <c r="H970" s="12"/>
      <c r="K970"/>
    </row>
    <row r="971" spans="5:11" ht="12.75" customHeight="1" x14ac:dyDescent="0.2">
      <c r="E971" s="50"/>
      <c r="H971" s="12"/>
      <c r="K971"/>
    </row>
    <row r="972" spans="5:11" ht="12.75" customHeight="1" x14ac:dyDescent="0.2">
      <c r="E972" s="50"/>
      <c r="H972" s="12"/>
      <c r="K972"/>
    </row>
    <row r="973" spans="5:11" ht="12.75" customHeight="1" x14ac:dyDescent="0.2">
      <c r="E973" s="50"/>
      <c r="H973" s="12"/>
      <c r="K973"/>
    </row>
    <row r="974" spans="5:11" ht="12.75" customHeight="1" x14ac:dyDescent="0.2">
      <c r="E974" s="50"/>
      <c r="H974" s="12"/>
      <c r="K974"/>
    </row>
    <row r="975" spans="5:11" ht="12.75" customHeight="1" x14ac:dyDescent="0.2">
      <c r="E975" s="50"/>
      <c r="H975" s="12"/>
      <c r="K975"/>
    </row>
    <row r="976" spans="5:11" ht="12.75" customHeight="1" x14ac:dyDescent="0.2">
      <c r="E976" s="50"/>
      <c r="H976" s="12"/>
      <c r="K976"/>
    </row>
    <row r="977" spans="5:11" ht="12.75" customHeight="1" x14ac:dyDescent="0.2">
      <c r="E977" s="50"/>
      <c r="H977" s="12"/>
      <c r="K977"/>
    </row>
    <row r="978" spans="5:11" ht="12.75" customHeight="1" x14ac:dyDescent="0.2">
      <c r="E978" s="50"/>
      <c r="H978" s="12"/>
      <c r="K978"/>
    </row>
    <row r="979" spans="5:11" ht="12.75" customHeight="1" x14ac:dyDescent="0.2">
      <c r="E979" s="50"/>
      <c r="H979" s="12"/>
      <c r="K979"/>
    </row>
    <row r="980" spans="5:11" ht="12.75" customHeight="1" x14ac:dyDescent="0.2">
      <c r="E980" s="50"/>
      <c r="H980" s="12"/>
      <c r="K980"/>
    </row>
    <row r="981" spans="5:11" ht="12.75" customHeight="1" x14ac:dyDescent="0.2">
      <c r="E981" s="50"/>
      <c r="H981" s="12"/>
      <c r="K981"/>
    </row>
    <row r="982" spans="5:11" ht="12.75" customHeight="1" x14ac:dyDescent="0.2">
      <c r="E982" s="50"/>
      <c r="H982" s="12"/>
      <c r="K982"/>
    </row>
    <row r="983" spans="5:11" ht="12.75" customHeight="1" x14ac:dyDescent="0.2">
      <c r="E983" s="50"/>
      <c r="H983" s="12"/>
      <c r="K983"/>
    </row>
    <row r="984" spans="5:11" ht="12.75" customHeight="1" x14ac:dyDescent="0.2">
      <c r="E984" s="50"/>
      <c r="H984" s="12"/>
      <c r="K984"/>
    </row>
    <row r="985" spans="5:11" ht="12.75" customHeight="1" x14ac:dyDescent="0.2">
      <c r="E985" s="50"/>
      <c r="H985" s="12"/>
      <c r="K985"/>
    </row>
    <row r="986" spans="5:11" ht="12.75" customHeight="1" x14ac:dyDescent="0.2">
      <c r="E986" s="50"/>
      <c r="H986" s="12"/>
      <c r="K986"/>
    </row>
    <row r="987" spans="5:11" ht="12.75" customHeight="1" x14ac:dyDescent="0.2">
      <c r="E987" s="50"/>
      <c r="H987" s="12"/>
      <c r="K987"/>
    </row>
    <row r="988" spans="5:11" ht="12.75" customHeight="1" x14ac:dyDescent="0.2">
      <c r="E988" s="50"/>
      <c r="H988" s="12"/>
      <c r="K988"/>
    </row>
    <row r="989" spans="5:11" ht="12.75" customHeight="1" x14ac:dyDescent="0.2">
      <c r="E989" s="50"/>
      <c r="H989" s="12"/>
      <c r="K989"/>
    </row>
    <row r="990" spans="5:11" ht="12.75" customHeight="1" x14ac:dyDescent="0.2">
      <c r="E990" s="50"/>
      <c r="H990" s="12"/>
      <c r="K990"/>
    </row>
    <row r="991" spans="5:11" ht="12.75" customHeight="1" x14ac:dyDescent="0.2">
      <c r="E991" s="50"/>
      <c r="H991" s="12"/>
      <c r="K991"/>
    </row>
    <row r="992" spans="5:11" ht="12.75" customHeight="1" x14ac:dyDescent="0.2">
      <c r="E992" s="50"/>
      <c r="H992" s="12"/>
      <c r="K992"/>
    </row>
    <row r="993" spans="5:11" ht="12.75" customHeight="1" x14ac:dyDescent="0.2">
      <c r="E993" s="50"/>
      <c r="H993" s="12"/>
      <c r="K993"/>
    </row>
    <row r="994" spans="5:11" ht="12.75" customHeight="1" x14ac:dyDescent="0.2">
      <c r="E994" s="50"/>
      <c r="H994" s="12"/>
      <c r="K994"/>
    </row>
    <row r="995" spans="5:11" ht="12.75" customHeight="1" x14ac:dyDescent="0.2">
      <c r="E995" s="50"/>
      <c r="H995" s="12"/>
      <c r="K995"/>
    </row>
    <row r="996" spans="5:11" ht="12.75" customHeight="1" x14ac:dyDescent="0.2">
      <c r="E996" s="50"/>
      <c r="H996" s="12"/>
      <c r="K996"/>
    </row>
    <row r="997" spans="5:11" ht="12.75" customHeight="1" x14ac:dyDescent="0.2">
      <c r="E997" s="50"/>
      <c r="H997" s="12"/>
      <c r="K997"/>
    </row>
    <row r="998" spans="5:11" ht="12.75" customHeight="1" x14ac:dyDescent="0.2">
      <c r="E998" s="50"/>
      <c r="H998" s="12"/>
      <c r="K998"/>
    </row>
    <row r="999" spans="5:11" ht="12.75" customHeight="1" x14ac:dyDescent="0.2">
      <c r="E999" s="50"/>
      <c r="H999" s="12"/>
      <c r="K999"/>
    </row>
    <row r="1000" spans="5:11" ht="12.75" customHeight="1" x14ac:dyDescent="0.2">
      <c r="E1000" s="50"/>
      <c r="H1000" s="12"/>
      <c r="K1000"/>
    </row>
    <row r="1001" spans="5:11" ht="12.75" customHeight="1" x14ac:dyDescent="0.2">
      <c r="E1001" s="50"/>
      <c r="H1001" s="12"/>
      <c r="K1001"/>
    </row>
    <row r="1002" spans="5:11" ht="12.75" customHeight="1" x14ac:dyDescent="0.2">
      <c r="E1002" s="50"/>
      <c r="H1002" s="12"/>
      <c r="K1002"/>
    </row>
    <row r="1003" spans="5:11" ht="12.75" customHeight="1" x14ac:dyDescent="0.2">
      <c r="E1003" s="50"/>
      <c r="H1003" s="12"/>
      <c r="K1003"/>
    </row>
    <row r="1004" spans="5:11" ht="12.75" customHeight="1" x14ac:dyDescent="0.2">
      <c r="E1004" s="50"/>
      <c r="H1004" s="12"/>
      <c r="K1004"/>
    </row>
    <row r="1005" spans="5:11" ht="12.75" customHeight="1" x14ac:dyDescent="0.2">
      <c r="E1005" s="50"/>
      <c r="H1005" s="12"/>
      <c r="K1005"/>
    </row>
    <row r="1006" spans="5:11" ht="12.75" customHeight="1" x14ac:dyDescent="0.2">
      <c r="E1006" s="50"/>
      <c r="H1006" s="12"/>
      <c r="K1006"/>
    </row>
    <row r="1007" spans="5:11" ht="12.75" customHeight="1" x14ac:dyDescent="0.2">
      <c r="E1007" s="50"/>
      <c r="H1007" s="12"/>
      <c r="K1007"/>
    </row>
    <row r="1008" spans="5:11" ht="12.75" customHeight="1" x14ac:dyDescent="0.2">
      <c r="E1008" s="50"/>
      <c r="H1008" s="12"/>
      <c r="K1008"/>
    </row>
    <row r="1009" spans="5:11" ht="12.75" customHeight="1" x14ac:dyDescent="0.2">
      <c r="E1009" s="50"/>
      <c r="H1009" s="12"/>
      <c r="K1009"/>
    </row>
    <row r="1010" spans="5:11" ht="12.75" customHeight="1" x14ac:dyDescent="0.2">
      <c r="E1010" s="50"/>
      <c r="H1010" s="12"/>
      <c r="K1010"/>
    </row>
    <row r="1011" spans="5:11" ht="12.75" customHeight="1" x14ac:dyDescent="0.2">
      <c r="E1011" s="50"/>
      <c r="H1011" s="12"/>
      <c r="K1011"/>
    </row>
    <row r="1012" spans="5:11" ht="12.75" customHeight="1" x14ac:dyDescent="0.2">
      <c r="E1012" s="50"/>
      <c r="H1012" s="12"/>
      <c r="K1012"/>
    </row>
    <row r="1013" spans="5:11" ht="12.75" customHeight="1" x14ac:dyDescent="0.2">
      <c r="E1013" s="50"/>
      <c r="H1013" s="12"/>
      <c r="K1013"/>
    </row>
    <row r="1014" spans="5:11" ht="12.75" customHeight="1" x14ac:dyDescent="0.2">
      <c r="E1014" s="50"/>
      <c r="H1014" s="12"/>
      <c r="K1014"/>
    </row>
    <row r="1015" spans="5:11" ht="12.75" customHeight="1" x14ac:dyDescent="0.2">
      <c r="E1015" s="50"/>
      <c r="H1015" s="12"/>
      <c r="K1015"/>
    </row>
    <row r="1016" spans="5:11" ht="12.75" customHeight="1" x14ac:dyDescent="0.2">
      <c r="E1016" s="50"/>
      <c r="H1016" s="12"/>
      <c r="K1016"/>
    </row>
    <row r="1017" spans="5:11" ht="12.75" customHeight="1" x14ac:dyDescent="0.2">
      <c r="E1017" s="50"/>
      <c r="H1017" s="12"/>
      <c r="K1017"/>
    </row>
    <row r="1018" spans="5:11" ht="12.75" customHeight="1" x14ac:dyDescent="0.2">
      <c r="E1018" s="50"/>
      <c r="H1018" s="12"/>
      <c r="K1018"/>
    </row>
    <row r="1019" spans="5:11" ht="12.75" customHeight="1" x14ac:dyDescent="0.2">
      <c r="E1019" s="50"/>
      <c r="H1019" s="12"/>
      <c r="K1019"/>
    </row>
    <row r="1020" spans="5:11" ht="12.75" customHeight="1" x14ac:dyDescent="0.2">
      <c r="E1020" s="50"/>
      <c r="H1020" s="12"/>
      <c r="K1020"/>
    </row>
    <row r="1021" spans="5:11" ht="12.75" customHeight="1" x14ac:dyDescent="0.2">
      <c r="E1021" s="50"/>
      <c r="H1021" s="12"/>
      <c r="K1021"/>
    </row>
    <row r="1022" spans="5:11" ht="12.75" customHeight="1" x14ac:dyDescent="0.2">
      <c r="E1022" s="50"/>
      <c r="H1022" s="12"/>
      <c r="K1022"/>
    </row>
    <row r="1023" spans="5:11" ht="12.75" customHeight="1" x14ac:dyDescent="0.2">
      <c r="E1023" s="50"/>
      <c r="H1023" s="12"/>
      <c r="K1023"/>
    </row>
    <row r="1024" spans="5:11" ht="12.75" customHeight="1" x14ac:dyDescent="0.2">
      <c r="E1024" s="50"/>
      <c r="H1024" s="12"/>
      <c r="K1024"/>
    </row>
    <row r="1025" spans="5:11" ht="12.75" customHeight="1" x14ac:dyDescent="0.2">
      <c r="E1025" s="50"/>
      <c r="H1025" s="12"/>
      <c r="K1025"/>
    </row>
    <row r="1026" spans="5:11" ht="12.75" customHeight="1" x14ac:dyDescent="0.2">
      <c r="E1026" s="50"/>
      <c r="H1026" s="12"/>
      <c r="K1026"/>
    </row>
    <row r="1027" spans="5:11" ht="12.75" customHeight="1" x14ac:dyDescent="0.2">
      <c r="E1027" s="50"/>
      <c r="H1027" s="12"/>
      <c r="K1027"/>
    </row>
    <row r="1028" spans="5:11" ht="12.75" customHeight="1" x14ac:dyDescent="0.2">
      <c r="E1028" s="50"/>
      <c r="H1028" s="12"/>
      <c r="K1028"/>
    </row>
    <row r="1029" spans="5:11" ht="12.75" customHeight="1" x14ac:dyDescent="0.2">
      <c r="E1029" s="50"/>
      <c r="H1029" s="12"/>
      <c r="K1029"/>
    </row>
    <row r="1030" spans="5:11" ht="12.75" customHeight="1" x14ac:dyDescent="0.2">
      <c r="E1030" s="50"/>
      <c r="H1030" s="12"/>
      <c r="K1030"/>
    </row>
    <row r="1031" spans="5:11" ht="12.75" customHeight="1" x14ac:dyDescent="0.2">
      <c r="E1031" s="50"/>
      <c r="H1031" s="12"/>
      <c r="K1031"/>
    </row>
    <row r="1032" spans="5:11" ht="12.75" customHeight="1" x14ac:dyDescent="0.2">
      <c r="E1032" s="50"/>
      <c r="H1032" s="12"/>
      <c r="K1032"/>
    </row>
    <row r="1033" spans="5:11" ht="12.75" customHeight="1" x14ac:dyDescent="0.2">
      <c r="E1033" s="50"/>
      <c r="H1033" s="12"/>
      <c r="K1033"/>
    </row>
    <row r="1034" spans="5:11" ht="12.75" customHeight="1" x14ac:dyDescent="0.2">
      <c r="E1034" s="50"/>
      <c r="H1034" s="12"/>
      <c r="K1034"/>
    </row>
    <row r="1035" spans="5:11" ht="12.75" customHeight="1" x14ac:dyDescent="0.2">
      <c r="E1035" s="50"/>
      <c r="H1035" s="12"/>
      <c r="K1035"/>
    </row>
    <row r="1036" spans="5:11" ht="12.75" customHeight="1" x14ac:dyDescent="0.2">
      <c r="E1036" s="50"/>
      <c r="H1036" s="12"/>
      <c r="K1036"/>
    </row>
    <row r="1037" spans="5:11" ht="12.75" customHeight="1" x14ac:dyDescent="0.2">
      <c r="E1037" s="50"/>
      <c r="H1037" s="12"/>
      <c r="K1037"/>
    </row>
    <row r="1038" spans="5:11" ht="12.75" customHeight="1" x14ac:dyDescent="0.2">
      <c r="E1038" s="50"/>
      <c r="H1038" s="12"/>
      <c r="K1038"/>
    </row>
    <row r="1039" spans="5:11" ht="12.75" customHeight="1" x14ac:dyDescent="0.2">
      <c r="E1039" s="50"/>
      <c r="H1039" s="12"/>
      <c r="K1039"/>
    </row>
    <row r="1040" spans="5:11" ht="12.75" customHeight="1" x14ac:dyDescent="0.2">
      <c r="E1040" s="50"/>
      <c r="H1040" s="12"/>
      <c r="K1040"/>
    </row>
    <row r="1041" spans="5:11" ht="12.75" customHeight="1" x14ac:dyDescent="0.2">
      <c r="E1041" s="50"/>
      <c r="H1041" s="12"/>
      <c r="K1041"/>
    </row>
    <row r="1042" spans="5:11" ht="12.75" customHeight="1" x14ac:dyDescent="0.2">
      <c r="E1042" s="50"/>
      <c r="H1042" s="12"/>
      <c r="K1042"/>
    </row>
    <row r="1043" spans="5:11" ht="12.75" customHeight="1" x14ac:dyDescent="0.2">
      <c r="E1043" s="50"/>
      <c r="H1043" s="12"/>
      <c r="K1043"/>
    </row>
    <row r="1044" spans="5:11" ht="12.75" customHeight="1" x14ac:dyDescent="0.2">
      <c r="E1044" s="50"/>
      <c r="H1044" s="12"/>
      <c r="K1044"/>
    </row>
    <row r="1045" spans="5:11" ht="12.75" customHeight="1" x14ac:dyDescent="0.2">
      <c r="E1045" s="50"/>
      <c r="H1045" s="12"/>
      <c r="K1045"/>
    </row>
    <row r="1046" spans="5:11" ht="12.75" customHeight="1" x14ac:dyDescent="0.2">
      <c r="E1046" s="50"/>
      <c r="H1046" s="12"/>
      <c r="K1046"/>
    </row>
    <row r="1047" spans="5:11" ht="12.75" customHeight="1" x14ac:dyDescent="0.2">
      <c r="E1047" s="50"/>
      <c r="H1047" s="12"/>
      <c r="K1047"/>
    </row>
    <row r="1048" spans="5:11" ht="12.75" customHeight="1" x14ac:dyDescent="0.2">
      <c r="E1048" s="50"/>
      <c r="H1048" s="12"/>
      <c r="K1048"/>
    </row>
    <row r="1049" spans="5:11" ht="12.75" customHeight="1" x14ac:dyDescent="0.2">
      <c r="E1049" s="50"/>
      <c r="H1049" s="12"/>
      <c r="K1049"/>
    </row>
    <row r="1050" spans="5:11" ht="12.75" customHeight="1" x14ac:dyDescent="0.2">
      <c r="E1050" s="50"/>
      <c r="H1050" s="12"/>
      <c r="K1050"/>
    </row>
    <row r="1051" spans="5:11" ht="12.75" customHeight="1" x14ac:dyDescent="0.2">
      <c r="E1051" s="50"/>
      <c r="H1051" s="12"/>
      <c r="K1051"/>
    </row>
    <row r="1052" spans="5:11" ht="12.75" customHeight="1" x14ac:dyDescent="0.2">
      <c r="E1052" s="50"/>
      <c r="H1052" s="12"/>
      <c r="K1052"/>
    </row>
    <row r="1053" spans="5:11" ht="12.75" customHeight="1" x14ac:dyDescent="0.2">
      <c r="E1053" s="50"/>
      <c r="H1053" s="12"/>
      <c r="K1053"/>
    </row>
    <row r="1054" spans="5:11" ht="12.75" customHeight="1" x14ac:dyDescent="0.2">
      <c r="E1054" s="50"/>
      <c r="H1054" s="12"/>
      <c r="K1054"/>
    </row>
    <row r="1055" spans="5:11" ht="12.75" customHeight="1" x14ac:dyDescent="0.2">
      <c r="E1055" s="50"/>
      <c r="H1055" s="12"/>
      <c r="K1055"/>
    </row>
    <row r="1056" spans="5:11" ht="12.75" customHeight="1" x14ac:dyDescent="0.2">
      <c r="E1056" s="50"/>
      <c r="H1056" s="12"/>
      <c r="K1056"/>
    </row>
    <row r="1057" spans="5:11" ht="12.75" customHeight="1" x14ac:dyDescent="0.2">
      <c r="E1057" s="50"/>
      <c r="H1057" s="12"/>
      <c r="K1057"/>
    </row>
    <row r="1058" spans="5:11" ht="12.75" customHeight="1" x14ac:dyDescent="0.2">
      <c r="E1058" s="50"/>
      <c r="H1058" s="12"/>
      <c r="K1058"/>
    </row>
    <row r="1059" spans="5:11" ht="12.75" customHeight="1" x14ac:dyDescent="0.2">
      <c r="E1059" s="50"/>
      <c r="H1059" s="12"/>
      <c r="K1059"/>
    </row>
    <row r="1060" spans="5:11" ht="12.75" customHeight="1" x14ac:dyDescent="0.2">
      <c r="E1060" s="50"/>
      <c r="H1060" s="12"/>
      <c r="K1060"/>
    </row>
    <row r="1061" spans="5:11" ht="12.75" customHeight="1" x14ac:dyDescent="0.2">
      <c r="E1061" s="50"/>
      <c r="H1061" s="12"/>
      <c r="K1061"/>
    </row>
    <row r="1062" spans="5:11" ht="12.75" customHeight="1" x14ac:dyDescent="0.2">
      <c r="E1062" s="50"/>
      <c r="H1062" s="12"/>
      <c r="K1062"/>
    </row>
    <row r="1063" spans="5:11" ht="12.75" customHeight="1" x14ac:dyDescent="0.2">
      <c r="E1063" s="50"/>
      <c r="H1063" s="12"/>
      <c r="K1063"/>
    </row>
    <row r="1064" spans="5:11" ht="12.75" customHeight="1" x14ac:dyDescent="0.2">
      <c r="E1064" s="50"/>
      <c r="H1064" s="12"/>
      <c r="K1064"/>
    </row>
    <row r="1065" spans="5:11" ht="12.75" customHeight="1" x14ac:dyDescent="0.2">
      <c r="E1065" s="50"/>
      <c r="H1065" s="12"/>
      <c r="K1065"/>
    </row>
    <row r="1066" spans="5:11" ht="12.75" customHeight="1" x14ac:dyDescent="0.2">
      <c r="E1066" s="50"/>
      <c r="H1066" s="12"/>
      <c r="K1066"/>
    </row>
    <row r="1067" spans="5:11" ht="12.75" customHeight="1" x14ac:dyDescent="0.2">
      <c r="E1067" s="50"/>
      <c r="H1067" s="12"/>
      <c r="K1067"/>
    </row>
    <row r="1068" spans="5:11" ht="12.75" customHeight="1" x14ac:dyDescent="0.2">
      <c r="E1068" s="50"/>
      <c r="H1068" s="12"/>
      <c r="K1068"/>
    </row>
    <row r="1069" spans="5:11" ht="12.75" customHeight="1" x14ac:dyDescent="0.2">
      <c r="E1069" s="50"/>
      <c r="H1069" s="12"/>
      <c r="K1069"/>
    </row>
    <row r="1070" spans="5:11" ht="12.75" customHeight="1" x14ac:dyDescent="0.2">
      <c r="E1070" s="50"/>
      <c r="H1070" s="12"/>
      <c r="K1070"/>
    </row>
    <row r="1071" spans="5:11" ht="12.75" customHeight="1" x14ac:dyDescent="0.2">
      <c r="E1071" s="50"/>
      <c r="H1071" s="12"/>
      <c r="K1071"/>
    </row>
    <row r="1072" spans="5:11" ht="12.75" customHeight="1" x14ac:dyDescent="0.2">
      <c r="E1072" s="50"/>
      <c r="H1072" s="12"/>
      <c r="K1072"/>
    </row>
    <row r="1073" spans="5:11" ht="12.75" customHeight="1" x14ac:dyDescent="0.2">
      <c r="E1073" s="50"/>
      <c r="H1073" s="12"/>
      <c r="K1073"/>
    </row>
    <row r="1074" spans="5:11" ht="12.75" customHeight="1" x14ac:dyDescent="0.2">
      <c r="E1074" s="50"/>
      <c r="H1074" s="12"/>
      <c r="K1074"/>
    </row>
    <row r="1075" spans="5:11" ht="12.75" customHeight="1" x14ac:dyDescent="0.2">
      <c r="E1075" s="50"/>
      <c r="H1075" s="12"/>
      <c r="K1075"/>
    </row>
    <row r="1076" spans="5:11" ht="12.75" customHeight="1" x14ac:dyDescent="0.2">
      <c r="E1076" s="50"/>
      <c r="H1076" s="12"/>
      <c r="K1076"/>
    </row>
    <row r="1077" spans="5:11" ht="12.75" customHeight="1" x14ac:dyDescent="0.2">
      <c r="E1077" s="50"/>
      <c r="H1077" s="12"/>
      <c r="K1077"/>
    </row>
    <row r="1078" spans="5:11" ht="12.75" customHeight="1" x14ac:dyDescent="0.2">
      <c r="E1078" s="50"/>
      <c r="H1078" s="12"/>
      <c r="K1078"/>
    </row>
    <row r="1079" spans="5:11" ht="12.75" customHeight="1" x14ac:dyDescent="0.2">
      <c r="E1079" s="50"/>
      <c r="H1079" s="12"/>
      <c r="K1079"/>
    </row>
    <row r="1080" spans="5:11" ht="12.75" customHeight="1" x14ac:dyDescent="0.2">
      <c r="E1080" s="50"/>
      <c r="H1080" s="12"/>
      <c r="K1080"/>
    </row>
    <row r="1081" spans="5:11" ht="12.75" customHeight="1" x14ac:dyDescent="0.2">
      <c r="E1081" s="50"/>
      <c r="H1081" s="12"/>
      <c r="K1081"/>
    </row>
    <row r="1082" spans="5:11" ht="12.75" customHeight="1" x14ac:dyDescent="0.2">
      <c r="E1082" s="50"/>
      <c r="H1082" s="12"/>
      <c r="K1082"/>
    </row>
    <row r="1083" spans="5:11" ht="12.75" customHeight="1" x14ac:dyDescent="0.2">
      <c r="E1083" s="50"/>
      <c r="H1083" s="12"/>
      <c r="K1083"/>
    </row>
    <row r="1084" spans="5:11" ht="12.75" customHeight="1" x14ac:dyDescent="0.2">
      <c r="E1084" s="50"/>
      <c r="H1084" s="12"/>
      <c r="K1084"/>
    </row>
    <row r="1085" spans="5:11" ht="12.75" customHeight="1" x14ac:dyDescent="0.2">
      <c r="E1085" s="50"/>
      <c r="H1085" s="12"/>
      <c r="K1085"/>
    </row>
    <row r="1086" spans="5:11" ht="12.75" customHeight="1" x14ac:dyDescent="0.2">
      <c r="E1086" s="50"/>
      <c r="H1086" s="12"/>
      <c r="K1086"/>
    </row>
    <row r="1087" spans="5:11" ht="12.75" customHeight="1" x14ac:dyDescent="0.2">
      <c r="E1087" s="50"/>
      <c r="H1087" s="12"/>
      <c r="K1087"/>
    </row>
    <row r="1088" spans="5:11" ht="12.75" customHeight="1" x14ac:dyDescent="0.2">
      <c r="E1088" s="50"/>
      <c r="H1088" s="12"/>
      <c r="K1088"/>
    </row>
    <row r="1089" spans="5:11" ht="12.75" customHeight="1" x14ac:dyDescent="0.2">
      <c r="E1089" s="50"/>
      <c r="H1089" s="12"/>
      <c r="K1089"/>
    </row>
    <row r="1090" spans="5:11" ht="12.75" customHeight="1" x14ac:dyDescent="0.2">
      <c r="E1090" s="50"/>
      <c r="H1090" s="12"/>
      <c r="K1090"/>
    </row>
    <row r="1091" spans="5:11" ht="12.75" customHeight="1" x14ac:dyDescent="0.2">
      <c r="E1091" s="50"/>
      <c r="H1091" s="12"/>
      <c r="K1091"/>
    </row>
    <row r="1092" spans="5:11" ht="12.75" customHeight="1" x14ac:dyDescent="0.2">
      <c r="E1092" s="50"/>
      <c r="H1092" s="12"/>
      <c r="K1092"/>
    </row>
    <row r="1093" spans="5:11" ht="12.75" customHeight="1" x14ac:dyDescent="0.2">
      <c r="E1093" s="50"/>
      <c r="H1093" s="12"/>
      <c r="K1093"/>
    </row>
    <row r="1094" spans="5:11" ht="12.75" customHeight="1" x14ac:dyDescent="0.2">
      <c r="E1094" s="50"/>
      <c r="H1094" s="12"/>
      <c r="K1094"/>
    </row>
    <row r="1095" spans="5:11" ht="12.75" customHeight="1" x14ac:dyDescent="0.2">
      <c r="E1095" s="50"/>
      <c r="H1095" s="12"/>
      <c r="K1095"/>
    </row>
    <row r="1096" spans="5:11" ht="12.75" customHeight="1" x14ac:dyDescent="0.2">
      <c r="E1096" s="50"/>
      <c r="H1096" s="12"/>
      <c r="K1096"/>
    </row>
    <row r="1097" spans="5:11" ht="12.75" customHeight="1" x14ac:dyDescent="0.2">
      <c r="E1097" s="50"/>
      <c r="H1097" s="12"/>
      <c r="K1097"/>
    </row>
    <row r="1098" spans="5:11" ht="12.75" customHeight="1" x14ac:dyDescent="0.2">
      <c r="E1098" s="50"/>
      <c r="H1098" s="12"/>
      <c r="K1098"/>
    </row>
    <row r="1099" spans="5:11" ht="12.75" customHeight="1" x14ac:dyDescent="0.2">
      <c r="E1099" s="50"/>
      <c r="H1099" s="12"/>
      <c r="K1099"/>
    </row>
    <row r="1100" spans="5:11" ht="12.75" customHeight="1" x14ac:dyDescent="0.2">
      <c r="E1100" s="50"/>
      <c r="H1100" s="12"/>
      <c r="K1100"/>
    </row>
    <row r="1101" spans="5:11" ht="12.75" customHeight="1" x14ac:dyDescent="0.2">
      <c r="E1101" s="50"/>
      <c r="H1101" s="12"/>
      <c r="K1101"/>
    </row>
    <row r="1102" spans="5:11" ht="12.75" customHeight="1" x14ac:dyDescent="0.2">
      <c r="E1102" s="50"/>
      <c r="H1102" s="12"/>
      <c r="K1102"/>
    </row>
    <row r="1103" spans="5:11" ht="12.75" customHeight="1" x14ac:dyDescent="0.2">
      <c r="E1103" s="50"/>
      <c r="H1103" s="12"/>
      <c r="K1103"/>
    </row>
    <row r="1104" spans="5:11" ht="12.75" customHeight="1" x14ac:dyDescent="0.2">
      <c r="E1104" s="50"/>
      <c r="H1104" s="12"/>
      <c r="K1104"/>
    </row>
    <row r="1105" spans="5:11" ht="12.75" customHeight="1" x14ac:dyDescent="0.2">
      <c r="E1105" s="50"/>
      <c r="H1105" s="12"/>
      <c r="K1105"/>
    </row>
    <row r="1106" spans="5:11" ht="12.75" customHeight="1" x14ac:dyDescent="0.2">
      <c r="E1106" s="50"/>
      <c r="H1106" s="12"/>
      <c r="K1106"/>
    </row>
    <row r="1107" spans="5:11" ht="12.75" customHeight="1" x14ac:dyDescent="0.2">
      <c r="E1107" s="50"/>
      <c r="H1107" s="12"/>
      <c r="K1107"/>
    </row>
    <row r="1108" spans="5:11" ht="12.75" customHeight="1" x14ac:dyDescent="0.2">
      <c r="E1108" s="50"/>
      <c r="H1108" s="12"/>
      <c r="K1108"/>
    </row>
    <row r="1109" spans="5:11" ht="12.75" customHeight="1" x14ac:dyDescent="0.2">
      <c r="E1109" s="50"/>
      <c r="H1109" s="12"/>
      <c r="K1109"/>
    </row>
    <row r="1110" spans="5:11" ht="12.75" customHeight="1" x14ac:dyDescent="0.2">
      <c r="E1110" s="50"/>
      <c r="H1110" s="12"/>
      <c r="K1110"/>
    </row>
    <row r="1111" spans="5:11" ht="12.75" customHeight="1" x14ac:dyDescent="0.2">
      <c r="E1111" s="50"/>
      <c r="H1111" s="12"/>
      <c r="K1111"/>
    </row>
    <row r="1112" spans="5:11" ht="12.75" customHeight="1" x14ac:dyDescent="0.2">
      <c r="E1112" s="50"/>
      <c r="H1112" s="12"/>
      <c r="K1112"/>
    </row>
    <row r="1113" spans="5:11" ht="12.75" customHeight="1" x14ac:dyDescent="0.2">
      <c r="E1113" s="50"/>
      <c r="H1113" s="12"/>
      <c r="K1113"/>
    </row>
    <row r="1114" spans="5:11" ht="12.75" customHeight="1" x14ac:dyDescent="0.2">
      <c r="E1114" s="50"/>
      <c r="H1114" s="12"/>
      <c r="K1114"/>
    </row>
    <row r="1115" spans="5:11" ht="12.75" customHeight="1" x14ac:dyDescent="0.2">
      <c r="E1115" s="50"/>
      <c r="H1115" s="12"/>
      <c r="K1115"/>
    </row>
    <row r="1116" spans="5:11" ht="12.75" customHeight="1" x14ac:dyDescent="0.2">
      <c r="E1116" s="50"/>
      <c r="H1116" s="12"/>
      <c r="K1116"/>
    </row>
    <row r="1117" spans="5:11" ht="12.75" customHeight="1" x14ac:dyDescent="0.2">
      <c r="E1117" s="50"/>
      <c r="H1117" s="12"/>
      <c r="K1117"/>
    </row>
    <row r="1118" spans="5:11" ht="12.75" customHeight="1" x14ac:dyDescent="0.2">
      <c r="E1118" s="50"/>
      <c r="H1118" s="12"/>
      <c r="K1118"/>
    </row>
    <row r="1119" spans="5:11" ht="12.75" customHeight="1" x14ac:dyDescent="0.2">
      <c r="E1119" s="50"/>
      <c r="H1119" s="12"/>
      <c r="K1119"/>
    </row>
    <row r="1120" spans="5:11" ht="12.75" customHeight="1" x14ac:dyDescent="0.2">
      <c r="E1120" s="50"/>
      <c r="H1120" s="12"/>
      <c r="K1120"/>
    </row>
    <row r="1121" spans="5:11" ht="12.75" customHeight="1" x14ac:dyDescent="0.2">
      <c r="E1121" s="50"/>
      <c r="H1121" s="12"/>
      <c r="K1121"/>
    </row>
    <row r="1122" spans="5:11" ht="12.75" customHeight="1" x14ac:dyDescent="0.2">
      <c r="E1122" s="50"/>
      <c r="H1122" s="12"/>
      <c r="K1122"/>
    </row>
    <row r="1123" spans="5:11" ht="12.75" customHeight="1" x14ac:dyDescent="0.2">
      <c r="E1123" s="50"/>
      <c r="H1123" s="12"/>
      <c r="K1123"/>
    </row>
    <row r="1124" spans="5:11" ht="12.75" customHeight="1" x14ac:dyDescent="0.2">
      <c r="E1124" s="50"/>
      <c r="H1124" s="12"/>
      <c r="K1124"/>
    </row>
    <row r="1125" spans="5:11" ht="12.75" customHeight="1" x14ac:dyDescent="0.2">
      <c r="E1125" s="50"/>
      <c r="H1125" s="12"/>
      <c r="K1125"/>
    </row>
    <row r="1126" spans="5:11" ht="12.75" customHeight="1" x14ac:dyDescent="0.2">
      <c r="E1126" s="50"/>
      <c r="H1126" s="12"/>
      <c r="K1126"/>
    </row>
    <row r="1127" spans="5:11" ht="12.75" customHeight="1" x14ac:dyDescent="0.2">
      <c r="E1127" s="50"/>
      <c r="H1127" s="12"/>
      <c r="K1127"/>
    </row>
    <row r="1128" spans="5:11" ht="12.75" customHeight="1" x14ac:dyDescent="0.2">
      <c r="E1128" s="50"/>
      <c r="H1128" s="12"/>
      <c r="K1128"/>
    </row>
    <row r="1129" spans="5:11" ht="12.75" customHeight="1" x14ac:dyDescent="0.2">
      <c r="E1129" s="50"/>
      <c r="H1129" s="12"/>
      <c r="K1129"/>
    </row>
    <row r="1130" spans="5:11" ht="12.75" customHeight="1" x14ac:dyDescent="0.2">
      <c r="E1130" s="50"/>
      <c r="H1130" s="12"/>
      <c r="K1130"/>
    </row>
    <row r="1131" spans="5:11" ht="12.75" customHeight="1" x14ac:dyDescent="0.2">
      <c r="E1131" s="50"/>
      <c r="H1131" s="12"/>
      <c r="K1131"/>
    </row>
    <row r="1132" spans="5:11" ht="12.75" customHeight="1" x14ac:dyDescent="0.2">
      <c r="E1132" s="50"/>
      <c r="H1132" s="12"/>
      <c r="K1132"/>
    </row>
    <row r="1133" spans="5:11" ht="12.75" customHeight="1" x14ac:dyDescent="0.2">
      <c r="E1133" s="50"/>
      <c r="H1133" s="12"/>
      <c r="K1133"/>
    </row>
    <row r="1134" spans="5:11" ht="12.75" customHeight="1" x14ac:dyDescent="0.2">
      <c r="E1134" s="50"/>
      <c r="H1134" s="12"/>
      <c r="K1134"/>
    </row>
    <row r="1135" spans="5:11" ht="12.75" customHeight="1" x14ac:dyDescent="0.2">
      <c r="E1135" s="50"/>
      <c r="H1135" s="12"/>
      <c r="K1135"/>
    </row>
    <row r="1136" spans="5:11" ht="12.75" customHeight="1" x14ac:dyDescent="0.2">
      <c r="E1136" s="50"/>
      <c r="H1136" s="12"/>
      <c r="K1136"/>
    </row>
    <row r="1137" spans="5:11" ht="12.75" customHeight="1" x14ac:dyDescent="0.2">
      <c r="E1137" s="50"/>
      <c r="H1137" s="12"/>
      <c r="K1137"/>
    </row>
    <row r="1138" spans="5:11" ht="12.75" customHeight="1" x14ac:dyDescent="0.2">
      <c r="E1138" s="50"/>
      <c r="H1138" s="12"/>
      <c r="K1138"/>
    </row>
    <row r="1139" spans="5:11" ht="12.75" customHeight="1" x14ac:dyDescent="0.2">
      <c r="E1139" s="50"/>
      <c r="H1139" s="12"/>
      <c r="K1139"/>
    </row>
    <row r="1140" spans="5:11" ht="12.75" customHeight="1" x14ac:dyDescent="0.2">
      <c r="E1140" s="50"/>
      <c r="H1140" s="12"/>
      <c r="K1140"/>
    </row>
    <row r="1141" spans="5:11" ht="12.75" customHeight="1" x14ac:dyDescent="0.2">
      <c r="E1141" s="50"/>
      <c r="H1141" s="12"/>
      <c r="K1141"/>
    </row>
    <row r="1142" spans="5:11" ht="12.75" customHeight="1" x14ac:dyDescent="0.2">
      <c r="E1142" s="50"/>
      <c r="H1142" s="12"/>
      <c r="K1142"/>
    </row>
    <row r="1143" spans="5:11" ht="12.75" customHeight="1" x14ac:dyDescent="0.2">
      <c r="E1143" s="50"/>
      <c r="H1143" s="12"/>
      <c r="K1143"/>
    </row>
    <row r="1144" spans="5:11" ht="12.75" customHeight="1" x14ac:dyDescent="0.2">
      <c r="E1144" s="50"/>
      <c r="H1144" s="12"/>
      <c r="K1144"/>
    </row>
    <row r="1145" spans="5:11" ht="12.75" customHeight="1" x14ac:dyDescent="0.2">
      <c r="E1145" s="50"/>
      <c r="H1145" s="12"/>
      <c r="K1145"/>
    </row>
    <row r="1146" spans="5:11" ht="12.75" customHeight="1" x14ac:dyDescent="0.2">
      <c r="E1146" s="50"/>
      <c r="H1146" s="12"/>
      <c r="K1146"/>
    </row>
    <row r="1147" spans="5:11" ht="12.75" customHeight="1" x14ac:dyDescent="0.2">
      <c r="E1147" s="50"/>
      <c r="H1147" s="12"/>
      <c r="K1147"/>
    </row>
    <row r="1148" spans="5:11" ht="12.75" customHeight="1" x14ac:dyDescent="0.2">
      <c r="E1148" s="50"/>
      <c r="H1148" s="12"/>
      <c r="K1148"/>
    </row>
    <row r="1149" spans="5:11" ht="12.75" customHeight="1" x14ac:dyDescent="0.2">
      <c r="E1149" s="50"/>
      <c r="H1149" s="12"/>
      <c r="K1149"/>
    </row>
    <row r="1150" spans="5:11" ht="12.75" customHeight="1" x14ac:dyDescent="0.2">
      <c r="E1150" s="50"/>
      <c r="H1150" s="12"/>
      <c r="K1150"/>
    </row>
    <row r="1151" spans="5:11" ht="12.75" customHeight="1" x14ac:dyDescent="0.2">
      <c r="E1151" s="50"/>
      <c r="H1151" s="12"/>
      <c r="K1151"/>
    </row>
    <row r="1152" spans="5:11" ht="12.75" customHeight="1" x14ac:dyDescent="0.2">
      <c r="E1152" s="50"/>
      <c r="H1152" s="12"/>
      <c r="K1152"/>
    </row>
    <row r="1153" spans="5:11" ht="12.75" customHeight="1" x14ac:dyDescent="0.2">
      <c r="E1153" s="50"/>
      <c r="H1153" s="12"/>
      <c r="K1153"/>
    </row>
    <row r="1154" spans="5:11" ht="12.75" customHeight="1" x14ac:dyDescent="0.2">
      <c r="E1154" s="50"/>
      <c r="H1154" s="12"/>
      <c r="K1154"/>
    </row>
    <row r="1155" spans="5:11" ht="12.75" customHeight="1" x14ac:dyDescent="0.2">
      <c r="E1155" s="50"/>
      <c r="H1155" s="12"/>
      <c r="K1155"/>
    </row>
    <row r="1156" spans="5:11" ht="12.75" customHeight="1" x14ac:dyDescent="0.2">
      <c r="E1156" s="50"/>
      <c r="H1156" s="12"/>
      <c r="K1156"/>
    </row>
    <row r="1157" spans="5:11" ht="12.75" customHeight="1" x14ac:dyDescent="0.2">
      <c r="E1157" s="50"/>
      <c r="H1157" s="12"/>
      <c r="K1157"/>
    </row>
    <row r="1158" spans="5:11" ht="12.75" customHeight="1" x14ac:dyDescent="0.2">
      <c r="E1158" s="50"/>
      <c r="H1158" s="12"/>
      <c r="K1158"/>
    </row>
    <row r="1159" spans="5:11" ht="12.75" customHeight="1" x14ac:dyDescent="0.2">
      <c r="E1159" s="50"/>
      <c r="H1159" s="12"/>
      <c r="K1159"/>
    </row>
    <row r="1160" spans="5:11" ht="12.75" customHeight="1" x14ac:dyDescent="0.2">
      <c r="E1160" s="50"/>
      <c r="H1160" s="12"/>
      <c r="K1160"/>
    </row>
    <row r="1161" spans="5:11" ht="12.75" customHeight="1" x14ac:dyDescent="0.2">
      <c r="E1161" s="50"/>
      <c r="H1161" s="12"/>
      <c r="K1161"/>
    </row>
    <row r="1162" spans="5:11" ht="12.75" customHeight="1" x14ac:dyDescent="0.2">
      <c r="E1162" s="50"/>
      <c r="H1162" s="12"/>
      <c r="K1162"/>
    </row>
    <row r="1163" spans="5:11" ht="12.75" customHeight="1" x14ac:dyDescent="0.2">
      <c r="E1163" s="50"/>
      <c r="H1163" s="12"/>
      <c r="K1163"/>
    </row>
    <row r="1164" spans="5:11" ht="12.75" customHeight="1" x14ac:dyDescent="0.2">
      <c r="E1164" s="50"/>
      <c r="H1164" s="12"/>
      <c r="K1164"/>
    </row>
    <row r="1165" spans="5:11" ht="12.75" customHeight="1" x14ac:dyDescent="0.2">
      <c r="E1165" s="50"/>
      <c r="H1165" s="12"/>
      <c r="K1165"/>
    </row>
    <row r="1166" spans="5:11" ht="12.75" customHeight="1" x14ac:dyDescent="0.2">
      <c r="E1166" s="50"/>
      <c r="H1166" s="12"/>
      <c r="K1166"/>
    </row>
    <row r="1167" spans="5:11" ht="12.75" customHeight="1" x14ac:dyDescent="0.2">
      <c r="E1167" s="50"/>
      <c r="H1167" s="12"/>
      <c r="K1167"/>
    </row>
    <row r="1168" spans="5:11" ht="12.75" customHeight="1" x14ac:dyDescent="0.2">
      <c r="E1168" s="50"/>
      <c r="H1168" s="12"/>
      <c r="K1168"/>
    </row>
    <row r="1169" spans="5:11" ht="12.75" customHeight="1" x14ac:dyDescent="0.2">
      <c r="E1169" s="50"/>
      <c r="H1169" s="12"/>
      <c r="K1169"/>
    </row>
    <row r="1170" spans="5:11" ht="12.75" customHeight="1" x14ac:dyDescent="0.2">
      <c r="E1170" s="50"/>
      <c r="H1170" s="12"/>
      <c r="K1170"/>
    </row>
    <row r="1171" spans="5:11" ht="12.75" customHeight="1" x14ac:dyDescent="0.2">
      <c r="E1171" s="50"/>
      <c r="H1171" s="12"/>
      <c r="K1171"/>
    </row>
    <row r="1172" spans="5:11" ht="12.75" customHeight="1" x14ac:dyDescent="0.2">
      <c r="E1172" s="50"/>
      <c r="H1172" s="12"/>
      <c r="K1172"/>
    </row>
    <row r="1173" spans="5:11" ht="12.75" customHeight="1" x14ac:dyDescent="0.2">
      <c r="E1173" s="50"/>
      <c r="H1173" s="12"/>
      <c r="K1173"/>
    </row>
    <row r="1174" spans="5:11" ht="12.75" customHeight="1" x14ac:dyDescent="0.2">
      <c r="E1174" s="50"/>
      <c r="H1174" s="12"/>
      <c r="K1174"/>
    </row>
    <row r="1175" spans="5:11" ht="12.75" customHeight="1" x14ac:dyDescent="0.2">
      <c r="E1175" s="50"/>
      <c r="H1175" s="12"/>
      <c r="K1175"/>
    </row>
    <row r="1176" spans="5:11" ht="12.75" customHeight="1" x14ac:dyDescent="0.2">
      <c r="E1176" s="50"/>
      <c r="H1176" s="12"/>
      <c r="K1176"/>
    </row>
    <row r="1177" spans="5:11" ht="12.75" customHeight="1" x14ac:dyDescent="0.2">
      <c r="E1177" s="50"/>
      <c r="H1177" s="12"/>
      <c r="K1177"/>
    </row>
    <row r="1178" spans="5:11" ht="12.75" customHeight="1" x14ac:dyDescent="0.2">
      <c r="E1178" s="50"/>
      <c r="H1178" s="12"/>
      <c r="K1178"/>
    </row>
    <row r="1179" spans="5:11" ht="12.75" customHeight="1" x14ac:dyDescent="0.2">
      <c r="E1179" s="50"/>
      <c r="H1179" s="12"/>
      <c r="K1179"/>
    </row>
    <row r="1180" spans="5:11" ht="12.75" customHeight="1" x14ac:dyDescent="0.2">
      <c r="E1180" s="50"/>
      <c r="H1180" s="12"/>
      <c r="K1180"/>
    </row>
    <row r="1181" spans="5:11" ht="12.75" customHeight="1" x14ac:dyDescent="0.2">
      <c r="E1181" s="50"/>
      <c r="H1181" s="12"/>
      <c r="K1181"/>
    </row>
    <row r="1182" spans="5:11" ht="12.75" customHeight="1" x14ac:dyDescent="0.2">
      <c r="E1182" s="50"/>
      <c r="H1182" s="12"/>
      <c r="K1182"/>
    </row>
    <row r="1183" spans="5:11" ht="12.75" customHeight="1" x14ac:dyDescent="0.2">
      <c r="E1183" s="50"/>
      <c r="H1183" s="12"/>
      <c r="K1183"/>
    </row>
    <row r="1184" spans="5:11" ht="12.75" customHeight="1" x14ac:dyDescent="0.2">
      <c r="E1184" s="50"/>
      <c r="H1184" s="12"/>
      <c r="K1184"/>
    </row>
    <row r="1185" spans="5:11" ht="12.75" customHeight="1" x14ac:dyDescent="0.2">
      <c r="E1185" s="50"/>
      <c r="H1185" s="12"/>
      <c r="K1185"/>
    </row>
    <row r="1186" spans="5:11" ht="12.75" customHeight="1" x14ac:dyDescent="0.2">
      <c r="E1186" s="50"/>
      <c r="H1186" s="12"/>
      <c r="K1186"/>
    </row>
    <row r="1187" spans="5:11" ht="12.75" customHeight="1" x14ac:dyDescent="0.2">
      <c r="E1187" s="50"/>
      <c r="H1187" s="12"/>
      <c r="K1187"/>
    </row>
    <row r="1188" spans="5:11" ht="12.75" customHeight="1" x14ac:dyDescent="0.2">
      <c r="E1188" s="50"/>
      <c r="H1188" s="12"/>
      <c r="K1188"/>
    </row>
    <row r="1189" spans="5:11" ht="12.75" customHeight="1" x14ac:dyDescent="0.2">
      <c r="E1189" s="50"/>
      <c r="H1189" s="12"/>
      <c r="K1189"/>
    </row>
    <row r="1190" spans="5:11" ht="12.75" customHeight="1" x14ac:dyDescent="0.2">
      <c r="E1190" s="50"/>
      <c r="H1190" s="12"/>
      <c r="K1190"/>
    </row>
    <row r="1191" spans="5:11" ht="12.75" customHeight="1" x14ac:dyDescent="0.2">
      <c r="E1191" s="50"/>
      <c r="H1191" s="12"/>
      <c r="K1191"/>
    </row>
    <row r="1192" spans="5:11" ht="12.75" customHeight="1" x14ac:dyDescent="0.2">
      <c r="E1192" s="50"/>
      <c r="H1192" s="12"/>
      <c r="K1192"/>
    </row>
    <row r="1193" spans="5:11" ht="12.75" customHeight="1" x14ac:dyDescent="0.2">
      <c r="E1193" s="50"/>
      <c r="H1193" s="12"/>
      <c r="K1193"/>
    </row>
    <row r="1194" spans="5:11" ht="12.75" customHeight="1" x14ac:dyDescent="0.2">
      <c r="E1194" s="50"/>
      <c r="H1194" s="12"/>
      <c r="K1194"/>
    </row>
    <row r="1195" spans="5:11" ht="12.75" customHeight="1" x14ac:dyDescent="0.2">
      <c r="E1195" s="50"/>
      <c r="H1195" s="12"/>
      <c r="K1195"/>
    </row>
    <row r="1196" spans="5:11" ht="12.75" customHeight="1" x14ac:dyDescent="0.2">
      <c r="E1196" s="50"/>
      <c r="H1196" s="12"/>
      <c r="K1196"/>
    </row>
    <row r="1197" spans="5:11" ht="12.75" customHeight="1" x14ac:dyDescent="0.2">
      <c r="E1197" s="50"/>
      <c r="H1197" s="12"/>
      <c r="K1197"/>
    </row>
    <row r="1198" spans="5:11" ht="12.75" customHeight="1" x14ac:dyDescent="0.2">
      <c r="E1198" s="50"/>
      <c r="H1198" s="12"/>
      <c r="K1198"/>
    </row>
    <row r="1199" spans="5:11" ht="12.75" customHeight="1" x14ac:dyDescent="0.2">
      <c r="E1199" s="50"/>
      <c r="H1199" s="12"/>
      <c r="K1199"/>
    </row>
    <row r="1200" spans="5:11" ht="12.75" customHeight="1" x14ac:dyDescent="0.2">
      <c r="E1200" s="50"/>
      <c r="H1200" s="12"/>
      <c r="K1200"/>
    </row>
    <row r="1201" spans="5:11" ht="12.75" customHeight="1" x14ac:dyDescent="0.2">
      <c r="E1201" s="50"/>
      <c r="H1201" s="12"/>
      <c r="K1201"/>
    </row>
    <row r="1202" spans="5:11" ht="12.75" customHeight="1" x14ac:dyDescent="0.2">
      <c r="E1202" s="50"/>
      <c r="H1202" s="12"/>
      <c r="K1202"/>
    </row>
    <row r="1203" spans="5:11" ht="12.75" customHeight="1" x14ac:dyDescent="0.2">
      <c r="E1203" s="50"/>
      <c r="H1203" s="12"/>
      <c r="K1203"/>
    </row>
    <row r="1204" spans="5:11" ht="12.75" customHeight="1" x14ac:dyDescent="0.2">
      <c r="E1204" s="50"/>
      <c r="H1204" s="12"/>
      <c r="K1204"/>
    </row>
    <row r="1205" spans="5:11" ht="12.75" customHeight="1" x14ac:dyDescent="0.2">
      <c r="E1205" s="50"/>
      <c r="H1205" s="12"/>
      <c r="K1205"/>
    </row>
    <row r="1206" spans="5:11" ht="12.75" customHeight="1" x14ac:dyDescent="0.2">
      <c r="E1206" s="50"/>
      <c r="H1206" s="12"/>
      <c r="K1206"/>
    </row>
    <row r="1207" spans="5:11" ht="12.75" customHeight="1" x14ac:dyDescent="0.2">
      <c r="E1207" s="50"/>
      <c r="H1207" s="12"/>
      <c r="K1207"/>
    </row>
    <row r="1208" spans="5:11" ht="12.75" customHeight="1" x14ac:dyDescent="0.2">
      <c r="E1208" s="50"/>
      <c r="H1208" s="12"/>
      <c r="K1208"/>
    </row>
    <row r="1209" spans="5:11" ht="12.75" customHeight="1" x14ac:dyDescent="0.2">
      <c r="E1209" s="50"/>
      <c r="H1209" s="12"/>
      <c r="K1209"/>
    </row>
    <row r="1210" spans="5:11" ht="12.75" customHeight="1" x14ac:dyDescent="0.2">
      <c r="E1210" s="50"/>
      <c r="H1210" s="12"/>
      <c r="K1210"/>
    </row>
    <row r="1211" spans="5:11" ht="12.75" customHeight="1" x14ac:dyDescent="0.2">
      <c r="E1211" s="50"/>
      <c r="H1211" s="12"/>
      <c r="K1211"/>
    </row>
    <row r="1212" spans="5:11" ht="12.75" customHeight="1" x14ac:dyDescent="0.2">
      <c r="E1212" s="50"/>
      <c r="H1212" s="12"/>
      <c r="K1212"/>
    </row>
    <row r="1213" spans="5:11" ht="12.75" customHeight="1" x14ac:dyDescent="0.2">
      <c r="E1213" s="50"/>
      <c r="H1213" s="12"/>
      <c r="K1213"/>
    </row>
    <row r="1214" spans="5:11" ht="12.75" customHeight="1" x14ac:dyDescent="0.2">
      <c r="E1214" s="50"/>
      <c r="H1214" s="12"/>
      <c r="K1214"/>
    </row>
    <row r="1215" spans="5:11" ht="12.75" customHeight="1" x14ac:dyDescent="0.2">
      <c r="E1215" s="50"/>
      <c r="H1215" s="12"/>
      <c r="K1215"/>
    </row>
    <row r="1216" spans="5:11" ht="12.75" customHeight="1" x14ac:dyDescent="0.2">
      <c r="E1216" s="50"/>
      <c r="H1216" s="12"/>
      <c r="K1216"/>
    </row>
    <row r="1217" spans="5:11" ht="12.75" customHeight="1" x14ac:dyDescent="0.2">
      <c r="E1217" s="50"/>
      <c r="H1217" s="12"/>
      <c r="K1217"/>
    </row>
    <row r="1218" spans="5:11" ht="12.75" customHeight="1" x14ac:dyDescent="0.2">
      <c r="E1218" s="50"/>
      <c r="H1218" s="12"/>
      <c r="K1218"/>
    </row>
    <row r="1219" spans="5:11" ht="12.75" customHeight="1" x14ac:dyDescent="0.2">
      <c r="E1219" s="50"/>
      <c r="H1219" s="12"/>
      <c r="K1219"/>
    </row>
    <row r="1220" spans="5:11" ht="12.75" customHeight="1" x14ac:dyDescent="0.2">
      <c r="E1220" s="50"/>
      <c r="H1220" s="12"/>
      <c r="K1220"/>
    </row>
    <row r="1221" spans="5:11" ht="12.75" customHeight="1" x14ac:dyDescent="0.2">
      <c r="E1221" s="50"/>
      <c r="H1221" s="12"/>
      <c r="K1221"/>
    </row>
    <row r="1222" spans="5:11" ht="12.75" customHeight="1" x14ac:dyDescent="0.2">
      <c r="E1222" s="50"/>
      <c r="H1222" s="12"/>
      <c r="K1222"/>
    </row>
    <row r="1223" spans="5:11" ht="12.75" customHeight="1" x14ac:dyDescent="0.2">
      <c r="E1223" s="50"/>
      <c r="H1223" s="12"/>
      <c r="K1223"/>
    </row>
    <row r="1224" spans="5:11" ht="12.75" customHeight="1" x14ac:dyDescent="0.2">
      <c r="E1224" s="50"/>
      <c r="H1224" s="12"/>
      <c r="K1224"/>
    </row>
    <row r="1225" spans="5:11" ht="12.75" customHeight="1" x14ac:dyDescent="0.2">
      <c r="E1225" s="50"/>
      <c r="H1225" s="12"/>
      <c r="K1225"/>
    </row>
    <row r="1226" spans="5:11" ht="12.75" customHeight="1" x14ac:dyDescent="0.2">
      <c r="E1226" s="50"/>
      <c r="H1226" s="12"/>
      <c r="K1226"/>
    </row>
    <row r="1227" spans="5:11" ht="12.75" customHeight="1" x14ac:dyDescent="0.2">
      <c r="E1227" s="50"/>
      <c r="H1227" s="12"/>
      <c r="K1227"/>
    </row>
    <row r="1228" spans="5:11" ht="12.75" customHeight="1" x14ac:dyDescent="0.2">
      <c r="E1228" s="50"/>
      <c r="H1228" s="12"/>
      <c r="K1228"/>
    </row>
    <row r="1229" spans="5:11" ht="12.75" customHeight="1" x14ac:dyDescent="0.2">
      <c r="E1229" s="50"/>
      <c r="H1229" s="12"/>
      <c r="K1229"/>
    </row>
    <row r="1230" spans="5:11" ht="12.75" customHeight="1" x14ac:dyDescent="0.2">
      <c r="E1230" s="50"/>
      <c r="H1230" s="12"/>
      <c r="K1230"/>
    </row>
    <row r="1231" spans="5:11" ht="12.75" customHeight="1" x14ac:dyDescent="0.2">
      <c r="E1231" s="50"/>
      <c r="H1231" s="12"/>
      <c r="K1231"/>
    </row>
    <row r="1232" spans="5:11" ht="12.75" customHeight="1" x14ac:dyDescent="0.2">
      <c r="E1232" s="50"/>
      <c r="H1232" s="12"/>
      <c r="K1232"/>
    </row>
    <row r="1233" spans="5:11" ht="12.75" customHeight="1" x14ac:dyDescent="0.2">
      <c r="E1233" s="50"/>
      <c r="H1233" s="12"/>
      <c r="K1233"/>
    </row>
    <row r="1234" spans="5:11" ht="12.75" customHeight="1" x14ac:dyDescent="0.2">
      <c r="E1234" s="50"/>
      <c r="H1234" s="12"/>
      <c r="K1234"/>
    </row>
    <row r="1235" spans="5:11" ht="12.75" customHeight="1" x14ac:dyDescent="0.2">
      <c r="E1235" s="50"/>
      <c r="H1235" s="12"/>
      <c r="K1235"/>
    </row>
    <row r="1236" spans="5:11" ht="12.75" customHeight="1" x14ac:dyDescent="0.2">
      <c r="E1236" s="50"/>
      <c r="H1236" s="12"/>
      <c r="K1236"/>
    </row>
    <row r="1237" spans="5:11" ht="14.25" customHeight="1" x14ac:dyDescent="0.2">
      <c r="E1237" s="50"/>
      <c r="H1237" s="12"/>
      <c r="K1237"/>
    </row>
    <row r="1238" spans="5:11" ht="13.5" customHeight="1" x14ac:dyDescent="0.2">
      <c r="E1238" s="50"/>
      <c r="H1238" s="12"/>
      <c r="K1238"/>
    </row>
    <row r="1239" spans="5:11" ht="13.5" customHeight="1" x14ac:dyDescent="0.2">
      <c r="E1239" s="50"/>
      <c r="H1239" s="12"/>
      <c r="K1239"/>
    </row>
    <row r="1240" spans="5:11" ht="13.5" customHeight="1" x14ac:dyDescent="0.2">
      <c r="E1240" s="50"/>
      <c r="H1240" s="12"/>
      <c r="K1240"/>
    </row>
    <row r="1241" spans="5:11" ht="13.5" customHeight="1" x14ac:dyDescent="0.2">
      <c r="E1241" s="50"/>
      <c r="H1241" s="12"/>
      <c r="K1241"/>
    </row>
    <row r="1242" spans="5:11" ht="13.5" customHeight="1" x14ac:dyDescent="0.2">
      <c r="E1242" s="50"/>
      <c r="H1242" s="12"/>
      <c r="K1242"/>
    </row>
    <row r="1243" spans="5:11" ht="13.5" customHeight="1" x14ac:dyDescent="0.2">
      <c r="E1243" s="50"/>
      <c r="H1243" s="12"/>
      <c r="K1243"/>
    </row>
    <row r="1244" spans="5:11" ht="13.5" customHeight="1" x14ac:dyDescent="0.2">
      <c r="E1244" s="50"/>
      <c r="H1244" s="12"/>
      <c r="K1244"/>
    </row>
    <row r="1245" spans="5:11" ht="13.5" customHeight="1" x14ac:dyDescent="0.2">
      <c r="E1245" s="50"/>
      <c r="H1245" s="12"/>
      <c r="K1245"/>
    </row>
    <row r="1246" spans="5:11" ht="13.5" customHeight="1" x14ac:dyDescent="0.2">
      <c r="E1246" s="50"/>
      <c r="H1246" s="12"/>
      <c r="K1246"/>
    </row>
    <row r="1247" spans="5:11" ht="13.5" customHeight="1" x14ac:dyDescent="0.2">
      <c r="E1247" s="50"/>
      <c r="H1247" s="12"/>
      <c r="K1247"/>
    </row>
    <row r="1248" spans="5:11" ht="13.5" customHeight="1" x14ac:dyDescent="0.2">
      <c r="E1248" s="50"/>
      <c r="H1248" s="12"/>
      <c r="K1248"/>
    </row>
    <row r="1249" spans="5:11" ht="13.5" customHeight="1" x14ac:dyDescent="0.2">
      <c r="E1249" s="50"/>
      <c r="H1249" s="12"/>
      <c r="K1249"/>
    </row>
    <row r="1250" spans="5:11" ht="13.5" customHeight="1" x14ac:dyDescent="0.2">
      <c r="E1250" s="50"/>
      <c r="H1250" s="12"/>
      <c r="K1250"/>
    </row>
    <row r="1251" spans="5:11" ht="13.5" customHeight="1" x14ac:dyDescent="0.2">
      <c r="E1251" s="50"/>
      <c r="H1251" s="12"/>
      <c r="K1251"/>
    </row>
    <row r="1252" spans="5:11" ht="13.5" customHeight="1" x14ac:dyDescent="0.2">
      <c r="E1252" s="50"/>
      <c r="H1252" s="12"/>
      <c r="K1252"/>
    </row>
    <row r="1253" spans="5:11" ht="13.5" customHeight="1" x14ac:dyDescent="0.2">
      <c r="E1253" s="50"/>
      <c r="H1253" s="12"/>
      <c r="K1253"/>
    </row>
    <row r="1254" spans="5:11" ht="13.5" customHeight="1" x14ac:dyDescent="0.2">
      <c r="E1254" s="50"/>
      <c r="H1254" s="12"/>
      <c r="K1254"/>
    </row>
    <row r="1255" spans="5:11" ht="13.5" customHeight="1" x14ac:dyDescent="0.2">
      <c r="E1255" s="50"/>
      <c r="H1255" s="12"/>
      <c r="K1255"/>
    </row>
    <row r="1256" spans="5:11" ht="13.5" customHeight="1" x14ac:dyDescent="0.2">
      <c r="E1256" s="50"/>
      <c r="H1256" s="12"/>
      <c r="K1256"/>
    </row>
    <row r="1257" spans="5:11" ht="13.5" customHeight="1" x14ac:dyDescent="0.2">
      <c r="E1257" s="50"/>
      <c r="H1257" s="12"/>
      <c r="K1257"/>
    </row>
    <row r="1258" spans="5:11" ht="13.5" customHeight="1" x14ac:dyDescent="0.2">
      <c r="E1258" s="50"/>
      <c r="H1258" s="12"/>
      <c r="K1258"/>
    </row>
    <row r="1259" spans="5:11" ht="13.5" customHeight="1" x14ac:dyDescent="0.2">
      <c r="E1259" s="50"/>
      <c r="H1259" s="12"/>
      <c r="K1259"/>
    </row>
    <row r="1260" spans="5:11" ht="13.5" customHeight="1" x14ac:dyDescent="0.2">
      <c r="E1260" s="50"/>
      <c r="H1260" s="12"/>
      <c r="K1260"/>
    </row>
    <row r="1261" spans="5:11" ht="13.5" customHeight="1" x14ac:dyDescent="0.2">
      <c r="E1261" s="50"/>
      <c r="H1261" s="12"/>
      <c r="K1261"/>
    </row>
    <row r="1262" spans="5:11" ht="13.5" customHeight="1" x14ac:dyDescent="0.2">
      <c r="E1262" s="50"/>
      <c r="H1262" s="12"/>
      <c r="K1262"/>
    </row>
    <row r="1263" spans="5:11" ht="13.5" customHeight="1" x14ac:dyDescent="0.2">
      <c r="E1263" s="50"/>
      <c r="H1263" s="12"/>
      <c r="K1263"/>
    </row>
    <row r="1264" spans="5:11" ht="13.5" customHeight="1" x14ac:dyDescent="0.2">
      <c r="E1264" s="50"/>
      <c r="H1264" s="12"/>
      <c r="K1264"/>
    </row>
    <row r="1265" spans="5:11" ht="13.5" customHeight="1" x14ac:dyDescent="0.2">
      <c r="E1265" s="50"/>
      <c r="H1265" s="12"/>
      <c r="K1265"/>
    </row>
    <row r="1266" spans="5:11" ht="13.5" customHeight="1" x14ac:dyDescent="0.2">
      <c r="E1266" s="50"/>
      <c r="H1266" s="12"/>
      <c r="K1266"/>
    </row>
    <row r="1267" spans="5:11" ht="13.5" customHeight="1" x14ac:dyDescent="0.2">
      <c r="E1267" s="50"/>
      <c r="H1267" s="12"/>
      <c r="K1267"/>
    </row>
    <row r="1268" spans="5:11" ht="13.5" customHeight="1" x14ac:dyDescent="0.2">
      <c r="E1268" s="50"/>
      <c r="H1268" s="12"/>
      <c r="K1268"/>
    </row>
    <row r="1269" spans="5:11" ht="13.5" customHeight="1" x14ac:dyDescent="0.2">
      <c r="E1269" s="50"/>
      <c r="H1269" s="12"/>
      <c r="K1269"/>
    </row>
    <row r="1270" spans="5:11" ht="13.5" customHeight="1" x14ac:dyDescent="0.2">
      <c r="E1270" s="50"/>
      <c r="H1270" s="12"/>
      <c r="K1270"/>
    </row>
    <row r="1271" spans="5:11" ht="13.5" customHeight="1" x14ac:dyDescent="0.2">
      <c r="E1271" s="50"/>
      <c r="H1271" s="12"/>
      <c r="K1271"/>
    </row>
    <row r="1272" spans="5:11" ht="13.5" customHeight="1" x14ac:dyDescent="0.2">
      <c r="E1272" s="50"/>
      <c r="H1272" s="12"/>
      <c r="K1272"/>
    </row>
    <row r="1273" spans="5:11" ht="13.5" customHeight="1" x14ac:dyDescent="0.2">
      <c r="E1273" s="50"/>
      <c r="H1273" s="12"/>
      <c r="K1273"/>
    </row>
    <row r="1274" spans="5:11" ht="13.5" customHeight="1" x14ac:dyDescent="0.2">
      <c r="E1274" s="50"/>
      <c r="H1274" s="12"/>
      <c r="K1274"/>
    </row>
    <row r="1275" spans="5:11" ht="13.5" customHeight="1" x14ac:dyDescent="0.2">
      <c r="E1275" s="50"/>
      <c r="H1275" s="12"/>
      <c r="K1275"/>
    </row>
    <row r="1276" spans="5:11" ht="13.5" customHeight="1" x14ac:dyDescent="0.2">
      <c r="E1276" s="50"/>
      <c r="H1276" s="12"/>
      <c r="K1276"/>
    </row>
    <row r="1277" spans="5:11" ht="13.5" customHeight="1" x14ac:dyDescent="0.2">
      <c r="E1277" s="50"/>
      <c r="H1277" s="12"/>
      <c r="K1277"/>
    </row>
    <row r="1278" spans="5:11" ht="13.5" customHeight="1" x14ac:dyDescent="0.2">
      <c r="E1278" s="50"/>
      <c r="H1278" s="12"/>
      <c r="K1278"/>
    </row>
    <row r="1279" spans="5:11" ht="13.5" customHeight="1" x14ac:dyDescent="0.2">
      <c r="E1279" s="50"/>
      <c r="H1279" s="12"/>
      <c r="K1279"/>
    </row>
    <row r="1280" spans="5:11" ht="13.5" customHeight="1" x14ac:dyDescent="0.2">
      <c r="E1280" s="50"/>
      <c r="H1280" s="12"/>
      <c r="K1280"/>
    </row>
    <row r="1281" spans="5:11" ht="13.5" customHeight="1" x14ac:dyDescent="0.2">
      <c r="E1281" s="50"/>
      <c r="H1281" s="12"/>
      <c r="K1281"/>
    </row>
    <row r="1282" spans="5:11" ht="13.5" customHeight="1" x14ac:dyDescent="0.2">
      <c r="E1282" s="50"/>
      <c r="H1282" s="12"/>
      <c r="K1282"/>
    </row>
    <row r="1283" spans="5:11" ht="13.5" customHeight="1" x14ac:dyDescent="0.2">
      <c r="E1283" s="50"/>
      <c r="H1283" s="12"/>
      <c r="K1283"/>
    </row>
    <row r="1284" spans="5:11" ht="13.5" customHeight="1" x14ac:dyDescent="0.2">
      <c r="E1284" s="50"/>
      <c r="H1284" s="12"/>
      <c r="K1284"/>
    </row>
    <row r="1285" spans="5:11" ht="13.5" customHeight="1" x14ac:dyDescent="0.2">
      <c r="E1285" s="50"/>
      <c r="H1285" s="12"/>
      <c r="K1285"/>
    </row>
    <row r="1286" spans="5:11" ht="13.5" customHeight="1" x14ac:dyDescent="0.2">
      <c r="E1286" s="50"/>
      <c r="H1286" s="12"/>
      <c r="K1286"/>
    </row>
    <row r="1287" spans="5:11" ht="13.5" customHeight="1" x14ac:dyDescent="0.2">
      <c r="E1287" s="50"/>
      <c r="H1287" s="12"/>
      <c r="K1287"/>
    </row>
    <row r="1288" spans="5:11" ht="13.5" customHeight="1" x14ac:dyDescent="0.2">
      <c r="E1288" s="50"/>
      <c r="H1288" s="12"/>
      <c r="K1288"/>
    </row>
    <row r="1289" spans="5:11" ht="13.5" customHeight="1" x14ac:dyDescent="0.2">
      <c r="E1289" s="50"/>
      <c r="H1289" s="12"/>
      <c r="K1289"/>
    </row>
    <row r="1290" spans="5:11" ht="13.5" customHeight="1" x14ac:dyDescent="0.2">
      <c r="E1290" s="50"/>
      <c r="H1290" s="12"/>
      <c r="K1290"/>
    </row>
    <row r="1291" spans="5:11" ht="13.5" customHeight="1" x14ac:dyDescent="0.2">
      <c r="E1291" s="50"/>
      <c r="H1291" s="12"/>
      <c r="K1291"/>
    </row>
    <row r="1292" spans="5:11" ht="13.5" customHeight="1" x14ac:dyDescent="0.2">
      <c r="E1292" s="50"/>
      <c r="H1292" s="12"/>
      <c r="K1292"/>
    </row>
    <row r="1293" spans="5:11" ht="13.5" customHeight="1" x14ac:dyDescent="0.2">
      <c r="E1293" s="50"/>
      <c r="H1293" s="12"/>
      <c r="K1293"/>
    </row>
    <row r="1294" spans="5:11" ht="13.5" customHeight="1" x14ac:dyDescent="0.2">
      <c r="E1294" s="50"/>
      <c r="H1294" s="12"/>
      <c r="K1294"/>
    </row>
    <row r="1295" spans="5:11" x14ac:dyDescent="0.2">
      <c r="E1295" s="50"/>
      <c r="H1295" s="12"/>
      <c r="K1295"/>
    </row>
    <row r="1296" spans="5:11" x14ac:dyDescent="0.2">
      <c r="E1296" s="50"/>
      <c r="H1296" s="12"/>
      <c r="K1296"/>
    </row>
    <row r="1297" spans="5:11" x14ac:dyDescent="0.2">
      <c r="E1297" s="50"/>
      <c r="H1297" s="12"/>
      <c r="K1297"/>
    </row>
    <row r="1298" spans="5:11" x14ac:dyDescent="0.2">
      <c r="E1298" s="50"/>
      <c r="H1298" s="12"/>
      <c r="K1298"/>
    </row>
    <row r="1299" spans="5:11" x14ac:dyDescent="0.2">
      <c r="E1299" s="50"/>
      <c r="H1299" s="12"/>
      <c r="K1299"/>
    </row>
    <row r="1300" spans="5:11" x14ac:dyDescent="0.2">
      <c r="E1300" s="50"/>
      <c r="H1300" s="12"/>
      <c r="K1300"/>
    </row>
    <row r="1301" spans="5:11" x14ac:dyDescent="0.2">
      <c r="E1301" s="50"/>
      <c r="H1301" s="12"/>
      <c r="K1301"/>
    </row>
    <row r="1302" spans="5:11" x14ac:dyDescent="0.2">
      <c r="E1302" s="50"/>
      <c r="H1302" s="12"/>
      <c r="K1302"/>
    </row>
    <row r="1303" spans="5:11" x14ac:dyDescent="0.2">
      <c r="E1303" s="50"/>
      <c r="H1303" s="12"/>
      <c r="K1303"/>
    </row>
    <row r="1304" spans="5:11" x14ac:dyDescent="0.2">
      <c r="E1304" s="50"/>
      <c r="H1304" s="12"/>
      <c r="K1304"/>
    </row>
    <row r="1305" spans="5:11" x14ac:dyDescent="0.2">
      <c r="E1305" s="50"/>
      <c r="H1305" s="12"/>
      <c r="K1305"/>
    </row>
    <row r="1306" spans="5:11" x14ac:dyDescent="0.2">
      <c r="E1306" s="50"/>
      <c r="H1306" s="12"/>
      <c r="K1306"/>
    </row>
    <row r="1307" spans="5:11" x14ac:dyDescent="0.2">
      <c r="E1307" s="50"/>
      <c r="H1307" s="12"/>
      <c r="K1307"/>
    </row>
    <row r="1308" spans="5:11" x14ac:dyDescent="0.2">
      <c r="E1308" s="50"/>
      <c r="H1308" s="12"/>
      <c r="K1308"/>
    </row>
    <row r="1309" spans="5:11" x14ac:dyDescent="0.2">
      <c r="E1309" s="50"/>
      <c r="H1309" s="12"/>
      <c r="K1309"/>
    </row>
    <row r="1310" spans="5:11" x14ac:dyDescent="0.2">
      <c r="E1310" s="50"/>
      <c r="H1310" s="12"/>
      <c r="K1310"/>
    </row>
    <row r="1311" spans="5:11" x14ac:dyDescent="0.2">
      <c r="E1311" s="50"/>
      <c r="H1311" s="12"/>
      <c r="K1311"/>
    </row>
    <row r="1312" spans="5:11" x14ac:dyDescent="0.2">
      <c r="E1312" s="50"/>
      <c r="H1312" s="12"/>
      <c r="K1312"/>
    </row>
    <row r="1313" spans="5:11" x14ac:dyDescent="0.2">
      <c r="E1313" s="50"/>
      <c r="H1313" s="12"/>
      <c r="K1313"/>
    </row>
    <row r="1314" spans="5:11" x14ac:dyDescent="0.2">
      <c r="E1314" s="50"/>
      <c r="H1314" s="12"/>
      <c r="K1314"/>
    </row>
    <row r="1315" spans="5:11" x14ac:dyDescent="0.2">
      <c r="E1315" s="50"/>
      <c r="H1315" s="12"/>
      <c r="K1315"/>
    </row>
    <row r="1316" spans="5:11" x14ac:dyDescent="0.2">
      <c r="E1316" s="50"/>
      <c r="H1316" s="12"/>
      <c r="K1316"/>
    </row>
    <row r="1317" spans="5:11" x14ac:dyDescent="0.2">
      <c r="E1317" s="50"/>
      <c r="H1317" s="12"/>
      <c r="K1317"/>
    </row>
    <row r="1318" spans="5:11" x14ac:dyDescent="0.2">
      <c r="E1318" s="50"/>
      <c r="H1318" s="12"/>
      <c r="K1318"/>
    </row>
    <row r="1319" spans="5:11" x14ac:dyDescent="0.2">
      <c r="E1319" s="50"/>
      <c r="H1319" s="12"/>
      <c r="K1319"/>
    </row>
    <row r="1320" spans="5:11" x14ac:dyDescent="0.2">
      <c r="E1320" s="50"/>
      <c r="H1320" s="12"/>
      <c r="K1320"/>
    </row>
    <row r="1321" spans="5:11" x14ac:dyDescent="0.2">
      <c r="E1321" s="50"/>
      <c r="H1321" s="12"/>
      <c r="K1321"/>
    </row>
    <row r="1322" spans="5:11" x14ac:dyDescent="0.2">
      <c r="E1322" s="50"/>
      <c r="H1322" s="12"/>
      <c r="K1322"/>
    </row>
    <row r="1323" spans="5:11" x14ac:dyDescent="0.2">
      <c r="E1323" s="50"/>
      <c r="H1323" s="12"/>
      <c r="K1323"/>
    </row>
    <row r="1324" spans="5:11" x14ac:dyDescent="0.2">
      <c r="E1324" s="50"/>
      <c r="H1324" s="12"/>
      <c r="K1324"/>
    </row>
    <row r="1325" spans="5:11" x14ac:dyDescent="0.2">
      <c r="E1325" s="50"/>
      <c r="H1325" s="12"/>
      <c r="K1325"/>
    </row>
    <row r="1326" spans="5:11" x14ac:dyDescent="0.2">
      <c r="E1326" s="50"/>
      <c r="H1326" s="12"/>
      <c r="K1326"/>
    </row>
    <row r="1327" spans="5:11" x14ac:dyDescent="0.2">
      <c r="E1327" s="50"/>
      <c r="H1327" s="12"/>
      <c r="K1327"/>
    </row>
    <row r="1328" spans="5:11" x14ac:dyDescent="0.2">
      <c r="E1328" s="50"/>
      <c r="H1328" s="12"/>
      <c r="K1328"/>
    </row>
    <row r="1329" spans="5:11" x14ac:dyDescent="0.2">
      <c r="E1329" s="50"/>
      <c r="H1329" s="12"/>
      <c r="K1329"/>
    </row>
    <row r="1330" spans="5:11" x14ac:dyDescent="0.2">
      <c r="E1330" s="50"/>
      <c r="H1330" s="12"/>
      <c r="K1330"/>
    </row>
    <row r="1331" spans="5:11" x14ac:dyDescent="0.2">
      <c r="E1331" s="50"/>
      <c r="H1331" s="12"/>
      <c r="K1331"/>
    </row>
    <row r="1332" spans="5:11" x14ac:dyDescent="0.2">
      <c r="E1332" s="50"/>
      <c r="H1332" s="12"/>
      <c r="K1332"/>
    </row>
    <row r="1333" spans="5:11" x14ac:dyDescent="0.2">
      <c r="E1333" s="50"/>
      <c r="H1333" s="12"/>
      <c r="K1333"/>
    </row>
    <row r="1334" spans="5:11" x14ac:dyDescent="0.2">
      <c r="E1334" s="50"/>
      <c r="H1334" s="12"/>
      <c r="K1334"/>
    </row>
    <row r="1335" spans="5:11" x14ac:dyDescent="0.2">
      <c r="E1335" s="50"/>
      <c r="H1335" s="12"/>
      <c r="K1335"/>
    </row>
    <row r="1336" spans="5:11" x14ac:dyDescent="0.2">
      <c r="E1336" s="50"/>
      <c r="H1336" s="12"/>
      <c r="K1336"/>
    </row>
    <row r="1337" spans="5:11" x14ac:dyDescent="0.2">
      <c r="E1337" s="50"/>
      <c r="H1337" s="12"/>
      <c r="K1337"/>
    </row>
    <row r="1338" spans="5:11" x14ac:dyDescent="0.2">
      <c r="E1338" s="50"/>
      <c r="H1338" s="12"/>
      <c r="K1338"/>
    </row>
    <row r="1339" spans="5:11" x14ac:dyDescent="0.2">
      <c r="E1339" s="50"/>
      <c r="H1339" s="12"/>
      <c r="K1339"/>
    </row>
    <row r="1340" spans="5:11" x14ac:dyDescent="0.2">
      <c r="E1340" s="50"/>
      <c r="H1340" s="12"/>
      <c r="K1340"/>
    </row>
    <row r="1341" spans="5:11" x14ac:dyDescent="0.2">
      <c r="E1341" s="50"/>
      <c r="H1341" s="12"/>
      <c r="K1341"/>
    </row>
    <row r="1342" spans="5:11" x14ac:dyDescent="0.2">
      <c r="E1342" s="50"/>
      <c r="H1342" s="12"/>
      <c r="K1342"/>
    </row>
    <row r="1343" spans="5:11" x14ac:dyDescent="0.2">
      <c r="E1343" s="50"/>
      <c r="H1343" s="12"/>
      <c r="K1343"/>
    </row>
    <row r="1344" spans="5:11" x14ac:dyDescent="0.2">
      <c r="E1344" s="50"/>
      <c r="H1344" s="12"/>
      <c r="K1344"/>
    </row>
    <row r="1345" spans="5:11" x14ac:dyDescent="0.2">
      <c r="E1345" s="50"/>
      <c r="H1345" s="12"/>
      <c r="K1345"/>
    </row>
    <row r="1346" spans="5:11" x14ac:dyDescent="0.2">
      <c r="E1346" s="50"/>
      <c r="H1346" s="12"/>
      <c r="K1346"/>
    </row>
    <row r="1347" spans="5:11" x14ac:dyDescent="0.2">
      <c r="E1347" s="50"/>
      <c r="H1347" s="12"/>
      <c r="K1347"/>
    </row>
    <row r="1348" spans="5:11" x14ac:dyDescent="0.2">
      <c r="E1348" s="50"/>
      <c r="H1348" s="12"/>
      <c r="K1348"/>
    </row>
    <row r="1349" spans="5:11" x14ac:dyDescent="0.2">
      <c r="E1349" s="50"/>
      <c r="H1349" s="12"/>
      <c r="K1349"/>
    </row>
    <row r="1350" spans="5:11" x14ac:dyDescent="0.2">
      <c r="E1350" s="50"/>
      <c r="H1350" s="12"/>
      <c r="K1350"/>
    </row>
    <row r="1351" spans="5:11" x14ac:dyDescent="0.2">
      <c r="E1351" s="50"/>
      <c r="H1351" s="12"/>
      <c r="K1351"/>
    </row>
    <row r="1352" spans="5:11" x14ac:dyDescent="0.2">
      <c r="E1352" s="50"/>
      <c r="H1352" s="12"/>
      <c r="K1352"/>
    </row>
    <row r="1353" spans="5:11" x14ac:dyDescent="0.2">
      <c r="E1353" s="50"/>
      <c r="H1353" s="12"/>
      <c r="K1353"/>
    </row>
    <row r="1354" spans="5:11" x14ac:dyDescent="0.2">
      <c r="E1354" s="50"/>
      <c r="H1354" s="12"/>
      <c r="K1354"/>
    </row>
    <row r="1355" spans="5:11" x14ac:dyDescent="0.2">
      <c r="E1355" s="50"/>
      <c r="H1355" s="12"/>
      <c r="K1355"/>
    </row>
    <row r="1356" spans="5:11" x14ac:dyDescent="0.2">
      <c r="E1356" s="50"/>
      <c r="H1356" s="12"/>
      <c r="K1356"/>
    </row>
    <row r="1357" spans="5:11" x14ac:dyDescent="0.2">
      <c r="E1357" s="50"/>
      <c r="H1357" s="12"/>
      <c r="K1357"/>
    </row>
    <row r="1358" spans="5:11" x14ac:dyDescent="0.2">
      <c r="E1358" s="50"/>
      <c r="H1358" s="12"/>
      <c r="K1358"/>
    </row>
    <row r="1359" spans="5:11" x14ac:dyDescent="0.2">
      <c r="E1359" s="50"/>
      <c r="H1359" s="12"/>
      <c r="K1359"/>
    </row>
    <row r="1360" spans="5:11" x14ac:dyDescent="0.2">
      <c r="E1360" s="50"/>
      <c r="H1360" s="12"/>
      <c r="K1360"/>
    </row>
    <row r="1361" spans="5:11" x14ac:dyDescent="0.2">
      <c r="E1361" s="50"/>
      <c r="H1361" s="12"/>
      <c r="K1361"/>
    </row>
    <row r="1362" spans="5:11" x14ac:dyDescent="0.2">
      <c r="E1362" s="50"/>
      <c r="H1362" s="12"/>
      <c r="K1362"/>
    </row>
    <row r="1363" spans="5:11" x14ac:dyDescent="0.2">
      <c r="E1363" s="50"/>
      <c r="H1363" s="12"/>
      <c r="K1363"/>
    </row>
    <row r="1364" spans="5:11" x14ac:dyDescent="0.2">
      <c r="E1364" s="50"/>
      <c r="H1364" s="12"/>
      <c r="K1364"/>
    </row>
    <row r="1365" spans="5:11" x14ac:dyDescent="0.2">
      <c r="E1365" s="50"/>
      <c r="H1365" s="12"/>
      <c r="K1365"/>
    </row>
    <row r="1366" spans="5:11" x14ac:dyDescent="0.2">
      <c r="E1366" s="50"/>
      <c r="H1366" s="12"/>
      <c r="K1366"/>
    </row>
    <row r="1367" spans="5:11" x14ac:dyDescent="0.2">
      <c r="E1367" s="50"/>
      <c r="H1367" s="12"/>
      <c r="K1367"/>
    </row>
    <row r="1368" spans="5:11" x14ac:dyDescent="0.2">
      <c r="E1368" s="50"/>
      <c r="H1368" s="12"/>
      <c r="K1368"/>
    </row>
    <row r="1369" spans="5:11" x14ac:dyDescent="0.2">
      <c r="E1369" s="50"/>
      <c r="H1369" s="12"/>
      <c r="K1369"/>
    </row>
    <row r="1370" spans="5:11" x14ac:dyDescent="0.2">
      <c r="E1370" s="50"/>
      <c r="H1370" s="12"/>
      <c r="K1370"/>
    </row>
    <row r="1371" spans="5:11" x14ac:dyDescent="0.2">
      <c r="E1371" s="50"/>
      <c r="H1371" s="12"/>
      <c r="K1371"/>
    </row>
    <row r="1372" spans="5:11" x14ac:dyDescent="0.2">
      <c r="E1372" s="50"/>
      <c r="H1372" s="12"/>
      <c r="K1372"/>
    </row>
    <row r="1373" spans="5:11" x14ac:dyDescent="0.2">
      <c r="E1373" s="50"/>
      <c r="H1373" s="12"/>
      <c r="K1373"/>
    </row>
    <row r="1374" spans="5:11" x14ac:dyDescent="0.2">
      <c r="E1374" s="50"/>
      <c r="H1374" s="12"/>
      <c r="K1374"/>
    </row>
    <row r="1375" spans="5:11" x14ac:dyDescent="0.2">
      <c r="E1375" s="50"/>
      <c r="H1375" s="12"/>
      <c r="K1375"/>
    </row>
    <row r="1376" spans="5:11" x14ac:dyDescent="0.2">
      <c r="E1376" s="50"/>
      <c r="H1376" s="12"/>
      <c r="K1376"/>
    </row>
    <row r="1377" spans="5:11" x14ac:dyDescent="0.2">
      <c r="E1377" s="50"/>
      <c r="H1377" s="12"/>
      <c r="K1377"/>
    </row>
    <row r="1378" spans="5:11" x14ac:dyDescent="0.2">
      <c r="E1378" s="50"/>
      <c r="H1378" s="12"/>
      <c r="K1378"/>
    </row>
    <row r="1379" spans="5:11" x14ac:dyDescent="0.2">
      <c r="E1379" s="50"/>
      <c r="H1379" s="12"/>
      <c r="K1379"/>
    </row>
    <row r="1380" spans="5:11" x14ac:dyDescent="0.2">
      <c r="E1380" s="50"/>
      <c r="H1380" s="12"/>
      <c r="K1380"/>
    </row>
    <row r="1381" spans="5:11" x14ac:dyDescent="0.2">
      <c r="E1381" s="50"/>
      <c r="H1381" s="12"/>
      <c r="K1381"/>
    </row>
    <row r="1382" spans="5:11" x14ac:dyDescent="0.2">
      <c r="E1382" s="50"/>
      <c r="H1382" s="12"/>
      <c r="K1382"/>
    </row>
    <row r="1383" spans="5:11" x14ac:dyDescent="0.2">
      <c r="E1383" s="50"/>
      <c r="H1383" s="12"/>
      <c r="K1383"/>
    </row>
    <row r="1384" spans="5:11" x14ac:dyDescent="0.2">
      <c r="E1384" s="50"/>
      <c r="H1384" s="12"/>
      <c r="K1384"/>
    </row>
    <row r="1385" spans="5:11" x14ac:dyDescent="0.2">
      <c r="E1385" s="50"/>
      <c r="H1385" s="12"/>
      <c r="K1385"/>
    </row>
    <row r="1386" spans="5:11" x14ac:dyDescent="0.2">
      <c r="E1386" s="50"/>
      <c r="H1386" s="12"/>
      <c r="K1386"/>
    </row>
    <row r="1387" spans="5:11" x14ac:dyDescent="0.2">
      <c r="E1387" s="50"/>
      <c r="H1387" s="12"/>
      <c r="K1387"/>
    </row>
    <row r="1388" spans="5:11" x14ac:dyDescent="0.2">
      <c r="E1388" s="50"/>
      <c r="H1388" s="12"/>
      <c r="K1388"/>
    </row>
    <row r="1389" spans="5:11" x14ac:dyDescent="0.2">
      <c r="E1389" s="50"/>
      <c r="H1389" s="12"/>
      <c r="K1389"/>
    </row>
    <row r="1390" spans="5:11" x14ac:dyDescent="0.2">
      <c r="E1390" s="50"/>
      <c r="H1390" s="12"/>
      <c r="K1390"/>
    </row>
    <row r="1391" spans="5:11" x14ac:dyDescent="0.2">
      <c r="E1391" s="50"/>
      <c r="H1391" s="12"/>
      <c r="K1391"/>
    </row>
    <row r="1392" spans="5:11" x14ac:dyDescent="0.2">
      <c r="E1392" s="50"/>
      <c r="H1392" s="12"/>
      <c r="K1392"/>
    </row>
    <row r="1393" spans="5:11" x14ac:dyDescent="0.2">
      <c r="E1393" s="50"/>
      <c r="H1393" s="12"/>
      <c r="K1393"/>
    </row>
    <row r="1394" spans="5:11" x14ac:dyDescent="0.2">
      <c r="E1394" s="50"/>
      <c r="H1394" s="12"/>
      <c r="K1394"/>
    </row>
    <row r="1395" spans="5:11" x14ac:dyDescent="0.2">
      <c r="E1395" s="50"/>
      <c r="H1395" s="12"/>
      <c r="K1395"/>
    </row>
    <row r="1396" spans="5:11" x14ac:dyDescent="0.2">
      <c r="E1396" s="50"/>
      <c r="H1396" s="12"/>
      <c r="K1396"/>
    </row>
    <row r="1397" spans="5:11" x14ac:dyDescent="0.2">
      <c r="E1397" s="50"/>
      <c r="H1397" s="12"/>
      <c r="K1397"/>
    </row>
    <row r="1398" spans="5:11" x14ac:dyDescent="0.2">
      <c r="E1398" s="50"/>
      <c r="H1398" s="12"/>
      <c r="K1398"/>
    </row>
    <row r="1399" spans="5:11" x14ac:dyDescent="0.2">
      <c r="E1399" s="50"/>
      <c r="H1399" s="12"/>
      <c r="K1399"/>
    </row>
    <row r="1400" spans="5:11" x14ac:dyDescent="0.2">
      <c r="E1400" s="50"/>
      <c r="H1400" s="12"/>
      <c r="K1400"/>
    </row>
    <row r="1401" spans="5:11" x14ac:dyDescent="0.2">
      <c r="E1401" s="50"/>
      <c r="H1401" s="12"/>
      <c r="K1401"/>
    </row>
    <row r="1402" spans="5:11" x14ac:dyDescent="0.2">
      <c r="E1402" s="50"/>
      <c r="H1402" s="12"/>
      <c r="K1402"/>
    </row>
    <row r="1403" spans="5:11" x14ac:dyDescent="0.2">
      <c r="E1403" s="50"/>
      <c r="H1403" s="12"/>
      <c r="K1403"/>
    </row>
    <row r="1404" spans="5:11" x14ac:dyDescent="0.2">
      <c r="E1404" s="50"/>
      <c r="H1404" s="12"/>
      <c r="K1404"/>
    </row>
    <row r="1405" spans="5:11" x14ac:dyDescent="0.2">
      <c r="E1405" s="50"/>
      <c r="H1405" s="12"/>
      <c r="K1405"/>
    </row>
    <row r="1406" spans="5:11" x14ac:dyDescent="0.2">
      <c r="E1406" s="50"/>
      <c r="H1406" s="12"/>
      <c r="K1406"/>
    </row>
    <row r="1407" spans="5:11" x14ac:dyDescent="0.2">
      <c r="E1407" s="50"/>
      <c r="H1407" s="12"/>
      <c r="K1407"/>
    </row>
    <row r="1408" spans="5:11" x14ac:dyDescent="0.2">
      <c r="E1408" s="50"/>
      <c r="H1408" s="12"/>
      <c r="K1408"/>
    </row>
    <row r="1409" spans="5:11" x14ac:dyDescent="0.2">
      <c r="E1409" s="50"/>
      <c r="H1409" s="12"/>
      <c r="K1409"/>
    </row>
    <row r="1410" spans="5:11" x14ac:dyDescent="0.2">
      <c r="E1410" s="50"/>
      <c r="H1410" s="12"/>
      <c r="K1410"/>
    </row>
    <row r="1411" spans="5:11" x14ac:dyDescent="0.2">
      <c r="E1411" s="50"/>
      <c r="H1411" s="12"/>
      <c r="K1411"/>
    </row>
    <row r="1412" spans="5:11" x14ac:dyDescent="0.2">
      <c r="E1412" s="50"/>
      <c r="H1412" s="12"/>
      <c r="K1412"/>
    </row>
    <row r="1413" spans="5:11" x14ac:dyDescent="0.2">
      <c r="E1413" s="50"/>
      <c r="H1413" s="12"/>
      <c r="K1413"/>
    </row>
    <row r="1414" spans="5:11" x14ac:dyDescent="0.2">
      <c r="E1414" s="50"/>
      <c r="H1414" s="12"/>
      <c r="K1414"/>
    </row>
    <row r="1415" spans="5:11" x14ac:dyDescent="0.2">
      <c r="E1415" s="50"/>
      <c r="H1415" s="12"/>
      <c r="K1415"/>
    </row>
    <row r="1416" spans="5:11" x14ac:dyDescent="0.2">
      <c r="E1416" s="50"/>
      <c r="H1416" s="12"/>
      <c r="K1416"/>
    </row>
    <row r="1417" spans="5:11" x14ac:dyDescent="0.2">
      <c r="E1417" s="50"/>
      <c r="H1417" s="12"/>
      <c r="K1417"/>
    </row>
    <row r="1418" spans="5:11" x14ac:dyDescent="0.2">
      <c r="E1418" s="50"/>
      <c r="H1418" s="12"/>
      <c r="K1418"/>
    </row>
    <row r="1419" spans="5:11" x14ac:dyDescent="0.2">
      <c r="E1419" s="50"/>
      <c r="H1419" s="12"/>
      <c r="K1419"/>
    </row>
    <row r="1420" spans="5:11" x14ac:dyDescent="0.2">
      <c r="E1420" s="50"/>
      <c r="H1420" s="12"/>
      <c r="K1420"/>
    </row>
    <row r="1421" spans="5:11" x14ac:dyDescent="0.2">
      <c r="E1421" s="50"/>
      <c r="H1421" s="12"/>
      <c r="K1421"/>
    </row>
    <row r="1422" spans="5:11" x14ac:dyDescent="0.2">
      <c r="E1422" s="50"/>
      <c r="H1422" s="12"/>
      <c r="K1422"/>
    </row>
    <row r="1423" spans="5:11" x14ac:dyDescent="0.2">
      <c r="E1423" s="50"/>
      <c r="H1423" s="12"/>
      <c r="K1423"/>
    </row>
    <row r="1424" spans="5:11" x14ac:dyDescent="0.2">
      <c r="E1424" s="50"/>
      <c r="H1424" s="12"/>
      <c r="K1424"/>
    </row>
    <row r="1425" spans="5:11" x14ac:dyDescent="0.2">
      <c r="E1425" s="50"/>
      <c r="H1425" s="12"/>
      <c r="K1425"/>
    </row>
    <row r="1426" spans="5:11" x14ac:dyDescent="0.2">
      <c r="E1426" s="50"/>
      <c r="H1426" s="12"/>
      <c r="K1426"/>
    </row>
    <row r="1427" spans="5:11" x14ac:dyDescent="0.2">
      <c r="E1427" s="50"/>
      <c r="H1427" s="12"/>
      <c r="K1427"/>
    </row>
    <row r="1428" spans="5:11" x14ac:dyDescent="0.2">
      <c r="E1428" s="50"/>
      <c r="H1428" s="12"/>
      <c r="K1428"/>
    </row>
    <row r="1429" spans="5:11" x14ac:dyDescent="0.2">
      <c r="E1429" s="50"/>
      <c r="H1429" s="12"/>
      <c r="K1429"/>
    </row>
    <row r="1430" spans="5:11" x14ac:dyDescent="0.2">
      <c r="E1430" s="50"/>
      <c r="H1430" s="12"/>
      <c r="K1430"/>
    </row>
    <row r="1431" spans="5:11" x14ac:dyDescent="0.2">
      <c r="E1431" s="50"/>
      <c r="H1431" s="12"/>
      <c r="K1431"/>
    </row>
    <row r="1432" spans="5:11" x14ac:dyDescent="0.2">
      <c r="E1432" s="50"/>
      <c r="H1432" s="12"/>
      <c r="K1432"/>
    </row>
    <row r="1433" spans="5:11" x14ac:dyDescent="0.2">
      <c r="E1433" s="50"/>
      <c r="H1433" s="12"/>
      <c r="K1433"/>
    </row>
    <row r="1434" spans="5:11" x14ac:dyDescent="0.2">
      <c r="E1434" s="50"/>
      <c r="H1434" s="12"/>
      <c r="K1434"/>
    </row>
    <row r="1435" spans="5:11" x14ac:dyDescent="0.2">
      <c r="E1435" s="50"/>
      <c r="H1435" s="12"/>
      <c r="K1435"/>
    </row>
    <row r="1436" spans="5:11" x14ac:dyDescent="0.2">
      <c r="E1436" s="50"/>
      <c r="H1436" s="12"/>
      <c r="K1436"/>
    </row>
    <row r="1437" spans="5:11" x14ac:dyDescent="0.2">
      <c r="E1437" s="50"/>
      <c r="H1437" s="12"/>
      <c r="K1437"/>
    </row>
    <row r="1438" spans="5:11" x14ac:dyDescent="0.2">
      <c r="E1438" s="50"/>
      <c r="H1438" s="12"/>
      <c r="K1438"/>
    </row>
    <row r="1439" spans="5:11" x14ac:dyDescent="0.2">
      <c r="E1439" s="50"/>
      <c r="H1439" s="12"/>
      <c r="K1439"/>
    </row>
    <row r="1440" spans="5:11" x14ac:dyDescent="0.2">
      <c r="E1440" s="50"/>
      <c r="H1440" s="12"/>
      <c r="K1440"/>
    </row>
    <row r="1441" spans="5:11" x14ac:dyDescent="0.2">
      <c r="E1441" s="50"/>
      <c r="H1441" s="12"/>
      <c r="K1441"/>
    </row>
    <row r="1442" spans="5:11" x14ac:dyDescent="0.2">
      <c r="E1442" s="50"/>
      <c r="H1442" s="12"/>
      <c r="K1442"/>
    </row>
    <row r="1443" spans="5:11" x14ac:dyDescent="0.2">
      <c r="E1443" s="50"/>
      <c r="H1443" s="12"/>
      <c r="K1443"/>
    </row>
    <row r="1444" spans="5:11" x14ac:dyDescent="0.2">
      <c r="E1444" s="50"/>
      <c r="H1444" s="12"/>
      <c r="K1444"/>
    </row>
    <row r="1445" spans="5:11" x14ac:dyDescent="0.2">
      <c r="E1445" s="50"/>
      <c r="H1445" s="12"/>
      <c r="K1445"/>
    </row>
    <row r="1446" spans="5:11" x14ac:dyDescent="0.2">
      <c r="E1446" s="50"/>
      <c r="H1446" s="12"/>
      <c r="K1446"/>
    </row>
    <row r="1447" spans="5:11" x14ac:dyDescent="0.2">
      <c r="E1447" s="50"/>
      <c r="H1447" s="12"/>
      <c r="K1447"/>
    </row>
    <row r="1448" spans="5:11" x14ac:dyDescent="0.2">
      <c r="E1448" s="50"/>
      <c r="H1448" s="12"/>
      <c r="K1448"/>
    </row>
    <row r="1449" spans="5:11" x14ac:dyDescent="0.2">
      <c r="E1449" s="50"/>
      <c r="H1449" s="12"/>
      <c r="K1449"/>
    </row>
    <row r="1450" spans="5:11" x14ac:dyDescent="0.2">
      <c r="E1450" s="50"/>
      <c r="H1450" s="12"/>
      <c r="K1450"/>
    </row>
    <row r="1451" spans="5:11" x14ac:dyDescent="0.2">
      <c r="E1451" s="50"/>
      <c r="H1451" s="12"/>
      <c r="K1451"/>
    </row>
    <row r="1452" spans="5:11" x14ac:dyDescent="0.2">
      <c r="E1452" s="50"/>
      <c r="H1452" s="12"/>
      <c r="K1452"/>
    </row>
    <row r="1453" spans="5:11" x14ac:dyDescent="0.2">
      <c r="E1453" s="50"/>
      <c r="H1453" s="12"/>
      <c r="K1453"/>
    </row>
    <row r="1454" spans="5:11" x14ac:dyDescent="0.2">
      <c r="E1454" s="50"/>
      <c r="H1454" s="12"/>
      <c r="K1454"/>
    </row>
    <row r="1455" spans="5:11" x14ac:dyDescent="0.2">
      <c r="E1455" s="50"/>
      <c r="H1455" s="12"/>
      <c r="K1455"/>
    </row>
    <row r="1456" spans="5:11" x14ac:dyDescent="0.2">
      <c r="E1456" s="50"/>
      <c r="H1456" s="12"/>
      <c r="K1456"/>
    </row>
    <row r="1457" spans="5:11" x14ac:dyDescent="0.2">
      <c r="E1457" s="50"/>
      <c r="H1457" s="12"/>
      <c r="K1457"/>
    </row>
    <row r="1458" spans="5:11" x14ac:dyDescent="0.2">
      <c r="E1458" s="50"/>
      <c r="H1458" s="12"/>
      <c r="K1458"/>
    </row>
    <row r="1459" spans="5:11" x14ac:dyDescent="0.2">
      <c r="E1459" s="50"/>
      <c r="H1459" s="12"/>
      <c r="K1459"/>
    </row>
    <row r="1460" spans="5:11" x14ac:dyDescent="0.2">
      <c r="E1460" s="50"/>
      <c r="H1460" s="12"/>
      <c r="K1460"/>
    </row>
    <row r="1461" spans="5:11" x14ac:dyDescent="0.2">
      <c r="E1461" s="50"/>
      <c r="H1461" s="12"/>
      <c r="K1461"/>
    </row>
    <row r="1462" spans="5:11" x14ac:dyDescent="0.2">
      <c r="E1462" s="50"/>
      <c r="H1462" s="12"/>
      <c r="K1462"/>
    </row>
    <row r="1463" spans="5:11" x14ac:dyDescent="0.2">
      <c r="E1463" s="50"/>
      <c r="H1463" s="12"/>
      <c r="K1463"/>
    </row>
    <row r="1464" spans="5:11" x14ac:dyDescent="0.2">
      <c r="E1464" s="50"/>
      <c r="H1464" s="12"/>
      <c r="K1464"/>
    </row>
    <row r="1465" spans="5:11" x14ac:dyDescent="0.2">
      <c r="E1465" s="50"/>
      <c r="H1465" s="12"/>
      <c r="K1465"/>
    </row>
    <row r="1466" spans="5:11" x14ac:dyDescent="0.2">
      <c r="E1466" s="50"/>
      <c r="H1466" s="12"/>
      <c r="K1466"/>
    </row>
    <row r="1467" spans="5:11" x14ac:dyDescent="0.2">
      <c r="E1467" s="50"/>
      <c r="H1467" s="12"/>
      <c r="K1467"/>
    </row>
    <row r="1468" spans="5:11" x14ac:dyDescent="0.2">
      <c r="E1468" s="50"/>
      <c r="H1468" s="12"/>
      <c r="K1468"/>
    </row>
    <row r="1469" spans="5:11" x14ac:dyDescent="0.2">
      <c r="E1469" s="50"/>
      <c r="H1469" s="12"/>
      <c r="K1469"/>
    </row>
    <row r="1470" spans="5:11" x14ac:dyDescent="0.2">
      <c r="E1470" s="50"/>
      <c r="H1470" s="12"/>
      <c r="K1470"/>
    </row>
    <row r="1471" spans="5:11" x14ac:dyDescent="0.2">
      <c r="E1471" s="50"/>
      <c r="H1471" s="12"/>
      <c r="K1471"/>
    </row>
    <row r="1472" spans="5:11" x14ac:dyDescent="0.2">
      <c r="E1472" s="50"/>
      <c r="H1472" s="12"/>
      <c r="K1472"/>
    </row>
    <row r="1473" spans="5:11" x14ac:dyDescent="0.2">
      <c r="E1473" s="50"/>
      <c r="H1473" s="12"/>
      <c r="K1473"/>
    </row>
    <row r="1474" spans="5:11" x14ac:dyDescent="0.2">
      <c r="E1474" s="50"/>
      <c r="H1474" s="12"/>
      <c r="K1474"/>
    </row>
    <row r="1475" spans="5:11" x14ac:dyDescent="0.2">
      <c r="E1475" s="50"/>
      <c r="H1475" s="12"/>
      <c r="K1475"/>
    </row>
    <row r="1476" spans="5:11" x14ac:dyDescent="0.2">
      <c r="E1476" s="50"/>
      <c r="H1476" s="12"/>
      <c r="K1476"/>
    </row>
    <row r="1477" spans="5:11" x14ac:dyDescent="0.2">
      <c r="E1477" s="50"/>
      <c r="H1477" s="12"/>
      <c r="K1477"/>
    </row>
    <row r="1478" spans="5:11" x14ac:dyDescent="0.2">
      <c r="E1478" s="50"/>
      <c r="H1478" s="12"/>
      <c r="K1478"/>
    </row>
    <row r="1479" spans="5:11" x14ac:dyDescent="0.2">
      <c r="E1479" s="50"/>
      <c r="H1479" s="12"/>
      <c r="K1479"/>
    </row>
    <row r="1480" spans="5:11" x14ac:dyDescent="0.2">
      <c r="E1480" s="50"/>
      <c r="H1480" s="12"/>
      <c r="K1480"/>
    </row>
    <row r="1481" spans="5:11" x14ac:dyDescent="0.2">
      <c r="E1481" s="50"/>
      <c r="H1481" s="12"/>
      <c r="K1481"/>
    </row>
    <row r="1482" spans="5:11" x14ac:dyDescent="0.2">
      <c r="E1482" s="50"/>
      <c r="H1482" s="12"/>
      <c r="K1482"/>
    </row>
    <row r="1483" spans="5:11" x14ac:dyDescent="0.2">
      <c r="E1483" s="50"/>
      <c r="H1483" s="12"/>
      <c r="K1483"/>
    </row>
    <row r="1484" spans="5:11" x14ac:dyDescent="0.2">
      <c r="E1484" s="50"/>
      <c r="H1484" s="12"/>
      <c r="K1484"/>
    </row>
    <row r="1485" spans="5:11" x14ac:dyDescent="0.2">
      <c r="E1485" s="50"/>
      <c r="H1485" s="12"/>
      <c r="K1485"/>
    </row>
    <row r="1486" spans="5:11" x14ac:dyDescent="0.2">
      <c r="E1486" s="50"/>
      <c r="H1486" s="12"/>
      <c r="K1486"/>
    </row>
    <row r="1487" spans="5:11" x14ac:dyDescent="0.2">
      <c r="E1487" s="50"/>
      <c r="H1487" s="12"/>
      <c r="K1487"/>
    </row>
    <row r="1488" spans="5:11" x14ac:dyDescent="0.2">
      <c r="E1488" s="50"/>
      <c r="H1488" s="12"/>
      <c r="K1488"/>
    </row>
    <row r="1489" spans="5:11" x14ac:dyDescent="0.2">
      <c r="E1489" s="50"/>
      <c r="H1489" s="12"/>
      <c r="K1489"/>
    </row>
    <row r="1490" spans="5:11" x14ac:dyDescent="0.2">
      <c r="E1490" s="50"/>
      <c r="H1490" s="12"/>
      <c r="K1490"/>
    </row>
    <row r="1491" spans="5:11" x14ac:dyDescent="0.2">
      <c r="E1491" s="50"/>
      <c r="H1491" s="12"/>
      <c r="K1491"/>
    </row>
    <row r="1492" spans="5:11" x14ac:dyDescent="0.2">
      <c r="E1492" s="50"/>
      <c r="H1492" s="12"/>
      <c r="K1492"/>
    </row>
    <row r="1493" spans="5:11" x14ac:dyDescent="0.2">
      <c r="E1493" s="50"/>
      <c r="H1493" s="12"/>
      <c r="K1493"/>
    </row>
    <row r="1494" spans="5:11" x14ac:dyDescent="0.2">
      <c r="E1494" s="50"/>
      <c r="H1494" s="12"/>
      <c r="K1494"/>
    </row>
    <row r="1495" spans="5:11" x14ac:dyDescent="0.2">
      <c r="E1495" s="50"/>
      <c r="H1495" s="12"/>
      <c r="K1495"/>
    </row>
    <row r="1496" spans="5:11" x14ac:dyDescent="0.2">
      <c r="E1496" s="50"/>
      <c r="H1496" s="12"/>
      <c r="K1496"/>
    </row>
    <row r="1497" spans="5:11" x14ac:dyDescent="0.2">
      <c r="E1497" s="50"/>
      <c r="H1497" s="12"/>
      <c r="K1497"/>
    </row>
    <row r="1498" spans="5:11" x14ac:dyDescent="0.2">
      <c r="E1498" s="50"/>
      <c r="H1498" s="12"/>
      <c r="K1498"/>
    </row>
    <row r="1499" spans="5:11" x14ac:dyDescent="0.2">
      <c r="E1499" s="50"/>
      <c r="H1499" s="12"/>
      <c r="K1499"/>
    </row>
    <row r="1500" spans="5:11" x14ac:dyDescent="0.2">
      <c r="E1500" s="50"/>
      <c r="H1500" s="12"/>
      <c r="K1500"/>
    </row>
    <row r="1501" spans="5:11" x14ac:dyDescent="0.2">
      <c r="E1501" s="50"/>
      <c r="H1501" s="12"/>
      <c r="K1501"/>
    </row>
    <row r="1502" spans="5:11" x14ac:dyDescent="0.2">
      <c r="E1502" s="50"/>
      <c r="H1502" s="12"/>
      <c r="K1502"/>
    </row>
    <row r="1503" spans="5:11" x14ac:dyDescent="0.2">
      <c r="E1503" s="50"/>
      <c r="H1503" s="12"/>
      <c r="K1503"/>
    </row>
    <row r="1504" spans="5:11" x14ac:dyDescent="0.2">
      <c r="E1504" s="50"/>
      <c r="H1504" s="12"/>
      <c r="K1504"/>
    </row>
    <row r="1505" spans="5:11" x14ac:dyDescent="0.2">
      <c r="E1505" s="50"/>
      <c r="H1505" s="12"/>
      <c r="K1505"/>
    </row>
    <row r="1506" spans="5:11" x14ac:dyDescent="0.2">
      <c r="E1506" s="50"/>
      <c r="H1506" s="12"/>
      <c r="K1506"/>
    </row>
    <row r="1507" spans="5:11" x14ac:dyDescent="0.2">
      <c r="E1507" s="50"/>
      <c r="H1507" s="12"/>
      <c r="K1507"/>
    </row>
    <row r="1508" spans="5:11" x14ac:dyDescent="0.2">
      <c r="E1508" s="50"/>
      <c r="H1508" s="12"/>
      <c r="K1508"/>
    </row>
    <row r="1509" spans="5:11" x14ac:dyDescent="0.2">
      <c r="E1509" s="50"/>
      <c r="H1509" s="12"/>
      <c r="K1509"/>
    </row>
    <row r="1510" spans="5:11" x14ac:dyDescent="0.2">
      <c r="E1510" s="50"/>
      <c r="H1510" s="12"/>
      <c r="K1510"/>
    </row>
    <row r="1511" spans="5:11" x14ac:dyDescent="0.2">
      <c r="E1511" s="50"/>
      <c r="H1511" s="12"/>
      <c r="K1511"/>
    </row>
    <row r="1512" spans="5:11" x14ac:dyDescent="0.2">
      <c r="E1512" s="50"/>
      <c r="H1512" s="12"/>
      <c r="K1512"/>
    </row>
    <row r="1513" spans="5:11" x14ac:dyDescent="0.2">
      <c r="E1513" s="50"/>
      <c r="H1513" s="12"/>
      <c r="K1513"/>
    </row>
    <row r="1514" spans="5:11" x14ac:dyDescent="0.2">
      <c r="E1514" s="50"/>
      <c r="H1514" s="12"/>
      <c r="K1514"/>
    </row>
    <row r="1515" spans="5:11" x14ac:dyDescent="0.2">
      <c r="E1515" s="50"/>
      <c r="H1515" s="12"/>
      <c r="K1515"/>
    </row>
    <row r="1516" spans="5:11" x14ac:dyDescent="0.2">
      <c r="E1516" s="50"/>
      <c r="H1516" s="12"/>
      <c r="K1516"/>
    </row>
    <row r="1517" spans="5:11" x14ac:dyDescent="0.2">
      <c r="E1517" s="50"/>
      <c r="H1517" s="12"/>
      <c r="K1517"/>
    </row>
    <row r="1518" spans="5:11" x14ac:dyDescent="0.2">
      <c r="E1518" s="50"/>
      <c r="H1518" s="12"/>
      <c r="K1518"/>
    </row>
    <row r="1519" spans="5:11" x14ac:dyDescent="0.2">
      <c r="E1519" s="50"/>
      <c r="H1519" s="12"/>
      <c r="K1519"/>
    </row>
    <row r="1520" spans="5:11" x14ac:dyDescent="0.2">
      <c r="E1520" s="50"/>
      <c r="H1520" s="12"/>
      <c r="K1520"/>
    </row>
    <row r="1521" spans="5:11" x14ac:dyDescent="0.2">
      <c r="E1521" s="50"/>
      <c r="H1521" s="12"/>
      <c r="K1521"/>
    </row>
    <row r="1522" spans="5:11" x14ac:dyDescent="0.2">
      <c r="E1522" s="50"/>
      <c r="H1522" s="12"/>
      <c r="K1522"/>
    </row>
    <row r="1523" spans="5:11" x14ac:dyDescent="0.2">
      <c r="E1523" s="50"/>
      <c r="H1523" s="12"/>
      <c r="K1523"/>
    </row>
    <row r="1524" spans="5:11" x14ac:dyDescent="0.2">
      <c r="E1524" s="50"/>
      <c r="H1524" s="12"/>
      <c r="K1524"/>
    </row>
    <row r="1525" spans="5:11" x14ac:dyDescent="0.2">
      <c r="E1525" s="50"/>
      <c r="H1525" s="12"/>
      <c r="K1525"/>
    </row>
    <row r="1526" spans="5:11" x14ac:dyDescent="0.2">
      <c r="E1526" s="50"/>
      <c r="H1526" s="12"/>
      <c r="K1526"/>
    </row>
    <row r="1527" spans="5:11" x14ac:dyDescent="0.2">
      <c r="E1527" s="50"/>
      <c r="H1527" s="12"/>
      <c r="K1527"/>
    </row>
    <row r="1528" spans="5:11" x14ac:dyDescent="0.2">
      <c r="E1528" s="50"/>
      <c r="H1528" s="12"/>
      <c r="K1528"/>
    </row>
    <row r="1529" spans="5:11" x14ac:dyDescent="0.2">
      <c r="E1529" s="50"/>
      <c r="H1529" s="12"/>
      <c r="K1529"/>
    </row>
    <row r="1530" spans="5:11" x14ac:dyDescent="0.2">
      <c r="E1530" s="50"/>
      <c r="H1530" s="12"/>
      <c r="K1530"/>
    </row>
    <row r="1531" spans="5:11" x14ac:dyDescent="0.2">
      <c r="E1531" s="50"/>
      <c r="H1531" s="12"/>
      <c r="K1531"/>
    </row>
    <row r="1532" spans="5:11" x14ac:dyDescent="0.2">
      <c r="E1532" s="50"/>
      <c r="H1532" s="12"/>
      <c r="K1532"/>
    </row>
    <row r="1533" spans="5:11" x14ac:dyDescent="0.2">
      <c r="E1533" s="50"/>
      <c r="H1533" s="12"/>
      <c r="K1533"/>
    </row>
    <row r="1534" spans="5:11" x14ac:dyDescent="0.2">
      <c r="E1534" s="50"/>
      <c r="H1534" s="12"/>
      <c r="K1534"/>
    </row>
    <row r="1535" spans="5:11" x14ac:dyDescent="0.2">
      <c r="E1535" s="50"/>
      <c r="H1535" s="12"/>
      <c r="K1535"/>
    </row>
    <row r="1536" spans="5:11" x14ac:dyDescent="0.2">
      <c r="E1536" s="50"/>
      <c r="H1536" s="12"/>
      <c r="K1536"/>
    </row>
    <row r="1537" spans="5:11" x14ac:dyDescent="0.2">
      <c r="E1537" s="50"/>
      <c r="H1537" s="12"/>
      <c r="K1537"/>
    </row>
    <row r="1538" spans="5:11" x14ac:dyDescent="0.2">
      <c r="E1538" s="50"/>
      <c r="H1538" s="12"/>
      <c r="K1538"/>
    </row>
    <row r="1539" spans="5:11" x14ac:dyDescent="0.2">
      <c r="E1539" s="50"/>
      <c r="H1539" s="12"/>
      <c r="K1539"/>
    </row>
    <row r="1540" spans="5:11" x14ac:dyDescent="0.2">
      <c r="E1540" s="50"/>
      <c r="H1540" s="12"/>
      <c r="K1540"/>
    </row>
    <row r="1541" spans="5:11" x14ac:dyDescent="0.2">
      <c r="E1541" s="50"/>
      <c r="H1541" s="12"/>
      <c r="K1541"/>
    </row>
    <row r="1542" spans="5:11" x14ac:dyDescent="0.2">
      <c r="E1542" s="50"/>
      <c r="H1542" s="12"/>
      <c r="K1542"/>
    </row>
    <row r="1543" spans="5:11" x14ac:dyDescent="0.2">
      <c r="E1543" s="50"/>
      <c r="H1543" s="12"/>
      <c r="K1543"/>
    </row>
    <row r="1544" spans="5:11" x14ac:dyDescent="0.2">
      <c r="E1544" s="50"/>
      <c r="H1544" s="12"/>
      <c r="K1544"/>
    </row>
    <row r="1545" spans="5:11" x14ac:dyDescent="0.2">
      <c r="E1545" s="50"/>
      <c r="H1545" s="12"/>
      <c r="K1545"/>
    </row>
    <row r="1546" spans="5:11" x14ac:dyDescent="0.2">
      <c r="E1546" s="50"/>
      <c r="H1546" s="12"/>
      <c r="K1546"/>
    </row>
    <row r="1547" spans="5:11" x14ac:dyDescent="0.2">
      <c r="E1547" s="50"/>
      <c r="H1547" s="12"/>
      <c r="K1547"/>
    </row>
    <row r="1548" spans="5:11" x14ac:dyDescent="0.2">
      <c r="E1548" s="50"/>
      <c r="H1548" s="12"/>
      <c r="K1548"/>
    </row>
    <row r="1549" spans="5:11" x14ac:dyDescent="0.2">
      <c r="E1549" s="50"/>
      <c r="H1549" s="12"/>
      <c r="K1549"/>
    </row>
    <row r="1550" spans="5:11" x14ac:dyDescent="0.2">
      <c r="E1550" s="50"/>
      <c r="H1550" s="12"/>
      <c r="K1550"/>
    </row>
    <row r="1551" spans="5:11" x14ac:dyDescent="0.2">
      <c r="E1551" s="50"/>
      <c r="H1551" s="12"/>
      <c r="K1551"/>
    </row>
    <row r="1552" spans="5:11" x14ac:dyDescent="0.2">
      <c r="E1552" s="50"/>
      <c r="H1552" s="12"/>
      <c r="K1552"/>
    </row>
    <row r="1553" spans="5:11" x14ac:dyDescent="0.2">
      <c r="E1553" s="50"/>
      <c r="H1553" s="12"/>
      <c r="K1553"/>
    </row>
    <row r="1554" spans="5:11" x14ac:dyDescent="0.2">
      <c r="E1554" s="50"/>
      <c r="H1554" s="12"/>
      <c r="K1554"/>
    </row>
    <row r="1555" spans="5:11" x14ac:dyDescent="0.2">
      <c r="E1555" s="50"/>
      <c r="H1555" s="12"/>
      <c r="K1555"/>
    </row>
    <row r="1556" spans="5:11" x14ac:dyDescent="0.2">
      <c r="E1556" s="50"/>
      <c r="H1556" s="12"/>
      <c r="K1556"/>
    </row>
    <row r="1557" spans="5:11" x14ac:dyDescent="0.2">
      <c r="E1557" s="50"/>
      <c r="H1557" s="12"/>
      <c r="K1557"/>
    </row>
    <row r="1558" spans="5:11" x14ac:dyDescent="0.2">
      <c r="E1558" s="50"/>
      <c r="H1558" s="12"/>
      <c r="K1558"/>
    </row>
    <row r="1559" spans="5:11" x14ac:dyDescent="0.2">
      <c r="E1559" s="50"/>
      <c r="H1559" s="12"/>
      <c r="K1559"/>
    </row>
    <row r="1560" spans="5:11" x14ac:dyDescent="0.2">
      <c r="E1560" s="50"/>
      <c r="H1560" s="12"/>
      <c r="K1560"/>
    </row>
    <row r="1561" spans="5:11" x14ac:dyDescent="0.2">
      <c r="E1561" s="50"/>
      <c r="H1561" s="12"/>
      <c r="K1561"/>
    </row>
    <row r="1562" spans="5:11" x14ac:dyDescent="0.2">
      <c r="E1562" s="50"/>
      <c r="H1562" s="12"/>
      <c r="K1562"/>
    </row>
    <row r="1563" spans="5:11" x14ac:dyDescent="0.2">
      <c r="E1563" s="50"/>
      <c r="H1563" s="12"/>
      <c r="K1563"/>
    </row>
    <row r="1564" spans="5:11" x14ac:dyDescent="0.2">
      <c r="E1564" s="50"/>
      <c r="H1564" s="12"/>
      <c r="K1564"/>
    </row>
    <row r="1565" spans="5:11" x14ac:dyDescent="0.2">
      <c r="E1565" s="50"/>
      <c r="H1565" s="12"/>
      <c r="K1565"/>
    </row>
    <row r="1566" spans="5:11" x14ac:dyDescent="0.2">
      <c r="E1566" s="50"/>
      <c r="H1566" s="12"/>
      <c r="K1566"/>
    </row>
    <row r="1567" spans="5:11" x14ac:dyDescent="0.2">
      <c r="E1567" s="50"/>
      <c r="H1567" s="12"/>
      <c r="K1567"/>
    </row>
    <row r="1568" spans="5:11" x14ac:dyDescent="0.2">
      <c r="E1568" s="50"/>
      <c r="H1568" s="12"/>
      <c r="K1568"/>
    </row>
    <row r="1569" spans="5:11" x14ac:dyDescent="0.2">
      <c r="E1569" s="50"/>
      <c r="H1569" s="12"/>
      <c r="K1569"/>
    </row>
    <row r="1570" spans="5:11" x14ac:dyDescent="0.2">
      <c r="E1570" s="50"/>
      <c r="H1570" s="12"/>
      <c r="K1570"/>
    </row>
    <row r="1571" spans="5:11" x14ac:dyDescent="0.2">
      <c r="E1571" s="50"/>
      <c r="H1571" s="12"/>
      <c r="K1571"/>
    </row>
    <row r="1572" spans="5:11" x14ac:dyDescent="0.2">
      <c r="E1572" s="50"/>
      <c r="H1572" s="12"/>
      <c r="K1572"/>
    </row>
    <row r="1573" spans="5:11" x14ac:dyDescent="0.2">
      <c r="E1573" s="50"/>
      <c r="H1573" s="12"/>
      <c r="K1573"/>
    </row>
    <row r="1574" spans="5:11" x14ac:dyDescent="0.2">
      <c r="E1574" s="50"/>
      <c r="H1574" s="12"/>
      <c r="K1574"/>
    </row>
    <row r="1575" spans="5:11" x14ac:dyDescent="0.2">
      <c r="E1575" s="50"/>
      <c r="H1575" s="12"/>
      <c r="K1575"/>
    </row>
    <row r="1576" spans="5:11" x14ac:dyDescent="0.2">
      <c r="E1576" s="50"/>
      <c r="H1576" s="12"/>
      <c r="K1576"/>
    </row>
    <row r="1577" spans="5:11" x14ac:dyDescent="0.2">
      <c r="E1577" s="50"/>
      <c r="H1577" s="12"/>
      <c r="K1577"/>
    </row>
    <row r="1578" spans="5:11" x14ac:dyDescent="0.2">
      <c r="E1578" s="50"/>
      <c r="H1578" s="12"/>
      <c r="K1578"/>
    </row>
    <row r="1579" spans="5:11" x14ac:dyDescent="0.2">
      <c r="E1579" s="50"/>
      <c r="H1579" s="12"/>
      <c r="K1579"/>
    </row>
    <row r="1580" spans="5:11" x14ac:dyDescent="0.2">
      <c r="E1580" s="50"/>
      <c r="H1580" s="12"/>
      <c r="K1580"/>
    </row>
    <row r="1581" spans="5:11" x14ac:dyDescent="0.2">
      <c r="E1581" s="50"/>
      <c r="H1581" s="12"/>
      <c r="K1581"/>
    </row>
    <row r="1582" spans="5:11" x14ac:dyDescent="0.2">
      <c r="E1582" s="50"/>
      <c r="H1582" s="12"/>
      <c r="K1582"/>
    </row>
    <row r="1583" spans="5:11" x14ac:dyDescent="0.2">
      <c r="E1583" s="50"/>
      <c r="H1583" s="12"/>
      <c r="K1583"/>
    </row>
    <row r="1584" spans="5:11" x14ac:dyDescent="0.2">
      <c r="E1584" s="50"/>
      <c r="H1584" s="12"/>
      <c r="K1584"/>
    </row>
    <row r="1585" spans="5:11" x14ac:dyDescent="0.2">
      <c r="E1585" s="50"/>
      <c r="H1585" s="12"/>
      <c r="K1585"/>
    </row>
    <row r="1586" spans="5:11" x14ac:dyDescent="0.2">
      <c r="E1586" s="50"/>
      <c r="H1586" s="12"/>
      <c r="K1586"/>
    </row>
    <row r="1587" spans="5:11" x14ac:dyDescent="0.2">
      <c r="E1587" s="50"/>
      <c r="H1587" s="12"/>
      <c r="K1587"/>
    </row>
    <row r="1588" spans="5:11" x14ac:dyDescent="0.2">
      <c r="E1588" s="50"/>
      <c r="H1588" s="12"/>
      <c r="K1588"/>
    </row>
    <row r="1589" spans="5:11" x14ac:dyDescent="0.2">
      <c r="E1589" s="50"/>
      <c r="H1589" s="12"/>
      <c r="K1589"/>
    </row>
    <row r="1590" spans="5:11" x14ac:dyDescent="0.2">
      <c r="E1590" s="50"/>
      <c r="H1590" s="12"/>
      <c r="K1590"/>
    </row>
    <row r="1591" spans="5:11" x14ac:dyDescent="0.2">
      <c r="E1591" s="50"/>
      <c r="H1591" s="12"/>
      <c r="K1591"/>
    </row>
    <row r="1592" spans="5:11" x14ac:dyDescent="0.2">
      <c r="E1592" s="50"/>
      <c r="H1592" s="12"/>
      <c r="K1592"/>
    </row>
    <row r="1593" spans="5:11" x14ac:dyDescent="0.2">
      <c r="E1593" s="50"/>
      <c r="H1593" s="12"/>
      <c r="K1593"/>
    </row>
    <row r="1594" spans="5:11" x14ac:dyDescent="0.2">
      <c r="E1594" s="50"/>
      <c r="H1594" s="12"/>
      <c r="K1594"/>
    </row>
    <row r="1595" spans="5:11" x14ac:dyDescent="0.2">
      <c r="E1595" s="50"/>
      <c r="H1595" s="12"/>
      <c r="K1595"/>
    </row>
    <row r="1596" spans="5:11" x14ac:dyDescent="0.2">
      <c r="E1596" s="50"/>
      <c r="H1596" s="12"/>
      <c r="K1596"/>
    </row>
    <row r="1597" spans="5:11" x14ac:dyDescent="0.2">
      <c r="E1597" s="50"/>
      <c r="H1597" s="12"/>
      <c r="K1597"/>
    </row>
    <row r="1598" spans="5:11" x14ac:dyDescent="0.2">
      <c r="E1598" s="50"/>
      <c r="H1598" s="12"/>
      <c r="K1598"/>
    </row>
    <row r="1599" spans="5:11" x14ac:dyDescent="0.2">
      <c r="E1599" s="50"/>
      <c r="H1599" s="12"/>
      <c r="K1599"/>
    </row>
    <row r="1600" spans="5:11" x14ac:dyDescent="0.2">
      <c r="E1600" s="50"/>
      <c r="H1600" s="12"/>
      <c r="K1600"/>
    </row>
    <row r="1601" spans="5:11" x14ac:dyDescent="0.2">
      <c r="E1601" s="50"/>
      <c r="H1601" s="12"/>
      <c r="K1601"/>
    </row>
    <row r="1602" spans="5:11" x14ac:dyDescent="0.2">
      <c r="E1602" s="50"/>
      <c r="H1602" s="12"/>
      <c r="K1602"/>
    </row>
    <row r="1603" spans="5:11" x14ac:dyDescent="0.2">
      <c r="E1603" s="50"/>
      <c r="H1603" s="12"/>
      <c r="K1603"/>
    </row>
    <row r="1604" spans="5:11" x14ac:dyDescent="0.2">
      <c r="E1604" s="50"/>
      <c r="H1604" s="12"/>
      <c r="K1604"/>
    </row>
    <row r="1605" spans="5:11" x14ac:dyDescent="0.2">
      <c r="E1605" s="50"/>
      <c r="H1605" s="12"/>
      <c r="K1605"/>
    </row>
    <row r="1606" spans="5:11" x14ac:dyDescent="0.2">
      <c r="E1606" s="50"/>
      <c r="H1606" s="12"/>
      <c r="K1606"/>
    </row>
    <row r="1607" spans="5:11" x14ac:dyDescent="0.2">
      <c r="E1607" s="50"/>
      <c r="H1607" s="12"/>
      <c r="K1607"/>
    </row>
    <row r="1608" spans="5:11" x14ac:dyDescent="0.2">
      <c r="E1608" s="50"/>
      <c r="H1608" s="12"/>
      <c r="K1608"/>
    </row>
    <row r="1609" spans="5:11" x14ac:dyDescent="0.2">
      <c r="E1609" s="50"/>
      <c r="H1609" s="12"/>
      <c r="K1609"/>
    </row>
    <row r="1610" spans="5:11" x14ac:dyDescent="0.2">
      <c r="E1610" s="50"/>
      <c r="H1610" s="12"/>
      <c r="K1610"/>
    </row>
    <row r="1611" spans="5:11" x14ac:dyDescent="0.2">
      <c r="E1611" s="50"/>
      <c r="H1611" s="12"/>
      <c r="K1611"/>
    </row>
    <row r="1612" spans="5:11" x14ac:dyDescent="0.2">
      <c r="E1612" s="50"/>
      <c r="H1612" s="12"/>
      <c r="K1612"/>
    </row>
    <row r="1613" spans="5:11" x14ac:dyDescent="0.2">
      <c r="E1613" s="50"/>
      <c r="H1613" s="12"/>
      <c r="K1613"/>
    </row>
    <row r="1614" spans="5:11" x14ac:dyDescent="0.2">
      <c r="E1614" s="50"/>
      <c r="H1614" s="12"/>
      <c r="K1614"/>
    </row>
    <row r="1615" spans="5:11" x14ac:dyDescent="0.2">
      <c r="E1615" s="50"/>
      <c r="H1615" s="12"/>
      <c r="K1615"/>
    </row>
    <row r="1616" spans="5:11" x14ac:dyDescent="0.2">
      <c r="E1616" s="50"/>
      <c r="H1616" s="12"/>
      <c r="K1616"/>
    </row>
    <row r="1617" spans="5:11" x14ac:dyDescent="0.2">
      <c r="E1617" s="50"/>
      <c r="H1617" s="12"/>
      <c r="K1617"/>
    </row>
    <row r="1618" spans="5:11" x14ac:dyDescent="0.2">
      <c r="E1618" s="50"/>
      <c r="H1618" s="12"/>
      <c r="K1618"/>
    </row>
    <row r="1619" spans="5:11" x14ac:dyDescent="0.2">
      <c r="E1619" s="50"/>
      <c r="H1619" s="12"/>
      <c r="K1619"/>
    </row>
    <row r="1620" spans="5:11" x14ac:dyDescent="0.2">
      <c r="E1620" s="50"/>
      <c r="H1620" s="12"/>
      <c r="K1620"/>
    </row>
    <row r="1621" spans="5:11" x14ac:dyDescent="0.2">
      <c r="E1621" s="50"/>
      <c r="H1621" s="12"/>
      <c r="K1621"/>
    </row>
    <row r="1622" spans="5:11" x14ac:dyDescent="0.2">
      <c r="E1622" s="50"/>
      <c r="H1622" s="12"/>
      <c r="K1622"/>
    </row>
    <row r="1623" spans="5:11" x14ac:dyDescent="0.2">
      <c r="E1623" s="50"/>
      <c r="H1623" s="12"/>
      <c r="K1623"/>
    </row>
    <row r="1624" spans="5:11" x14ac:dyDescent="0.2">
      <c r="E1624" s="50"/>
      <c r="H1624" s="12"/>
      <c r="K1624"/>
    </row>
    <row r="1625" spans="5:11" x14ac:dyDescent="0.2">
      <c r="E1625" s="50"/>
      <c r="H1625" s="12"/>
      <c r="K1625"/>
    </row>
    <row r="1626" spans="5:11" x14ac:dyDescent="0.2">
      <c r="E1626" s="50"/>
      <c r="H1626" s="12"/>
      <c r="K1626"/>
    </row>
    <row r="1627" spans="5:11" x14ac:dyDescent="0.2">
      <c r="E1627" s="50"/>
      <c r="H1627" s="12"/>
      <c r="K1627"/>
    </row>
    <row r="1628" spans="5:11" x14ac:dyDescent="0.2">
      <c r="E1628" s="50"/>
      <c r="H1628" s="12"/>
      <c r="K1628"/>
    </row>
    <row r="1629" spans="5:11" x14ac:dyDescent="0.2">
      <c r="E1629" s="50"/>
      <c r="H1629" s="12"/>
      <c r="K1629"/>
    </row>
    <row r="1630" spans="5:11" x14ac:dyDescent="0.2">
      <c r="E1630" s="50"/>
      <c r="H1630" s="12"/>
      <c r="K1630"/>
    </row>
    <row r="1631" spans="5:11" x14ac:dyDescent="0.2">
      <c r="E1631" s="50"/>
      <c r="H1631" s="12"/>
      <c r="K1631"/>
    </row>
    <row r="1632" spans="5:11" x14ac:dyDescent="0.2">
      <c r="E1632" s="50"/>
      <c r="H1632" s="12"/>
      <c r="K1632"/>
    </row>
    <row r="1633" spans="5:11" x14ac:dyDescent="0.2">
      <c r="E1633" s="50"/>
      <c r="H1633" s="12"/>
      <c r="K1633"/>
    </row>
    <row r="1634" spans="5:11" x14ac:dyDescent="0.2">
      <c r="E1634" s="50"/>
      <c r="H1634" s="12"/>
      <c r="K1634"/>
    </row>
    <row r="1635" spans="5:11" x14ac:dyDescent="0.2">
      <c r="E1635" s="50"/>
      <c r="H1635" s="12"/>
      <c r="K1635"/>
    </row>
    <row r="1636" spans="5:11" x14ac:dyDescent="0.2">
      <c r="E1636" s="50"/>
      <c r="H1636" s="12"/>
      <c r="K1636"/>
    </row>
    <row r="1637" spans="5:11" x14ac:dyDescent="0.2">
      <c r="E1637" s="50"/>
      <c r="H1637" s="12"/>
      <c r="K1637"/>
    </row>
    <row r="1638" spans="5:11" x14ac:dyDescent="0.2">
      <c r="E1638" s="50"/>
      <c r="H1638" s="12"/>
      <c r="K1638"/>
    </row>
    <row r="1639" spans="5:11" x14ac:dyDescent="0.2">
      <c r="E1639" s="50"/>
      <c r="H1639" s="12"/>
      <c r="K1639"/>
    </row>
    <row r="1640" spans="5:11" x14ac:dyDescent="0.2">
      <c r="E1640" s="50"/>
      <c r="H1640" s="12"/>
      <c r="K1640"/>
    </row>
    <row r="1641" spans="5:11" x14ac:dyDescent="0.2">
      <c r="E1641" s="50"/>
      <c r="H1641" s="12"/>
      <c r="K1641"/>
    </row>
    <row r="1642" spans="5:11" x14ac:dyDescent="0.2">
      <c r="E1642" s="50"/>
      <c r="H1642" s="12"/>
      <c r="K1642"/>
    </row>
    <row r="1643" spans="5:11" x14ac:dyDescent="0.2">
      <c r="E1643" s="50"/>
      <c r="H1643" s="12"/>
      <c r="K1643"/>
    </row>
    <row r="1644" spans="5:11" x14ac:dyDescent="0.2">
      <c r="E1644" s="50"/>
      <c r="H1644" s="12"/>
      <c r="K1644"/>
    </row>
    <row r="1645" spans="5:11" x14ac:dyDescent="0.2">
      <c r="E1645" s="50"/>
      <c r="H1645" s="12"/>
      <c r="K1645"/>
    </row>
    <row r="1646" spans="5:11" x14ac:dyDescent="0.2">
      <c r="E1646" s="50"/>
      <c r="H1646" s="12"/>
      <c r="K1646"/>
    </row>
    <row r="1647" spans="5:11" x14ac:dyDescent="0.2">
      <c r="E1647" s="50"/>
      <c r="H1647" s="12"/>
      <c r="K1647"/>
    </row>
    <row r="1648" spans="5:11" x14ac:dyDescent="0.2">
      <c r="E1648" s="50"/>
      <c r="H1648" s="12"/>
      <c r="K1648"/>
    </row>
    <row r="1649" spans="5:11" x14ac:dyDescent="0.2">
      <c r="E1649" s="50"/>
      <c r="H1649" s="12"/>
      <c r="K1649"/>
    </row>
    <row r="1650" spans="5:11" x14ac:dyDescent="0.2">
      <c r="E1650" s="50"/>
      <c r="H1650" s="12"/>
      <c r="K1650"/>
    </row>
    <row r="1651" spans="5:11" x14ac:dyDescent="0.2">
      <c r="E1651" s="50"/>
      <c r="H1651" s="12"/>
      <c r="K1651"/>
    </row>
    <row r="1652" spans="5:11" x14ac:dyDescent="0.2">
      <c r="E1652" s="50"/>
      <c r="H1652" s="12"/>
      <c r="K1652"/>
    </row>
    <row r="1653" spans="5:11" x14ac:dyDescent="0.2">
      <c r="E1653" s="50"/>
      <c r="H1653" s="12"/>
      <c r="K1653"/>
    </row>
    <row r="1654" spans="5:11" x14ac:dyDescent="0.2">
      <c r="E1654" s="50"/>
      <c r="H1654" s="12"/>
      <c r="K1654"/>
    </row>
    <row r="1655" spans="5:11" x14ac:dyDescent="0.2">
      <c r="E1655" s="50"/>
      <c r="H1655" s="12"/>
      <c r="K1655"/>
    </row>
    <row r="1656" spans="5:11" x14ac:dyDescent="0.2">
      <c r="E1656" s="50"/>
      <c r="H1656" s="12"/>
      <c r="K1656"/>
    </row>
    <row r="1657" spans="5:11" x14ac:dyDescent="0.2">
      <c r="E1657" s="50"/>
      <c r="H1657" s="12"/>
      <c r="K1657"/>
    </row>
    <row r="1658" spans="5:11" x14ac:dyDescent="0.2">
      <c r="E1658" s="50"/>
      <c r="H1658" s="12"/>
      <c r="K1658"/>
    </row>
    <row r="1659" spans="5:11" x14ac:dyDescent="0.2">
      <c r="E1659" s="50"/>
      <c r="H1659" s="12"/>
      <c r="K1659"/>
    </row>
    <row r="1660" spans="5:11" x14ac:dyDescent="0.2">
      <c r="E1660" s="50"/>
      <c r="H1660" s="12"/>
      <c r="K1660"/>
    </row>
    <row r="1661" spans="5:11" x14ac:dyDescent="0.2">
      <c r="E1661" s="50"/>
      <c r="H1661" s="12"/>
      <c r="K1661"/>
    </row>
    <row r="1662" spans="5:11" x14ac:dyDescent="0.2">
      <c r="E1662" s="50"/>
      <c r="H1662" s="12"/>
      <c r="K1662"/>
    </row>
    <row r="1663" spans="5:11" x14ac:dyDescent="0.2">
      <c r="E1663" s="50"/>
      <c r="H1663" s="12"/>
      <c r="K1663"/>
    </row>
    <row r="1664" spans="5:11" x14ac:dyDescent="0.2">
      <c r="E1664" s="50"/>
      <c r="H1664" s="12"/>
      <c r="K1664"/>
    </row>
    <row r="1665" spans="5:11" x14ac:dyDescent="0.2">
      <c r="E1665" s="50"/>
      <c r="H1665" s="12"/>
      <c r="K1665"/>
    </row>
    <row r="1666" spans="5:11" x14ac:dyDescent="0.2">
      <c r="E1666" s="50"/>
      <c r="H1666" s="12"/>
      <c r="K1666"/>
    </row>
    <row r="1667" spans="5:11" x14ac:dyDescent="0.2">
      <c r="E1667" s="50"/>
      <c r="H1667" s="12"/>
      <c r="K1667"/>
    </row>
    <row r="1668" spans="5:11" x14ac:dyDescent="0.2">
      <c r="E1668" s="50"/>
      <c r="H1668" s="12"/>
      <c r="K1668"/>
    </row>
    <row r="1669" spans="5:11" x14ac:dyDescent="0.2">
      <c r="E1669" s="50"/>
      <c r="H1669" s="12"/>
      <c r="K1669"/>
    </row>
    <row r="1670" spans="5:11" x14ac:dyDescent="0.2">
      <c r="E1670" s="50"/>
      <c r="H1670" s="12"/>
      <c r="K1670"/>
    </row>
    <row r="1671" spans="5:11" x14ac:dyDescent="0.2">
      <c r="E1671" s="50"/>
      <c r="H1671" s="12"/>
      <c r="K1671"/>
    </row>
    <row r="1672" spans="5:11" x14ac:dyDescent="0.2">
      <c r="E1672" s="50"/>
      <c r="H1672" s="12"/>
      <c r="K1672"/>
    </row>
    <row r="1673" spans="5:11" x14ac:dyDescent="0.2">
      <c r="E1673" s="50"/>
      <c r="H1673" s="12"/>
      <c r="K1673"/>
    </row>
    <row r="1674" spans="5:11" x14ac:dyDescent="0.2">
      <c r="E1674" s="50"/>
      <c r="H1674" s="12"/>
      <c r="K1674"/>
    </row>
    <row r="1675" spans="5:11" x14ac:dyDescent="0.2">
      <c r="E1675" s="50"/>
      <c r="H1675" s="12"/>
      <c r="K1675"/>
    </row>
    <row r="1676" spans="5:11" x14ac:dyDescent="0.2">
      <c r="E1676" s="50"/>
      <c r="H1676" s="12"/>
      <c r="K1676"/>
    </row>
    <row r="1677" spans="5:11" x14ac:dyDescent="0.2">
      <c r="E1677" s="50"/>
      <c r="H1677" s="12"/>
      <c r="K1677"/>
    </row>
    <row r="1678" spans="5:11" x14ac:dyDescent="0.2">
      <c r="E1678" s="50"/>
      <c r="H1678" s="12"/>
      <c r="K1678"/>
    </row>
    <row r="1679" spans="5:11" x14ac:dyDescent="0.2">
      <c r="E1679" s="50"/>
      <c r="H1679" s="12"/>
      <c r="K1679"/>
    </row>
    <row r="1680" spans="5:11" x14ac:dyDescent="0.2">
      <c r="E1680" s="50"/>
      <c r="H1680" s="12"/>
      <c r="K1680"/>
    </row>
    <row r="1681" spans="5:11" x14ac:dyDescent="0.2">
      <c r="E1681" s="50"/>
      <c r="H1681" s="12"/>
      <c r="K1681"/>
    </row>
    <row r="1682" spans="5:11" x14ac:dyDescent="0.2">
      <c r="E1682" s="50"/>
      <c r="H1682" s="12"/>
      <c r="K1682"/>
    </row>
    <row r="1683" spans="5:11" x14ac:dyDescent="0.2">
      <c r="E1683" s="50"/>
      <c r="H1683" s="12"/>
      <c r="K1683"/>
    </row>
    <row r="1684" spans="5:11" x14ac:dyDescent="0.2">
      <c r="E1684" s="50"/>
      <c r="H1684" s="12"/>
      <c r="K1684"/>
    </row>
    <row r="1685" spans="5:11" x14ac:dyDescent="0.2">
      <c r="E1685" s="50"/>
      <c r="H1685" s="12"/>
      <c r="K1685"/>
    </row>
    <row r="1686" spans="5:11" x14ac:dyDescent="0.2">
      <c r="E1686" s="50"/>
      <c r="H1686" s="12"/>
      <c r="K1686"/>
    </row>
    <row r="1687" spans="5:11" x14ac:dyDescent="0.2">
      <c r="E1687" s="50"/>
      <c r="H1687" s="12"/>
      <c r="K1687"/>
    </row>
    <row r="1688" spans="5:11" x14ac:dyDescent="0.2">
      <c r="E1688" s="50"/>
      <c r="H1688" s="12"/>
      <c r="K1688"/>
    </row>
    <row r="1689" spans="5:11" x14ac:dyDescent="0.2">
      <c r="E1689" s="50"/>
      <c r="H1689" s="12"/>
      <c r="K1689"/>
    </row>
    <row r="1690" spans="5:11" x14ac:dyDescent="0.2">
      <c r="E1690" s="50"/>
      <c r="H1690" s="12"/>
      <c r="K1690"/>
    </row>
    <row r="1691" spans="5:11" x14ac:dyDescent="0.2">
      <c r="E1691" s="50"/>
      <c r="H1691" s="12"/>
      <c r="K1691"/>
    </row>
    <row r="1692" spans="5:11" x14ac:dyDescent="0.2">
      <c r="E1692" s="50"/>
      <c r="H1692" s="12"/>
      <c r="K1692"/>
    </row>
    <row r="1693" spans="5:11" x14ac:dyDescent="0.2">
      <c r="E1693" s="50"/>
      <c r="H1693" s="12"/>
      <c r="K1693"/>
    </row>
    <row r="1694" spans="5:11" x14ac:dyDescent="0.2">
      <c r="E1694" s="50"/>
      <c r="H1694" s="12"/>
      <c r="K1694"/>
    </row>
    <row r="1695" spans="5:11" x14ac:dyDescent="0.2">
      <c r="E1695" s="50"/>
      <c r="H1695" s="12"/>
      <c r="K1695"/>
    </row>
    <row r="1696" spans="5:11" x14ac:dyDescent="0.2">
      <c r="E1696" s="50"/>
      <c r="H1696" s="12"/>
      <c r="K1696"/>
    </row>
    <row r="1697" spans="5:11" x14ac:dyDescent="0.2">
      <c r="E1697" s="50"/>
      <c r="H1697" s="12"/>
      <c r="K1697"/>
    </row>
    <row r="1698" spans="5:11" x14ac:dyDescent="0.2">
      <c r="E1698" s="50"/>
      <c r="H1698" s="12"/>
      <c r="K1698"/>
    </row>
    <row r="1699" spans="5:11" x14ac:dyDescent="0.2">
      <c r="E1699" s="50"/>
      <c r="H1699" s="12"/>
      <c r="K1699"/>
    </row>
    <row r="1700" spans="5:11" x14ac:dyDescent="0.2">
      <c r="E1700" s="50"/>
      <c r="H1700" s="12"/>
      <c r="K1700"/>
    </row>
    <row r="1701" spans="5:11" x14ac:dyDescent="0.2">
      <c r="E1701" s="50"/>
      <c r="H1701" s="12"/>
      <c r="K1701"/>
    </row>
    <row r="1702" spans="5:11" x14ac:dyDescent="0.2">
      <c r="E1702" s="50"/>
      <c r="H1702" s="12"/>
      <c r="K1702"/>
    </row>
    <row r="1703" spans="5:11" x14ac:dyDescent="0.2">
      <c r="E1703" s="50"/>
      <c r="H1703" s="12"/>
      <c r="K1703"/>
    </row>
    <row r="1704" spans="5:11" x14ac:dyDescent="0.2">
      <c r="E1704" s="50"/>
      <c r="H1704" s="12"/>
      <c r="K1704"/>
    </row>
    <row r="1705" spans="5:11" x14ac:dyDescent="0.2">
      <c r="E1705" s="50"/>
      <c r="H1705" s="12"/>
      <c r="K1705"/>
    </row>
    <row r="1706" spans="5:11" x14ac:dyDescent="0.2">
      <c r="E1706" s="50"/>
      <c r="H1706" s="12"/>
      <c r="K1706"/>
    </row>
    <row r="1707" spans="5:11" x14ac:dyDescent="0.2">
      <c r="E1707" s="50"/>
      <c r="H1707" s="12"/>
      <c r="K1707"/>
    </row>
    <row r="1708" spans="5:11" x14ac:dyDescent="0.2">
      <c r="E1708" s="50"/>
      <c r="H1708" s="12"/>
      <c r="K1708"/>
    </row>
    <row r="1709" spans="5:11" x14ac:dyDescent="0.2">
      <c r="E1709" s="50"/>
      <c r="H1709" s="12"/>
      <c r="K1709"/>
    </row>
    <row r="1710" spans="5:11" x14ac:dyDescent="0.2">
      <c r="E1710" s="50"/>
      <c r="H1710" s="12"/>
      <c r="K1710"/>
    </row>
    <row r="1711" spans="5:11" x14ac:dyDescent="0.2">
      <c r="E1711" s="50"/>
      <c r="H1711" s="12"/>
      <c r="K1711"/>
    </row>
    <row r="1712" spans="5:11" x14ac:dyDescent="0.2">
      <c r="E1712" s="50"/>
      <c r="H1712" s="12"/>
      <c r="K1712"/>
    </row>
    <row r="1713" spans="5:11" x14ac:dyDescent="0.2">
      <c r="E1713" s="50"/>
      <c r="H1713" s="12"/>
      <c r="K1713"/>
    </row>
    <row r="1714" spans="5:11" x14ac:dyDescent="0.2">
      <c r="E1714" s="50"/>
      <c r="H1714" s="12"/>
      <c r="K1714"/>
    </row>
    <row r="1715" spans="5:11" x14ac:dyDescent="0.2">
      <c r="E1715" s="50"/>
      <c r="H1715" s="12"/>
      <c r="K1715"/>
    </row>
    <row r="1716" spans="5:11" x14ac:dyDescent="0.2">
      <c r="E1716" s="50"/>
      <c r="H1716" s="12"/>
      <c r="K1716"/>
    </row>
    <row r="1717" spans="5:11" x14ac:dyDescent="0.2">
      <c r="E1717" s="50"/>
      <c r="H1717" s="12"/>
      <c r="K1717"/>
    </row>
    <row r="1718" spans="5:11" x14ac:dyDescent="0.2">
      <c r="E1718" s="50"/>
      <c r="H1718" s="12"/>
      <c r="K1718"/>
    </row>
    <row r="1719" spans="5:11" x14ac:dyDescent="0.2">
      <c r="E1719" s="50"/>
      <c r="H1719" s="12"/>
      <c r="K1719"/>
    </row>
    <row r="1720" spans="5:11" x14ac:dyDescent="0.2">
      <c r="E1720" s="50"/>
      <c r="H1720" s="12"/>
      <c r="K1720"/>
    </row>
    <row r="1721" spans="5:11" x14ac:dyDescent="0.2">
      <c r="E1721" s="50"/>
      <c r="H1721" s="12"/>
      <c r="K1721"/>
    </row>
    <row r="1722" spans="5:11" x14ac:dyDescent="0.2">
      <c r="E1722" s="50"/>
      <c r="H1722" s="12"/>
      <c r="K1722"/>
    </row>
    <row r="1723" spans="5:11" x14ac:dyDescent="0.2">
      <c r="E1723" s="50"/>
      <c r="H1723" s="12"/>
      <c r="K1723"/>
    </row>
    <row r="1724" spans="5:11" x14ac:dyDescent="0.2">
      <c r="E1724" s="50"/>
      <c r="H1724" s="12"/>
      <c r="K1724"/>
    </row>
    <row r="1725" spans="5:11" x14ac:dyDescent="0.2">
      <c r="E1725" s="50"/>
      <c r="H1725" s="12"/>
      <c r="K1725"/>
    </row>
    <row r="1726" spans="5:11" x14ac:dyDescent="0.2">
      <c r="E1726" s="50"/>
      <c r="H1726" s="12"/>
      <c r="K1726"/>
    </row>
    <row r="1727" spans="5:11" x14ac:dyDescent="0.2">
      <c r="E1727" s="50"/>
      <c r="H1727" s="12"/>
      <c r="K1727"/>
    </row>
    <row r="1728" spans="5:11" x14ac:dyDescent="0.2">
      <c r="E1728" s="50"/>
      <c r="H1728" s="12"/>
      <c r="K1728"/>
    </row>
    <row r="1729" spans="5:11" x14ac:dyDescent="0.2">
      <c r="E1729" s="50"/>
      <c r="H1729" s="12"/>
      <c r="K1729"/>
    </row>
    <row r="1730" spans="5:11" x14ac:dyDescent="0.2">
      <c r="E1730" s="50"/>
      <c r="H1730" s="12"/>
      <c r="K1730"/>
    </row>
    <row r="1731" spans="5:11" x14ac:dyDescent="0.2">
      <c r="E1731" s="50"/>
      <c r="H1731" s="12"/>
      <c r="K1731"/>
    </row>
    <row r="1732" spans="5:11" x14ac:dyDescent="0.2">
      <c r="E1732" s="50"/>
      <c r="H1732" s="12"/>
      <c r="K1732"/>
    </row>
    <row r="1733" spans="5:11" x14ac:dyDescent="0.2">
      <c r="E1733" s="50"/>
      <c r="H1733" s="12"/>
      <c r="K1733"/>
    </row>
    <row r="1734" spans="5:11" x14ac:dyDescent="0.2">
      <c r="E1734" s="50"/>
      <c r="H1734" s="12"/>
      <c r="K1734"/>
    </row>
    <row r="1735" spans="5:11" x14ac:dyDescent="0.2">
      <c r="E1735" s="50"/>
      <c r="H1735" s="12"/>
      <c r="K1735"/>
    </row>
    <row r="1736" spans="5:11" x14ac:dyDescent="0.2">
      <c r="E1736" s="50"/>
      <c r="H1736" s="12"/>
      <c r="K1736"/>
    </row>
    <row r="1737" spans="5:11" x14ac:dyDescent="0.2">
      <c r="E1737" s="50"/>
      <c r="H1737" s="12"/>
      <c r="K1737"/>
    </row>
    <row r="1738" spans="5:11" x14ac:dyDescent="0.2">
      <c r="E1738" s="50"/>
      <c r="H1738" s="12"/>
      <c r="K1738"/>
    </row>
    <row r="1739" spans="5:11" x14ac:dyDescent="0.2">
      <c r="E1739" s="50"/>
      <c r="H1739" s="12"/>
      <c r="K1739"/>
    </row>
    <row r="1740" spans="5:11" x14ac:dyDescent="0.2">
      <c r="E1740" s="50"/>
      <c r="H1740" s="12"/>
      <c r="K1740"/>
    </row>
    <row r="1741" spans="5:11" x14ac:dyDescent="0.2">
      <c r="E1741" s="50"/>
      <c r="H1741" s="12"/>
      <c r="K1741"/>
    </row>
    <row r="1742" spans="5:11" x14ac:dyDescent="0.2">
      <c r="E1742" s="50"/>
      <c r="H1742" s="12"/>
      <c r="K1742"/>
    </row>
    <row r="1743" spans="5:11" x14ac:dyDescent="0.2">
      <c r="E1743" s="50"/>
      <c r="H1743" s="12"/>
      <c r="K1743"/>
    </row>
    <row r="1744" spans="5:11" x14ac:dyDescent="0.2">
      <c r="E1744" s="50"/>
      <c r="H1744" s="12"/>
      <c r="K1744"/>
    </row>
    <row r="1745" spans="5:11" x14ac:dyDescent="0.2">
      <c r="E1745" s="50"/>
      <c r="H1745" s="12"/>
      <c r="K1745"/>
    </row>
    <row r="1746" spans="5:11" x14ac:dyDescent="0.2">
      <c r="E1746" s="50"/>
      <c r="H1746" s="12"/>
      <c r="K1746"/>
    </row>
    <row r="1747" spans="5:11" x14ac:dyDescent="0.2">
      <c r="E1747" s="50"/>
      <c r="H1747" s="12"/>
      <c r="K1747"/>
    </row>
    <row r="1748" spans="5:11" x14ac:dyDescent="0.2">
      <c r="E1748" s="50"/>
      <c r="H1748" s="12"/>
      <c r="K1748"/>
    </row>
    <row r="1749" spans="5:11" x14ac:dyDescent="0.2">
      <c r="E1749" s="50"/>
      <c r="H1749" s="12"/>
      <c r="K1749"/>
    </row>
    <row r="1750" spans="5:11" x14ac:dyDescent="0.2">
      <c r="E1750" s="50"/>
      <c r="H1750" s="12"/>
      <c r="K1750"/>
    </row>
    <row r="1751" spans="5:11" x14ac:dyDescent="0.2">
      <c r="E1751" s="50"/>
      <c r="H1751" s="12"/>
      <c r="K1751"/>
    </row>
    <row r="1752" spans="5:11" x14ac:dyDescent="0.2">
      <c r="E1752" s="50"/>
      <c r="H1752" s="12"/>
      <c r="K1752"/>
    </row>
    <row r="1753" spans="5:11" x14ac:dyDescent="0.2">
      <c r="E1753" s="50"/>
      <c r="H1753" s="12"/>
      <c r="K1753"/>
    </row>
    <row r="1754" spans="5:11" x14ac:dyDescent="0.2">
      <c r="E1754" s="50"/>
      <c r="H1754" s="12"/>
      <c r="K1754"/>
    </row>
    <row r="1755" spans="5:11" x14ac:dyDescent="0.2">
      <c r="E1755" s="50"/>
      <c r="H1755" s="12"/>
      <c r="K1755"/>
    </row>
    <row r="1756" spans="5:11" x14ac:dyDescent="0.2">
      <c r="E1756" s="50"/>
      <c r="H1756" s="12"/>
      <c r="K1756"/>
    </row>
    <row r="1757" spans="5:11" x14ac:dyDescent="0.2">
      <c r="E1757" s="50"/>
      <c r="H1757" s="12"/>
      <c r="K1757"/>
    </row>
    <row r="1758" spans="5:11" x14ac:dyDescent="0.2">
      <c r="E1758" s="50"/>
      <c r="H1758" s="12"/>
      <c r="K1758"/>
    </row>
    <row r="1759" spans="5:11" x14ac:dyDescent="0.2">
      <c r="E1759" s="50"/>
      <c r="H1759" s="12"/>
      <c r="K1759"/>
    </row>
    <row r="1760" spans="5:11" x14ac:dyDescent="0.2">
      <c r="E1760" s="50"/>
      <c r="H1760" s="12"/>
      <c r="K1760"/>
    </row>
    <row r="1761" spans="5:11" x14ac:dyDescent="0.2">
      <c r="E1761" s="50"/>
      <c r="H1761" s="12"/>
      <c r="K1761"/>
    </row>
    <row r="1762" spans="5:11" x14ac:dyDescent="0.2">
      <c r="E1762" s="50"/>
      <c r="H1762" s="12"/>
      <c r="K1762"/>
    </row>
    <row r="1763" spans="5:11" x14ac:dyDescent="0.2">
      <c r="E1763" s="50"/>
      <c r="H1763" s="12"/>
      <c r="K1763"/>
    </row>
    <row r="1764" spans="5:11" x14ac:dyDescent="0.2">
      <c r="E1764" s="50"/>
      <c r="H1764" s="12"/>
      <c r="K1764"/>
    </row>
    <row r="1765" spans="5:11" x14ac:dyDescent="0.2">
      <c r="E1765" s="50"/>
      <c r="H1765" s="12"/>
      <c r="K1765"/>
    </row>
    <row r="1766" spans="5:11" x14ac:dyDescent="0.2">
      <c r="E1766" s="50"/>
      <c r="H1766" s="12"/>
      <c r="K1766"/>
    </row>
    <row r="1767" spans="5:11" x14ac:dyDescent="0.2">
      <c r="E1767" s="50"/>
      <c r="H1767" s="12"/>
      <c r="K1767"/>
    </row>
    <row r="1768" spans="5:11" x14ac:dyDescent="0.2">
      <c r="E1768" s="50"/>
      <c r="H1768" s="12"/>
      <c r="K1768"/>
    </row>
    <row r="1769" spans="5:11" x14ac:dyDescent="0.2">
      <c r="E1769" s="50"/>
      <c r="H1769" s="12"/>
      <c r="K1769"/>
    </row>
    <row r="1770" spans="5:11" x14ac:dyDescent="0.2">
      <c r="E1770" s="50"/>
      <c r="H1770" s="12"/>
      <c r="K1770"/>
    </row>
    <row r="1771" spans="5:11" x14ac:dyDescent="0.2">
      <c r="E1771" s="50"/>
      <c r="H1771" s="12"/>
      <c r="K1771"/>
    </row>
    <row r="1772" spans="5:11" x14ac:dyDescent="0.2">
      <c r="E1772" s="50"/>
      <c r="H1772" s="12"/>
      <c r="K1772"/>
    </row>
    <row r="1773" spans="5:11" x14ac:dyDescent="0.2">
      <c r="E1773" s="50"/>
      <c r="H1773" s="12"/>
      <c r="K1773"/>
    </row>
    <row r="1774" spans="5:11" x14ac:dyDescent="0.2">
      <c r="E1774" s="50"/>
      <c r="H1774" s="12"/>
      <c r="K1774"/>
    </row>
    <row r="1775" spans="5:11" x14ac:dyDescent="0.2">
      <c r="E1775" s="50"/>
      <c r="H1775" s="12"/>
      <c r="K1775"/>
    </row>
    <row r="1776" spans="5:11" x14ac:dyDescent="0.2">
      <c r="E1776" s="50"/>
      <c r="H1776" s="12"/>
      <c r="K1776"/>
    </row>
    <row r="1777" spans="5:11" x14ac:dyDescent="0.2">
      <c r="E1777" s="50"/>
      <c r="H1777" s="12"/>
      <c r="K1777"/>
    </row>
    <row r="1778" spans="5:11" x14ac:dyDescent="0.2">
      <c r="E1778" s="50"/>
      <c r="H1778" s="12"/>
      <c r="K1778"/>
    </row>
    <row r="1779" spans="5:11" x14ac:dyDescent="0.2">
      <c r="E1779" s="50"/>
      <c r="H1779" s="12"/>
      <c r="K1779"/>
    </row>
    <row r="1780" spans="5:11" x14ac:dyDescent="0.2">
      <c r="E1780" s="50"/>
      <c r="H1780" s="12"/>
      <c r="K1780"/>
    </row>
    <row r="1781" spans="5:11" x14ac:dyDescent="0.2">
      <c r="E1781" s="50"/>
      <c r="H1781" s="12"/>
      <c r="K1781"/>
    </row>
    <row r="1782" spans="5:11" x14ac:dyDescent="0.2">
      <c r="E1782" s="50"/>
      <c r="H1782" s="12"/>
      <c r="K1782"/>
    </row>
    <row r="1783" spans="5:11" x14ac:dyDescent="0.2">
      <c r="E1783" s="50"/>
      <c r="H1783" s="12"/>
      <c r="K1783"/>
    </row>
    <row r="1784" spans="5:11" x14ac:dyDescent="0.2">
      <c r="E1784" s="50"/>
      <c r="H1784" s="12"/>
      <c r="K1784"/>
    </row>
    <row r="1785" spans="5:11" x14ac:dyDescent="0.2">
      <c r="E1785" s="50"/>
      <c r="H1785" s="12"/>
      <c r="K1785"/>
    </row>
    <row r="1786" spans="5:11" x14ac:dyDescent="0.2">
      <c r="E1786" s="50"/>
      <c r="H1786" s="12"/>
      <c r="K1786"/>
    </row>
    <row r="1787" spans="5:11" x14ac:dyDescent="0.2">
      <c r="E1787" s="50"/>
      <c r="H1787" s="12"/>
      <c r="K1787"/>
    </row>
    <row r="1788" spans="5:11" x14ac:dyDescent="0.2">
      <c r="E1788" s="50"/>
      <c r="H1788" s="12"/>
      <c r="K1788"/>
    </row>
    <row r="1789" spans="5:11" x14ac:dyDescent="0.2">
      <c r="E1789" s="50"/>
      <c r="H1789" s="12"/>
      <c r="K1789"/>
    </row>
    <row r="1790" spans="5:11" x14ac:dyDescent="0.2">
      <c r="E1790" s="50"/>
      <c r="H1790" s="12"/>
      <c r="K1790"/>
    </row>
    <row r="1791" spans="5:11" x14ac:dyDescent="0.2">
      <c r="E1791" s="50"/>
      <c r="H1791" s="12"/>
      <c r="K1791"/>
    </row>
    <row r="1792" spans="5:11" x14ac:dyDescent="0.2">
      <c r="E1792" s="50"/>
      <c r="H1792" s="12"/>
      <c r="K1792"/>
    </row>
    <row r="1793" spans="5:11" x14ac:dyDescent="0.2">
      <c r="E1793" s="50"/>
      <c r="H1793" s="12"/>
      <c r="K1793"/>
    </row>
    <row r="1794" spans="5:11" x14ac:dyDescent="0.2">
      <c r="E1794" s="50"/>
      <c r="H1794" s="12"/>
      <c r="K1794"/>
    </row>
    <row r="1795" spans="5:11" x14ac:dyDescent="0.2">
      <c r="E1795" s="50"/>
      <c r="H1795" s="12"/>
      <c r="K1795"/>
    </row>
    <row r="1796" spans="5:11" x14ac:dyDescent="0.2">
      <c r="E1796" s="50"/>
      <c r="H1796" s="12"/>
      <c r="K1796"/>
    </row>
    <row r="1797" spans="5:11" x14ac:dyDescent="0.2">
      <c r="E1797" s="50"/>
      <c r="H1797" s="12"/>
      <c r="K1797"/>
    </row>
    <row r="1798" spans="5:11" x14ac:dyDescent="0.2">
      <c r="E1798" s="50"/>
      <c r="H1798" s="12"/>
      <c r="K1798"/>
    </row>
    <row r="1799" spans="5:11" x14ac:dyDescent="0.2">
      <c r="E1799" s="50"/>
      <c r="H1799" s="12"/>
      <c r="K1799"/>
    </row>
    <row r="1800" spans="5:11" x14ac:dyDescent="0.2">
      <c r="E1800" s="50"/>
      <c r="H1800" s="12"/>
      <c r="K1800"/>
    </row>
    <row r="1801" spans="5:11" x14ac:dyDescent="0.2">
      <c r="E1801" s="50"/>
      <c r="H1801" s="12"/>
      <c r="K1801"/>
    </row>
    <row r="1802" spans="5:11" x14ac:dyDescent="0.2">
      <c r="E1802" s="50"/>
      <c r="H1802" s="12"/>
      <c r="K1802"/>
    </row>
    <row r="1803" spans="5:11" x14ac:dyDescent="0.2">
      <c r="E1803" s="50"/>
      <c r="H1803" s="12"/>
      <c r="K1803"/>
    </row>
    <row r="1804" spans="5:11" x14ac:dyDescent="0.2">
      <c r="E1804" s="50"/>
      <c r="H1804" s="12"/>
      <c r="K1804"/>
    </row>
    <row r="1805" spans="5:11" x14ac:dyDescent="0.2">
      <c r="E1805" s="50"/>
      <c r="H1805" s="12"/>
      <c r="K1805"/>
    </row>
    <row r="1806" spans="5:11" x14ac:dyDescent="0.2">
      <c r="E1806" s="50"/>
      <c r="H1806" s="12"/>
      <c r="K1806"/>
    </row>
    <row r="1807" spans="5:11" x14ac:dyDescent="0.2">
      <c r="E1807" s="50"/>
      <c r="H1807" s="12"/>
      <c r="K1807"/>
    </row>
    <row r="1808" spans="5:11" x14ac:dyDescent="0.2">
      <c r="E1808" s="50"/>
      <c r="H1808" s="12"/>
      <c r="K1808"/>
    </row>
    <row r="1809" spans="5:11" x14ac:dyDescent="0.2">
      <c r="E1809" s="50"/>
      <c r="H1809" s="12"/>
      <c r="K1809"/>
    </row>
    <row r="1810" spans="5:11" x14ac:dyDescent="0.2">
      <c r="E1810" s="50"/>
      <c r="H1810" s="12"/>
      <c r="K1810"/>
    </row>
    <row r="1811" spans="5:11" x14ac:dyDescent="0.2">
      <c r="E1811" s="50"/>
      <c r="H1811" s="12"/>
      <c r="K1811"/>
    </row>
    <row r="1812" spans="5:11" x14ac:dyDescent="0.2">
      <c r="E1812" s="50"/>
      <c r="H1812" s="12"/>
      <c r="K1812"/>
    </row>
    <row r="1813" spans="5:11" x14ac:dyDescent="0.2">
      <c r="E1813" s="50"/>
      <c r="H1813" s="12"/>
      <c r="K1813"/>
    </row>
    <row r="1814" spans="5:11" x14ac:dyDescent="0.2">
      <c r="E1814" s="50"/>
      <c r="H1814" s="12"/>
      <c r="K1814"/>
    </row>
    <row r="1815" spans="5:11" x14ac:dyDescent="0.2">
      <c r="E1815" s="50"/>
      <c r="H1815" s="12"/>
      <c r="K1815"/>
    </row>
    <row r="1816" spans="5:11" x14ac:dyDescent="0.2">
      <c r="E1816" s="50"/>
      <c r="H1816" s="12"/>
      <c r="K1816"/>
    </row>
    <row r="1817" spans="5:11" x14ac:dyDescent="0.2">
      <c r="E1817" s="50"/>
      <c r="H1817" s="12"/>
      <c r="K1817"/>
    </row>
    <row r="1818" spans="5:11" x14ac:dyDescent="0.2">
      <c r="E1818" s="50"/>
      <c r="H1818" s="12"/>
      <c r="K1818"/>
    </row>
    <row r="1819" spans="5:11" x14ac:dyDescent="0.2">
      <c r="E1819" s="50"/>
      <c r="H1819" s="12"/>
      <c r="K1819"/>
    </row>
    <row r="1820" spans="5:11" x14ac:dyDescent="0.2">
      <c r="E1820" s="50"/>
      <c r="H1820" s="12"/>
      <c r="K1820"/>
    </row>
    <row r="1821" spans="5:11" x14ac:dyDescent="0.2">
      <c r="E1821" s="50"/>
      <c r="H1821" s="12"/>
      <c r="K1821"/>
    </row>
    <row r="1822" spans="5:11" x14ac:dyDescent="0.2">
      <c r="E1822" s="50"/>
      <c r="H1822" s="12"/>
      <c r="K1822"/>
    </row>
    <row r="1823" spans="5:11" x14ac:dyDescent="0.2">
      <c r="E1823" s="50"/>
      <c r="H1823" s="12"/>
      <c r="K1823"/>
    </row>
    <row r="1824" spans="5:11" x14ac:dyDescent="0.2">
      <c r="E1824" s="50"/>
      <c r="H1824" s="12"/>
      <c r="K1824"/>
    </row>
    <row r="1825" spans="5:11" x14ac:dyDescent="0.2">
      <c r="E1825" s="50"/>
      <c r="H1825" s="12"/>
      <c r="K1825"/>
    </row>
    <row r="1826" spans="5:11" x14ac:dyDescent="0.2">
      <c r="E1826" s="50"/>
      <c r="H1826" s="12"/>
      <c r="K1826"/>
    </row>
    <row r="1827" spans="5:11" x14ac:dyDescent="0.2">
      <c r="E1827" s="50"/>
      <c r="H1827" s="12"/>
      <c r="K1827"/>
    </row>
    <row r="1828" spans="5:11" x14ac:dyDescent="0.2">
      <c r="E1828" s="50"/>
      <c r="H1828" s="12"/>
      <c r="K1828"/>
    </row>
    <row r="1829" spans="5:11" x14ac:dyDescent="0.2">
      <c r="E1829" s="50"/>
      <c r="H1829" s="12"/>
      <c r="K1829"/>
    </row>
    <row r="1830" spans="5:11" x14ac:dyDescent="0.2">
      <c r="E1830" s="50"/>
      <c r="H1830" s="12"/>
      <c r="K1830"/>
    </row>
    <row r="1831" spans="5:11" x14ac:dyDescent="0.2">
      <c r="E1831" s="50"/>
      <c r="H1831" s="12"/>
      <c r="K1831"/>
    </row>
    <row r="1832" spans="5:11" x14ac:dyDescent="0.2">
      <c r="E1832" s="50"/>
      <c r="H1832" s="12"/>
      <c r="K1832"/>
    </row>
    <row r="1833" spans="5:11" x14ac:dyDescent="0.2">
      <c r="E1833" s="50"/>
      <c r="H1833" s="12"/>
      <c r="K1833"/>
    </row>
    <row r="1834" spans="5:11" x14ac:dyDescent="0.2">
      <c r="E1834" s="50"/>
      <c r="H1834" s="12"/>
      <c r="K1834"/>
    </row>
    <row r="1835" spans="5:11" x14ac:dyDescent="0.2">
      <c r="E1835" s="50"/>
      <c r="H1835" s="12"/>
      <c r="K1835"/>
    </row>
    <row r="1836" spans="5:11" x14ac:dyDescent="0.2">
      <c r="E1836" s="50"/>
      <c r="H1836" s="12"/>
      <c r="K1836"/>
    </row>
    <row r="1837" spans="5:11" x14ac:dyDescent="0.2">
      <c r="E1837" s="50"/>
      <c r="H1837" s="12"/>
      <c r="K1837"/>
    </row>
    <row r="1838" spans="5:11" x14ac:dyDescent="0.2">
      <c r="E1838" s="50"/>
      <c r="H1838" s="12"/>
      <c r="K1838"/>
    </row>
    <row r="1839" spans="5:11" x14ac:dyDescent="0.2">
      <c r="E1839" s="50"/>
      <c r="H1839" s="12"/>
      <c r="K1839"/>
    </row>
    <row r="1840" spans="5:11" x14ac:dyDescent="0.2">
      <c r="E1840" s="50"/>
      <c r="H1840" s="12"/>
      <c r="K1840"/>
    </row>
    <row r="1841" spans="5:11" x14ac:dyDescent="0.2">
      <c r="E1841" s="50"/>
      <c r="H1841" s="12"/>
      <c r="K1841"/>
    </row>
    <row r="1842" spans="5:11" x14ac:dyDescent="0.2">
      <c r="E1842" s="50"/>
      <c r="H1842" s="12"/>
      <c r="K1842"/>
    </row>
    <row r="1843" spans="5:11" x14ac:dyDescent="0.2">
      <c r="E1843" s="50"/>
      <c r="H1843" s="12"/>
      <c r="K1843"/>
    </row>
    <row r="1844" spans="5:11" x14ac:dyDescent="0.2">
      <c r="E1844" s="50"/>
      <c r="H1844" s="12"/>
      <c r="K1844"/>
    </row>
    <row r="1845" spans="5:11" x14ac:dyDescent="0.2">
      <c r="E1845" s="50"/>
      <c r="H1845" s="12"/>
      <c r="K1845"/>
    </row>
    <row r="1846" spans="5:11" x14ac:dyDescent="0.2">
      <c r="E1846" s="50"/>
      <c r="H1846" s="12"/>
      <c r="K1846"/>
    </row>
    <row r="1847" spans="5:11" x14ac:dyDescent="0.2">
      <c r="E1847" s="50"/>
      <c r="H1847" s="12"/>
      <c r="K1847"/>
    </row>
    <row r="1848" spans="5:11" x14ac:dyDescent="0.2">
      <c r="E1848" s="50"/>
      <c r="H1848" s="12"/>
      <c r="K1848"/>
    </row>
    <row r="1849" spans="5:11" x14ac:dyDescent="0.2">
      <c r="E1849" s="50"/>
      <c r="H1849" s="12"/>
      <c r="K1849"/>
    </row>
    <row r="1850" spans="5:11" x14ac:dyDescent="0.2">
      <c r="E1850" s="50"/>
      <c r="H1850" s="12"/>
      <c r="K1850"/>
    </row>
    <row r="1851" spans="5:11" x14ac:dyDescent="0.2">
      <c r="E1851" s="50"/>
      <c r="H1851" s="12"/>
      <c r="K1851"/>
    </row>
    <row r="1852" spans="5:11" x14ac:dyDescent="0.2">
      <c r="E1852" s="50"/>
      <c r="H1852" s="12"/>
      <c r="K1852"/>
    </row>
    <row r="1853" spans="5:11" x14ac:dyDescent="0.2">
      <c r="E1853" s="50"/>
      <c r="H1853" s="12"/>
      <c r="K1853"/>
    </row>
    <row r="1854" spans="5:11" x14ac:dyDescent="0.2">
      <c r="E1854" s="50"/>
      <c r="H1854" s="12"/>
      <c r="K1854"/>
    </row>
    <row r="1855" spans="5:11" x14ac:dyDescent="0.2">
      <c r="E1855" s="50"/>
      <c r="H1855" s="12"/>
      <c r="K1855"/>
    </row>
    <row r="1856" spans="5:11" x14ac:dyDescent="0.2">
      <c r="E1856" s="50"/>
      <c r="H1856" s="12"/>
      <c r="K1856"/>
    </row>
    <row r="1857" spans="5:11" x14ac:dyDescent="0.2">
      <c r="E1857" s="50"/>
      <c r="H1857" s="12"/>
      <c r="K1857"/>
    </row>
    <row r="1858" spans="5:11" x14ac:dyDescent="0.2">
      <c r="E1858" s="50"/>
      <c r="H1858" s="12"/>
      <c r="K1858"/>
    </row>
    <row r="1859" spans="5:11" x14ac:dyDescent="0.2">
      <c r="E1859" s="50"/>
      <c r="H1859" s="12"/>
      <c r="K1859"/>
    </row>
    <row r="1860" spans="5:11" x14ac:dyDescent="0.2">
      <c r="E1860" s="50"/>
      <c r="H1860" s="12"/>
      <c r="K1860"/>
    </row>
    <row r="1861" spans="5:11" x14ac:dyDescent="0.2">
      <c r="E1861" s="50"/>
      <c r="H1861" s="12"/>
      <c r="K1861"/>
    </row>
    <row r="1862" spans="5:11" x14ac:dyDescent="0.2">
      <c r="E1862" s="50"/>
      <c r="H1862" s="12"/>
      <c r="K1862"/>
    </row>
    <row r="1863" spans="5:11" x14ac:dyDescent="0.2">
      <c r="E1863" s="50"/>
      <c r="H1863" s="12"/>
      <c r="K1863"/>
    </row>
    <row r="1864" spans="5:11" x14ac:dyDescent="0.2">
      <c r="E1864" s="50"/>
      <c r="H1864" s="12"/>
      <c r="K1864"/>
    </row>
    <row r="1865" spans="5:11" x14ac:dyDescent="0.2">
      <c r="E1865" s="50"/>
      <c r="H1865" s="12"/>
      <c r="K1865"/>
    </row>
    <row r="1866" spans="5:11" x14ac:dyDescent="0.2">
      <c r="E1866" s="50"/>
      <c r="H1866" s="12"/>
      <c r="K1866"/>
    </row>
    <row r="1867" spans="5:11" x14ac:dyDescent="0.2">
      <c r="E1867" s="50"/>
      <c r="H1867" s="12"/>
      <c r="K1867"/>
    </row>
    <row r="1868" spans="5:11" x14ac:dyDescent="0.2">
      <c r="E1868" s="50"/>
      <c r="H1868" s="12"/>
      <c r="K1868"/>
    </row>
    <row r="1869" spans="5:11" x14ac:dyDescent="0.2">
      <c r="E1869" s="50"/>
      <c r="H1869" s="12"/>
      <c r="K1869"/>
    </row>
    <row r="1870" spans="5:11" x14ac:dyDescent="0.2">
      <c r="E1870" s="50"/>
      <c r="H1870" s="12"/>
      <c r="K1870"/>
    </row>
    <row r="1871" spans="5:11" x14ac:dyDescent="0.2">
      <c r="E1871" s="50"/>
      <c r="H1871" s="12"/>
      <c r="K1871"/>
    </row>
    <row r="1872" spans="5:11" x14ac:dyDescent="0.2">
      <c r="E1872" s="50"/>
      <c r="H1872" s="12"/>
      <c r="K1872"/>
    </row>
    <row r="1873" spans="5:11" x14ac:dyDescent="0.2">
      <c r="E1873" s="50"/>
      <c r="H1873" s="12"/>
      <c r="K1873"/>
    </row>
    <row r="1874" spans="5:11" x14ac:dyDescent="0.2">
      <c r="E1874" s="50"/>
      <c r="H1874" s="12"/>
      <c r="K1874"/>
    </row>
    <row r="1875" spans="5:11" x14ac:dyDescent="0.2">
      <c r="E1875" s="50"/>
      <c r="H1875" s="12"/>
      <c r="K1875"/>
    </row>
    <row r="1876" spans="5:11" x14ac:dyDescent="0.2">
      <c r="E1876" s="50"/>
      <c r="H1876" s="12"/>
      <c r="K1876"/>
    </row>
    <row r="1877" spans="5:11" x14ac:dyDescent="0.2">
      <c r="E1877" s="50"/>
      <c r="H1877" s="12"/>
      <c r="K1877"/>
    </row>
    <row r="1878" spans="5:11" x14ac:dyDescent="0.2">
      <c r="E1878" s="50"/>
      <c r="H1878" s="12"/>
      <c r="K1878"/>
    </row>
    <row r="1879" spans="5:11" x14ac:dyDescent="0.2">
      <c r="E1879" s="50"/>
      <c r="H1879" s="12"/>
      <c r="K1879"/>
    </row>
    <row r="1880" spans="5:11" x14ac:dyDescent="0.2">
      <c r="E1880" s="50"/>
      <c r="H1880" s="12"/>
      <c r="K1880"/>
    </row>
    <row r="1881" spans="5:11" x14ac:dyDescent="0.2">
      <c r="E1881" s="50"/>
      <c r="H1881" s="12"/>
      <c r="K1881"/>
    </row>
    <row r="1882" spans="5:11" x14ac:dyDescent="0.2">
      <c r="E1882" s="50"/>
      <c r="H1882" s="12"/>
      <c r="K1882"/>
    </row>
    <row r="1883" spans="5:11" x14ac:dyDescent="0.2">
      <c r="E1883" s="50"/>
      <c r="H1883" s="12"/>
      <c r="K1883"/>
    </row>
    <row r="1884" spans="5:11" x14ac:dyDescent="0.2">
      <c r="E1884" s="50"/>
      <c r="H1884" s="12"/>
      <c r="K1884"/>
    </row>
    <row r="1885" spans="5:11" x14ac:dyDescent="0.2">
      <c r="E1885" s="50"/>
      <c r="H1885" s="12"/>
      <c r="K1885"/>
    </row>
    <row r="1886" spans="5:11" x14ac:dyDescent="0.2">
      <c r="E1886" s="50"/>
      <c r="H1886" s="12"/>
      <c r="K1886"/>
    </row>
    <row r="1887" spans="5:11" x14ac:dyDescent="0.2">
      <c r="E1887" s="50"/>
      <c r="H1887" s="12"/>
      <c r="K1887"/>
    </row>
    <row r="1888" spans="5:11" x14ac:dyDescent="0.2">
      <c r="E1888" s="50"/>
      <c r="H1888" s="12"/>
      <c r="K1888"/>
    </row>
    <row r="1889" spans="5:11" x14ac:dyDescent="0.2">
      <c r="E1889" s="50"/>
      <c r="H1889" s="12"/>
      <c r="K1889"/>
    </row>
    <row r="1890" spans="5:11" x14ac:dyDescent="0.2">
      <c r="E1890" s="50"/>
      <c r="H1890" s="12"/>
      <c r="K1890"/>
    </row>
    <row r="1891" spans="5:11" x14ac:dyDescent="0.2">
      <c r="E1891" s="50"/>
      <c r="H1891" s="12"/>
      <c r="K1891"/>
    </row>
    <row r="1892" spans="5:11" x14ac:dyDescent="0.2">
      <c r="E1892" s="50"/>
      <c r="H1892" s="12"/>
      <c r="K1892"/>
    </row>
    <row r="1893" spans="5:11" x14ac:dyDescent="0.2">
      <c r="E1893" s="50"/>
      <c r="H1893" s="12"/>
      <c r="K1893"/>
    </row>
    <row r="1894" spans="5:11" x14ac:dyDescent="0.2">
      <c r="E1894" s="50"/>
      <c r="H1894" s="12"/>
      <c r="K1894"/>
    </row>
    <row r="1895" spans="5:11" x14ac:dyDescent="0.2">
      <c r="E1895" s="50"/>
      <c r="H1895" s="12"/>
      <c r="K1895"/>
    </row>
    <row r="1896" spans="5:11" x14ac:dyDescent="0.2">
      <c r="E1896" s="50"/>
      <c r="H1896" s="12"/>
      <c r="K1896"/>
    </row>
    <row r="1897" spans="5:11" x14ac:dyDescent="0.2">
      <c r="E1897" s="50"/>
      <c r="H1897" s="12"/>
      <c r="K1897"/>
    </row>
    <row r="1898" spans="5:11" x14ac:dyDescent="0.2">
      <c r="E1898" s="50"/>
      <c r="H1898" s="12"/>
      <c r="K1898"/>
    </row>
    <row r="1899" spans="5:11" x14ac:dyDescent="0.2">
      <c r="E1899" s="50"/>
      <c r="H1899" s="12"/>
      <c r="K1899"/>
    </row>
    <row r="1900" spans="5:11" x14ac:dyDescent="0.2">
      <c r="E1900" s="50"/>
      <c r="H1900" s="12"/>
      <c r="K1900"/>
    </row>
    <row r="1901" spans="5:11" x14ac:dyDescent="0.2">
      <c r="E1901" s="50"/>
      <c r="H1901" s="12"/>
      <c r="K1901"/>
    </row>
    <row r="1902" spans="5:11" x14ac:dyDescent="0.2">
      <c r="E1902" s="50"/>
      <c r="H1902" s="12"/>
      <c r="K1902"/>
    </row>
    <row r="1903" spans="5:11" x14ac:dyDescent="0.2">
      <c r="E1903" s="50"/>
      <c r="H1903" s="12"/>
      <c r="K1903"/>
    </row>
    <row r="1904" spans="5:11" x14ac:dyDescent="0.2">
      <c r="E1904" s="50"/>
      <c r="H1904" s="12"/>
      <c r="K1904"/>
    </row>
    <row r="1905" spans="5:11" x14ac:dyDescent="0.2">
      <c r="E1905" s="50"/>
      <c r="H1905" s="12"/>
      <c r="K1905"/>
    </row>
    <row r="1906" spans="5:11" x14ac:dyDescent="0.2">
      <c r="E1906" s="50"/>
      <c r="H1906" s="12"/>
      <c r="K1906"/>
    </row>
    <row r="1907" spans="5:11" x14ac:dyDescent="0.2">
      <c r="E1907" s="50"/>
      <c r="H1907" s="12"/>
      <c r="K1907"/>
    </row>
    <row r="1908" spans="5:11" x14ac:dyDescent="0.2">
      <c r="E1908" s="50"/>
      <c r="H1908" s="12"/>
      <c r="K1908"/>
    </row>
    <row r="1909" spans="5:11" x14ac:dyDescent="0.2">
      <c r="E1909" s="50"/>
      <c r="H1909" s="12"/>
      <c r="K1909"/>
    </row>
    <row r="1910" spans="5:11" x14ac:dyDescent="0.2">
      <c r="E1910" s="50"/>
      <c r="H1910" s="12"/>
      <c r="K1910"/>
    </row>
    <row r="1911" spans="5:11" x14ac:dyDescent="0.2">
      <c r="E1911" s="50"/>
      <c r="H1911" s="12"/>
      <c r="K1911"/>
    </row>
    <row r="1912" spans="5:11" x14ac:dyDescent="0.2">
      <c r="E1912" s="50"/>
      <c r="H1912" s="12"/>
      <c r="K1912"/>
    </row>
    <row r="1913" spans="5:11" x14ac:dyDescent="0.2">
      <c r="E1913" s="50"/>
      <c r="H1913" s="12"/>
      <c r="K1913"/>
    </row>
    <row r="1914" spans="5:11" x14ac:dyDescent="0.2">
      <c r="E1914" s="50"/>
      <c r="H1914" s="12"/>
      <c r="K1914"/>
    </row>
    <row r="1915" spans="5:11" x14ac:dyDescent="0.2">
      <c r="E1915" s="50"/>
      <c r="H1915" s="12"/>
      <c r="K1915"/>
    </row>
    <row r="1916" spans="5:11" x14ac:dyDescent="0.2">
      <c r="E1916" s="50"/>
      <c r="H1916" s="12"/>
      <c r="K1916"/>
    </row>
    <row r="1917" spans="5:11" x14ac:dyDescent="0.2">
      <c r="E1917" s="50"/>
      <c r="H1917" s="12"/>
      <c r="K1917"/>
    </row>
    <row r="1918" spans="5:11" x14ac:dyDescent="0.2">
      <c r="E1918" s="50"/>
      <c r="H1918" s="12"/>
      <c r="K1918"/>
    </row>
    <row r="1919" spans="5:11" x14ac:dyDescent="0.2">
      <c r="E1919" s="50"/>
      <c r="H1919" s="12"/>
      <c r="K1919"/>
    </row>
    <row r="1920" spans="5:11" x14ac:dyDescent="0.2">
      <c r="E1920" s="50"/>
      <c r="H1920" s="12"/>
      <c r="K1920"/>
    </row>
    <row r="1921" spans="5:11" x14ac:dyDescent="0.2">
      <c r="E1921" s="50"/>
      <c r="H1921" s="12"/>
      <c r="K1921"/>
    </row>
    <row r="1922" spans="5:11" x14ac:dyDescent="0.2">
      <c r="E1922" s="50"/>
      <c r="H1922" s="12"/>
      <c r="K1922"/>
    </row>
    <row r="1923" spans="5:11" x14ac:dyDescent="0.2">
      <c r="E1923" s="50"/>
      <c r="H1923" s="12"/>
      <c r="K1923"/>
    </row>
    <row r="1924" spans="5:11" x14ac:dyDescent="0.2">
      <c r="E1924" s="50"/>
      <c r="H1924" s="12"/>
      <c r="K1924"/>
    </row>
    <row r="1925" spans="5:11" x14ac:dyDescent="0.2">
      <c r="E1925" s="50"/>
      <c r="H1925" s="12"/>
      <c r="K1925"/>
    </row>
    <row r="1926" spans="5:11" x14ac:dyDescent="0.2">
      <c r="E1926" s="50"/>
      <c r="H1926" s="12"/>
      <c r="K1926"/>
    </row>
    <row r="1927" spans="5:11" x14ac:dyDescent="0.2">
      <c r="E1927" s="50"/>
      <c r="H1927" s="12"/>
      <c r="K1927"/>
    </row>
    <row r="1928" spans="5:11" x14ac:dyDescent="0.2">
      <c r="E1928" s="50"/>
      <c r="H1928" s="12"/>
      <c r="K1928"/>
    </row>
    <row r="1929" spans="5:11" x14ac:dyDescent="0.2">
      <c r="E1929" s="50"/>
      <c r="H1929" s="12"/>
      <c r="K1929"/>
    </row>
    <row r="1930" spans="5:11" x14ac:dyDescent="0.2">
      <c r="E1930" s="50"/>
      <c r="H1930" s="12"/>
      <c r="K1930"/>
    </row>
    <row r="1931" spans="5:11" x14ac:dyDescent="0.2">
      <c r="E1931" s="50"/>
      <c r="H1931" s="12"/>
      <c r="K1931"/>
    </row>
    <row r="1932" spans="5:11" x14ac:dyDescent="0.2">
      <c r="E1932" s="50"/>
      <c r="H1932" s="12"/>
      <c r="K1932"/>
    </row>
    <row r="1933" spans="5:11" x14ac:dyDescent="0.2">
      <c r="E1933" s="50"/>
      <c r="H1933" s="12"/>
      <c r="K1933"/>
    </row>
    <row r="1934" spans="5:11" x14ac:dyDescent="0.2">
      <c r="E1934" s="50"/>
      <c r="H1934" s="12"/>
      <c r="K1934"/>
    </row>
    <row r="1935" spans="5:11" x14ac:dyDescent="0.2">
      <c r="E1935" s="50"/>
      <c r="H1935" s="12"/>
      <c r="K1935"/>
    </row>
    <row r="1936" spans="5:11" x14ac:dyDescent="0.2">
      <c r="E1936" s="50"/>
      <c r="H1936" s="12"/>
      <c r="K1936"/>
    </row>
    <row r="1937" spans="5:11" x14ac:dyDescent="0.2">
      <c r="E1937" s="50"/>
      <c r="H1937" s="12"/>
      <c r="K1937"/>
    </row>
    <row r="1938" spans="5:11" x14ac:dyDescent="0.2">
      <c r="E1938" s="50"/>
      <c r="H1938" s="12"/>
      <c r="K1938"/>
    </row>
    <row r="1939" spans="5:11" x14ac:dyDescent="0.2">
      <c r="E1939" s="50"/>
      <c r="H1939" s="12"/>
      <c r="K1939"/>
    </row>
    <row r="1940" spans="5:11" x14ac:dyDescent="0.2">
      <c r="E1940" s="50"/>
      <c r="H1940" s="12"/>
      <c r="K1940"/>
    </row>
    <row r="1941" spans="5:11" x14ac:dyDescent="0.2">
      <c r="E1941" s="50"/>
      <c r="H1941" s="12"/>
      <c r="K1941"/>
    </row>
    <row r="1942" spans="5:11" x14ac:dyDescent="0.2">
      <c r="E1942" s="50"/>
      <c r="H1942" s="12"/>
      <c r="K1942"/>
    </row>
    <row r="1943" spans="5:11" x14ac:dyDescent="0.2">
      <c r="E1943" s="50"/>
      <c r="H1943" s="12"/>
      <c r="K1943"/>
    </row>
    <row r="1944" spans="5:11" x14ac:dyDescent="0.2">
      <c r="E1944" s="50"/>
      <c r="H1944" s="12"/>
      <c r="K1944"/>
    </row>
    <row r="1945" spans="5:11" x14ac:dyDescent="0.2">
      <c r="E1945" s="50"/>
      <c r="H1945" s="12"/>
      <c r="K1945"/>
    </row>
    <row r="1946" spans="5:11" x14ac:dyDescent="0.2">
      <c r="E1946" s="50"/>
      <c r="H1946" s="12"/>
      <c r="K1946"/>
    </row>
    <row r="1947" spans="5:11" x14ac:dyDescent="0.2">
      <c r="E1947" s="50"/>
      <c r="H1947" s="12"/>
      <c r="K1947"/>
    </row>
    <row r="1948" spans="5:11" x14ac:dyDescent="0.2">
      <c r="E1948" s="50"/>
      <c r="H1948" s="12"/>
      <c r="K1948"/>
    </row>
    <row r="1949" spans="5:11" x14ac:dyDescent="0.2">
      <c r="E1949" s="50"/>
      <c r="H1949" s="12"/>
      <c r="K1949"/>
    </row>
    <row r="1950" spans="5:11" x14ac:dyDescent="0.2">
      <c r="E1950" s="50"/>
      <c r="H1950" s="12"/>
      <c r="K1950"/>
    </row>
    <row r="1951" spans="5:11" x14ac:dyDescent="0.2">
      <c r="E1951" s="50"/>
      <c r="H1951" s="12"/>
      <c r="K1951"/>
    </row>
    <row r="1952" spans="5:11" x14ac:dyDescent="0.2">
      <c r="E1952" s="50"/>
      <c r="H1952" s="12"/>
      <c r="K1952"/>
    </row>
    <row r="1953" spans="5:11" x14ac:dyDescent="0.2">
      <c r="E1953" s="50"/>
      <c r="H1953" s="12"/>
      <c r="K1953"/>
    </row>
    <row r="1954" spans="5:11" x14ac:dyDescent="0.2">
      <c r="E1954" s="50"/>
      <c r="H1954" s="12"/>
      <c r="K1954"/>
    </row>
    <row r="1955" spans="5:11" x14ac:dyDescent="0.2">
      <c r="E1955" s="50"/>
      <c r="H1955" s="12"/>
      <c r="K1955"/>
    </row>
    <row r="1956" spans="5:11" x14ac:dyDescent="0.2">
      <c r="E1956" s="50"/>
      <c r="H1956" s="12"/>
      <c r="K1956"/>
    </row>
    <row r="1957" spans="5:11" x14ac:dyDescent="0.2">
      <c r="E1957" s="50"/>
      <c r="H1957" s="12"/>
      <c r="K1957"/>
    </row>
    <row r="1958" spans="5:11" x14ac:dyDescent="0.2">
      <c r="E1958" s="50"/>
      <c r="H1958" s="12"/>
      <c r="K1958"/>
    </row>
    <row r="1959" spans="5:11" x14ac:dyDescent="0.2">
      <c r="E1959" s="50"/>
      <c r="H1959" s="12"/>
      <c r="K1959"/>
    </row>
    <row r="1960" spans="5:11" x14ac:dyDescent="0.2">
      <c r="E1960" s="50"/>
      <c r="H1960" s="12"/>
      <c r="K1960"/>
    </row>
    <row r="1961" spans="5:11" x14ac:dyDescent="0.2">
      <c r="E1961" s="50"/>
      <c r="H1961" s="12"/>
      <c r="K1961"/>
    </row>
    <row r="1962" spans="5:11" x14ac:dyDescent="0.2">
      <c r="E1962" s="50"/>
      <c r="H1962" s="12"/>
      <c r="K1962"/>
    </row>
    <row r="1963" spans="5:11" x14ac:dyDescent="0.2">
      <c r="E1963" s="50"/>
      <c r="H1963" s="12"/>
      <c r="K1963"/>
    </row>
    <row r="1964" spans="5:11" x14ac:dyDescent="0.2">
      <c r="E1964" s="50"/>
      <c r="H1964" s="12"/>
      <c r="K1964"/>
    </row>
    <row r="1965" spans="5:11" x14ac:dyDescent="0.2">
      <c r="E1965" s="50"/>
      <c r="H1965" s="12"/>
      <c r="K1965"/>
    </row>
    <row r="1966" spans="5:11" x14ac:dyDescent="0.2">
      <c r="E1966" s="50"/>
      <c r="H1966" s="12"/>
      <c r="K1966"/>
    </row>
    <row r="1967" spans="5:11" x14ac:dyDescent="0.2">
      <c r="E1967" s="50"/>
      <c r="H1967" s="12"/>
      <c r="K1967"/>
    </row>
    <row r="1968" spans="5:11" x14ac:dyDescent="0.2">
      <c r="E1968" s="50"/>
      <c r="H1968" s="12"/>
      <c r="K1968"/>
    </row>
    <row r="1969" spans="5:11" x14ac:dyDescent="0.2">
      <c r="E1969" s="50"/>
      <c r="H1969" s="12"/>
      <c r="K1969"/>
    </row>
    <row r="1970" spans="5:11" x14ac:dyDescent="0.2">
      <c r="E1970" s="50"/>
      <c r="H1970" s="12"/>
      <c r="K1970"/>
    </row>
    <row r="1971" spans="5:11" x14ac:dyDescent="0.2">
      <c r="E1971" s="50"/>
      <c r="H1971" s="12"/>
      <c r="K1971"/>
    </row>
    <row r="1972" spans="5:11" x14ac:dyDescent="0.2">
      <c r="E1972" s="50"/>
      <c r="H1972" s="12"/>
      <c r="K1972"/>
    </row>
    <row r="1973" spans="5:11" x14ac:dyDescent="0.2">
      <c r="E1973" s="50"/>
      <c r="H1973" s="12"/>
      <c r="K1973"/>
    </row>
    <row r="1974" spans="5:11" x14ac:dyDescent="0.2">
      <c r="E1974" s="50"/>
      <c r="H1974" s="12"/>
      <c r="K1974"/>
    </row>
    <row r="1975" spans="5:11" x14ac:dyDescent="0.2">
      <c r="E1975" s="50"/>
      <c r="H1975" s="12"/>
      <c r="K1975"/>
    </row>
    <row r="1976" spans="5:11" x14ac:dyDescent="0.2">
      <c r="E1976" s="50"/>
      <c r="H1976" s="12"/>
      <c r="K1976"/>
    </row>
    <row r="1977" spans="5:11" x14ac:dyDescent="0.2">
      <c r="E1977" s="50"/>
      <c r="H1977" s="12"/>
      <c r="K1977"/>
    </row>
    <row r="1978" spans="5:11" x14ac:dyDescent="0.2">
      <c r="E1978" s="50"/>
      <c r="H1978" s="12"/>
      <c r="K1978"/>
    </row>
    <row r="1979" spans="5:11" x14ac:dyDescent="0.2">
      <c r="E1979" s="50"/>
      <c r="H1979" s="12"/>
      <c r="K1979"/>
    </row>
    <row r="1980" spans="5:11" x14ac:dyDescent="0.2">
      <c r="E1980" s="50"/>
      <c r="H1980" s="12"/>
      <c r="K1980"/>
    </row>
    <row r="1981" spans="5:11" x14ac:dyDescent="0.2">
      <c r="E1981" s="50"/>
      <c r="H1981" s="12"/>
      <c r="K1981"/>
    </row>
    <row r="1982" spans="5:11" x14ac:dyDescent="0.2">
      <c r="E1982" s="50"/>
      <c r="H1982" s="12"/>
      <c r="K1982"/>
    </row>
    <row r="1983" spans="5:11" x14ac:dyDescent="0.2">
      <c r="E1983" s="50"/>
      <c r="H1983" s="12"/>
      <c r="K1983"/>
    </row>
    <row r="1984" spans="5:11" x14ac:dyDescent="0.2">
      <c r="E1984" s="50"/>
      <c r="H1984" s="12"/>
      <c r="K1984"/>
    </row>
    <row r="1985" spans="5:11" x14ac:dyDescent="0.2">
      <c r="E1985" s="50"/>
      <c r="H1985" s="12"/>
      <c r="K1985"/>
    </row>
    <row r="1986" spans="5:11" x14ac:dyDescent="0.2">
      <c r="E1986" s="50"/>
      <c r="H1986" s="12"/>
      <c r="K1986"/>
    </row>
    <row r="1987" spans="5:11" x14ac:dyDescent="0.2">
      <c r="E1987" s="50"/>
      <c r="H1987" s="12"/>
      <c r="K1987"/>
    </row>
    <row r="1988" spans="5:11" x14ac:dyDescent="0.2">
      <c r="E1988" s="50"/>
      <c r="H1988" s="12"/>
      <c r="K1988"/>
    </row>
    <row r="1989" spans="5:11" x14ac:dyDescent="0.2">
      <c r="E1989" s="50"/>
      <c r="H1989" s="12"/>
      <c r="K1989"/>
    </row>
    <row r="1990" spans="5:11" x14ac:dyDescent="0.2">
      <c r="E1990" s="50"/>
      <c r="H1990" s="12"/>
      <c r="K1990"/>
    </row>
    <row r="1991" spans="5:11" x14ac:dyDescent="0.2">
      <c r="E1991" s="50"/>
      <c r="H1991" s="12"/>
      <c r="K1991"/>
    </row>
    <row r="1992" spans="5:11" x14ac:dyDescent="0.2">
      <c r="E1992" s="50"/>
      <c r="H1992" s="12"/>
      <c r="K1992"/>
    </row>
    <row r="1993" spans="5:11" x14ac:dyDescent="0.2">
      <c r="E1993" s="50"/>
      <c r="H1993" s="12"/>
      <c r="K1993"/>
    </row>
    <row r="1994" spans="5:11" x14ac:dyDescent="0.2">
      <c r="E1994" s="50"/>
      <c r="H1994" s="12"/>
      <c r="K1994"/>
    </row>
    <row r="1995" spans="5:11" x14ac:dyDescent="0.2">
      <c r="E1995" s="50"/>
      <c r="H1995" s="12"/>
      <c r="K1995"/>
    </row>
    <row r="1996" spans="5:11" x14ac:dyDescent="0.2">
      <c r="E1996" s="50"/>
      <c r="H1996" s="12"/>
      <c r="K1996"/>
    </row>
    <row r="1997" spans="5:11" x14ac:dyDescent="0.2">
      <c r="E1997" s="50"/>
      <c r="H1997" s="12"/>
      <c r="K1997"/>
    </row>
    <row r="1998" spans="5:11" x14ac:dyDescent="0.2">
      <c r="E1998" s="50"/>
      <c r="H1998" s="12"/>
      <c r="K1998"/>
    </row>
    <row r="1999" spans="5:11" x14ac:dyDescent="0.2">
      <c r="E1999" s="50"/>
      <c r="H1999" s="12"/>
      <c r="K1999"/>
    </row>
    <row r="2000" spans="5:11" x14ac:dyDescent="0.2">
      <c r="E2000" s="50"/>
      <c r="H2000" s="12"/>
      <c r="K2000"/>
    </row>
    <row r="2001" spans="5:11" x14ac:dyDescent="0.2">
      <c r="E2001" s="50"/>
      <c r="H2001" s="12"/>
      <c r="K2001"/>
    </row>
    <row r="2002" spans="5:11" x14ac:dyDescent="0.2">
      <c r="E2002" s="50"/>
      <c r="H2002" s="12"/>
      <c r="K2002"/>
    </row>
    <row r="2003" spans="5:11" x14ac:dyDescent="0.2">
      <c r="E2003" s="50"/>
      <c r="H2003" s="12"/>
      <c r="K2003"/>
    </row>
    <row r="2004" spans="5:11" x14ac:dyDescent="0.2">
      <c r="E2004" s="50"/>
      <c r="H2004" s="12"/>
      <c r="K2004"/>
    </row>
    <row r="2005" spans="5:11" x14ac:dyDescent="0.2">
      <c r="E2005" s="50"/>
      <c r="H2005" s="12"/>
      <c r="K2005"/>
    </row>
    <row r="2006" spans="5:11" x14ac:dyDescent="0.2">
      <c r="E2006" s="50"/>
      <c r="H2006" s="12"/>
      <c r="K2006"/>
    </row>
    <row r="2007" spans="5:11" x14ac:dyDescent="0.2">
      <c r="E2007" s="50"/>
      <c r="H2007" s="12"/>
      <c r="K2007"/>
    </row>
    <row r="2008" spans="5:11" x14ac:dyDescent="0.2">
      <c r="E2008" s="50"/>
      <c r="H2008" s="12"/>
      <c r="K2008"/>
    </row>
    <row r="2009" spans="5:11" x14ac:dyDescent="0.2">
      <c r="E2009" s="50"/>
      <c r="H2009" s="12"/>
      <c r="K2009"/>
    </row>
    <row r="2010" spans="5:11" x14ac:dyDescent="0.2">
      <c r="E2010" s="50"/>
      <c r="H2010" s="12"/>
      <c r="K2010"/>
    </row>
    <row r="2011" spans="5:11" x14ac:dyDescent="0.2">
      <c r="E2011" s="50"/>
      <c r="H2011" s="12"/>
      <c r="K2011"/>
    </row>
    <row r="2012" spans="5:11" x14ac:dyDescent="0.2">
      <c r="E2012" s="50"/>
      <c r="H2012" s="12"/>
      <c r="K2012"/>
    </row>
    <row r="2013" spans="5:11" x14ac:dyDescent="0.2">
      <c r="E2013" s="50"/>
      <c r="H2013" s="12"/>
      <c r="K2013"/>
    </row>
    <row r="2014" spans="5:11" x14ac:dyDescent="0.2">
      <c r="E2014" s="50"/>
      <c r="H2014" s="12"/>
      <c r="K2014"/>
    </row>
    <row r="2015" spans="5:11" x14ac:dyDescent="0.2">
      <c r="E2015" s="50"/>
      <c r="H2015" s="12"/>
      <c r="K2015"/>
    </row>
    <row r="2016" spans="5:11" x14ac:dyDescent="0.2">
      <c r="E2016" s="50"/>
      <c r="H2016" s="12"/>
      <c r="K2016"/>
    </row>
    <row r="2017" spans="5:11" x14ac:dyDescent="0.2">
      <c r="E2017" s="50"/>
      <c r="H2017" s="12"/>
      <c r="K2017"/>
    </row>
    <row r="2018" spans="5:11" x14ac:dyDescent="0.2">
      <c r="E2018" s="50"/>
      <c r="H2018" s="12"/>
      <c r="K2018"/>
    </row>
    <row r="2019" spans="5:11" x14ac:dyDescent="0.2">
      <c r="E2019" s="50"/>
      <c r="H2019" s="12"/>
      <c r="K2019"/>
    </row>
    <row r="2020" spans="5:11" x14ac:dyDescent="0.2">
      <c r="E2020" s="50"/>
      <c r="H2020" s="12"/>
      <c r="K2020"/>
    </row>
    <row r="2021" spans="5:11" x14ac:dyDescent="0.2">
      <c r="E2021" s="50"/>
      <c r="H2021" s="12"/>
      <c r="K2021"/>
    </row>
    <row r="2022" spans="5:11" x14ac:dyDescent="0.2">
      <c r="E2022" s="50"/>
      <c r="H2022" s="12"/>
      <c r="K2022"/>
    </row>
    <row r="2023" spans="5:11" x14ac:dyDescent="0.2">
      <c r="E2023" s="50"/>
      <c r="H2023" s="12"/>
      <c r="K2023"/>
    </row>
    <row r="2024" spans="5:11" x14ac:dyDescent="0.2">
      <c r="E2024" s="50"/>
      <c r="H2024" s="12"/>
      <c r="K2024"/>
    </row>
    <row r="2025" spans="5:11" x14ac:dyDescent="0.2">
      <c r="E2025" s="50"/>
      <c r="H2025" s="12"/>
      <c r="K2025"/>
    </row>
    <row r="2026" spans="5:11" x14ac:dyDescent="0.2">
      <c r="E2026" s="50"/>
      <c r="H2026" s="12"/>
      <c r="K2026"/>
    </row>
    <row r="2027" spans="5:11" x14ac:dyDescent="0.2">
      <c r="E2027" s="50"/>
      <c r="H2027" s="12"/>
      <c r="K2027"/>
    </row>
    <row r="2028" spans="5:11" x14ac:dyDescent="0.2">
      <c r="E2028" s="50"/>
      <c r="H2028" s="12"/>
      <c r="K2028"/>
    </row>
    <row r="2029" spans="5:11" x14ac:dyDescent="0.2">
      <c r="E2029" s="50"/>
      <c r="H2029" s="12"/>
      <c r="K2029"/>
    </row>
    <row r="2030" spans="5:11" x14ac:dyDescent="0.2">
      <c r="E2030" s="50"/>
      <c r="H2030" s="12"/>
      <c r="K2030"/>
    </row>
    <row r="2031" spans="5:11" x14ac:dyDescent="0.2">
      <c r="E2031" s="50"/>
      <c r="H2031" s="12"/>
      <c r="K2031"/>
    </row>
    <row r="2032" spans="5:11" x14ac:dyDescent="0.2">
      <c r="E2032" s="50"/>
      <c r="H2032" s="12"/>
      <c r="K2032"/>
    </row>
    <row r="2033" spans="5:11" x14ac:dyDescent="0.2">
      <c r="E2033" s="50"/>
      <c r="H2033" s="12"/>
      <c r="K2033"/>
    </row>
    <row r="2034" spans="5:11" x14ac:dyDescent="0.2">
      <c r="E2034" s="50"/>
      <c r="H2034" s="12"/>
      <c r="K2034"/>
    </row>
    <row r="2035" spans="5:11" x14ac:dyDescent="0.2">
      <c r="E2035" s="50"/>
      <c r="H2035" s="12"/>
      <c r="K2035"/>
    </row>
    <row r="2036" spans="5:11" x14ac:dyDescent="0.2">
      <c r="E2036" s="50"/>
      <c r="H2036" s="12"/>
      <c r="K2036"/>
    </row>
    <row r="2037" spans="5:11" x14ac:dyDescent="0.2">
      <c r="E2037" s="50"/>
      <c r="H2037" s="12"/>
      <c r="K2037"/>
    </row>
    <row r="2038" spans="5:11" x14ac:dyDescent="0.2">
      <c r="E2038" s="50"/>
      <c r="H2038" s="12"/>
      <c r="K2038"/>
    </row>
    <row r="2039" spans="5:11" x14ac:dyDescent="0.2">
      <c r="E2039" s="50"/>
      <c r="H2039" s="12"/>
      <c r="K2039"/>
    </row>
    <row r="2040" spans="5:11" x14ac:dyDescent="0.2">
      <c r="E2040" s="50"/>
      <c r="H2040" s="12"/>
      <c r="K2040"/>
    </row>
    <row r="2041" spans="5:11" x14ac:dyDescent="0.2">
      <c r="E2041" s="50"/>
      <c r="H2041" s="12"/>
      <c r="K2041"/>
    </row>
    <row r="2042" spans="5:11" x14ac:dyDescent="0.2">
      <c r="E2042" s="50"/>
      <c r="H2042" s="12"/>
      <c r="K2042"/>
    </row>
    <row r="2043" spans="5:11" x14ac:dyDescent="0.2">
      <c r="E2043" s="50"/>
      <c r="H2043" s="12"/>
      <c r="K2043"/>
    </row>
    <row r="2044" spans="5:11" x14ac:dyDescent="0.2">
      <c r="E2044" s="50"/>
      <c r="H2044" s="12"/>
      <c r="K2044"/>
    </row>
    <row r="2045" spans="5:11" x14ac:dyDescent="0.2">
      <c r="E2045" s="50"/>
      <c r="H2045" s="12"/>
      <c r="K2045"/>
    </row>
    <row r="2046" spans="5:11" x14ac:dyDescent="0.2">
      <c r="E2046" s="50"/>
      <c r="H2046" s="12"/>
      <c r="K2046"/>
    </row>
    <row r="2047" spans="5:11" x14ac:dyDescent="0.2">
      <c r="E2047" s="50"/>
      <c r="H2047" s="12"/>
      <c r="K2047"/>
    </row>
    <row r="2048" spans="5:11" x14ac:dyDescent="0.2">
      <c r="E2048" s="50"/>
      <c r="H2048" s="12"/>
      <c r="K2048"/>
    </row>
    <row r="2049" spans="5:11" x14ac:dyDescent="0.2">
      <c r="E2049" s="50"/>
      <c r="H2049" s="12"/>
      <c r="K2049"/>
    </row>
    <row r="2050" spans="5:11" x14ac:dyDescent="0.2">
      <c r="E2050" s="50"/>
      <c r="H2050" s="12"/>
      <c r="K2050"/>
    </row>
    <row r="2051" spans="5:11" x14ac:dyDescent="0.2">
      <c r="E2051" s="50"/>
      <c r="H2051" s="12"/>
      <c r="K2051"/>
    </row>
    <row r="2052" spans="5:11" x14ac:dyDescent="0.2">
      <c r="E2052" s="50"/>
      <c r="H2052" s="12"/>
      <c r="K2052"/>
    </row>
    <row r="2053" spans="5:11" x14ac:dyDescent="0.2">
      <c r="E2053" s="50"/>
      <c r="H2053" s="12"/>
      <c r="K2053"/>
    </row>
    <row r="2054" spans="5:11" x14ac:dyDescent="0.2">
      <c r="E2054" s="50"/>
      <c r="H2054" s="12"/>
      <c r="K2054"/>
    </row>
    <row r="2055" spans="5:11" x14ac:dyDescent="0.2">
      <c r="E2055" s="50"/>
      <c r="H2055" s="12"/>
      <c r="K2055"/>
    </row>
    <row r="2056" spans="5:11" x14ac:dyDescent="0.2">
      <c r="E2056" s="50"/>
      <c r="H2056" s="12"/>
      <c r="K2056"/>
    </row>
    <row r="2057" spans="5:11" x14ac:dyDescent="0.2">
      <c r="E2057" s="50"/>
      <c r="H2057" s="12"/>
      <c r="K2057"/>
    </row>
    <row r="2058" spans="5:11" x14ac:dyDescent="0.2">
      <c r="E2058" s="50"/>
      <c r="H2058" s="12"/>
      <c r="K2058"/>
    </row>
    <row r="2059" spans="5:11" x14ac:dyDescent="0.2">
      <c r="E2059" s="50"/>
      <c r="H2059" s="12"/>
      <c r="K2059"/>
    </row>
    <row r="2060" spans="5:11" x14ac:dyDescent="0.2">
      <c r="E2060" s="50"/>
      <c r="H2060" s="12"/>
      <c r="K2060"/>
    </row>
    <row r="2061" spans="5:11" x14ac:dyDescent="0.2">
      <c r="E2061" s="50"/>
      <c r="H2061" s="12"/>
      <c r="K2061"/>
    </row>
    <row r="2062" spans="5:11" x14ac:dyDescent="0.2">
      <c r="E2062" s="50"/>
      <c r="H2062" s="12"/>
      <c r="K2062"/>
    </row>
    <row r="2063" spans="5:11" x14ac:dyDescent="0.2">
      <c r="E2063" s="50"/>
      <c r="H2063" s="12"/>
      <c r="K2063"/>
    </row>
    <row r="2064" spans="5:11" x14ac:dyDescent="0.2">
      <c r="E2064" s="50"/>
      <c r="H2064" s="12"/>
      <c r="K2064"/>
    </row>
    <row r="2065" spans="5:11" x14ac:dyDescent="0.2">
      <c r="E2065" s="50"/>
      <c r="H2065" s="12"/>
      <c r="K2065"/>
    </row>
    <row r="2066" spans="5:11" x14ac:dyDescent="0.2">
      <c r="E2066" s="50"/>
      <c r="H2066" s="12"/>
      <c r="K2066"/>
    </row>
    <row r="2067" spans="5:11" x14ac:dyDescent="0.2">
      <c r="E2067" s="50"/>
      <c r="H2067" s="12"/>
      <c r="K2067"/>
    </row>
    <row r="2068" spans="5:11" x14ac:dyDescent="0.2">
      <c r="E2068" s="50"/>
      <c r="H2068" s="12"/>
      <c r="K2068"/>
    </row>
    <row r="2069" spans="5:11" x14ac:dyDescent="0.2">
      <c r="E2069" s="50"/>
      <c r="H2069" s="12"/>
      <c r="K2069"/>
    </row>
    <row r="2070" spans="5:11" x14ac:dyDescent="0.2">
      <c r="E2070" s="50"/>
      <c r="H2070" s="12"/>
      <c r="K2070"/>
    </row>
    <row r="2071" spans="5:11" x14ac:dyDescent="0.2">
      <c r="E2071" s="50"/>
      <c r="H2071" s="12"/>
      <c r="K2071"/>
    </row>
    <row r="2072" spans="5:11" x14ac:dyDescent="0.2">
      <c r="E2072" s="50"/>
      <c r="H2072" s="12"/>
      <c r="K2072"/>
    </row>
    <row r="2073" spans="5:11" x14ac:dyDescent="0.2">
      <c r="E2073" s="50"/>
      <c r="H2073" s="12"/>
      <c r="K2073"/>
    </row>
    <row r="2074" spans="5:11" x14ac:dyDescent="0.2">
      <c r="E2074" s="50"/>
      <c r="H2074" s="12"/>
      <c r="K2074"/>
    </row>
    <row r="2075" spans="5:11" x14ac:dyDescent="0.2">
      <c r="E2075" s="50"/>
      <c r="H2075" s="12"/>
      <c r="K2075"/>
    </row>
    <row r="2076" spans="5:11" x14ac:dyDescent="0.2">
      <c r="E2076" s="50"/>
      <c r="H2076" s="12"/>
      <c r="K2076"/>
    </row>
    <row r="2077" spans="5:11" x14ac:dyDescent="0.2">
      <c r="E2077" s="50"/>
      <c r="H2077" s="12"/>
      <c r="K2077"/>
    </row>
    <row r="2078" spans="5:11" x14ac:dyDescent="0.2">
      <c r="E2078" s="50"/>
      <c r="H2078" s="12"/>
      <c r="K2078"/>
    </row>
    <row r="2079" spans="5:11" x14ac:dyDescent="0.2">
      <c r="E2079" s="50"/>
      <c r="H2079" s="12"/>
      <c r="K2079"/>
    </row>
    <row r="2080" spans="5:11" x14ac:dyDescent="0.2">
      <c r="E2080" s="50"/>
      <c r="H2080" s="12"/>
      <c r="K2080"/>
    </row>
    <row r="2081" spans="5:11" x14ac:dyDescent="0.2">
      <c r="E2081" s="50"/>
      <c r="H2081" s="12"/>
      <c r="K2081"/>
    </row>
    <row r="2082" spans="5:11" x14ac:dyDescent="0.2">
      <c r="E2082" s="50"/>
      <c r="H2082" s="12"/>
      <c r="K2082"/>
    </row>
    <row r="2083" spans="5:11" x14ac:dyDescent="0.2">
      <c r="E2083" s="50"/>
      <c r="H2083" s="12"/>
      <c r="K2083"/>
    </row>
    <row r="2084" spans="5:11" x14ac:dyDescent="0.2">
      <c r="E2084" s="50"/>
      <c r="H2084" s="12"/>
      <c r="K2084"/>
    </row>
    <row r="2085" spans="5:11" x14ac:dyDescent="0.2">
      <c r="E2085" s="50"/>
      <c r="H2085" s="12"/>
      <c r="K2085"/>
    </row>
    <row r="2086" spans="5:11" x14ac:dyDescent="0.2">
      <c r="E2086" s="50"/>
      <c r="H2086" s="12"/>
      <c r="K2086"/>
    </row>
    <row r="2087" spans="5:11" x14ac:dyDescent="0.2">
      <c r="E2087" s="50"/>
      <c r="H2087" s="12"/>
      <c r="K2087"/>
    </row>
    <row r="2088" spans="5:11" x14ac:dyDescent="0.2">
      <c r="E2088" s="50"/>
      <c r="H2088" s="12"/>
      <c r="K2088"/>
    </row>
    <row r="2089" spans="5:11" x14ac:dyDescent="0.2">
      <c r="E2089" s="50"/>
      <c r="H2089" s="12"/>
      <c r="K2089"/>
    </row>
    <row r="2090" spans="5:11" x14ac:dyDescent="0.2">
      <c r="E2090" s="50"/>
      <c r="H2090" s="12"/>
      <c r="K2090"/>
    </row>
    <row r="2091" spans="5:11" x14ac:dyDescent="0.2">
      <c r="E2091" s="50"/>
      <c r="H2091" s="12"/>
      <c r="K2091"/>
    </row>
    <row r="2092" spans="5:11" x14ac:dyDescent="0.2">
      <c r="E2092" s="50"/>
      <c r="H2092" s="12"/>
      <c r="K2092"/>
    </row>
    <row r="2093" spans="5:11" x14ac:dyDescent="0.2">
      <c r="E2093" s="50"/>
      <c r="H2093" s="12"/>
      <c r="K2093"/>
    </row>
    <row r="2094" spans="5:11" x14ac:dyDescent="0.2">
      <c r="E2094" s="50"/>
      <c r="H2094" s="12"/>
      <c r="K2094"/>
    </row>
    <row r="2095" spans="5:11" x14ac:dyDescent="0.2">
      <c r="E2095" s="50"/>
      <c r="H2095" s="12"/>
      <c r="K2095"/>
    </row>
    <row r="2096" spans="5:11" x14ac:dyDescent="0.2">
      <c r="E2096" s="50"/>
      <c r="H2096" s="12"/>
      <c r="K2096"/>
    </row>
    <row r="2097" spans="5:11" x14ac:dyDescent="0.2">
      <c r="E2097" s="50"/>
      <c r="H2097" s="12"/>
      <c r="K2097"/>
    </row>
    <row r="2098" spans="5:11" x14ac:dyDescent="0.2">
      <c r="E2098" s="50"/>
      <c r="H2098" s="12"/>
      <c r="K2098"/>
    </row>
    <row r="2099" spans="5:11" x14ac:dyDescent="0.2">
      <c r="E2099" s="50"/>
      <c r="H2099" s="12"/>
      <c r="K2099"/>
    </row>
    <row r="2100" spans="5:11" x14ac:dyDescent="0.2">
      <c r="E2100" s="50"/>
      <c r="H2100" s="12"/>
      <c r="K2100"/>
    </row>
    <row r="2101" spans="5:11" x14ac:dyDescent="0.2">
      <c r="E2101" s="50"/>
      <c r="H2101" s="12"/>
      <c r="K2101"/>
    </row>
    <row r="2102" spans="5:11" x14ac:dyDescent="0.2">
      <c r="E2102" s="50"/>
      <c r="H2102" s="12"/>
      <c r="K2102"/>
    </row>
    <row r="2103" spans="5:11" x14ac:dyDescent="0.2">
      <c r="E2103" s="50"/>
      <c r="H2103" s="12"/>
      <c r="K2103"/>
    </row>
    <row r="2104" spans="5:11" x14ac:dyDescent="0.2">
      <c r="E2104" s="50"/>
      <c r="H2104" s="12"/>
      <c r="K2104"/>
    </row>
    <row r="2105" spans="5:11" x14ac:dyDescent="0.2">
      <c r="E2105" s="50"/>
      <c r="H2105" s="12"/>
      <c r="K2105"/>
    </row>
    <row r="2106" spans="5:11" x14ac:dyDescent="0.2">
      <c r="E2106" s="50"/>
      <c r="H2106" s="12"/>
      <c r="K2106"/>
    </row>
    <row r="2107" spans="5:11" x14ac:dyDescent="0.2">
      <c r="E2107" s="50"/>
      <c r="H2107" s="12"/>
      <c r="K2107"/>
    </row>
    <row r="2108" spans="5:11" x14ac:dyDescent="0.2">
      <c r="E2108" s="50"/>
      <c r="H2108" s="12"/>
      <c r="K2108"/>
    </row>
    <row r="2109" spans="5:11" x14ac:dyDescent="0.2">
      <c r="E2109" s="50"/>
      <c r="H2109" s="12"/>
      <c r="K2109"/>
    </row>
    <row r="2110" spans="5:11" x14ac:dyDescent="0.2">
      <c r="E2110" s="50"/>
      <c r="H2110" s="12"/>
      <c r="K2110"/>
    </row>
    <row r="2111" spans="5:11" x14ac:dyDescent="0.2">
      <c r="E2111" s="50"/>
      <c r="H2111" s="12"/>
      <c r="K2111"/>
    </row>
    <row r="2112" spans="5:11" x14ac:dyDescent="0.2">
      <c r="E2112" s="50"/>
      <c r="H2112" s="12"/>
      <c r="K2112"/>
    </row>
    <row r="2113" spans="5:11" x14ac:dyDescent="0.2">
      <c r="E2113" s="50"/>
      <c r="H2113" s="12"/>
      <c r="K2113"/>
    </row>
    <row r="2114" spans="5:11" x14ac:dyDescent="0.2">
      <c r="E2114" s="50"/>
      <c r="H2114" s="12"/>
      <c r="K2114"/>
    </row>
    <row r="2115" spans="5:11" x14ac:dyDescent="0.2">
      <c r="E2115" s="50"/>
      <c r="H2115" s="12"/>
      <c r="K2115"/>
    </row>
    <row r="2116" spans="5:11" x14ac:dyDescent="0.2">
      <c r="E2116" s="50"/>
      <c r="H2116" s="12"/>
      <c r="K2116"/>
    </row>
    <row r="2117" spans="5:11" x14ac:dyDescent="0.2">
      <c r="E2117" s="50"/>
      <c r="H2117" s="12"/>
      <c r="K2117"/>
    </row>
    <row r="2118" spans="5:11" x14ac:dyDescent="0.2">
      <c r="E2118" s="50"/>
      <c r="H2118" s="12"/>
      <c r="K2118"/>
    </row>
    <row r="2119" spans="5:11" x14ac:dyDescent="0.2">
      <c r="E2119" s="50"/>
      <c r="H2119" s="12"/>
      <c r="K2119"/>
    </row>
    <row r="2120" spans="5:11" x14ac:dyDescent="0.2">
      <c r="E2120" s="50"/>
      <c r="H2120" s="12"/>
      <c r="K2120"/>
    </row>
    <row r="2121" spans="5:11" x14ac:dyDescent="0.2">
      <c r="E2121" s="50"/>
      <c r="H2121" s="12"/>
      <c r="K2121"/>
    </row>
    <row r="2122" spans="5:11" x14ac:dyDescent="0.2">
      <c r="E2122" s="50"/>
      <c r="H2122" s="12"/>
      <c r="K2122"/>
    </row>
    <row r="2123" spans="5:11" x14ac:dyDescent="0.2">
      <c r="E2123" s="50"/>
      <c r="H2123" s="12"/>
      <c r="K2123"/>
    </row>
    <row r="2124" spans="5:11" x14ac:dyDescent="0.2">
      <c r="E2124" s="50"/>
      <c r="H2124" s="12"/>
      <c r="K2124"/>
    </row>
    <row r="2125" spans="5:11" x14ac:dyDescent="0.2">
      <c r="E2125" s="50"/>
      <c r="H2125" s="12"/>
      <c r="K2125"/>
    </row>
    <row r="2126" spans="5:11" x14ac:dyDescent="0.2">
      <c r="E2126" s="50"/>
      <c r="H2126" s="12"/>
      <c r="K2126"/>
    </row>
    <row r="2127" spans="5:11" x14ac:dyDescent="0.2">
      <c r="E2127" s="50"/>
      <c r="H2127" s="12"/>
      <c r="K2127"/>
    </row>
    <row r="2128" spans="5:11" x14ac:dyDescent="0.2">
      <c r="E2128" s="50"/>
      <c r="H2128" s="12"/>
      <c r="K2128"/>
    </row>
    <row r="2129" spans="5:11" x14ac:dyDescent="0.2">
      <c r="E2129" s="50"/>
      <c r="H2129" s="12"/>
      <c r="K2129"/>
    </row>
    <row r="2130" spans="5:11" x14ac:dyDescent="0.2">
      <c r="E2130" s="50"/>
      <c r="H2130" s="12"/>
      <c r="K2130"/>
    </row>
    <row r="2131" spans="5:11" x14ac:dyDescent="0.2">
      <c r="E2131" s="50"/>
      <c r="H2131" s="12"/>
      <c r="K2131"/>
    </row>
    <row r="2132" spans="5:11" x14ac:dyDescent="0.2">
      <c r="E2132" s="50"/>
      <c r="H2132" s="12"/>
      <c r="K2132"/>
    </row>
    <row r="2133" spans="5:11" x14ac:dyDescent="0.2">
      <c r="E2133" s="50"/>
      <c r="H2133" s="12"/>
      <c r="K2133"/>
    </row>
    <row r="2134" spans="5:11" x14ac:dyDescent="0.2">
      <c r="E2134" s="50"/>
      <c r="H2134" s="12"/>
      <c r="K2134"/>
    </row>
    <row r="2135" spans="5:11" x14ac:dyDescent="0.2">
      <c r="E2135" s="50"/>
      <c r="H2135" s="12"/>
      <c r="K2135"/>
    </row>
    <row r="2136" spans="5:11" x14ac:dyDescent="0.2">
      <c r="E2136" s="50"/>
      <c r="H2136" s="12"/>
      <c r="K2136"/>
    </row>
    <row r="2137" spans="5:11" x14ac:dyDescent="0.2">
      <c r="E2137" s="50"/>
      <c r="H2137" s="12"/>
      <c r="K2137"/>
    </row>
    <row r="2138" spans="5:11" x14ac:dyDescent="0.2">
      <c r="E2138" s="50"/>
      <c r="H2138" s="12"/>
      <c r="K2138"/>
    </row>
    <row r="2139" spans="5:11" x14ac:dyDescent="0.2">
      <c r="E2139" s="50"/>
      <c r="H2139" s="12"/>
      <c r="K2139"/>
    </row>
    <row r="2140" spans="5:11" x14ac:dyDescent="0.2">
      <c r="E2140" s="50"/>
      <c r="H2140" s="12"/>
      <c r="K2140"/>
    </row>
    <row r="2141" spans="5:11" x14ac:dyDescent="0.2">
      <c r="E2141" s="50"/>
      <c r="H2141" s="12"/>
      <c r="K2141"/>
    </row>
    <row r="2142" spans="5:11" x14ac:dyDescent="0.2">
      <c r="E2142" s="50"/>
      <c r="H2142" s="12"/>
      <c r="K2142"/>
    </row>
    <row r="2143" spans="5:11" x14ac:dyDescent="0.2">
      <c r="E2143" s="50"/>
      <c r="H2143" s="12"/>
      <c r="K2143"/>
    </row>
    <row r="2144" spans="5:11" x14ac:dyDescent="0.2">
      <c r="E2144" s="50"/>
      <c r="H2144" s="12"/>
      <c r="K2144"/>
    </row>
    <row r="2145" spans="5:11" x14ac:dyDescent="0.2">
      <c r="E2145" s="50"/>
      <c r="H2145" s="12"/>
      <c r="K2145"/>
    </row>
    <row r="2146" spans="5:11" x14ac:dyDescent="0.2">
      <c r="E2146" s="50"/>
      <c r="H2146" s="12"/>
      <c r="K2146"/>
    </row>
    <row r="2147" spans="5:11" x14ac:dyDescent="0.2">
      <c r="E2147" s="50"/>
      <c r="H2147" s="12"/>
      <c r="K2147"/>
    </row>
    <row r="2148" spans="5:11" x14ac:dyDescent="0.2">
      <c r="E2148" s="50"/>
      <c r="H2148" s="12"/>
      <c r="K2148"/>
    </row>
    <row r="2149" spans="5:11" x14ac:dyDescent="0.2">
      <c r="E2149" s="50"/>
      <c r="H2149" s="12"/>
      <c r="K2149"/>
    </row>
    <row r="2150" spans="5:11" x14ac:dyDescent="0.2">
      <c r="E2150" s="50"/>
      <c r="H2150" s="12"/>
      <c r="K2150"/>
    </row>
    <row r="2151" spans="5:11" x14ac:dyDescent="0.2">
      <c r="E2151" s="50"/>
      <c r="H2151" s="12"/>
      <c r="K2151"/>
    </row>
    <row r="2152" spans="5:11" x14ac:dyDescent="0.2">
      <c r="E2152" s="50"/>
      <c r="H2152" s="12"/>
      <c r="K2152"/>
    </row>
    <row r="2153" spans="5:11" x14ac:dyDescent="0.2">
      <c r="E2153" s="50"/>
      <c r="H2153" s="12"/>
      <c r="K2153"/>
    </row>
    <row r="2154" spans="5:11" x14ac:dyDescent="0.2">
      <c r="E2154" s="50"/>
      <c r="H2154" s="12"/>
      <c r="K2154"/>
    </row>
    <row r="2155" spans="5:11" x14ac:dyDescent="0.2">
      <c r="E2155" s="50"/>
      <c r="H2155" s="12"/>
      <c r="K2155"/>
    </row>
    <row r="2156" spans="5:11" x14ac:dyDescent="0.2">
      <c r="E2156" s="50"/>
      <c r="H2156" s="12"/>
      <c r="K2156"/>
    </row>
    <row r="2157" spans="5:11" x14ac:dyDescent="0.2">
      <c r="E2157" s="50"/>
      <c r="H2157" s="12"/>
      <c r="K2157"/>
    </row>
    <row r="2158" spans="5:11" x14ac:dyDescent="0.2">
      <c r="E2158" s="50"/>
      <c r="H2158" s="12"/>
      <c r="K2158"/>
    </row>
    <row r="2159" spans="5:11" x14ac:dyDescent="0.2">
      <c r="E2159" s="50"/>
      <c r="H2159" s="12"/>
      <c r="K2159"/>
    </row>
    <row r="2160" spans="5:11" x14ac:dyDescent="0.2">
      <c r="E2160" s="50"/>
      <c r="H2160" s="12"/>
      <c r="K2160"/>
    </row>
    <row r="2161" spans="5:11" x14ac:dyDescent="0.2">
      <c r="E2161" s="50"/>
      <c r="H2161" s="12"/>
      <c r="K2161"/>
    </row>
    <row r="2162" spans="5:11" x14ac:dyDescent="0.2">
      <c r="E2162" s="50"/>
      <c r="H2162" s="12"/>
      <c r="K2162"/>
    </row>
    <row r="2163" spans="5:11" x14ac:dyDescent="0.2">
      <c r="E2163" s="50"/>
      <c r="H2163" s="12"/>
      <c r="K2163"/>
    </row>
    <row r="2164" spans="5:11" x14ac:dyDescent="0.2">
      <c r="E2164" s="50"/>
      <c r="H2164" s="12"/>
      <c r="K2164"/>
    </row>
    <row r="2165" spans="5:11" x14ac:dyDescent="0.2">
      <c r="E2165" s="50"/>
      <c r="H2165" s="12"/>
      <c r="K2165"/>
    </row>
    <row r="2166" spans="5:11" x14ac:dyDescent="0.2">
      <c r="E2166" s="50"/>
      <c r="H2166" s="12"/>
      <c r="K2166"/>
    </row>
    <row r="2167" spans="5:11" x14ac:dyDescent="0.2">
      <c r="E2167" s="50"/>
      <c r="H2167" s="12"/>
      <c r="K2167"/>
    </row>
    <row r="2168" spans="5:11" x14ac:dyDescent="0.2">
      <c r="E2168" s="50"/>
      <c r="H2168" s="12"/>
      <c r="K2168"/>
    </row>
    <row r="2169" spans="5:11" x14ac:dyDescent="0.2">
      <c r="E2169" s="50"/>
      <c r="H2169" s="12"/>
      <c r="K2169"/>
    </row>
    <row r="2170" spans="5:11" x14ac:dyDescent="0.2">
      <c r="E2170" s="50"/>
      <c r="H2170" s="12"/>
      <c r="K2170"/>
    </row>
    <row r="2171" spans="5:11" x14ac:dyDescent="0.2">
      <c r="E2171" s="50"/>
      <c r="H2171" s="12"/>
      <c r="K2171"/>
    </row>
    <row r="2172" spans="5:11" x14ac:dyDescent="0.2">
      <c r="E2172" s="50"/>
      <c r="H2172" s="12"/>
      <c r="K2172"/>
    </row>
    <row r="2173" spans="5:11" x14ac:dyDescent="0.2">
      <c r="E2173" s="50"/>
      <c r="H2173" s="12"/>
      <c r="K2173"/>
    </row>
    <row r="2174" spans="5:11" x14ac:dyDescent="0.2">
      <c r="E2174" s="50"/>
      <c r="H2174" s="12"/>
      <c r="K2174"/>
    </row>
    <row r="2175" spans="5:11" x14ac:dyDescent="0.2">
      <c r="E2175" s="50"/>
      <c r="H2175" s="12"/>
      <c r="K2175"/>
    </row>
    <row r="2176" spans="5:11" x14ac:dyDescent="0.2">
      <c r="E2176" s="50"/>
      <c r="H2176" s="12"/>
      <c r="K2176"/>
    </row>
    <row r="2177" spans="5:11" x14ac:dyDescent="0.2">
      <c r="E2177" s="50"/>
      <c r="H2177" s="12"/>
      <c r="K2177"/>
    </row>
    <row r="2178" spans="5:11" x14ac:dyDescent="0.2">
      <c r="E2178" s="50"/>
      <c r="H2178" s="12"/>
      <c r="K2178"/>
    </row>
    <row r="2179" spans="5:11" x14ac:dyDescent="0.2">
      <c r="E2179" s="50"/>
      <c r="H2179" s="12"/>
      <c r="K2179"/>
    </row>
    <row r="2180" spans="5:11" x14ac:dyDescent="0.2">
      <c r="E2180" s="50"/>
      <c r="H2180" s="12"/>
      <c r="K2180"/>
    </row>
    <row r="2181" spans="5:11" x14ac:dyDescent="0.2">
      <c r="E2181" s="50"/>
      <c r="H2181" s="12"/>
      <c r="K2181"/>
    </row>
    <row r="2182" spans="5:11" x14ac:dyDescent="0.2">
      <c r="E2182" s="50"/>
      <c r="H2182" s="12"/>
      <c r="K2182"/>
    </row>
    <row r="2183" spans="5:11" x14ac:dyDescent="0.2">
      <c r="E2183" s="50"/>
      <c r="H2183" s="12"/>
      <c r="K2183"/>
    </row>
    <row r="2184" spans="5:11" x14ac:dyDescent="0.2">
      <c r="E2184" s="50"/>
      <c r="H2184" s="12"/>
      <c r="K2184"/>
    </row>
    <row r="2185" spans="5:11" x14ac:dyDescent="0.2">
      <c r="E2185" s="50"/>
      <c r="H2185" s="12"/>
      <c r="K2185"/>
    </row>
    <row r="2186" spans="5:11" x14ac:dyDescent="0.2">
      <c r="E2186" s="50"/>
      <c r="H2186" s="12"/>
      <c r="K2186"/>
    </row>
    <row r="2187" spans="5:11" x14ac:dyDescent="0.2">
      <c r="E2187" s="50"/>
      <c r="H2187" s="12"/>
      <c r="K2187"/>
    </row>
    <row r="2188" spans="5:11" x14ac:dyDescent="0.2">
      <c r="E2188" s="50"/>
      <c r="H2188" s="12"/>
      <c r="K2188"/>
    </row>
    <row r="2189" spans="5:11" x14ac:dyDescent="0.2">
      <c r="E2189" s="50"/>
      <c r="H2189" s="12"/>
      <c r="K2189"/>
    </row>
    <row r="2190" spans="5:11" x14ac:dyDescent="0.2">
      <c r="E2190" s="50"/>
      <c r="H2190" s="12"/>
      <c r="K2190"/>
    </row>
    <row r="2191" spans="5:11" x14ac:dyDescent="0.2">
      <c r="E2191" s="50"/>
      <c r="H2191" s="12"/>
      <c r="K2191"/>
    </row>
    <row r="2192" spans="5:11" x14ac:dyDescent="0.2">
      <c r="E2192" s="50"/>
      <c r="H2192" s="12"/>
      <c r="K2192"/>
    </row>
    <row r="2193" spans="5:11" x14ac:dyDescent="0.2">
      <c r="E2193" s="50"/>
      <c r="H2193" s="12"/>
      <c r="K2193"/>
    </row>
    <row r="2194" spans="5:11" x14ac:dyDescent="0.2">
      <c r="E2194" s="50"/>
      <c r="H2194" s="12"/>
      <c r="K2194"/>
    </row>
    <row r="2195" spans="5:11" x14ac:dyDescent="0.2">
      <c r="E2195" s="50"/>
      <c r="H2195" s="12"/>
      <c r="K2195"/>
    </row>
    <row r="2196" spans="5:11" x14ac:dyDescent="0.2">
      <c r="E2196" s="50"/>
      <c r="H2196" s="12"/>
      <c r="K2196"/>
    </row>
    <row r="2197" spans="5:11" x14ac:dyDescent="0.2">
      <c r="E2197" s="50"/>
      <c r="H2197" s="12"/>
      <c r="K2197"/>
    </row>
    <row r="2198" spans="5:11" x14ac:dyDescent="0.2">
      <c r="E2198" s="50"/>
      <c r="H2198" s="12"/>
      <c r="K2198"/>
    </row>
    <row r="2199" spans="5:11" x14ac:dyDescent="0.2">
      <c r="E2199" s="50"/>
      <c r="H2199" s="12"/>
      <c r="K2199"/>
    </row>
    <row r="2200" spans="5:11" x14ac:dyDescent="0.2">
      <c r="E2200" s="50"/>
      <c r="H2200" s="12"/>
      <c r="K2200"/>
    </row>
    <row r="2201" spans="5:11" x14ac:dyDescent="0.2">
      <c r="E2201" s="50"/>
      <c r="H2201" s="12"/>
      <c r="K2201"/>
    </row>
    <row r="2202" spans="5:11" x14ac:dyDescent="0.2">
      <c r="E2202" s="50"/>
      <c r="H2202" s="12"/>
      <c r="K2202"/>
    </row>
    <row r="2203" spans="5:11" x14ac:dyDescent="0.2">
      <c r="E2203" s="50"/>
      <c r="H2203" s="12"/>
      <c r="K2203"/>
    </row>
    <row r="2204" spans="5:11" x14ac:dyDescent="0.2">
      <c r="E2204" s="50"/>
      <c r="H2204" s="12"/>
      <c r="K2204"/>
    </row>
    <row r="2205" spans="5:11" x14ac:dyDescent="0.2">
      <c r="E2205" s="50"/>
      <c r="H2205" s="12"/>
      <c r="K2205"/>
    </row>
    <row r="2206" spans="5:11" x14ac:dyDescent="0.2">
      <c r="E2206" s="50"/>
      <c r="H2206" s="12"/>
      <c r="K2206"/>
    </row>
    <row r="2207" spans="5:11" x14ac:dyDescent="0.2">
      <c r="E2207" s="50"/>
      <c r="H2207" s="12"/>
      <c r="K2207"/>
    </row>
    <row r="2208" spans="5:11" x14ac:dyDescent="0.2">
      <c r="E2208" s="50"/>
      <c r="H2208" s="12"/>
      <c r="K2208"/>
    </row>
    <row r="2209" spans="5:11" x14ac:dyDescent="0.2">
      <c r="E2209" s="50"/>
      <c r="H2209" s="12"/>
      <c r="K2209"/>
    </row>
    <row r="2210" spans="5:11" x14ac:dyDescent="0.2">
      <c r="E2210" s="50"/>
      <c r="H2210" s="12"/>
      <c r="K2210"/>
    </row>
    <row r="2211" spans="5:11" x14ac:dyDescent="0.2">
      <c r="E2211" s="50"/>
      <c r="H2211" s="12"/>
      <c r="K2211"/>
    </row>
    <row r="2212" spans="5:11" x14ac:dyDescent="0.2">
      <c r="E2212" s="50"/>
      <c r="H2212" s="12"/>
      <c r="K2212"/>
    </row>
    <row r="2213" spans="5:11" x14ac:dyDescent="0.2">
      <c r="E2213" s="50"/>
      <c r="H2213" s="12"/>
      <c r="K2213"/>
    </row>
    <row r="2214" spans="5:11" x14ac:dyDescent="0.2">
      <c r="E2214" s="50"/>
      <c r="H2214" s="12"/>
      <c r="K2214"/>
    </row>
    <row r="2215" spans="5:11" x14ac:dyDescent="0.2">
      <c r="E2215" s="50"/>
      <c r="H2215" s="12"/>
      <c r="K2215"/>
    </row>
    <row r="2216" spans="5:11" x14ac:dyDescent="0.2">
      <c r="E2216" s="50"/>
      <c r="H2216" s="12"/>
      <c r="K2216"/>
    </row>
    <row r="2217" spans="5:11" x14ac:dyDescent="0.2">
      <c r="E2217" s="50"/>
      <c r="H2217" s="12"/>
      <c r="K2217"/>
    </row>
    <row r="2218" spans="5:11" x14ac:dyDescent="0.2">
      <c r="E2218" s="50"/>
      <c r="H2218" s="12"/>
      <c r="K2218"/>
    </row>
    <row r="2219" spans="5:11" x14ac:dyDescent="0.2">
      <c r="E2219" s="50"/>
      <c r="H2219" s="12"/>
      <c r="K2219"/>
    </row>
    <row r="2220" spans="5:11" x14ac:dyDescent="0.2">
      <c r="E2220" s="50"/>
      <c r="H2220" s="12"/>
      <c r="K2220"/>
    </row>
    <row r="2221" spans="5:11" x14ac:dyDescent="0.2">
      <c r="E2221" s="50"/>
      <c r="H2221" s="12"/>
      <c r="K2221"/>
    </row>
    <row r="2222" spans="5:11" x14ac:dyDescent="0.2">
      <c r="E2222" s="50"/>
      <c r="H2222" s="12"/>
      <c r="K2222"/>
    </row>
    <row r="2223" spans="5:11" x14ac:dyDescent="0.2">
      <c r="E2223" s="50"/>
      <c r="H2223" s="12"/>
      <c r="K2223"/>
    </row>
    <row r="2224" spans="5:11" x14ac:dyDescent="0.2">
      <c r="E2224" s="50"/>
      <c r="H2224" s="12"/>
      <c r="K2224"/>
    </row>
    <row r="2225" spans="5:11" x14ac:dyDescent="0.2">
      <c r="E2225" s="50"/>
      <c r="H2225" s="12"/>
      <c r="K2225"/>
    </row>
    <row r="2226" spans="5:11" x14ac:dyDescent="0.2">
      <c r="E2226" s="50"/>
      <c r="H2226" s="12"/>
      <c r="K2226"/>
    </row>
    <row r="2227" spans="5:11" x14ac:dyDescent="0.2">
      <c r="E2227" s="50"/>
      <c r="H2227" s="12"/>
      <c r="K2227"/>
    </row>
    <row r="2228" spans="5:11" x14ac:dyDescent="0.2">
      <c r="E2228" s="50"/>
      <c r="H2228" s="12"/>
      <c r="K2228"/>
    </row>
    <row r="2229" spans="5:11" x14ac:dyDescent="0.2">
      <c r="E2229" s="50"/>
      <c r="H2229" s="12"/>
      <c r="K2229"/>
    </row>
    <row r="2230" spans="5:11" x14ac:dyDescent="0.2">
      <c r="E2230" s="50"/>
      <c r="H2230" s="12"/>
      <c r="K2230"/>
    </row>
    <row r="2231" spans="5:11" x14ac:dyDescent="0.2">
      <c r="E2231" s="50"/>
      <c r="H2231" s="12"/>
      <c r="K2231"/>
    </row>
    <row r="2232" spans="5:11" x14ac:dyDescent="0.2">
      <c r="E2232" s="50"/>
      <c r="H2232" s="12"/>
      <c r="K2232"/>
    </row>
    <row r="2233" spans="5:11" x14ac:dyDescent="0.2">
      <c r="E2233" s="50"/>
      <c r="H2233" s="12"/>
      <c r="K2233"/>
    </row>
    <row r="2234" spans="5:11" x14ac:dyDescent="0.2">
      <c r="E2234" s="50"/>
      <c r="H2234" s="12"/>
      <c r="K2234"/>
    </row>
    <row r="2235" spans="5:11" x14ac:dyDescent="0.2">
      <c r="E2235" s="50"/>
      <c r="H2235" s="12"/>
      <c r="K2235"/>
    </row>
    <row r="2236" spans="5:11" x14ac:dyDescent="0.2">
      <c r="E2236" s="50"/>
      <c r="H2236" s="12"/>
      <c r="K2236"/>
    </row>
    <row r="2237" spans="5:11" x14ac:dyDescent="0.2">
      <c r="E2237" s="50"/>
      <c r="H2237" s="12"/>
      <c r="K2237"/>
    </row>
    <row r="2238" spans="5:11" x14ac:dyDescent="0.2">
      <c r="E2238" s="50"/>
      <c r="H2238" s="12"/>
      <c r="K2238"/>
    </row>
    <row r="2239" spans="5:11" x14ac:dyDescent="0.2">
      <c r="E2239" s="50"/>
      <c r="H2239" s="12"/>
      <c r="K2239"/>
    </row>
    <row r="2240" spans="5:11" x14ac:dyDescent="0.2">
      <c r="E2240" s="50"/>
      <c r="H2240" s="12"/>
      <c r="K2240"/>
    </row>
    <row r="2241" spans="5:11" x14ac:dyDescent="0.2">
      <c r="E2241" s="50"/>
      <c r="H2241" s="12"/>
      <c r="K2241"/>
    </row>
    <row r="2242" spans="5:11" x14ac:dyDescent="0.2">
      <c r="E2242" s="50"/>
      <c r="H2242" s="12"/>
      <c r="K2242"/>
    </row>
    <row r="2243" spans="5:11" x14ac:dyDescent="0.2">
      <c r="E2243" s="50"/>
      <c r="H2243" s="12"/>
      <c r="K2243"/>
    </row>
    <row r="2244" spans="5:11" x14ac:dyDescent="0.2">
      <c r="E2244" s="50"/>
      <c r="H2244" s="12"/>
      <c r="K2244"/>
    </row>
    <row r="2245" spans="5:11" x14ac:dyDescent="0.2">
      <c r="E2245" s="50"/>
      <c r="H2245" s="12"/>
      <c r="K2245"/>
    </row>
    <row r="2246" spans="5:11" x14ac:dyDescent="0.2">
      <c r="E2246" s="50"/>
      <c r="H2246" s="12"/>
      <c r="K2246"/>
    </row>
    <row r="2247" spans="5:11" x14ac:dyDescent="0.2">
      <c r="E2247" s="50"/>
      <c r="H2247" s="12"/>
      <c r="K2247"/>
    </row>
    <row r="2248" spans="5:11" x14ac:dyDescent="0.2">
      <c r="E2248" s="50"/>
      <c r="H2248" s="12"/>
      <c r="K2248"/>
    </row>
    <row r="2249" spans="5:11" x14ac:dyDescent="0.2">
      <c r="E2249" s="50"/>
      <c r="H2249" s="12"/>
      <c r="K2249"/>
    </row>
    <row r="2250" spans="5:11" x14ac:dyDescent="0.2">
      <c r="E2250" s="50"/>
      <c r="H2250" s="12"/>
      <c r="K2250"/>
    </row>
    <row r="2251" spans="5:11" x14ac:dyDescent="0.2">
      <c r="E2251" s="50"/>
      <c r="H2251" s="12"/>
      <c r="K2251"/>
    </row>
    <row r="2252" spans="5:11" x14ac:dyDescent="0.2">
      <c r="E2252" s="50"/>
      <c r="H2252" s="12"/>
      <c r="K2252"/>
    </row>
    <row r="2253" spans="5:11" x14ac:dyDescent="0.2">
      <c r="E2253" s="50"/>
      <c r="H2253" s="12"/>
      <c r="K2253"/>
    </row>
    <row r="2254" spans="5:11" x14ac:dyDescent="0.2">
      <c r="E2254" s="50"/>
      <c r="H2254" s="12"/>
      <c r="K2254"/>
    </row>
    <row r="2255" spans="5:11" x14ac:dyDescent="0.2">
      <c r="E2255" s="50"/>
      <c r="H2255" s="12"/>
      <c r="K2255"/>
    </row>
    <row r="2256" spans="5:11" x14ac:dyDescent="0.2">
      <c r="E2256" s="50"/>
      <c r="H2256" s="12"/>
      <c r="K2256"/>
    </row>
    <row r="2257" spans="5:11" x14ac:dyDescent="0.2">
      <c r="E2257" s="50"/>
      <c r="H2257" s="12"/>
      <c r="K2257"/>
    </row>
    <row r="2258" spans="5:11" x14ac:dyDescent="0.2">
      <c r="E2258" s="50"/>
      <c r="H2258" s="12"/>
      <c r="K2258"/>
    </row>
    <row r="2259" spans="5:11" x14ac:dyDescent="0.2">
      <c r="E2259" s="50"/>
      <c r="H2259" s="12"/>
      <c r="K2259"/>
    </row>
    <row r="2260" spans="5:11" x14ac:dyDescent="0.2">
      <c r="E2260" s="50"/>
      <c r="H2260" s="12"/>
      <c r="K2260"/>
    </row>
    <row r="2261" spans="5:11" x14ac:dyDescent="0.2">
      <c r="E2261" s="50"/>
      <c r="H2261" s="12"/>
      <c r="K2261"/>
    </row>
    <row r="2262" spans="5:11" x14ac:dyDescent="0.2">
      <c r="E2262" s="50"/>
      <c r="H2262" s="12"/>
      <c r="K2262"/>
    </row>
    <row r="2263" spans="5:11" x14ac:dyDescent="0.2">
      <c r="E2263" s="50"/>
      <c r="H2263" s="12"/>
      <c r="K2263"/>
    </row>
    <row r="2264" spans="5:11" x14ac:dyDescent="0.2">
      <c r="E2264" s="50"/>
      <c r="H2264" s="12"/>
      <c r="K2264"/>
    </row>
    <row r="2265" spans="5:11" x14ac:dyDescent="0.2">
      <c r="E2265" s="50"/>
      <c r="H2265" s="12"/>
      <c r="K2265"/>
    </row>
    <row r="2266" spans="5:11" x14ac:dyDescent="0.2">
      <c r="E2266" s="50"/>
      <c r="H2266" s="12"/>
      <c r="K2266"/>
    </row>
    <row r="2267" spans="5:11" x14ac:dyDescent="0.2">
      <c r="E2267" s="50"/>
      <c r="H2267" s="12"/>
      <c r="K2267"/>
    </row>
    <row r="2268" spans="5:11" x14ac:dyDescent="0.2">
      <c r="E2268" s="50"/>
      <c r="H2268" s="12"/>
      <c r="K2268"/>
    </row>
    <row r="2269" spans="5:11" x14ac:dyDescent="0.2">
      <c r="E2269" s="50"/>
      <c r="H2269" s="12"/>
      <c r="K2269"/>
    </row>
    <row r="2270" spans="5:11" x14ac:dyDescent="0.2">
      <c r="E2270" s="50"/>
      <c r="H2270" s="12"/>
      <c r="K2270"/>
    </row>
    <row r="2271" spans="5:11" x14ac:dyDescent="0.2">
      <c r="E2271" s="50"/>
      <c r="H2271" s="12"/>
      <c r="K2271"/>
    </row>
    <row r="2272" spans="5:11" x14ac:dyDescent="0.2">
      <c r="E2272" s="50"/>
      <c r="H2272" s="12"/>
      <c r="K2272"/>
    </row>
    <row r="2273" spans="5:11" x14ac:dyDescent="0.2">
      <c r="E2273" s="50"/>
      <c r="H2273" s="12"/>
      <c r="K2273"/>
    </row>
    <row r="2274" spans="5:11" x14ac:dyDescent="0.2">
      <c r="E2274" s="50"/>
      <c r="H2274" s="12"/>
      <c r="K2274"/>
    </row>
    <row r="2275" spans="5:11" x14ac:dyDescent="0.2">
      <c r="E2275" s="50"/>
      <c r="H2275" s="12"/>
      <c r="K2275"/>
    </row>
    <row r="2276" spans="5:11" x14ac:dyDescent="0.2">
      <c r="E2276" s="50"/>
      <c r="H2276" s="12"/>
      <c r="K2276"/>
    </row>
    <row r="2277" spans="5:11" x14ac:dyDescent="0.2">
      <c r="E2277" s="50"/>
      <c r="H2277" s="12"/>
      <c r="K2277"/>
    </row>
    <row r="2278" spans="5:11" x14ac:dyDescent="0.2">
      <c r="E2278" s="50"/>
      <c r="H2278" s="12"/>
      <c r="K2278"/>
    </row>
    <row r="2279" spans="5:11" x14ac:dyDescent="0.2">
      <c r="E2279" s="50"/>
      <c r="H2279" s="12"/>
      <c r="K2279"/>
    </row>
    <row r="2280" spans="5:11" x14ac:dyDescent="0.2">
      <c r="E2280" s="50"/>
      <c r="H2280" s="12"/>
      <c r="K2280"/>
    </row>
    <row r="2281" spans="5:11" x14ac:dyDescent="0.2">
      <c r="E2281" s="50"/>
      <c r="H2281" s="12"/>
      <c r="K2281"/>
    </row>
    <row r="2282" spans="5:11" x14ac:dyDescent="0.2">
      <c r="E2282" s="50"/>
      <c r="H2282" s="12"/>
      <c r="K2282"/>
    </row>
    <row r="2283" spans="5:11" x14ac:dyDescent="0.2">
      <c r="E2283" s="50"/>
      <c r="H2283" s="12"/>
      <c r="K2283"/>
    </row>
    <row r="2284" spans="5:11" x14ac:dyDescent="0.2">
      <c r="E2284" s="50"/>
      <c r="H2284" s="12"/>
      <c r="K2284"/>
    </row>
    <row r="2285" spans="5:11" x14ac:dyDescent="0.2">
      <c r="E2285" s="50"/>
      <c r="H2285" s="12"/>
      <c r="K2285"/>
    </row>
    <row r="2286" spans="5:11" x14ac:dyDescent="0.2">
      <c r="E2286" s="50"/>
      <c r="H2286" s="12"/>
      <c r="K2286"/>
    </row>
    <row r="2287" spans="5:11" x14ac:dyDescent="0.2">
      <c r="E2287" s="50"/>
      <c r="H2287" s="12"/>
      <c r="K2287"/>
    </row>
    <row r="2288" spans="5:11" x14ac:dyDescent="0.2">
      <c r="E2288" s="50"/>
      <c r="H2288" s="12"/>
      <c r="K2288"/>
    </row>
    <row r="2289" spans="5:11" x14ac:dyDescent="0.2">
      <c r="E2289" s="50"/>
      <c r="H2289" s="12"/>
      <c r="K2289"/>
    </row>
    <row r="2290" spans="5:11" x14ac:dyDescent="0.2">
      <c r="E2290" s="50"/>
      <c r="H2290" s="12"/>
      <c r="K2290"/>
    </row>
    <row r="2291" spans="5:11" x14ac:dyDescent="0.2">
      <c r="E2291" s="50"/>
      <c r="H2291" s="12"/>
      <c r="K2291"/>
    </row>
    <row r="2292" spans="5:11" x14ac:dyDescent="0.2">
      <c r="E2292" s="50"/>
      <c r="H2292" s="12"/>
      <c r="K2292"/>
    </row>
    <row r="2293" spans="5:11" x14ac:dyDescent="0.2">
      <c r="E2293" s="50"/>
      <c r="H2293" s="12"/>
      <c r="K2293"/>
    </row>
    <row r="2294" spans="5:11" x14ac:dyDescent="0.2">
      <c r="E2294" s="50"/>
      <c r="H2294" s="12"/>
      <c r="K2294"/>
    </row>
    <row r="2295" spans="5:11" x14ac:dyDescent="0.2">
      <c r="E2295" s="50"/>
      <c r="H2295" s="12"/>
      <c r="K2295"/>
    </row>
    <row r="2296" spans="5:11" x14ac:dyDescent="0.2">
      <c r="E2296" s="50"/>
      <c r="H2296" s="12"/>
      <c r="K2296"/>
    </row>
    <row r="2297" spans="5:11" x14ac:dyDescent="0.2">
      <c r="E2297" s="50"/>
      <c r="H2297" s="12"/>
      <c r="K2297"/>
    </row>
    <row r="2298" spans="5:11" x14ac:dyDescent="0.2">
      <c r="E2298" s="50"/>
      <c r="H2298" s="12"/>
      <c r="K2298"/>
    </row>
    <row r="2299" spans="5:11" x14ac:dyDescent="0.2">
      <c r="E2299" s="50"/>
      <c r="H2299" s="12"/>
      <c r="K2299"/>
    </row>
    <row r="2300" spans="5:11" x14ac:dyDescent="0.2">
      <c r="E2300" s="50"/>
      <c r="H2300" s="12"/>
      <c r="K2300"/>
    </row>
    <row r="2301" spans="5:11" x14ac:dyDescent="0.2">
      <c r="E2301" s="50"/>
      <c r="H2301" s="12"/>
      <c r="K2301"/>
    </row>
    <row r="2302" spans="5:11" x14ac:dyDescent="0.2">
      <c r="E2302" s="50"/>
      <c r="H2302" s="12"/>
      <c r="K2302"/>
    </row>
    <row r="2303" spans="5:11" x14ac:dyDescent="0.2">
      <c r="E2303" s="50"/>
      <c r="H2303" s="12"/>
      <c r="K2303"/>
    </row>
    <row r="2304" spans="5:11" x14ac:dyDescent="0.2">
      <c r="E2304" s="50"/>
      <c r="H2304" s="12"/>
      <c r="K2304"/>
    </row>
    <row r="2305" spans="5:11" x14ac:dyDescent="0.2">
      <c r="E2305" s="50"/>
      <c r="H2305" s="12"/>
      <c r="K2305"/>
    </row>
    <row r="2306" spans="5:11" x14ac:dyDescent="0.2">
      <c r="E2306" s="50"/>
      <c r="H2306" s="12"/>
      <c r="K2306"/>
    </row>
    <row r="2307" spans="5:11" x14ac:dyDescent="0.2">
      <c r="E2307" s="50"/>
      <c r="H2307" s="12"/>
      <c r="K2307"/>
    </row>
    <row r="2308" spans="5:11" x14ac:dyDescent="0.2">
      <c r="E2308" s="50"/>
      <c r="H2308" s="12"/>
      <c r="K2308"/>
    </row>
    <row r="2309" spans="5:11" x14ac:dyDescent="0.2">
      <c r="E2309" s="50"/>
      <c r="H2309" s="12"/>
      <c r="K2309"/>
    </row>
    <row r="2310" spans="5:11" x14ac:dyDescent="0.2">
      <c r="E2310" s="50"/>
      <c r="H2310" s="12"/>
      <c r="K2310"/>
    </row>
    <row r="2311" spans="5:11" x14ac:dyDescent="0.2">
      <c r="E2311" s="50"/>
      <c r="H2311" s="12"/>
      <c r="K2311"/>
    </row>
    <row r="2312" spans="5:11" x14ac:dyDescent="0.2">
      <c r="E2312" s="50"/>
      <c r="H2312" s="12"/>
      <c r="K2312"/>
    </row>
    <row r="2313" spans="5:11" x14ac:dyDescent="0.2">
      <c r="E2313" s="50"/>
      <c r="H2313" s="12"/>
      <c r="K2313"/>
    </row>
    <row r="2314" spans="5:11" x14ac:dyDescent="0.2">
      <c r="E2314" s="50"/>
      <c r="H2314" s="12"/>
      <c r="K2314"/>
    </row>
    <row r="2315" spans="5:11" x14ac:dyDescent="0.2">
      <c r="E2315" s="50"/>
      <c r="H2315" s="12"/>
      <c r="K2315"/>
    </row>
    <row r="2316" spans="5:11" x14ac:dyDescent="0.2">
      <c r="E2316" s="50"/>
      <c r="H2316" s="12"/>
      <c r="K2316"/>
    </row>
    <row r="2317" spans="5:11" x14ac:dyDescent="0.2">
      <c r="E2317" s="50"/>
      <c r="H2317" s="12"/>
      <c r="K2317"/>
    </row>
    <row r="2318" spans="5:11" x14ac:dyDescent="0.2">
      <c r="E2318" s="50"/>
      <c r="H2318" s="12"/>
      <c r="K2318"/>
    </row>
    <row r="2319" spans="5:11" x14ac:dyDescent="0.2">
      <c r="E2319" s="50"/>
      <c r="H2319" s="12"/>
      <c r="K2319"/>
    </row>
    <row r="2320" spans="5:11" x14ac:dyDescent="0.2">
      <c r="E2320" s="50"/>
      <c r="H2320" s="12"/>
      <c r="K2320"/>
    </row>
    <row r="2321" spans="5:11" x14ac:dyDescent="0.2">
      <c r="E2321" s="50"/>
      <c r="H2321" s="12"/>
      <c r="K2321"/>
    </row>
    <row r="2322" spans="5:11" x14ac:dyDescent="0.2">
      <c r="E2322" s="50"/>
      <c r="H2322" s="12"/>
      <c r="K2322"/>
    </row>
    <row r="2323" spans="5:11" x14ac:dyDescent="0.2">
      <c r="E2323" s="50"/>
      <c r="H2323" s="12"/>
      <c r="K2323"/>
    </row>
    <row r="2324" spans="5:11" x14ac:dyDescent="0.2">
      <c r="E2324" s="50"/>
      <c r="H2324" s="12"/>
      <c r="K2324"/>
    </row>
    <row r="2325" spans="5:11" x14ac:dyDescent="0.2">
      <c r="E2325" s="50"/>
      <c r="H2325" s="12"/>
      <c r="K2325"/>
    </row>
    <row r="2326" spans="5:11" x14ac:dyDescent="0.2">
      <c r="E2326" s="50"/>
      <c r="H2326" s="12"/>
      <c r="K2326"/>
    </row>
    <row r="2327" spans="5:11" x14ac:dyDescent="0.2">
      <c r="E2327" s="50"/>
      <c r="H2327" s="12"/>
      <c r="K2327"/>
    </row>
    <row r="2328" spans="5:11" x14ac:dyDescent="0.2">
      <c r="E2328" s="50"/>
      <c r="H2328" s="12"/>
      <c r="K2328"/>
    </row>
    <row r="2329" spans="5:11" x14ac:dyDescent="0.2">
      <c r="E2329" s="50"/>
      <c r="H2329" s="12"/>
      <c r="K2329"/>
    </row>
    <row r="2330" spans="5:11" x14ac:dyDescent="0.2">
      <c r="E2330" s="50"/>
      <c r="H2330" s="12"/>
      <c r="K2330"/>
    </row>
    <row r="2331" spans="5:11" x14ac:dyDescent="0.2">
      <c r="E2331" s="50"/>
      <c r="H2331" s="12"/>
      <c r="K2331"/>
    </row>
    <row r="2332" spans="5:11" x14ac:dyDescent="0.2">
      <c r="E2332" s="50"/>
      <c r="H2332" s="12"/>
      <c r="K2332"/>
    </row>
    <row r="2333" spans="5:11" x14ac:dyDescent="0.2">
      <c r="E2333" s="50"/>
      <c r="H2333" s="12"/>
      <c r="K2333"/>
    </row>
    <row r="2334" spans="5:11" x14ac:dyDescent="0.2">
      <c r="E2334" s="50"/>
      <c r="H2334" s="12"/>
      <c r="K2334"/>
    </row>
    <row r="2335" spans="5:11" x14ac:dyDescent="0.2">
      <c r="E2335" s="50"/>
      <c r="H2335" s="12"/>
      <c r="K2335"/>
    </row>
    <row r="2336" spans="5:11" x14ac:dyDescent="0.2">
      <c r="E2336" s="50"/>
      <c r="H2336" s="12"/>
      <c r="K2336"/>
    </row>
    <row r="2337" spans="5:11" x14ac:dyDescent="0.2">
      <c r="E2337" s="50"/>
      <c r="H2337" s="12"/>
      <c r="K2337"/>
    </row>
    <row r="2338" spans="5:11" x14ac:dyDescent="0.2">
      <c r="E2338" s="50"/>
      <c r="H2338" s="12"/>
      <c r="K2338"/>
    </row>
    <row r="2339" spans="5:11" x14ac:dyDescent="0.2">
      <c r="E2339" s="50"/>
      <c r="H2339" s="12"/>
      <c r="K2339"/>
    </row>
    <row r="2340" spans="5:11" x14ac:dyDescent="0.2">
      <c r="E2340" s="50"/>
      <c r="H2340" s="12"/>
      <c r="K2340"/>
    </row>
    <row r="2341" spans="5:11" x14ac:dyDescent="0.2">
      <c r="E2341" s="50"/>
      <c r="H2341" s="12"/>
      <c r="K2341"/>
    </row>
    <row r="2342" spans="5:11" x14ac:dyDescent="0.2">
      <c r="E2342" s="50"/>
      <c r="H2342" s="12"/>
      <c r="K2342"/>
    </row>
    <row r="2343" spans="5:11" x14ac:dyDescent="0.2">
      <c r="E2343" s="50"/>
      <c r="H2343" s="12"/>
      <c r="K2343"/>
    </row>
    <row r="2344" spans="5:11" x14ac:dyDescent="0.2">
      <c r="E2344" s="50"/>
      <c r="H2344" s="12"/>
      <c r="K2344"/>
    </row>
    <row r="2345" spans="5:11" x14ac:dyDescent="0.2">
      <c r="E2345" s="50"/>
      <c r="H2345" s="12"/>
      <c r="K2345"/>
    </row>
    <row r="2346" spans="5:11" x14ac:dyDescent="0.2">
      <c r="E2346" s="50"/>
      <c r="H2346" s="12"/>
      <c r="K2346"/>
    </row>
    <row r="2347" spans="5:11" x14ac:dyDescent="0.2">
      <c r="E2347" s="50"/>
      <c r="H2347" s="12"/>
      <c r="K2347"/>
    </row>
    <row r="2348" spans="5:11" x14ac:dyDescent="0.2">
      <c r="E2348" s="50"/>
      <c r="H2348" s="12"/>
      <c r="K2348"/>
    </row>
    <row r="2349" spans="5:11" x14ac:dyDescent="0.2">
      <c r="E2349" s="50"/>
      <c r="H2349" s="12"/>
      <c r="K2349"/>
    </row>
    <row r="2350" spans="5:11" x14ac:dyDescent="0.2">
      <c r="E2350" s="50"/>
      <c r="H2350" s="12"/>
      <c r="K2350"/>
    </row>
    <row r="2351" spans="5:11" x14ac:dyDescent="0.2">
      <c r="E2351" s="50"/>
      <c r="H2351" s="12"/>
      <c r="K2351"/>
    </row>
    <row r="2352" spans="5:11" x14ac:dyDescent="0.2">
      <c r="E2352" s="50"/>
      <c r="H2352" s="12"/>
      <c r="K2352"/>
    </row>
    <row r="2353" spans="5:11" x14ac:dyDescent="0.2">
      <c r="E2353" s="50"/>
      <c r="H2353" s="12"/>
      <c r="K2353"/>
    </row>
    <row r="2354" spans="5:11" x14ac:dyDescent="0.2">
      <c r="E2354" s="50"/>
      <c r="H2354" s="12"/>
      <c r="K2354"/>
    </row>
    <row r="2355" spans="5:11" x14ac:dyDescent="0.2">
      <c r="E2355" s="50"/>
      <c r="H2355" s="12"/>
      <c r="K2355"/>
    </row>
    <row r="2356" spans="5:11" x14ac:dyDescent="0.2">
      <c r="E2356" s="50"/>
      <c r="H2356" s="12"/>
      <c r="K2356"/>
    </row>
    <row r="2357" spans="5:11" x14ac:dyDescent="0.2">
      <c r="E2357" s="50"/>
      <c r="H2357" s="12"/>
      <c r="K2357"/>
    </row>
    <row r="2358" spans="5:11" x14ac:dyDescent="0.2">
      <c r="E2358" s="50"/>
      <c r="H2358" s="12"/>
      <c r="K2358"/>
    </row>
    <row r="2359" spans="5:11" x14ac:dyDescent="0.2">
      <c r="E2359" s="50"/>
      <c r="H2359" s="12"/>
      <c r="K2359"/>
    </row>
    <row r="2360" spans="5:11" x14ac:dyDescent="0.2">
      <c r="E2360" s="50"/>
      <c r="H2360" s="12"/>
      <c r="K2360"/>
    </row>
    <row r="2361" spans="5:11" x14ac:dyDescent="0.2">
      <c r="E2361" s="50"/>
      <c r="H2361" s="12"/>
      <c r="K2361"/>
    </row>
    <row r="2362" spans="5:11" x14ac:dyDescent="0.2">
      <c r="E2362" s="50"/>
      <c r="H2362" s="12"/>
      <c r="K2362"/>
    </row>
    <row r="2363" spans="5:11" x14ac:dyDescent="0.2">
      <c r="E2363" s="50"/>
      <c r="H2363" s="12"/>
      <c r="K2363"/>
    </row>
    <row r="2364" spans="5:11" x14ac:dyDescent="0.2">
      <c r="E2364" s="50"/>
      <c r="H2364" s="12"/>
      <c r="K2364"/>
    </row>
    <row r="2365" spans="5:11" x14ac:dyDescent="0.2">
      <c r="E2365" s="50"/>
      <c r="H2365" s="12"/>
      <c r="K2365"/>
    </row>
    <row r="2366" spans="5:11" x14ac:dyDescent="0.2">
      <c r="E2366" s="50"/>
      <c r="H2366" s="12"/>
      <c r="K2366"/>
    </row>
    <row r="2367" spans="5:11" x14ac:dyDescent="0.2">
      <c r="E2367" s="50"/>
      <c r="H2367" s="12"/>
      <c r="K2367"/>
    </row>
    <row r="2368" spans="5:11" x14ac:dyDescent="0.2">
      <c r="E2368" s="50"/>
      <c r="H2368" s="12"/>
      <c r="K2368"/>
    </row>
    <row r="2369" spans="5:11" x14ac:dyDescent="0.2">
      <c r="E2369" s="50"/>
      <c r="H2369" s="12"/>
      <c r="K2369"/>
    </row>
    <row r="2370" spans="5:11" x14ac:dyDescent="0.2">
      <c r="E2370" s="50"/>
      <c r="H2370" s="12"/>
      <c r="K2370"/>
    </row>
    <row r="2371" spans="5:11" x14ac:dyDescent="0.2">
      <c r="E2371" s="50"/>
      <c r="H2371" s="12"/>
      <c r="K2371"/>
    </row>
    <row r="2372" spans="5:11" x14ac:dyDescent="0.2">
      <c r="E2372" s="50"/>
      <c r="H2372" s="12"/>
      <c r="K2372"/>
    </row>
    <row r="2373" spans="5:11" x14ac:dyDescent="0.2">
      <c r="E2373" s="50"/>
      <c r="H2373" s="12"/>
      <c r="K2373"/>
    </row>
    <row r="2374" spans="5:11" x14ac:dyDescent="0.2">
      <c r="E2374" s="50"/>
      <c r="H2374" s="12"/>
      <c r="K2374"/>
    </row>
    <row r="2375" spans="5:11" x14ac:dyDescent="0.2">
      <c r="E2375" s="50"/>
      <c r="H2375" s="12"/>
      <c r="K2375"/>
    </row>
    <row r="2376" spans="5:11" x14ac:dyDescent="0.2">
      <c r="E2376" s="50"/>
      <c r="H2376" s="12"/>
      <c r="K2376"/>
    </row>
    <row r="2377" spans="5:11" x14ac:dyDescent="0.2">
      <c r="E2377" s="50"/>
      <c r="H2377" s="12"/>
      <c r="K2377"/>
    </row>
    <row r="2378" spans="5:11" x14ac:dyDescent="0.2">
      <c r="E2378" s="50"/>
      <c r="H2378" s="12"/>
      <c r="K2378"/>
    </row>
    <row r="2379" spans="5:11" x14ac:dyDescent="0.2">
      <c r="E2379" s="50"/>
      <c r="H2379" s="12"/>
      <c r="K2379"/>
    </row>
    <row r="2380" spans="5:11" x14ac:dyDescent="0.2">
      <c r="E2380" s="50"/>
      <c r="H2380" s="12"/>
      <c r="K2380"/>
    </row>
    <row r="2381" spans="5:11" x14ac:dyDescent="0.2">
      <c r="E2381" s="50"/>
      <c r="H2381" s="12"/>
      <c r="K2381"/>
    </row>
    <row r="2382" spans="5:11" x14ac:dyDescent="0.2">
      <c r="E2382" s="50"/>
      <c r="H2382" s="12"/>
      <c r="K2382"/>
    </row>
    <row r="2383" spans="5:11" x14ac:dyDescent="0.2">
      <c r="E2383" s="50"/>
      <c r="H2383" s="12"/>
      <c r="K2383"/>
    </row>
    <row r="2384" spans="5:11" x14ac:dyDescent="0.2">
      <c r="E2384" s="50"/>
      <c r="H2384" s="12"/>
      <c r="K2384"/>
    </row>
    <row r="2385" spans="5:11" x14ac:dyDescent="0.2">
      <c r="E2385" s="50"/>
      <c r="H2385" s="12"/>
      <c r="K2385"/>
    </row>
    <row r="2386" spans="5:11" x14ac:dyDescent="0.2">
      <c r="E2386" s="50"/>
      <c r="H2386" s="12"/>
      <c r="K2386"/>
    </row>
    <row r="2387" spans="5:11" x14ac:dyDescent="0.2">
      <c r="E2387" s="50"/>
      <c r="H2387" s="12"/>
      <c r="K2387"/>
    </row>
    <row r="2388" spans="5:11" x14ac:dyDescent="0.2">
      <c r="E2388" s="50"/>
      <c r="H2388" s="12"/>
      <c r="K2388"/>
    </row>
    <row r="2389" spans="5:11" x14ac:dyDescent="0.2">
      <c r="E2389" s="50"/>
      <c r="H2389" s="12"/>
      <c r="K2389"/>
    </row>
    <row r="2390" spans="5:11" x14ac:dyDescent="0.2">
      <c r="E2390" s="50"/>
      <c r="H2390" s="12"/>
      <c r="K2390"/>
    </row>
    <row r="2391" spans="5:11" x14ac:dyDescent="0.2">
      <c r="E2391" s="50"/>
      <c r="H2391" s="12"/>
      <c r="K2391"/>
    </row>
    <row r="2392" spans="5:11" x14ac:dyDescent="0.2">
      <c r="E2392" s="50"/>
      <c r="H2392" s="12"/>
      <c r="K2392"/>
    </row>
    <row r="2393" spans="5:11" x14ac:dyDescent="0.2">
      <c r="E2393" s="50"/>
      <c r="H2393" s="12"/>
      <c r="K2393"/>
    </row>
    <row r="2394" spans="5:11" x14ac:dyDescent="0.2">
      <c r="E2394" s="50"/>
      <c r="H2394" s="12"/>
      <c r="K2394"/>
    </row>
    <row r="2395" spans="5:11" x14ac:dyDescent="0.2">
      <c r="E2395" s="50"/>
      <c r="H2395" s="12"/>
      <c r="K2395"/>
    </row>
    <row r="2396" spans="5:11" x14ac:dyDescent="0.2">
      <c r="E2396" s="50"/>
      <c r="H2396" s="12"/>
      <c r="K2396"/>
    </row>
    <row r="2397" spans="5:11" x14ac:dyDescent="0.2">
      <c r="E2397" s="50"/>
      <c r="H2397" s="12"/>
      <c r="K2397"/>
    </row>
    <row r="2398" spans="5:11" x14ac:dyDescent="0.2">
      <c r="E2398" s="50"/>
      <c r="H2398" s="12"/>
      <c r="K2398"/>
    </row>
    <row r="2399" spans="5:11" x14ac:dyDescent="0.2">
      <c r="E2399" s="50"/>
      <c r="H2399" s="12"/>
      <c r="K2399"/>
    </row>
    <row r="2400" spans="5:11" x14ac:dyDescent="0.2">
      <c r="E2400" s="50"/>
      <c r="H2400" s="12"/>
      <c r="K2400"/>
    </row>
    <row r="2401" spans="5:11" x14ac:dyDescent="0.2">
      <c r="E2401" s="50"/>
      <c r="H2401" s="12"/>
      <c r="K2401"/>
    </row>
    <row r="2402" spans="5:11" x14ac:dyDescent="0.2">
      <c r="E2402" s="50"/>
      <c r="H2402" s="12"/>
      <c r="K2402"/>
    </row>
    <row r="2403" spans="5:11" x14ac:dyDescent="0.2">
      <c r="E2403" s="50"/>
      <c r="H2403" s="12"/>
      <c r="K2403"/>
    </row>
    <row r="2404" spans="5:11" x14ac:dyDescent="0.2">
      <c r="E2404" s="50"/>
      <c r="H2404" s="12"/>
      <c r="K2404"/>
    </row>
    <row r="2405" spans="5:11" x14ac:dyDescent="0.2">
      <c r="E2405" s="50"/>
      <c r="H2405" s="12"/>
      <c r="K2405"/>
    </row>
    <row r="2406" spans="5:11" x14ac:dyDescent="0.2">
      <c r="E2406" s="50"/>
      <c r="H2406" s="12"/>
      <c r="K2406"/>
    </row>
    <row r="2407" spans="5:11" x14ac:dyDescent="0.2">
      <c r="E2407" s="50"/>
      <c r="H2407" s="12"/>
      <c r="K2407"/>
    </row>
    <row r="2408" spans="5:11" x14ac:dyDescent="0.2">
      <c r="E2408" s="50"/>
      <c r="H2408" s="12"/>
      <c r="K2408"/>
    </row>
    <row r="2409" spans="5:11" x14ac:dyDescent="0.2">
      <c r="E2409" s="50"/>
      <c r="H2409" s="12"/>
      <c r="K2409"/>
    </row>
    <row r="2410" spans="5:11" x14ac:dyDescent="0.2">
      <c r="E2410" s="50"/>
      <c r="H2410" s="12"/>
      <c r="K2410"/>
    </row>
    <row r="2411" spans="5:11" x14ac:dyDescent="0.2">
      <c r="E2411" s="50"/>
      <c r="H2411" s="12"/>
      <c r="K2411"/>
    </row>
    <row r="2412" spans="5:11" x14ac:dyDescent="0.2">
      <c r="E2412" s="50"/>
      <c r="H2412" s="12"/>
      <c r="K2412"/>
    </row>
    <row r="2413" spans="5:11" x14ac:dyDescent="0.2">
      <c r="E2413" s="50"/>
      <c r="H2413" s="12"/>
      <c r="K2413"/>
    </row>
    <row r="2414" spans="5:11" x14ac:dyDescent="0.2">
      <c r="E2414" s="50"/>
      <c r="H2414" s="12"/>
      <c r="K2414"/>
    </row>
    <row r="2415" spans="5:11" x14ac:dyDescent="0.2">
      <c r="E2415" s="50"/>
      <c r="H2415" s="12"/>
      <c r="K2415"/>
    </row>
    <row r="2416" spans="5:11" x14ac:dyDescent="0.2">
      <c r="E2416" s="50"/>
      <c r="H2416" s="12"/>
      <c r="K2416"/>
    </row>
    <row r="2417" spans="5:11" x14ac:dyDescent="0.2">
      <c r="E2417" s="50"/>
      <c r="H2417" s="12"/>
      <c r="K2417"/>
    </row>
    <row r="2418" spans="5:11" x14ac:dyDescent="0.2">
      <c r="E2418" s="50"/>
      <c r="H2418" s="12"/>
      <c r="K2418"/>
    </row>
    <row r="2419" spans="5:11" x14ac:dyDescent="0.2">
      <c r="E2419" s="50"/>
      <c r="H2419" s="12"/>
      <c r="K2419"/>
    </row>
    <row r="2420" spans="5:11" x14ac:dyDescent="0.2">
      <c r="E2420" s="50"/>
      <c r="H2420" s="12"/>
      <c r="K2420"/>
    </row>
    <row r="2421" spans="5:11" x14ac:dyDescent="0.2">
      <c r="E2421" s="50"/>
      <c r="H2421" s="12"/>
      <c r="K2421"/>
    </row>
    <row r="2422" spans="5:11" x14ac:dyDescent="0.2">
      <c r="E2422" s="50"/>
      <c r="H2422" s="12"/>
      <c r="K2422"/>
    </row>
    <row r="2423" spans="5:11" x14ac:dyDescent="0.2">
      <c r="E2423" s="50"/>
      <c r="H2423" s="12"/>
      <c r="K2423"/>
    </row>
    <row r="2424" spans="5:11" x14ac:dyDescent="0.2">
      <c r="E2424" s="50"/>
      <c r="H2424" s="12"/>
      <c r="K2424"/>
    </row>
    <row r="2425" spans="5:11" x14ac:dyDescent="0.2">
      <c r="E2425" s="50"/>
      <c r="H2425" s="12"/>
      <c r="K2425"/>
    </row>
    <row r="2426" spans="5:11" x14ac:dyDescent="0.2">
      <c r="E2426" s="50"/>
      <c r="H2426" s="12"/>
      <c r="K2426"/>
    </row>
    <row r="2427" spans="5:11" x14ac:dyDescent="0.2">
      <c r="E2427" s="50"/>
      <c r="H2427" s="12"/>
      <c r="K2427"/>
    </row>
    <row r="2428" spans="5:11" x14ac:dyDescent="0.2">
      <c r="E2428" s="50"/>
      <c r="H2428" s="12"/>
      <c r="K2428"/>
    </row>
    <row r="2429" spans="5:11" x14ac:dyDescent="0.2">
      <c r="E2429" s="50"/>
      <c r="H2429" s="12"/>
      <c r="K2429"/>
    </row>
    <row r="2430" spans="5:11" x14ac:dyDescent="0.2">
      <c r="E2430" s="50"/>
      <c r="H2430" s="12"/>
      <c r="K2430"/>
    </row>
    <row r="2431" spans="5:11" x14ac:dyDescent="0.2">
      <c r="E2431" s="50"/>
      <c r="H2431" s="12"/>
      <c r="K2431"/>
    </row>
    <row r="2432" spans="5:11" x14ac:dyDescent="0.2">
      <c r="E2432" s="50"/>
      <c r="H2432" s="12"/>
      <c r="K2432"/>
    </row>
    <row r="2433" spans="5:11" x14ac:dyDescent="0.2">
      <c r="E2433" s="50"/>
      <c r="H2433" s="12"/>
      <c r="K2433"/>
    </row>
    <row r="2434" spans="5:11" x14ac:dyDescent="0.2">
      <c r="E2434" s="50"/>
      <c r="H2434" s="12"/>
      <c r="K2434"/>
    </row>
    <row r="2435" spans="5:11" x14ac:dyDescent="0.2">
      <c r="E2435" s="50"/>
      <c r="H2435" s="12"/>
      <c r="K2435"/>
    </row>
    <row r="2436" spans="5:11" x14ac:dyDescent="0.2">
      <c r="E2436" s="50"/>
      <c r="H2436" s="12"/>
      <c r="K2436"/>
    </row>
    <row r="2437" spans="5:11" x14ac:dyDescent="0.2">
      <c r="E2437" s="50"/>
      <c r="H2437" s="12"/>
      <c r="K2437"/>
    </row>
    <row r="2438" spans="5:11" x14ac:dyDescent="0.2">
      <c r="E2438" s="50"/>
      <c r="H2438" s="12"/>
      <c r="K2438"/>
    </row>
    <row r="2439" spans="5:11" x14ac:dyDescent="0.2">
      <c r="E2439" s="50"/>
      <c r="H2439" s="12"/>
      <c r="K2439"/>
    </row>
    <row r="2440" spans="5:11" x14ac:dyDescent="0.2">
      <c r="E2440" s="50"/>
      <c r="H2440" s="12"/>
      <c r="K2440"/>
    </row>
    <row r="2441" spans="5:11" x14ac:dyDescent="0.2">
      <c r="E2441" s="50"/>
      <c r="H2441" s="12"/>
      <c r="K2441"/>
    </row>
    <row r="2442" spans="5:11" x14ac:dyDescent="0.2">
      <c r="E2442" s="50"/>
      <c r="H2442" s="12"/>
      <c r="K2442"/>
    </row>
    <row r="2443" spans="5:11" x14ac:dyDescent="0.2">
      <c r="E2443" s="50"/>
      <c r="H2443" s="12"/>
      <c r="K2443"/>
    </row>
    <row r="2444" spans="5:11" x14ac:dyDescent="0.2">
      <c r="E2444" s="50"/>
      <c r="H2444" s="12"/>
      <c r="K2444"/>
    </row>
    <row r="2445" spans="5:11" x14ac:dyDescent="0.2">
      <c r="E2445" s="50"/>
      <c r="H2445" s="12"/>
      <c r="K2445"/>
    </row>
    <row r="2446" spans="5:11" x14ac:dyDescent="0.2">
      <c r="E2446" s="50"/>
      <c r="H2446" s="12"/>
      <c r="K2446"/>
    </row>
    <row r="2447" spans="5:11" x14ac:dyDescent="0.2">
      <c r="E2447" s="50"/>
      <c r="H2447" s="12"/>
      <c r="K2447"/>
    </row>
    <row r="2448" spans="5:11" x14ac:dyDescent="0.2">
      <c r="E2448" s="50"/>
      <c r="H2448" s="12"/>
      <c r="K2448"/>
    </row>
    <row r="2449" spans="5:11" x14ac:dyDescent="0.2">
      <c r="E2449" s="50"/>
      <c r="H2449" s="12"/>
      <c r="K2449"/>
    </row>
    <row r="2450" spans="5:11" x14ac:dyDescent="0.2">
      <c r="E2450" s="50"/>
      <c r="H2450" s="12"/>
      <c r="K2450"/>
    </row>
    <row r="2451" spans="5:11" x14ac:dyDescent="0.2">
      <c r="E2451" s="50"/>
      <c r="H2451" s="12"/>
      <c r="K2451"/>
    </row>
    <row r="2452" spans="5:11" x14ac:dyDescent="0.2">
      <c r="E2452" s="50"/>
      <c r="H2452" s="12"/>
      <c r="K2452"/>
    </row>
    <row r="2453" spans="5:11" x14ac:dyDescent="0.2">
      <c r="E2453" s="50"/>
      <c r="H2453" s="12"/>
      <c r="K2453"/>
    </row>
    <row r="2454" spans="5:11" x14ac:dyDescent="0.2">
      <c r="E2454" s="50"/>
      <c r="H2454" s="12"/>
      <c r="K2454"/>
    </row>
    <row r="2455" spans="5:11" x14ac:dyDescent="0.2">
      <c r="E2455" s="50"/>
      <c r="H2455" s="12"/>
      <c r="K2455"/>
    </row>
    <row r="2456" spans="5:11" x14ac:dyDescent="0.2">
      <c r="E2456" s="50"/>
      <c r="H2456" s="12"/>
      <c r="K2456"/>
    </row>
    <row r="2457" spans="5:11" x14ac:dyDescent="0.2">
      <c r="E2457" s="50"/>
      <c r="H2457" s="12"/>
      <c r="K2457"/>
    </row>
    <row r="2458" spans="5:11" x14ac:dyDescent="0.2">
      <c r="E2458" s="50"/>
      <c r="H2458" s="12"/>
      <c r="K2458"/>
    </row>
    <row r="2459" spans="5:11" x14ac:dyDescent="0.2">
      <c r="E2459" s="50"/>
      <c r="H2459" s="12"/>
      <c r="K2459"/>
    </row>
    <row r="2460" spans="5:11" x14ac:dyDescent="0.2">
      <c r="E2460" s="50"/>
      <c r="H2460" s="12"/>
      <c r="K2460"/>
    </row>
    <row r="2461" spans="5:11" x14ac:dyDescent="0.2">
      <c r="E2461" s="50"/>
      <c r="H2461" s="12"/>
      <c r="K2461"/>
    </row>
    <row r="2462" spans="5:11" x14ac:dyDescent="0.2">
      <c r="E2462" s="50"/>
      <c r="H2462" s="12"/>
      <c r="K2462"/>
    </row>
    <row r="2463" spans="5:11" x14ac:dyDescent="0.2">
      <c r="E2463" s="50"/>
      <c r="H2463" s="12"/>
      <c r="K2463"/>
    </row>
    <row r="2464" spans="5:11" x14ac:dyDescent="0.2">
      <c r="E2464" s="50"/>
      <c r="H2464" s="12"/>
      <c r="K2464"/>
    </row>
    <row r="2465" spans="5:11" x14ac:dyDescent="0.2">
      <c r="E2465" s="50"/>
      <c r="H2465" s="12"/>
      <c r="K2465"/>
    </row>
    <row r="2466" spans="5:11" x14ac:dyDescent="0.2">
      <c r="E2466" s="50"/>
      <c r="H2466" s="12"/>
      <c r="K2466"/>
    </row>
    <row r="2467" spans="5:11" x14ac:dyDescent="0.2">
      <c r="E2467" s="50"/>
      <c r="H2467" s="12"/>
      <c r="K2467"/>
    </row>
    <row r="2468" spans="5:11" x14ac:dyDescent="0.2">
      <c r="E2468" s="50"/>
      <c r="H2468" s="12"/>
      <c r="K2468"/>
    </row>
    <row r="2469" spans="5:11" x14ac:dyDescent="0.2">
      <c r="E2469" s="50"/>
      <c r="H2469" s="12"/>
      <c r="K2469"/>
    </row>
    <row r="2470" spans="5:11" x14ac:dyDescent="0.2">
      <c r="E2470" s="50"/>
      <c r="H2470" s="12"/>
      <c r="K2470"/>
    </row>
    <row r="2471" spans="5:11" x14ac:dyDescent="0.2">
      <c r="E2471" s="50"/>
      <c r="H2471" s="12"/>
      <c r="K2471"/>
    </row>
    <row r="2472" spans="5:11" x14ac:dyDescent="0.2">
      <c r="E2472" s="50"/>
      <c r="H2472" s="12"/>
      <c r="K2472"/>
    </row>
    <row r="2473" spans="5:11" x14ac:dyDescent="0.2">
      <c r="E2473" s="50"/>
      <c r="H2473" s="12"/>
      <c r="K2473"/>
    </row>
    <row r="2474" spans="5:11" x14ac:dyDescent="0.2">
      <c r="E2474" s="50"/>
      <c r="H2474" s="12"/>
      <c r="K2474"/>
    </row>
    <row r="2475" spans="5:11" x14ac:dyDescent="0.2">
      <c r="E2475" s="50"/>
      <c r="H2475" s="12"/>
      <c r="K2475"/>
    </row>
    <row r="2476" spans="5:11" x14ac:dyDescent="0.2">
      <c r="E2476" s="50"/>
      <c r="H2476" s="12"/>
      <c r="K2476"/>
    </row>
    <row r="2477" spans="5:11" x14ac:dyDescent="0.2">
      <c r="E2477" s="50"/>
      <c r="H2477" s="12"/>
      <c r="K2477"/>
    </row>
    <row r="2478" spans="5:11" x14ac:dyDescent="0.2">
      <c r="E2478" s="50"/>
      <c r="H2478" s="12"/>
      <c r="K2478"/>
    </row>
    <row r="2479" spans="5:11" x14ac:dyDescent="0.2">
      <c r="E2479" s="50"/>
      <c r="H2479" s="12"/>
      <c r="K2479"/>
    </row>
    <row r="2480" spans="5:11" x14ac:dyDescent="0.2">
      <c r="E2480" s="50"/>
      <c r="H2480" s="12"/>
      <c r="K2480"/>
    </row>
    <row r="2481" spans="5:11" x14ac:dyDescent="0.2">
      <c r="E2481" s="50"/>
      <c r="H2481" s="12"/>
      <c r="K2481"/>
    </row>
    <row r="2482" spans="5:11" x14ac:dyDescent="0.2">
      <c r="E2482" s="50"/>
      <c r="H2482" s="12"/>
      <c r="K2482"/>
    </row>
    <row r="2483" spans="5:11" x14ac:dyDescent="0.2">
      <c r="E2483" s="50"/>
      <c r="H2483" s="12"/>
      <c r="K2483"/>
    </row>
    <row r="2484" spans="5:11" x14ac:dyDescent="0.2">
      <c r="E2484" s="50"/>
      <c r="H2484" s="12"/>
      <c r="K2484"/>
    </row>
    <row r="2485" spans="5:11" x14ac:dyDescent="0.2">
      <c r="E2485" s="50"/>
      <c r="H2485" s="12"/>
      <c r="K2485"/>
    </row>
    <row r="2486" spans="5:11" x14ac:dyDescent="0.2">
      <c r="E2486" s="50"/>
      <c r="H2486" s="12"/>
      <c r="K2486"/>
    </row>
    <row r="2487" spans="5:11" x14ac:dyDescent="0.2">
      <c r="E2487" s="50"/>
      <c r="H2487" s="12"/>
      <c r="K2487"/>
    </row>
    <row r="2488" spans="5:11" x14ac:dyDescent="0.2">
      <c r="E2488" s="50"/>
      <c r="H2488" s="12"/>
      <c r="K2488"/>
    </row>
    <row r="2489" spans="5:11" x14ac:dyDescent="0.2">
      <c r="E2489" s="50"/>
      <c r="H2489" s="12"/>
      <c r="K2489"/>
    </row>
    <row r="2490" spans="5:11" x14ac:dyDescent="0.2">
      <c r="E2490" s="50"/>
      <c r="H2490" s="12"/>
      <c r="K2490"/>
    </row>
    <row r="2491" spans="5:11" x14ac:dyDescent="0.2">
      <c r="E2491" s="50"/>
      <c r="H2491" s="12"/>
      <c r="K2491"/>
    </row>
    <row r="2492" spans="5:11" x14ac:dyDescent="0.2">
      <c r="E2492" s="50"/>
      <c r="H2492" s="12"/>
      <c r="K2492"/>
    </row>
    <row r="2493" spans="5:11" x14ac:dyDescent="0.2">
      <c r="E2493" s="50"/>
      <c r="H2493" s="12"/>
      <c r="K2493"/>
    </row>
    <row r="2494" spans="5:11" x14ac:dyDescent="0.2">
      <c r="E2494" s="50"/>
      <c r="H2494" s="12"/>
      <c r="K2494"/>
    </row>
    <row r="2495" spans="5:11" x14ac:dyDescent="0.2">
      <c r="E2495" s="50"/>
      <c r="H2495" s="12"/>
      <c r="K2495"/>
    </row>
    <row r="2496" spans="5:11" x14ac:dyDescent="0.2">
      <c r="E2496" s="50"/>
      <c r="H2496" s="12"/>
      <c r="K2496"/>
    </row>
    <row r="2497" spans="5:11" x14ac:dyDescent="0.2">
      <c r="E2497" s="50"/>
      <c r="H2497" s="12"/>
      <c r="K2497"/>
    </row>
    <row r="2498" spans="5:11" x14ac:dyDescent="0.2">
      <c r="E2498" s="50"/>
      <c r="H2498" s="12"/>
      <c r="K2498"/>
    </row>
    <row r="2499" spans="5:11" x14ac:dyDescent="0.2">
      <c r="E2499" s="50"/>
      <c r="H2499" s="12"/>
      <c r="K2499"/>
    </row>
    <row r="2500" spans="5:11" x14ac:dyDescent="0.2">
      <c r="E2500" s="50"/>
      <c r="H2500" s="12"/>
      <c r="K2500"/>
    </row>
    <row r="2501" spans="5:11" x14ac:dyDescent="0.2">
      <c r="E2501" s="50"/>
      <c r="H2501" s="12"/>
      <c r="K2501"/>
    </row>
    <row r="2502" spans="5:11" x14ac:dyDescent="0.2">
      <c r="E2502" s="50"/>
      <c r="H2502" s="12"/>
      <c r="K2502"/>
    </row>
    <row r="2503" spans="5:11" x14ac:dyDescent="0.2">
      <c r="E2503" s="50"/>
      <c r="H2503" s="12"/>
      <c r="K2503"/>
    </row>
    <row r="2504" spans="5:11" x14ac:dyDescent="0.2">
      <c r="E2504" s="50"/>
      <c r="H2504" s="12"/>
      <c r="K2504"/>
    </row>
    <row r="2505" spans="5:11" x14ac:dyDescent="0.2">
      <c r="E2505" s="50"/>
      <c r="H2505" s="12"/>
      <c r="K2505"/>
    </row>
    <row r="2506" spans="5:11" x14ac:dyDescent="0.2">
      <c r="E2506" s="50"/>
      <c r="H2506" s="12"/>
      <c r="K2506"/>
    </row>
    <row r="2507" spans="5:11" x14ac:dyDescent="0.2">
      <c r="E2507" s="50"/>
      <c r="H2507" s="12"/>
      <c r="K2507"/>
    </row>
    <row r="2508" spans="5:11" x14ac:dyDescent="0.2">
      <c r="E2508" s="50"/>
      <c r="H2508" s="12"/>
      <c r="K2508"/>
    </row>
    <row r="2509" spans="5:11" x14ac:dyDescent="0.2">
      <c r="E2509" s="50"/>
      <c r="H2509" s="12"/>
      <c r="K2509"/>
    </row>
    <row r="2510" spans="5:11" x14ac:dyDescent="0.2">
      <c r="E2510" s="50"/>
      <c r="H2510" s="12"/>
      <c r="K2510"/>
    </row>
    <row r="2511" spans="5:11" x14ac:dyDescent="0.2">
      <c r="E2511" s="50"/>
      <c r="H2511" s="12"/>
      <c r="K2511"/>
    </row>
    <row r="2512" spans="5:11" x14ac:dyDescent="0.2">
      <c r="E2512" s="50"/>
      <c r="H2512" s="12"/>
      <c r="K2512"/>
    </row>
    <row r="2513" spans="5:11" x14ac:dyDescent="0.2">
      <c r="E2513" s="50"/>
      <c r="H2513" s="12"/>
      <c r="K2513"/>
    </row>
    <row r="2514" spans="5:11" x14ac:dyDescent="0.2">
      <c r="E2514" s="50"/>
      <c r="H2514" s="12"/>
      <c r="K2514"/>
    </row>
    <row r="2515" spans="5:11" x14ac:dyDescent="0.2">
      <c r="E2515" s="50"/>
      <c r="H2515" s="12"/>
      <c r="K2515"/>
    </row>
    <row r="2516" spans="5:11" x14ac:dyDescent="0.2">
      <c r="E2516" s="50"/>
      <c r="H2516" s="12"/>
      <c r="K2516"/>
    </row>
    <row r="2517" spans="5:11" x14ac:dyDescent="0.2">
      <c r="E2517" s="50"/>
      <c r="H2517" s="12"/>
      <c r="K2517"/>
    </row>
    <row r="2518" spans="5:11" x14ac:dyDescent="0.2">
      <c r="E2518" s="50"/>
      <c r="H2518" s="12"/>
      <c r="K2518"/>
    </row>
    <row r="2519" spans="5:11" x14ac:dyDescent="0.2">
      <c r="E2519" s="50"/>
      <c r="H2519" s="12"/>
      <c r="K2519"/>
    </row>
    <row r="2520" spans="5:11" x14ac:dyDescent="0.2">
      <c r="E2520" s="50"/>
      <c r="H2520" s="12"/>
      <c r="K2520"/>
    </row>
    <row r="2521" spans="5:11" x14ac:dyDescent="0.2">
      <c r="E2521" s="50"/>
      <c r="H2521" s="12"/>
      <c r="K2521"/>
    </row>
    <row r="2522" spans="5:11" x14ac:dyDescent="0.2">
      <c r="E2522" s="50"/>
      <c r="H2522" s="12"/>
      <c r="K2522"/>
    </row>
    <row r="2523" spans="5:11" x14ac:dyDescent="0.2">
      <c r="E2523" s="50"/>
      <c r="H2523" s="12"/>
      <c r="K2523"/>
    </row>
    <row r="2524" spans="5:11" x14ac:dyDescent="0.2">
      <c r="E2524" s="50"/>
      <c r="H2524" s="12"/>
      <c r="K2524"/>
    </row>
    <row r="2525" spans="5:11" x14ac:dyDescent="0.2">
      <c r="E2525" s="50"/>
      <c r="H2525" s="12"/>
      <c r="K2525"/>
    </row>
    <row r="2526" spans="5:11" x14ac:dyDescent="0.2">
      <c r="E2526" s="50"/>
      <c r="H2526" s="12"/>
      <c r="K2526"/>
    </row>
    <row r="2527" spans="5:11" x14ac:dyDescent="0.2">
      <c r="E2527" s="50"/>
      <c r="H2527" s="12"/>
      <c r="K2527"/>
    </row>
    <row r="2528" spans="5:11" x14ac:dyDescent="0.2">
      <c r="E2528" s="50"/>
      <c r="H2528" s="12"/>
      <c r="K2528"/>
    </row>
    <row r="2529" spans="5:11" x14ac:dyDescent="0.2">
      <c r="E2529" s="50"/>
      <c r="H2529" s="12"/>
      <c r="K2529"/>
    </row>
    <row r="2530" spans="5:11" x14ac:dyDescent="0.2">
      <c r="E2530" s="50"/>
      <c r="H2530" s="12"/>
      <c r="K2530"/>
    </row>
    <row r="2531" spans="5:11" x14ac:dyDescent="0.2">
      <c r="E2531" s="50"/>
      <c r="H2531" s="12"/>
      <c r="K2531"/>
    </row>
    <row r="2532" spans="5:11" x14ac:dyDescent="0.2">
      <c r="E2532" s="50"/>
      <c r="H2532" s="12"/>
      <c r="K2532"/>
    </row>
    <row r="2533" spans="5:11" x14ac:dyDescent="0.2">
      <c r="E2533" s="50"/>
      <c r="H2533" s="12"/>
      <c r="K2533"/>
    </row>
    <row r="2534" spans="5:11" x14ac:dyDescent="0.2">
      <c r="E2534" s="50"/>
      <c r="H2534" s="12"/>
      <c r="K2534"/>
    </row>
    <row r="2535" spans="5:11" x14ac:dyDescent="0.2">
      <c r="E2535" s="50"/>
      <c r="H2535" s="12"/>
      <c r="K2535"/>
    </row>
    <row r="2536" spans="5:11" x14ac:dyDescent="0.2">
      <c r="E2536" s="50"/>
      <c r="H2536" s="12"/>
      <c r="K2536"/>
    </row>
    <row r="2537" spans="5:11" x14ac:dyDescent="0.2">
      <c r="E2537" s="50"/>
      <c r="H2537" s="12"/>
      <c r="K2537"/>
    </row>
    <row r="2538" spans="5:11" x14ac:dyDescent="0.2">
      <c r="E2538" s="50"/>
      <c r="H2538" s="12"/>
      <c r="K2538"/>
    </row>
    <row r="2539" spans="5:11" x14ac:dyDescent="0.2">
      <c r="E2539" s="50"/>
      <c r="H2539" s="12"/>
      <c r="K2539"/>
    </row>
    <row r="2540" spans="5:11" x14ac:dyDescent="0.2">
      <c r="E2540" s="50"/>
      <c r="H2540" s="12"/>
      <c r="K2540"/>
    </row>
    <row r="2541" spans="5:11" x14ac:dyDescent="0.2">
      <c r="E2541" s="50"/>
      <c r="H2541" s="12"/>
      <c r="K2541"/>
    </row>
    <row r="2542" spans="5:11" x14ac:dyDescent="0.2">
      <c r="E2542" s="50"/>
      <c r="H2542" s="12"/>
      <c r="K2542"/>
    </row>
    <row r="2543" spans="5:11" x14ac:dyDescent="0.2">
      <c r="E2543" s="50"/>
      <c r="H2543" s="12"/>
      <c r="K2543"/>
    </row>
    <row r="2544" spans="5:11" x14ac:dyDescent="0.2">
      <c r="E2544" s="50"/>
      <c r="H2544" s="12"/>
      <c r="K2544"/>
    </row>
    <row r="2545" spans="5:11" x14ac:dyDescent="0.2">
      <c r="E2545" s="50"/>
      <c r="H2545" s="12"/>
      <c r="K2545"/>
    </row>
    <row r="2546" spans="5:11" x14ac:dyDescent="0.2">
      <c r="E2546" s="50"/>
      <c r="H2546" s="12"/>
      <c r="K2546"/>
    </row>
    <row r="2547" spans="5:11" x14ac:dyDescent="0.2">
      <c r="E2547" s="50"/>
      <c r="H2547" s="12"/>
      <c r="K2547"/>
    </row>
    <row r="2548" spans="5:11" x14ac:dyDescent="0.2">
      <c r="E2548" s="50"/>
      <c r="H2548" s="12"/>
      <c r="K2548"/>
    </row>
    <row r="2549" spans="5:11" x14ac:dyDescent="0.2">
      <c r="E2549" s="50"/>
      <c r="H2549" s="12"/>
      <c r="K2549"/>
    </row>
    <row r="2550" spans="5:11" x14ac:dyDescent="0.2">
      <c r="E2550" s="50"/>
      <c r="H2550" s="12"/>
      <c r="K2550"/>
    </row>
    <row r="2551" spans="5:11" x14ac:dyDescent="0.2">
      <c r="E2551" s="50"/>
      <c r="H2551" s="12"/>
      <c r="K2551"/>
    </row>
    <row r="2552" spans="5:11" x14ac:dyDescent="0.2">
      <c r="E2552" s="50"/>
      <c r="H2552" s="12"/>
      <c r="K2552"/>
    </row>
    <row r="2553" spans="5:11" x14ac:dyDescent="0.2">
      <c r="E2553" s="50"/>
      <c r="H2553" s="12"/>
      <c r="K2553"/>
    </row>
    <row r="2554" spans="5:11" x14ac:dyDescent="0.2">
      <c r="E2554" s="50"/>
      <c r="H2554" s="12"/>
      <c r="K2554"/>
    </row>
    <row r="2555" spans="5:11" x14ac:dyDescent="0.2">
      <c r="E2555" s="50"/>
      <c r="H2555" s="12"/>
      <c r="K2555"/>
    </row>
    <row r="2556" spans="5:11" x14ac:dyDescent="0.2">
      <c r="E2556" s="50"/>
      <c r="H2556" s="12"/>
      <c r="K2556"/>
    </row>
    <row r="2557" spans="5:11" x14ac:dyDescent="0.2">
      <c r="E2557" s="50"/>
      <c r="H2557" s="12"/>
      <c r="K2557"/>
    </row>
    <row r="2558" spans="5:11" x14ac:dyDescent="0.2">
      <c r="E2558" s="50"/>
      <c r="H2558" s="12"/>
      <c r="K2558"/>
    </row>
    <row r="2559" spans="5:11" x14ac:dyDescent="0.2">
      <c r="E2559" s="50"/>
      <c r="H2559" s="12"/>
      <c r="K2559"/>
    </row>
    <row r="2560" spans="5:11" x14ac:dyDescent="0.2">
      <c r="E2560" s="50"/>
      <c r="H2560" s="12"/>
      <c r="K2560"/>
    </row>
    <row r="2561" spans="5:11" x14ac:dyDescent="0.2">
      <c r="E2561" s="50"/>
      <c r="H2561" s="12"/>
      <c r="K2561"/>
    </row>
    <row r="2562" spans="5:11" x14ac:dyDescent="0.2">
      <c r="E2562" s="50"/>
      <c r="H2562" s="12"/>
      <c r="K2562"/>
    </row>
    <row r="2563" spans="5:11" x14ac:dyDescent="0.2">
      <c r="E2563" s="50"/>
      <c r="H2563" s="12"/>
      <c r="K2563"/>
    </row>
    <row r="2564" spans="5:11" x14ac:dyDescent="0.2">
      <c r="E2564" s="50"/>
      <c r="H2564" s="12"/>
      <c r="K2564"/>
    </row>
    <row r="2565" spans="5:11" x14ac:dyDescent="0.2">
      <c r="E2565" s="50"/>
      <c r="H2565" s="12"/>
      <c r="K2565"/>
    </row>
    <row r="2566" spans="5:11" x14ac:dyDescent="0.2">
      <c r="E2566" s="50"/>
      <c r="H2566" s="12"/>
      <c r="K2566"/>
    </row>
    <row r="2567" spans="5:11" x14ac:dyDescent="0.2">
      <c r="E2567" s="50"/>
      <c r="H2567" s="12"/>
      <c r="K2567"/>
    </row>
    <row r="2568" spans="5:11" x14ac:dyDescent="0.2">
      <c r="E2568" s="50"/>
      <c r="H2568" s="12"/>
      <c r="K2568"/>
    </row>
    <row r="2569" spans="5:11" x14ac:dyDescent="0.2">
      <c r="E2569" s="50"/>
      <c r="H2569" s="12"/>
      <c r="K2569"/>
    </row>
    <row r="2570" spans="5:11" x14ac:dyDescent="0.2">
      <c r="E2570" s="50"/>
      <c r="H2570" s="12"/>
      <c r="K2570"/>
    </row>
    <row r="2571" spans="5:11" x14ac:dyDescent="0.2">
      <c r="E2571" s="50"/>
      <c r="H2571" s="12"/>
      <c r="K2571"/>
    </row>
    <row r="2572" spans="5:11" x14ac:dyDescent="0.2">
      <c r="E2572" s="50"/>
      <c r="H2572" s="12"/>
      <c r="K2572"/>
    </row>
    <row r="2573" spans="5:11" x14ac:dyDescent="0.2">
      <c r="E2573" s="50"/>
      <c r="H2573" s="12"/>
      <c r="K2573"/>
    </row>
    <row r="2574" spans="5:11" x14ac:dyDescent="0.2">
      <c r="E2574" s="50"/>
      <c r="H2574" s="12"/>
      <c r="K2574"/>
    </row>
    <row r="2575" spans="5:11" x14ac:dyDescent="0.2">
      <c r="E2575" s="50"/>
      <c r="H2575" s="12"/>
      <c r="K2575"/>
    </row>
    <row r="2576" spans="5:11" x14ac:dyDescent="0.2">
      <c r="E2576" s="50"/>
      <c r="H2576" s="12"/>
      <c r="K2576"/>
    </row>
    <row r="2577" spans="5:11" x14ac:dyDescent="0.2">
      <c r="E2577" s="50"/>
      <c r="H2577" s="12"/>
      <c r="K2577"/>
    </row>
    <row r="2578" spans="5:11" x14ac:dyDescent="0.2">
      <c r="E2578" s="50"/>
      <c r="H2578" s="12"/>
      <c r="K2578"/>
    </row>
    <row r="2579" spans="5:11" x14ac:dyDescent="0.2">
      <c r="E2579" s="50"/>
      <c r="H2579" s="12"/>
      <c r="K2579"/>
    </row>
    <row r="2580" spans="5:11" x14ac:dyDescent="0.2">
      <c r="E2580" s="50"/>
      <c r="H2580" s="12"/>
      <c r="K2580"/>
    </row>
    <row r="2581" spans="5:11" x14ac:dyDescent="0.2">
      <c r="E2581" s="50"/>
      <c r="H2581" s="12"/>
      <c r="K2581"/>
    </row>
    <row r="2582" spans="5:11" x14ac:dyDescent="0.2">
      <c r="E2582" s="50"/>
      <c r="H2582" s="12"/>
      <c r="K2582"/>
    </row>
    <row r="2583" spans="5:11" x14ac:dyDescent="0.2">
      <c r="E2583" s="50"/>
      <c r="H2583" s="12"/>
      <c r="K2583"/>
    </row>
    <row r="2584" spans="5:11" x14ac:dyDescent="0.2">
      <c r="E2584" s="50"/>
      <c r="H2584" s="12"/>
      <c r="K2584"/>
    </row>
    <row r="2585" spans="5:11" x14ac:dyDescent="0.2">
      <c r="E2585" s="50"/>
      <c r="H2585" s="12"/>
      <c r="K2585"/>
    </row>
    <row r="2586" spans="5:11" x14ac:dyDescent="0.2">
      <c r="E2586" s="50"/>
      <c r="H2586" s="12"/>
      <c r="K2586"/>
    </row>
    <row r="2587" spans="5:11" x14ac:dyDescent="0.2">
      <c r="E2587" s="50"/>
      <c r="H2587" s="12"/>
      <c r="K2587"/>
    </row>
    <row r="2588" spans="5:11" x14ac:dyDescent="0.2">
      <c r="E2588" s="50"/>
      <c r="H2588" s="12"/>
      <c r="K2588"/>
    </row>
    <row r="2589" spans="5:11" x14ac:dyDescent="0.2">
      <c r="E2589" s="50"/>
      <c r="H2589" s="12"/>
      <c r="K2589"/>
    </row>
    <row r="2590" spans="5:11" x14ac:dyDescent="0.2">
      <c r="E2590" s="50"/>
      <c r="H2590" s="12"/>
      <c r="K2590"/>
    </row>
    <row r="2591" spans="5:11" x14ac:dyDescent="0.2">
      <c r="E2591" s="50"/>
      <c r="H2591" s="12"/>
      <c r="K2591"/>
    </row>
    <row r="2592" spans="5:11" x14ac:dyDescent="0.2">
      <c r="E2592" s="50"/>
      <c r="H2592" s="12"/>
      <c r="K2592"/>
    </row>
    <row r="2593" spans="5:11" x14ac:dyDescent="0.2">
      <c r="E2593" s="50"/>
      <c r="H2593" s="12"/>
      <c r="K2593"/>
    </row>
    <row r="2594" spans="5:11" x14ac:dyDescent="0.2">
      <c r="E2594" s="50"/>
      <c r="H2594" s="12"/>
      <c r="K2594"/>
    </row>
    <row r="2595" spans="5:11" x14ac:dyDescent="0.2">
      <c r="E2595" s="50"/>
      <c r="H2595" s="12"/>
      <c r="K2595"/>
    </row>
    <row r="2596" spans="5:11" x14ac:dyDescent="0.2">
      <c r="E2596" s="50"/>
      <c r="H2596" s="12"/>
      <c r="K2596"/>
    </row>
    <row r="2597" spans="5:11" x14ac:dyDescent="0.2">
      <c r="E2597" s="50"/>
      <c r="H2597" s="12"/>
      <c r="K2597"/>
    </row>
    <row r="2598" spans="5:11" x14ac:dyDescent="0.2">
      <c r="E2598" s="50"/>
      <c r="H2598" s="12"/>
      <c r="K2598"/>
    </row>
    <row r="2599" spans="5:11" x14ac:dyDescent="0.2">
      <c r="E2599" s="50"/>
      <c r="H2599" s="12"/>
      <c r="K2599"/>
    </row>
    <row r="2600" spans="5:11" x14ac:dyDescent="0.2">
      <c r="E2600" s="50"/>
      <c r="H2600" s="12"/>
      <c r="K2600"/>
    </row>
    <row r="2601" spans="5:11" x14ac:dyDescent="0.2">
      <c r="E2601" s="50"/>
      <c r="H2601" s="12"/>
      <c r="K2601"/>
    </row>
    <row r="2602" spans="5:11" x14ac:dyDescent="0.2">
      <c r="E2602" s="50"/>
      <c r="H2602" s="12"/>
      <c r="K2602"/>
    </row>
    <row r="2603" spans="5:11" x14ac:dyDescent="0.2">
      <c r="E2603" s="50"/>
      <c r="H2603" s="12"/>
      <c r="K2603"/>
    </row>
    <row r="2604" spans="5:11" x14ac:dyDescent="0.2">
      <c r="E2604" s="50"/>
      <c r="H2604" s="12"/>
      <c r="K2604"/>
    </row>
    <row r="2605" spans="5:11" x14ac:dyDescent="0.2">
      <c r="E2605" s="50"/>
      <c r="H2605" s="12"/>
      <c r="K2605"/>
    </row>
    <row r="2606" spans="5:11" x14ac:dyDescent="0.2">
      <c r="E2606" s="50"/>
      <c r="H2606" s="12"/>
      <c r="K2606"/>
    </row>
    <row r="2607" spans="5:11" x14ac:dyDescent="0.2">
      <c r="E2607" s="50"/>
      <c r="H2607" s="12"/>
      <c r="K2607"/>
    </row>
    <row r="2608" spans="5:11" x14ac:dyDescent="0.2">
      <c r="E2608" s="50"/>
      <c r="H2608" s="12"/>
      <c r="K2608"/>
    </row>
    <row r="2609" spans="5:11" x14ac:dyDescent="0.2">
      <c r="E2609" s="50"/>
      <c r="H2609" s="12"/>
      <c r="K2609"/>
    </row>
    <row r="2610" spans="5:11" x14ac:dyDescent="0.2">
      <c r="E2610" s="50"/>
      <c r="H2610" s="12"/>
      <c r="K2610"/>
    </row>
    <row r="2611" spans="5:11" x14ac:dyDescent="0.2">
      <c r="E2611" s="50"/>
      <c r="H2611" s="12"/>
      <c r="K2611"/>
    </row>
    <row r="2612" spans="5:11" x14ac:dyDescent="0.2">
      <c r="E2612" s="50"/>
      <c r="H2612" s="12"/>
      <c r="K2612"/>
    </row>
    <row r="2613" spans="5:11" x14ac:dyDescent="0.2">
      <c r="E2613" s="50"/>
      <c r="H2613" s="12"/>
      <c r="K2613"/>
    </row>
    <row r="2614" spans="5:11" x14ac:dyDescent="0.2">
      <c r="E2614" s="50"/>
      <c r="H2614" s="12"/>
      <c r="K2614"/>
    </row>
    <row r="2615" spans="5:11" x14ac:dyDescent="0.2">
      <c r="E2615" s="50"/>
      <c r="H2615" s="12"/>
      <c r="K2615"/>
    </row>
    <row r="2616" spans="5:11" x14ac:dyDescent="0.2">
      <c r="E2616" s="50"/>
      <c r="H2616" s="12"/>
      <c r="K2616"/>
    </row>
    <row r="2617" spans="5:11" x14ac:dyDescent="0.2">
      <c r="E2617" s="50"/>
      <c r="H2617" s="12"/>
      <c r="K2617"/>
    </row>
    <row r="2618" spans="5:11" x14ac:dyDescent="0.2">
      <c r="E2618" s="50"/>
      <c r="H2618" s="12"/>
      <c r="K2618"/>
    </row>
    <row r="2619" spans="5:11" x14ac:dyDescent="0.2">
      <c r="E2619" s="50"/>
      <c r="H2619" s="12"/>
      <c r="K2619"/>
    </row>
    <row r="2620" spans="5:11" x14ac:dyDescent="0.2">
      <c r="E2620" s="50"/>
      <c r="H2620" s="12"/>
      <c r="K2620"/>
    </row>
    <row r="2621" spans="5:11" x14ac:dyDescent="0.2">
      <c r="E2621" s="50"/>
      <c r="H2621" s="12"/>
      <c r="K2621"/>
    </row>
    <row r="2622" spans="5:11" x14ac:dyDescent="0.2">
      <c r="E2622" s="50"/>
      <c r="H2622" s="12"/>
      <c r="K2622"/>
    </row>
    <row r="2623" spans="5:11" x14ac:dyDescent="0.2">
      <c r="E2623" s="50"/>
      <c r="H2623" s="12"/>
      <c r="K2623"/>
    </row>
    <row r="2624" spans="5:11" x14ac:dyDescent="0.2">
      <c r="E2624" s="50"/>
      <c r="H2624" s="12"/>
      <c r="K2624"/>
    </row>
    <row r="2625" spans="5:11" x14ac:dyDescent="0.2">
      <c r="E2625" s="50"/>
      <c r="H2625" s="12"/>
      <c r="K2625"/>
    </row>
    <row r="2626" spans="5:11" x14ac:dyDescent="0.2">
      <c r="E2626" s="50"/>
      <c r="H2626" s="12"/>
      <c r="K2626"/>
    </row>
    <row r="2627" spans="5:11" x14ac:dyDescent="0.2">
      <c r="E2627" s="50"/>
      <c r="H2627" s="12"/>
      <c r="K2627"/>
    </row>
    <row r="2628" spans="5:11" x14ac:dyDescent="0.2">
      <c r="E2628" s="50"/>
      <c r="H2628" s="12"/>
      <c r="K2628"/>
    </row>
    <row r="2629" spans="5:11" x14ac:dyDescent="0.2">
      <c r="E2629" s="50"/>
      <c r="H2629" s="12"/>
      <c r="K2629"/>
    </row>
    <row r="2630" spans="5:11" x14ac:dyDescent="0.2">
      <c r="E2630" s="50"/>
      <c r="H2630" s="12"/>
      <c r="K2630"/>
    </row>
    <row r="2631" spans="5:11" x14ac:dyDescent="0.2">
      <c r="E2631" s="50"/>
      <c r="H2631" s="12"/>
      <c r="K2631"/>
    </row>
    <row r="2632" spans="5:11" x14ac:dyDescent="0.2">
      <c r="E2632" s="50"/>
      <c r="H2632" s="12"/>
      <c r="K2632"/>
    </row>
    <row r="2633" spans="5:11" x14ac:dyDescent="0.2">
      <c r="E2633" s="50"/>
      <c r="H2633" s="12"/>
      <c r="K2633"/>
    </row>
    <row r="2634" spans="5:11" x14ac:dyDescent="0.2">
      <c r="E2634" s="50"/>
      <c r="H2634" s="12"/>
      <c r="K2634"/>
    </row>
    <row r="2635" spans="5:11" x14ac:dyDescent="0.2">
      <c r="E2635" s="50"/>
      <c r="H2635" s="12"/>
      <c r="K2635"/>
    </row>
    <row r="2636" spans="5:11" x14ac:dyDescent="0.2">
      <c r="E2636" s="50"/>
      <c r="H2636" s="12"/>
      <c r="K2636"/>
    </row>
    <row r="2637" spans="5:11" x14ac:dyDescent="0.2">
      <c r="E2637" s="50"/>
      <c r="H2637" s="12"/>
      <c r="K2637"/>
    </row>
    <row r="2638" spans="5:11" x14ac:dyDescent="0.2">
      <c r="E2638" s="50"/>
      <c r="H2638" s="12"/>
      <c r="K2638"/>
    </row>
    <row r="2639" spans="5:11" x14ac:dyDescent="0.2">
      <c r="E2639" s="50"/>
      <c r="H2639" s="12"/>
      <c r="K2639"/>
    </row>
    <row r="2640" spans="5:11" x14ac:dyDescent="0.2">
      <c r="E2640" s="50"/>
      <c r="H2640" s="12"/>
      <c r="K2640"/>
    </row>
    <row r="2641" spans="5:11" x14ac:dyDescent="0.2">
      <c r="E2641" s="50"/>
      <c r="H2641" s="12"/>
      <c r="K2641"/>
    </row>
    <row r="2642" spans="5:11" x14ac:dyDescent="0.2">
      <c r="E2642" s="50"/>
      <c r="H2642" s="12"/>
      <c r="K2642"/>
    </row>
    <row r="2643" spans="5:11" x14ac:dyDescent="0.2">
      <c r="E2643" s="50"/>
      <c r="H2643" s="12"/>
      <c r="K2643"/>
    </row>
    <row r="2644" spans="5:11" x14ac:dyDescent="0.2">
      <c r="E2644" s="50"/>
      <c r="H2644" s="12"/>
      <c r="K2644"/>
    </row>
    <row r="2645" spans="5:11" x14ac:dyDescent="0.2">
      <c r="E2645" s="50"/>
      <c r="H2645" s="12"/>
      <c r="K2645"/>
    </row>
    <row r="2646" spans="5:11" x14ac:dyDescent="0.2">
      <c r="E2646" s="50"/>
      <c r="H2646" s="12"/>
      <c r="K2646"/>
    </row>
    <row r="2647" spans="5:11" x14ac:dyDescent="0.2">
      <c r="E2647" s="50"/>
      <c r="H2647" s="12"/>
      <c r="K2647"/>
    </row>
    <row r="2648" spans="5:11" x14ac:dyDescent="0.2">
      <c r="E2648" s="50"/>
      <c r="H2648" s="12"/>
      <c r="K2648"/>
    </row>
    <row r="2649" spans="5:11" x14ac:dyDescent="0.2">
      <c r="E2649" s="50"/>
      <c r="H2649" s="12"/>
      <c r="K2649"/>
    </row>
    <row r="2650" spans="5:11" x14ac:dyDescent="0.2">
      <c r="E2650" s="50"/>
      <c r="H2650" s="12"/>
      <c r="K2650"/>
    </row>
    <row r="2651" spans="5:11" x14ac:dyDescent="0.2">
      <c r="E2651" s="50"/>
      <c r="H2651" s="12"/>
      <c r="K2651"/>
    </row>
    <row r="2652" spans="5:11" x14ac:dyDescent="0.2">
      <c r="E2652" s="50"/>
      <c r="H2652" s="12"/>
      <c r="K2652"/>
    </row>
    <row r="2653" spans="5:11" x14ac:dyDescent="0.2">
      <c r="E2653" s="50"/>
      <c r="H2653" s="12"/>
      <c r="K2653"/>
    </row>
    <row r="2654" spans="5:11" x14ac:dyDescent="0.2">
      <c r="E2654" s="50"/>
      <c r="H2654" s="12"/>
      <c r="K2654"/>
    </row>
    <row r="2655" spans="5:11" x14ac:dyDescent="0.2">
      <c r="E2655" s="50"/>
      <c r="H2655" s="12"/>
      <c r="K2655"/>
    </row>
    <row r="2656" spans="5:11" x14ac:dyDescent="0.2">
      <c r="E2656" s="50"/>
      <c r="H2656" s="12"/>
      <c r="K2656"/>
    </row>
    <row r="2657" spans="5:11" x14ac:dyDescent="0.2">
      <c r="E2657" s="50"/>
      <c r="H2657" s="12"/>
      <c r="K2657"/>
    </row>
    <row r="2658" spans="5:11" x14ac:dyDescent="0.2">
      <c r="E2658" s="50"/>
      <c r="H2658" s="12"/>
      <c r="K2658"/>
    </row>
    <row r="2659" spans="5:11" x14ac:dyDescent="0.2">
      <c r="E2659" s="50"/>
      <c r="H2659" s="12"/>
      <c r="K2659"/>
    </row>
    <row r="2660" spans="5:11" x14ac:dyDescent="0.2">
      <c r="E2660" s="50"/>
      <c r="H2660" s="12"/>
      <c r="K2660"/>
    </row>
    <row r="2661" spans="5:11" x14ac:dyDescent="0.2">
      <c r="E2661" s="50"/>
      <c r="H2661" s="12"/>
      <c r="K2661"/>
    </row>
    <row r="2662" spans="5:11" x14ac:dyDescent="0.2">
      <c r="E2662" s="50"/>
      <c r="H2662" s="12"/>
      <c r="K2662"/>
    </row>
    <row r="2663" spans="5:11" x14ac:dyDescent="0.2">
      <c r="E2663" s="50"/>
      <c r="H2663" s="12"/>
      <c r="K2663"/>
    </row>
    <row r="2664" spans="5:11" x14ac:dyDescent="0.2">
      <c r="E2664" s="50"/>
      <c r="H2664" s="12"/>
      <c r="K2664"/>
    </row>
    <row r="2665" spans="5:11" x14ac:dyDescent="0.2">
      <c r="E2665" s="50"/>
      <c r="H2665" s="12"/>
      <c r="K2665"/>
    </row>
    <row r="2666" spans="5:11" x14ac:dyDescent="0.2">
      <c r="E2666" s="50"/>
      <c r="H2666" s="12"/>
      <c r="K2666"/>
    </row>
    <row r="2667" spans="5:11" x14ac:dyDescent="0.2">
      <c r="E2667" s="50"/>
      <c r="H2667" s="12"/>
      <c r="K2667"/>
    </row>
    <row r="2668" spans="5:11" x14ac:dyDescent="0.2">
      <c r="E2668" s="50"/>
      <c r="H2668" s="12"/>
      <c r="K2668"/>
    </row>
    <row r="2669" spans="5:11" x14ac:dyDescent="0.2">
      <c r="E2669" s="50"/>
      <c r="H2669" s="12"/>
      <c r="K2669"/>
    </row>
    <row r="2670" spans="5:11" x14ac:dyDescent="0.2">
      <c r="E2670" s="50"/>
      <c r="H2670" s="12"/>
      <c r="K2670"/>
    </row>
    <row r="2671" spans="5:11" x14ac:dyDescent="0.2">
      <c r="E2671" s="50"/>
      <c r="H2671" s="12"/>
      <c r="K2671"/>
    </row>
    <row r="2672" spans="5:11" x14ac:dyDescent="0.2">
      <c r="E2672" s="50"/>
      <c r="H2672" s="12"/>
      <c r="K2672"/>
    </row>
    <row r="2673" spans="5:11" x14ac:dyDescent="0.2">
      <c r="E2673" s="50"/>
      <c r="H2673" s="12"/>
      <c r="K2673"/>
    </row>
    <row r="2674" spans="5:11" x14ac:dyDescent="0.2">
      <c r="E2674" s="50"/>
      <c r="H2674" s="12"/>
      <c r="K2674"/>
    </row>
    <row r="2675" spans="5:11" x14ac:dyDescent="0.2">
      <c r="E2675" s="50"/>
      <c r="H2675" s="12"/>
      <c r="K2675"/>
    </row>
    <row r="2676" spans="5:11" x14ac:dyDescent="0.2">
      <c r="E2676" s="50"/>
      <c r="H2676" s="12"/>
      <c r="K2676"/>
    </row>
    <row r="2677" spans="5:11" x14ac:dyDescent="0.2">
      <c r="E2677" s="50"/>
      <c r="H2677" s="12"/>
      <c r="K2677"/>
    </row>
    <row r="2678" spans="5:11" x14ac:dyDescent="0.2">
      <c r="E2678" s="50"/>
      <c r="H2678" s="12"/>
      <c r="K2678"/>
    </row>
    <row r="2679" spans="5:11" x14ac:dyDescent="0.2">
      <c r="E2679" s="50"/>
      <c r="H2679" s="12"/>
      <c r="K2679"/>
    </row>
    <row r="2680" spans="5:11" x14ac:dyDescent="0.2">
      <c r="E2680" s="50"/>
      <c r="H2680" s="12"/>
      <c r="K2680"/>
    </row>
    <row r="2681" spans="5:11" x14ac:dyDescent="0.2">
      <c r="E2681" s="50"/>
      <c r="H2681" s="12"/>
      <c r="K2681"/>
    </row>
    <row r="2682" spans="5:11" x14ac:dyDescent="0.2">
      <c r="E2682" s="50"/>
      <c r="H2682" s="12"/>
      <c r="K2682"/>
    </row>
    <row r="2683" spans="5:11" x14ac:dyDescent="0.2">
      <c r="E2683" s="50"/>
      <c r="H2683" s="12"/>
      <c r="K2683"/>
    </row>
    <row r="2684" spans="5:11" x14ac:dyDescent="0.2">
      <c r="E2684" s="50"/>
      <c r="H2684" s="12"/>
      <c r="K2684"/>
    </row>
    <row r="2685" spans="5:11" x14ac:dyDescent="0.2">
      <c r="E2685" s="50"/>
      <c r="H2685" s="12"/>
      <c r="K2685"/>
    </row>
    <row r="2686" spans="5:11" x14ac:dyDescent="0.2">
      <c r="E2686" s="50"/>
      <c r="H2686" s="12"/>
      <c r="K2686"/>
    </row>
    <row r="2687" spans="5:11" x14ac:dyDescent="0.2">
      <c r="E2687" s="50"/>
      <c r="H2687" s="12"/>
      <c r="K2687"/>
    </row>
    <row r="2688" spans="5:11" x14ac:dyDescent="0.2">
      <c r="E2688" s="50"/>
      <c r="H2688" s="12"/>
      <c r="K2688"/>
    </row>
    <row r="2689" spans="5:11" x14ac:dyDescent="0.2">
      <c r="E2689" s="50"/>
      <c r="H2689" s="12"/>
      <c r="K2689"/>
    </row>
    <row r="2690" spans="5:11" x14ac:dyDescent="0.2">
      <c r="E2690" s="50"/>
      <c r="H2690" s="12"/>
      <c r="K2690"/>
    </row>
    <row r="2691" spans="5:11" x14ac:dyDescent="0.2">
      <c r="E2691" s="50"/>
      <c r="H2691" s="12"/>
      <c r="K2691"/>
    </row>
    <row r="2692" spans="5:11" x14ac:dyDescent="0.2">
      <c r="E2692" s="50"/>
      <c r="H2692" s="12"/>
      <c r="K2692"/>
    </row>
    <row r="2693" spans="5:11" x14ac:dyDescent="0.2">
      <c r="E2693" s="50"/>
      <c r="H2693" s="12"/>
      <c r="K2693"/>
    </row>
    <row r="2694" spans="5:11" x14ac:dyDescent="0.2">
      <c r="E2694" s="50"/>
      <c r="H2694" s="12"/>
      <c r="K2694"/>
    </row>
    <row r="2695" spans="5:11" x14ac:dyDescent="0.2">
      <c r="E2695" s="50"/>
      <c r="H2695" s="12"/>
      <c r="K2695"/>
    </row>
    <row r="2696" spans="5:11" x14ac:dyDescent="0.2">
      <c r="E2696" s="50"/>
      <c r="H2696" s="12"/>
      <c r="K2696"/>
    </row>
    <row r="2697" spans="5:11" x14ac:dyDescent="0.2">
      <c r="E2697" s="50"/>
      <c r="H2697" s="12"/>
      <c r="K2697"/>
    </row>
    <row r="2698" spans="5:11" x14ac:dyDescent="0.2">
      <c r="E2698" s="50"/>
      <c r="H2698" s="12"/>
      <c r="K2698"/>
    </row>
    <row r="2699" spans="5:11" x14ac:dyDescent="0.2">
      <c r="E2699" s="50"/>
      <c r="H2699" s="12"/>
      <c r="K2699"/>
    </row>
    <row r="2700" spans="5:11" x14ac:dyDescent="0.2">
      <c r="E2700" s="50"/>
      <c r="H2700" s="12"/>
      <c r="K2700"/>
    </row>
    <row r="2701" spans="5:11" x14ac:dyDescent="0.2">
      <c r="E2701" s="50"/>
      <c r="H2701" s="12"/>
      <c r="K2701"/>
    </row>
    <row r="2702" spans="5:11" x14ac:dyDescent="0.2">
      <c r="E2702" s="50"/>
      <c r="H2702" s="12"/>
      <c r="K2702"/>
    </row>
    <row r="2703" spans="5:11" x14ac:dyDescent="0.2">
      <c r="E2703" s="50"/>
      <c r="H2703" s="12"/>
      <c r="K2703"/>
    </row>
    <row r="2704" spans="5:11" x14ac:dyDescent="0.2">
      <c r="E2704" s="50"/>
      <c r="H2704" s="12"/>
      <c r="K2704"/>
    </row>
    <row r="2705" spans="5:11" x14ac:dyDescent="0.2">
      <c r="E2705" s="50"/>
      <c r="H2705" s="12"/>
      <c r="K2705"/>
    </row>
    <row r="2706" spans="5:11" x14ac:dyDescent="0.2">
      <c r="E2706" s="50"/>
      <c r="H2706" s="12"/>
      <c r="K2706"/>
    </row>
    <row r="2707" spans="5:11" x14ac:dyDescent="0.2">
      <c r="E2707" s="50"/>
      <c r="H2707" s="12"/>
      <c r="K2707"/>
    </row>
    <row r="2708" spans="5:11" x14ac:dyDescent="0.2">
      <c r="E2708" s="50"/>
      <c r="H2708" s="12"/>
      <c r="K2708"/>
    </row>
    <row r="2709" spans="5:11" x14ac:dyDescent="0.2">
      <c r="E2709" s="50"/>
      <c r="H2709" s="12"/>
      <c r="K2709"/>
    </row>
    <row r="2710" spans="5:11" x14ac:dyDescent="0.2">
      <c r="E2710" s="50"/>
      <c r="H2710" s="12"/>
      <c r="K2710"/>
    </row>
    <row r="2711" spans="5:11" x14ac:dyDescent="0.2">
      <c r="E2711" s="50"/>
      <c r="H2711" s="12"/>
      <c r="K2711"/>
    </row>
    <row r="2712" spans="5:11" x14ac:dyDescent="0.2">
      <c r="E2712" s="50"/>
      <c r="H2712" s="12"/>
      <c r="K2712"/>
    </row>
    <row r="2713" spans="5:11" x14ac:dyDescent="0.2">
      <c r="E2713" s="50"/>
      <c r="H2713" s="12"/>
      <c r="K2713"/>
    </row>
    <row r="2714" spans="5:11" x14ac:dyDescent="0.2">
      <c r="E2714" s="50"/>
      <c r="H2714" s="12"/>
      <c r="K2714"/>
    </row>
    <row r="2715" spans="5:11" x14ac:dyDescent="0.2">
      <c r="E2715" s="50"/>
      <c r="H2715" s="12"/>
      <c r="K2715"/>
    </row>
    <row r="2716" spans="5:11" x14ac:dyDescent="0.2">
      <c r="E2716" s="50"/>
      <c r="H2716" s="12"/>
      <c r="K2716"/>
    </row>
    <row r="2717" spans="5:11" x14ac:dyDescent="0.2">
      <c r="E2717" s="50"/>
      <c r="H2717" s="12"/>
      <c r="K2717"/>
    </row>
    <row r="2718" spans="5:11" x14ac:dyDescent="0.2">
      <c r="E2718" s="50"/>
      <c r="H2718" s="12"/>
      <c r="K2718"/>
    </row>
    <row r="2719" spans="5:11" x14ac:dyDescent="0.2">
      <c r="E2719" s="50"/>
      <c r="H2719" s="12"/>
      <c r="K2719"/>
    </row>
    <row r="2720" spans="5:11" x14ac:dyDescent="0.2">
      <c r="E2720" s="50"/>
      <c r="H2720" s="12"/>
      <c r="K2720"/>
    </row>
    <row r="2721" spans="5:11" x14ac:dyDescent="0.2">
      <c r="E2721" s="50"/>
      <c r="H2721" s="12"/>
      <c r="K2721"/>
    </row>
    <row r="2722" spans="5:11" x14ac:dyDescent="0.2">
      <c r="E2722" s="50"/>
      <c r="H2722" s="12"/>
      <c r="K2722"/>
    </row>
    <row r="2723" spans="5:11" x14ac:dyDescent="0.2">
      <c r="E2723" s="50"/>
      <c r="H2723" s="12"/>
      <c r="K2723"/>
    </row>
    <row r="2724" spans="5:11" x14ac:dyDescent="0.2">
      <c r="E2724" s="50"/>
      <c r="H2724" s="12"/>
      <c r="K2724"/>
    </row>
    <row r="2725" spans="5:11" x14ac:dyDescent="0.2">
      <c r="E2725" s="50"/>
      <c r="H2725" s="12"/>
      <c r="K2725"/>
    </row>
    <row r="2726" spans="5:11" x14ac:dyDescent="0.2">
      <c r="E2726" s="50"/>
      <c r="H2726" s="12"/>
      <c r="K2726"/>
    </row>
    <row r="2727" spans="5:11" x14ac:dyDescent="0.2">
      <c r="E2727" s="50"/>
      <c r="H2727" s="12"/>
      <c r="K2727"/>
    </row>
    <row r="2728" spans="5:11" x14ac:dyDescent="0.2">
      <c r="E2728" s="50"/>
      <c r="H2728" s="12"/>
      <c r="K2728"/>
    </row>
    <row r="2729" spans="5:11" x14ac:dyDescent="0.2">
      <c r="E2729" s="50"/>
      <c r="H2729" s="12"/>
      <c r="K2729"/>
    </row>
    <row r="2730" spans="5:11" x14ac:dyDescent="0.2">
      <c r="E2730" s="50"/>
      <c r="H2730" s="12"/>
      <c r="K2730"/>
    </row>
    <row r="2731" spans="5:11" x14ac:dyDescent="0.2">
      <c r="E2731" s="50"/>
      <c r="H2731" s="12"/>
      <c r="K2731"/>
    </row>
    <row r="2732" spans="5:11" x14ac:dyDescent="0.2">
      <c r="E2732" s="50"/>
      <c r="H2732" s="12"/>
      <c r="K2732"/>
    </row>
    <row r="2733" spans="5:11" x14ac:dyDescent="0.2">
      <c r="E2733" s="50"/>
      <c r="H2733" s="12"/>
      <c r="K2733"/>
    </row>
    <row r="2734" spans="5:11" x14ac:dyDescent="0.2">
      <c r="E2734" s="50"/>
      <c r="H2734" s="12"/>
      <c r="K2734"/>
    </row>
    <row r="2735" spans="5:11" x14ac:dyDescent="0.2">
      <c r="E2735" s="50"/>
      <c r="H2735" s="12"/>
      <c r="K2735"/>
    </row>
    <row r="2736" spans="5:11" x14ac:dyDescent="0.2">
      <c r="E2736" s="50"/>
      <c r="H2736" s="12"/>
      <c r="K2736"/>
    </row>
    <row r="2737" spans="5:11" x14ac:dyDescent="0.2">
      <c r="E2737" s="50"/>
      <c r="H2737" s="12"/>
      <c r="K2737"/>
    </row>
    <row r="2738" spans="5:11" x14ac:dyDescent="0.2">
      <c r="E2738" s="50"/>
      <c r="H2738" s="12"/>
      <c r="K2738"/>
    </row>
    <row r="2739" spans="5:11" x14ac:dyDescent="0.2">
      <c r="E2739" s="50"/>
      <c r="H2739" s="12"/>
      <c r="K2739"/>
    </row>
    <row r="2740" spans="5:11" x14ac:dyDescent="0.2">
      <c r="E2740" s="50"/>
      <c r="H2740" s="12"/>
      <c r="K2740"/>
    </row>
    <row r="2741" spans="5:11" x14ac:dyDescent="0.2">
      <c r="E2741" s="50"/>
      <c r="H2741" s="12"/>
      <c r="K2741"/>
    </row>
    <row r="2742" spans="5:11" x14ac:dyDescent="0.2">
      <c r="E2742" s="50"/>
      <c r="H2742" s="12"/>
      <c r="K2742"/>
    </row>
    <row r="2743" spans="5:11" x14ac:dyDescent="0.2">
      <c r="E2743" s="50"/>
      <c r="H2743" s="12"/>
      <c r="K2743"/>
    </row>
    <row r="2744" spans="5:11" x14ac:dyDescent="0.2">
      <c r="E2744" s="50"/>
      <c r="H2744" s="12"/>
      <c r="K2744"/>
    </row>
    <row r="2745" spans="5:11" x14ac:dyDescent="0.2">
      <c r="E2745" s="50"/>
      <c r="H2745" s="12"/>
      <c r="K2745"/>
    </row>
    <row r="2746" spans="5:11" x14ac:dyDescent="0.2">
      <c r="E2746" s="50"/>
      <c r="H2746" s="12"/>
      <c r="K2746"/>
    </row>
    <row r="2747" spans="5:11" x14ac:dyDescent="0.2">
      <c r="E2747" s="50"/>
      <c r="H2747" s="12"/>
      <c r="K2747"/>
    </row>
    <row r="2748" spans="5:11" x14ac:dyDescent="0.2">
      <c r="E2748" s="50"/>
      <c r="H2748" s="12"/>
      <c r="K2748"/>
    </row>
    <row r="2749" spans="5:11" x14ac:dyDescent="0.2">
      <c r="E2749" s="50"/>
      <c r="H2749" s="12"/>
      <c r="K2749"/>
    </row>
    <row r="2750" spans="5:11" x14ac:dyDescent="0.2">
      <c r="E2750" s="50"/>
      <c r="H2750" s="12"/>
      <c r="K2750"/>
    </row>
    <row r="2751" spans="5:11" x14ac:dyDescent="0.2">
      <c r="E2751" s="50"/>
      <c r="H2751" s="12"/>
      <c r="K2751"/>
    </row>
    <row r="2752" spans="5:11" x14ac:dyDescent="0.2">
      <c r="E2752" s="50"/>
      <c r="H2752" s="12"/>
      <c r="K2752"/>
    </row>
    <row r="2753" spans="5:11" x14ac:dyDescent="0.2">
      <c r="E2753" s="50"/>
      <c r="H2753" s="12"/>
      <c r="K2753"/>
    </row>
    <row r="2754" spans="5:11" x14ac:dyDescent="0.2">
      <c r="E2754" s="50"/>
      <c r="H2754" s="12"/>
      <c r="K2754"/>
    </row>
    <row r="2755" spans="5:11" x14ac:dyDescent="0.2">
      <c r="E2755" s="50"/>
      <c r="H2755" s="12"/>
      <c r="K2755"/>
    </row>
    <row r="2756" spans="5:11" x14ac:dyDescent="0.2">
      <c r="E2756" s="50"/>
      <c r="H2756" s="12"/>
      <c r="K2756"/>
    </row>
    <row r="2757" spans="5:11" x14ac:dyDescent="0.2">
      <c r="E2757" s="50"/>
      <c r="H2757" s="12"/>
      <c r="K2757"/>
    </row>
    <row r="2758" spans="5:11" x14ac:dyDescent="0.2">
      <c r="E2758" s="50"/>
      <c r="H2758" s="12"/>
      <c r="K2758"/>
    </row>
    <row r="2759" spans="5:11" x14ac:dyDescent="0.2">
      <c r="E2759" s="50"/>
      <c r="H2759" s="12"/>
      <c r="K2759"/>
    </row>
    <row r="2760" spans="5:11" x14ac:dyDescent="0.2">
      <c r="E2760" s="50"/>
      <c r="H2760" s="12"/>
      <c r="K2760"/>
    </row>
    <row r="2761" spans="5:11" x14ac:dyDescent="0.2">
      <c r="E2761" s="50"/>
      <c r="H2761" s="12"/>
      <c r="K2761"/>
    </row>
    <row r="2762" spans="5:11" x14ac:dyDescent="0.2">
      <c r="E2762" s="50"/>
      <c r="H2762" s="12"/>
      <c r="K2762"/>
    </row>
    <row r="2763" spans="5:11" x14ac:dyDescent="0.2">
      <c r="E2763" s="50"/>
      <c r="H2763" s="12"/>
      <c r="K2763"/>
    </row>
    <row r="2764" spans="5:11" x14ac:dyDescent="0.2">
      <c r="E2764" s="50"/>
      <c r="H2764" s="12"/>
      <c r="K2764"/>
    </row>
    <row r="2765" spans="5:11" x14ac:dyDescent="0.2">
      <c r="E2765" s="50"/>
      <c r="H2765" s="12"/>
      <c r="K2765"/>
    </row>
    <row r="2766" spans="5:11" x14ac:dyDescent="0.2">
      <c r="E2766" s="50"/>
      <c r="H2766" s="12"/>
      <c r="K2766"/>
    </row>
    <row r="2767" spans="5:11" x14ac:dyDescent="0.2">
      <c r="E2767" s="50"/>
      <c r="H2767" s="12"/>
      <c r="K2767"/>
    </row>
    <row r="2768" spans="5:11" x14ac:dyDescent="0.2">
      <c r="E2768" s="50"/>
      <c r="H2768" s="12"/>
      <c r="K2768"/>
    </row>
    <row r="2769" spans="5:11" x14ac:dyDescent="0.2">
      <c r="E2769" s="50"/>
      <c r="H2769" s="12"/>
      <c r="K2769"/>
    </row>
    <row r="2770" spans="5:11" x14ac:dyDescent="0.2">
      <c r="E2770" s="50"/>
      <c r="H2770" s="12"/>
      <c r="K2770"/>
    </row>
    <row r="2771" spans="5:11" x14ac:dyDescent="0.2">
      <c r="E2771" s="50"/>
      <c r="H2771" s="12"/>
      <c r="K2771"/>
    </row>
    <row r="2772" spans="5:11" x14ac:dyDescent="0.2">
      <c r="E2772" s="50"/>
      <c r="H2772" s="12"/>
      <c r="K2772"/>
    </row>
    <row r="2773" spans="5:11" x14ac:dyDescent="0.2">
      <c r="E2773" s="50"/>
      <c r="H2773" s="12"/>
      <c r="K2773"/>
    </row>
    <row r="2774" spans="5:11" x14ac:dyDescent="0.2">
      <c r="E2774" s="50"/>
      <c r="H2774" s="12"/>
      <c r="K2774"/>
    </row>
    <row r="2775" spans="5:11" x14ac:dyDescent="0.2">
      <c r="E2775" s="50"/>
      <c r="H2775" s="12"/>
      <c r="K2775"/>
    </row>
    <row r="2776" spans="5:11" x14ac:dyDescent="0.2">
      <c r="E2776" s="50"/>
      <c r="H2776" s="12"/>
      <c r="K2776"/>
    </row>
    <row r="2777" spans="5:11" x14ac:dyDescent="0.2">
      <c r="E2777" s="50"/>
      <c r="F2777" s="41"/>
      <c r="H2777" s="12"/>
      <c r="K2777"/>
    </row>
    <row r="2778" spans="5:11" x14ac:dyDescent="0.2">
      <c r="E2778" s="50"/>
      <c r="H2778" s="12"/>
      <c r="K2778"/>
    </row>
    <row r="2779" spans="5:11" x14ac:dyDescent="0.2">
      <c r="E2779" s="50"/>
      <c r="H2779" s="12"/>
      <c r="K2779"/>
    </row>
    <row r="2780" spans="5:11" x14ac:dyDescent="0.2">
      <c r="E2780" s="50"/>
      <c r="H2780" s="12"/>
      <c r="K2780"/>
    </row>
    <row r="2781" spans="5:11" x14ac:dyDescent="0.2">
      <c r="E2781" s="50"/>
      <c r="H2781" s="12"/>
      <c r="K2781"/>
    </row>
    <row r="2782" spans="5:11" x14ac:dyDescent="0.2">
      <c r="E2782" s="50"/>
      <c r="H2782" s="12"/>
      <c r="K2782"/>
    </row>
    <row r="2783" spans="5:11" x14ac:dyDescent="0.2">
      <c r="E2783" s="50"/>
      <c r="H2783" s="12"/>
      <c r="K2783"/>
    </row>
    <row r="2784" spans="5:11" x14ac:dyDescent="0.2">
      <c r="E2784" s="50"/>
      <c r="H2784" s="12"/>
      <c r="K2784"/>
    </row>
    <row r="2785" spans="5:11" x14ac:dyDescent="0.2">
      <c r="E2785" s="50"/>
      <c r="H2785" s="12"/>
      <c r="K2785"/>
    </row>
    <row r="2786" spans="5:11" x14ac:dyDescent="0.2">
      <c r="E2786" s="50"/>
      <c r="H2786" s="12"/>
      <c r="K2786"/>
    </row>
    <row r="2787" spans="5:11" x14ac:dyDescent="0.2">
      <c r="E2787" s="50"/>
      <c r="H2787" s="12"/>
      <c r="K2787"/>
    </row>
    <row r="2788" spans="5:11" x14ac:dyDescent="0.2">
      <c r="E2788" s="50"/>
      <c r="H2788" s="12"/>
      <c r="K2788"/>
    </row>
    <row r="2789" spans="5:11" x14ac:dyDescent="0.2">
      <c r="E2789" s="50"/>
      <c r="H2789" s="12"/>
      <c r="K2789"/>
    </row>
    <row r="2790" spans="5:11" x14ac:dyDescent="0.2">
      <c r="E2790" s="50"/>
      <c r="H2790" s="12"/>
      <c r="K2790"/>
    </row>
    <row r="2791" spans="5:11" x14ac:dyDescent="0.2">
      <c r="E2791" s="50"/>
      <c r="H2791" s="12"/>
      <c r="K2791"/>
    </row>
    <row r="2792" spans="5:11" x14ac:dyDescent="0.2">
      <c r="E2792" s="50"/>
      <c r="H2792" s="12"/>
      <c r="K2792"/>
    </row>
    <row r="2793" spans="5:11" x14ac:dyDescent="0.2">
      <c r="E2793" s="50"/>
      <c r="H2793" s="12"/>
      <c r="K2793"/>
    </row>
    <row r="2794" spans="5:11" x14ac:dyDescent="0.2">
      <c r="E2794" s="50"/>
      <c r="H2794" s="12"/>
      <c r="K2794"/>
    </row>
    <row r="2795" spans="5:11" x14ac:dyDescent="0.2">
      <c r="E2795" s="50"/>
      <c r="H2795" s="12"/>
      <c r="K2795"/>
    </row>
    <row r="2796" spans="5:11" x14ac:dyDescent="0.2">
      <c r="E2796" s="50"/>
      <c r="H2796" s="12"/>
      <c r="K2796"/>
    </row>
    <row r="2797" spans="5:11" x14ac:dyDescent="0.2">
      <c r="E2797" s="50"/>
      <c r="H2797" s="12"/>
      <c r="K2797"/>
    </row>
    <row r="2798" spans="5:11" x14ac:dyDescent="0.2">
      <c r="E2798" s="50"/>
      <c r="H2798" s="12"/>
      <c r="K2798"/>
    </row>
    <row r="2799" spans="5:11" x14ac:dyDescent="0.2">
      <c r="E2799" s="50"/>
      <c r="H2799" s="12"/>
      <c r="K2799"/>
    </row>
    <row r="2800" spans="5:11" x14ac:dyDescent="0.2">
      <c r="E2800" s="50"/>
      <c r="H2800" s="12"/>
      <c r="K2800"/>
    </row>
    <row r="2801" spans="1:11" x14ac:dyDescent="0.2">
      <c r="E2801" s="50"/>
      <c r="H2801" s="12"/>
      <c r="K2801"/>
    </row>
    <row r="2802" spans="1:11" x14ac:dyDescent="0.2">
      <c r="A2802" s="43"/>
      <c r="B2802" s="43"/>
      <c r="C2802" s="43"/>
      <c r="D2802" s="28" t="s">
        <v>55</v>
      </c>
      <c r="E2802" s="53" t="s">
        <v>43</v>
      </c>
      <c r="G2802" s="29"/>
      <c r="H2802" s="12"/>
    </row>
    <row r="2803" spans="1:11" ht="12" customHeight="1" x14ac:dyDescent="0.2">
      <c r="A2803" s="45" t="s">
        <v>0</v>
      </c>
      <c r="D2803" s="27" t="s">
        <v>17</v>
      </c>
      <c r="E2803" s="50">
        <v>44228</v>
      </c>
      <c r="G2803" s="26" t="s">
        <v>12</v>
      </c>
      <c r="H2803" s="31">
        <v>44228</v>
      </c>
      <c r="I2803" s="12" t="s">
        <v>53</v>
      </c>
    </row>
    <row r="2804" spans="1:11" x14ac:dyDescent="0.2">
      <c r="A2804" s="46" t="s">
        <v>41</v>
      </c>
      <c r="D2804" s="27" t="s">
        <v>17</v>
      </c>
      <c r="E2804" s="50">
        <v>44229</v>
      </c>
      <c r="G2804" s="26" t="s">
        <v>20</v>
      </c>
      <c r="H2804" s="31">
        <v>44229</v>
      </c>
      <c r="I2804" s="12" t="s">
        <v>53</v>
      </c>
    </row>
    <row r="2805" spans="1:11" x14ac:dyDescent="0.2">
      <c r="D2805" s="27" t="s">
        <v>17</v>
      </c>
      <c r="E2805" s="50">
        <v>44230</v>
      </c>
      <c r="G2805" s="26" t="s">
        <v>21</v>
      </c>
      <c r="H2805" s="31">
        <v>44230</v>
      </c>
      <c r="I2805" s="12" t="s">
        <v>53</v>
      </c>
    </row>
    <row r="2806" spans="1:11" x14ac:dyDescent="0.2">
      <c r="D2806" s="27" t="s">
        <v>17</v>
      </c>
      <c r="E2806" s="50">
        <v>44231</v>
      </c>
      <c r="G2806" s="26" t="s">
        <v>19</v>
      </c>
      <c r="H2806" s="31">
        <v>44231</v>
      </c>
      <c r="I2806" s="12" t="s">
        <v>53</v>
      </c>
    </row>
    <row r="2807" spans="1:11" x14ac:dyDescent="0.2">
      <c r="D2807" s="27" t="s">
        <v>17</v>
      </c>
      <c r="E2807" s="50">
        <v>44232</v>
      </c>
      <c r="G2807" s="26" t="s">
        <v>14</v>
      </c>
      <c r="H2807" s="31">
        <v>44232</v>
      </c>
      <c r="I2807" s="12" t="s">
        <v>53</v>
      </c>
    </row>
    <row r="2808" spans="1:11" x14ac:dyDescent="0.2">
      <c r="D2808" s="27" t="s">
        <v>17</v>
      </c>
      <c r="E2808" s="50">
        <v>44233</v>
      </c>
      <c r="G2808" s="26" t="s">
        <v>15</v>
      </c>
      <c r="H2808" s="31">
        <v>44235</v>
      </c>
      <c r="I2808" s="12" t="s">
        <v>53</v>
      </c>
    </row>
    <row r="2809" spans="1:11" x14ac:dyDescent="0.2">
      <c r="D2809" s="27" t="s">
        <v>17</v>
      </c>
      <c r="E2809" s="50">
        <v>44234</v>
      </c>
      <c r="G2809" s="26" t="s">
        <v>16</v>
      </c>
      <c r="H2809" s="31">
        <v>44235</v>
      </c>
      <c r="I2809" s="12" t="s">
        <v>53</v>
      </c>
    </row>
    <row r="2810" spans="1:11" x14ac:dyDescent="0.2">
      <c r="D2810" s="27" t="s">
        <v>17</v>
      </c>
      <c r="E2810" s="50">
        <v>44235</v>
      </c>
      <c r="G2810" s="26" t="s">
        <v>25</v>
      </c>
      <c r="H2810" s="31">
        <v>44235</v>
      </c>
      <c r="I2810" s="12" t="s">
        <v>53</v>
      </c>
      <c r="K2810"/>
    </row>
    <row r="2811" spans="1:11" x14ac:dyDescent="0.2">
      <c r="D2811" s="27" t="s">
        <v>17</v>
      </c>
      <c r="E2811" s="50">
        <v>44236</v>
      </c>
      <c r="G2811" s="26" t="s">
        <v>26</v>
      </c>
      <c r="H2811" s="31">
        <v>44236</v>
      </c>
      <c r="I2811" s="12" t="s">
        <v>53</v>
      </c>
      <c r="K2811"/>
    </row>
    <row r="2812" spans="1:11" x14ac:dyDescent="0.2">
      <c r="D2812" s="27" t="s">
        <v>17</v>
      </c>
      <c r="E2812" s="50">
        <v>44237</v>
      </c>
      <c r="G2812" s="26" t="s">
        <v>36</v>
      </c>
      <c r="H2812" s="31">
        <v>44237</v>
      </c>
      <c r="I2812" s="12" t="s">
        <v>53</v>
      </c>
      <c r="K2812"/>
    </row>
    <row r="2813" spans="1:11" x14ac:dyDescent="0.2">
      <c r="D2813" s="27" t="s">
        <v>17</v>
      </c>
      <c r="E2813" s="50">
        <v>44238</v>
      </c>
      <c r="G2813" s="26" t="s">
        <v>31</v>
      </c>
      <c r="H2813" s="31">
        <v>44238</v>
      </c>
      <c r="I2813" s="12" t="s">
        <v>53</v>
      </c>
      <c r="K2813"/>
    </row>
    <row r="2814" spans="1:11" x14ac:dyDescent="0.2">
      <c r="D2814" s="27" t="s">
        <v>17</v>
      </c>
      <c r="E2814" s="50">
        <v>44239</v>
      </c>
      <c r="G2814" s="26" t="s">
        <v>29</v>
      </c>
      <c r="H2814" s="31">
        <v>44239</v>
      </c>
      <c r="I2814" s="12" t="s">
        <v>53</v>
      </c>
      <c r="K2814"/>
    </row>
    <row r="2815" spans="1:11" x14ac:dyDescent="0.2">
      <c r="D2815" s="27" t="s">
        <v>17</v>
      </c>
      <c r="E2815" s="50">
        <v>44240</v>
      </c>
      <c r="G2815" s="26" t="s">
        <v>32</v>
      </c>
      <c r="H2815" s="31">
        <v>44242</v>
      </c>
      <c r="I2815" s="12" t="s">
        <v>53</v>
      </c>
      <c r="K2815"/>
    </row>
    <row r="2816" spans="1:11" x14ac:dyDescent="0.2">
      <c r="D2816" s="27" t="s">
        <v>17</v>
      </c>
      <c r="E2816" s="50">
        <v>44241</v>
      </c>
      <c r="G2816" s="26" t="s">
        <v>33</v>
      </c>
      <c r="H2816" s="31">
        <v>44242</v>
      </c>
      <c r="I2816" s="12" t="s">
        <v>53</v>
      </c>
      <c r="K2816"/>
    </row>
    <row r="2817" spans="4:11" x14ac:dyDescent="0.2">
      <c r="D2817" s="27" t="s">
        <v>17</v>
      </c>
      <c r="E2817" s="50">
        <v>44242</v>
      </c>
      <c r="G2817" s="26" t="s">
        <v>34</v>
      </c>
      <c r="H2817" s="31">
        <v>44242</v>
      </c>
      <c r="I2817" s="12" t="s">
        <v>53</v>
      </c>
      <c r="K2817"/>
    </row>
    <row r="2818" spans="4:11" x14ac:dyDescent="0.2">
      <c r="D2818" s="27" t="s">
        <v>17</v>
      </c>
      <c r="E2818" s="50">
        <v>44243</v>
      </c>
      <c r="G2818" s="26" t="s">
        <v>7</v>
      </c>
      <c r="H2818" s="31">
        <v>44243</v>
      </c>
      <c r="I2818" s="12" t="s">
        <v>53</v>
      </c>
      <c r="K2818"/>
    </row>
    <row r="2819" spans="4:11" x14ac:dyDescent="0.2">
      <c r="D2819" s="27" t="s">
        <v>17</v>
      </c>
      <c r="E2819" s="50">
        <v>44244</v>
      </c>
      <c r="G2819" s="26" t="s">
        <v>8</v>
      </c>
      <c r="H2819" s="31">
        <v>44244</v>
      </c>
      <c r="I2819" s="12" t="s">
        <v>53</v>
      </c>
      <c r="K2819"/>
    </row>
    <row r="2820" spans="4:11" x14ac:dyDescent="0.2">
      <c r="D2820" s="27" t="s">
        <v>17</v>
      </c>
      <c r="E2820" s="50">
        <v>44245</v>
      </c>
      <c r="G2820" s="26" t="s">
        <v>9</v>
      </c>
      <c r="H2820" s="31">
        <v>44245</v>
      </c>
      <c r="I2820" s="12" t="s">
        <v>53</v>
      </c>
      <c r="K2820"/>
    </row>
    <row r="2821" spans="4:11" x14ac:dyDescent="0.2">
      <c r="D2821" s="27" t="s">
        <v>17</v>
      </c>
      <c r="E2821" s="50">
        <v>44246</v>
      </c>
      <c r="G2821" s="26" t="s">
        <v>52</v>
      </c>
      <c r="H2821" s="31">
        <v>44246</v>
      </c>
      <c r="I2821" s="12" t="s">
        <v>53</v>
      </c>
      <c r="K2821"/>
    </row>
    <row r="2822" spans="4:11" x14ac:dyDescent="0.2">
      <c r="D2822" s="27" t="s">
        <v>17</v>
      </c>
      <c r="E2822" s="50">
        <v>44247</v>
      </c>
      <c r="G2822" s="26" t="s">
        <v>30</v>
      </c>
      <c r="H2822" s="31">
        <v>44249</v>
      </c>
      <c r="I2822" s="12" t="s">
        <v>53</v>
      </c>
      <c r="K2822"/>
    </row>
    <row r="2823" spans="4:11" x14ac:dyDescent="0.2">
      <c r="D2823" s="27" t="s">
        <v>17</v>
      </c>
      <c r="E2823" s="50">
        <v>44248</v>
      </c>
      <c r="G2823" s="26" t="s">
        <v>51</v>
      </c>
      <c r="H2823" s="31">
        <v>44249</v>
      </c>
      <c r="I2823" s="12" t="s">
        <v>53</v>
      </c>
      <c r="K2823"/>
    </row>
    <row r="2824" spans="4:11" x14ac:dyDescent="0.2">
      <c r="D2824" s="27" t="s">
        <v>17</v>
      </c>
      <c r="E2824" s="50">
        <v>44249</v>
      </c>
      <c r="G2824" s="26" t="s">
        <v>38</v>
      </c>
      <c r="H2824" s="31">
        <v>44249</v>
      </c>
      <c r="I2824" s="12" t="s">
        <v>53</v>
      </c>
      <c r="K2824"/>
    </row>
    <row r="2825" spans="4:11" x14ac:dyDescent="0.2">
      <c r="D2825" s="27" t="s">
        <v>17</v>
      </c>
      <c r="E2825" s="50">
        <v>44250</v>
      </c>
      <c r="G2825" s="26" t="s">
        <v>39</v>
      </c>
      <c r="H2825" s="31">
        <v>44250</v>
      </c>
      <c r="I2825" s="12" t="s">
        <v>53</v>
      </c>
      <c r="K2825"/>
    </row>
    <row r="2826" spans="4:11" x14ac:dyDescent="0.2">
      <c r="D2826" s="27" t="s">
        <v>17</v>
      </c>
      <c r="E2826" s="50">
        <v>44251</v>
      </c>
      <c r="G2826" s="26" t="s">
        <v>27</v>
      </c>
      <c r="H2826" s="31">
        <v>44251</v>
      </c>
      <c r="I2826" s="12" t="s">
        <v>53</v>
      </c>
      <c r="K2826"/>
    </row>
    <row r="2827" spans="4:11" x14ac:dyDescent="0.2">
      <c r="D2827" s="27" t="s">
        <v>17</v>
      </c>
      <c r="E2827" s="50">
        <v>44252</v>
      </c>
      <c r="G2827" s="26" t="s">
        <v>28</v>
      </c>
      <c r="H2827" s="31">
        <v>44252</v>
      </c>
      <c r="I2827" s="12" t="s">
        <v>53</v>
      </c>
      <c r="K2827"/>
    </row>
    <row r="2828" spans="4:11" x14ac:dyDescent="0.2">
      <c r="D2828" s="27" t="s">
        <v>17</v>
      </c>
      <c r="E2828" s="50">
        <v>44253</v>
      </c>
      <c r="G2828" s="26" t="s">
        <v>18</v>
      </c>
      <c r="H2828" s="31">
        <v>44253</v>
      </c>
      <c r="I2828" s="12" t="s">
        <v>53</v>
      </c>
      <c r="K2828"/>
    </row>
    <row r="2829" spans="4:11" x14ac:dyDescent="0.2">
      <c r="D2829" s="27" t="s">
        <v>17</v>
      </c>
      <c r="E2829" s="50"/>
      <c r="G2829" s="26" t="s">
        <v>6</v>
      </c>
      <c r="H2829" s="31"/>
      <c r="I2829" s="12" t="s">
        <v>53</v>
      </c>
      <c r="K2829"/>
    </row>
    <row r="2830" spans="4:11" x14ac:dyDescent="0.2">
      <c r="D2830" s="27" t="s">
        <v>17</v>
      </c>
      <c r="E2830" s="50"/>
      <c r="G2830" s="26" t="s">
        <v>22</v>
      </c>
      <c r="H2830" s="31"/>
      <c r="I2830" s="12" t="s">
        <v>53</v>
      </c>
      <c r="K2830"/>
    </row>
    <row r="2831" spans="4:11" x14ac:dyDescent="0.2">
      <c r="D2831" s="27" t="s">
        <v>17</v>
      </c>
      <c r="E2831" s="50"/>
      <c r="G2831" s="26" t="s">
        <v>45</v>
      </c>
      <c r="H2831" s="31"/>
      <c r="I2831" s="12" t="s">
        <v>53</v>
      </c>
      <c r="K2831"/>
    </row>
    <row r="2832" spans="4:11" x14ac:dyDescent="0.2">
      <c r="D2832" s="27" t="s">
        <v>17</v>
      </c>
      <c r="E2832" s="50"/>
      <c r="G2832" s="26" t="s">
        <v>13</v>
      </c>
      <c r="H2832" s="31"/>
      <c r="I2832" s="12" t="s">
        <v>53</v>
      </c>
      <c r="K2832"/>
    </row>
    <row r="2833" spans="4:11" x14ac:dyDescent="0.2">
      <c r="D2833" s="27" t="s">
        <v>17</v>
      </c>
      <c r="E2833" s="50"/>
      <c r="G2833" s="26"/>
      <c r="H2833" s="31"/>
      <c r="I2833" s="12" t="s">
        <v>53</v>
      </c>
      <c r="K2833"/>
    </row>
    <row r="2834" spans="4:11" x14ac:dyDescent="0.2">
      <c r="D2834" s="27" t="s">
        <v>44</v>
      </c>
      <c r="E2834" s="77">
        <v>44233</v>
      </c>
      <c r="G2834" s="26" t="s">
        <v>1</v>
      </c>
      <c r="H2834" s="77">
        <v>44233</v>
      </c>
      <c r="I2834" s="12"/>
      <c r="K2834"/>
    </row>
    <row r="2835" spans="4:11" x14ac:dyDescent="0.2">
      <c r="D2835" s="27" t="s">
        <v>44</v>
      </c>
      <c r="E2835" s="77">
        <v>44234</v>
      </c>
      <c r="G2835" s="26" t="s">
        <v>10</v>
      </c>
      <c r="H2835" s="77">
        <v>44234</v>
      </c>
      <c r="K2835"/>
    </row>
    <row r="2836" spans="4:11" x14ac:dyDescent="0.2">
      <c r="D2836" s="27" t="s">
        <v>44</v>
      </c>
      <c r="E2836" s="77">
        <v>44240</v>
      </c>
      <c r="G2836" s="26" t="s">
        <v>11</v>
      </c>
      <c r="H2836" s="77">
        <v>44240</v>
      </c>
      <c r="K2836"/>
    </row>
    <row r="2837" spans="4:11" x14ac:dyDescent="0.2">
      <c r="D2837" s="27" t="s">
        <v>44</v>
      </c>
      <c r="E2837" s="77">
        <v>44241</v>
      </c>
      <c r="G2837" s="26" t="s">
        <v>23</v>
      </c>
      <c r="H2837" s="77">
        <v>44241</v>
      </c>
      <c r="K2837"/>
    </row>
    <row r="2838" spans="4:11" x14ac:dyDescent="0.2">
      <c r="D2838" s="27" t="s">
        <v>44</v>
      </c>
      <c r="E2838" s="77">
        <v>44247</v>
      </c>
      <c r="G2838" s="26" t="s">
        <v>4</v>
      </c>
      <c r="H2838" s="77">
        <v>44247</v>
      </c>
      <c r="K2838"/>
    </row>
    <row r="2839" spans="4:11" x14ac:dyDescent="0.2">
      <c r="D2839" s="27" t="s">
        <v>44</v>
      </c>
      <c r="E2839" s="77">
        <v>44248</v>
      </c>
      <c r="G2839" s="26" t="s">
        <v>24</v>
      </c>
      <c r="H2839" s="77">
        <v>44248</v>
      </c>
      <c r="K2839"/>
    </row>
    <row r="2840" spans="4:11" x14ac:dyDescent="0.2">
      <c r="D2840" s="27" t="s">
        <v>44</v>
      </c>
      <c r="E2840" s="77">
        <v>44254</v>
      </c>
      <c r="G2840" s="26" t="s">
        <v>37</v>
      </c>
      <c r="H2840" s="77">
        <v>44254</v>
      </c>
      <c r="K2840"/>
    </row>
    <row r="2841" spans="4:11" x14ac:dyDescent="0.2">
      <c r="D2841" s="27" t="s">
        <v>44</v>
      </c>
      <c r="E2841" s="77">
        <v>44255</v>
      </c>
      <c r="H2841" s="77">
        <v>44255</v>
      </c>
      <c r="K2841"/>
    </row>
    <row r="2842" spans="4:11" x14ac:dyDescent="0.2">
      <c r="D2842" s="27"/>
      <c r="E2842" s="50"/>
      <c r="H2842" s="3"/>
      <c r="K2842"/>
    </row>
    <row r="2843" spans="4:11" x14ac:dyDescent="0.2">
      <c r="D2843" s="27"/>
      <c r="E2843" s="50"/>
      <c r="H2843" s="3"/>
      <c r="K2843"/>
    </row>
    <row r="2844" spans="4:11" x14ac:dyDescent="0.2">
      <c r="D2844" s="27"/>
      <c r="H2844" s="35"/>
      <c r="K2844"/>
    </row>
    <row r="2849" spans="5:11" x14ac:dyDescent="0.2">
      <c r="I2849" s="30"/>
      <c r="K2849"/>
    </row>
    <row r="2850" spans="5:11" x14ac:dyDescent="0.2">
      <c r="I2850" s="30"/>
      <c r="K2850"/>
    </row>
    <row r="2851" spans="5:11" x14ac:dyDescent="0.2">
      <c r="I2851" s="30"/>
      <c r="K2851"/>
    </row>
    <row r="2852" spans="5:11" x14ac:dyDescent="0.2">
      <c r="I2852" s="30"/>
      <c r="K2852"/>
    </row>
    <row r="2853" spans="5:11" x14ac:dyDescent="0.2">
      <c r="I2853" s="30"/>
      <c r="K2853"/>
    </row>
    <row r="2854" spans="5:11" x14ac:dyDescent="0.2">
      <c r="I2854" s="30"/>
      <c r="K2854"/>
    </row>
    <row r="2855" spans="5:11" x14ac:dyDescent="0.2">
      <c r="I2855" s="30"/>
      <c r="K2855"/>
    </row>
    <row r="2856" spans="5:11" x14ac:dyDescent="0.2">
      <c r="I2856" s="30"/>
      <c r="K2856"/>
    </row>
    <row r="2857" spans="5:11" x14ac:dyDescent="0.2">
      <c r="I2857" s="30"/>
      <c r="K2857"/>
    </row>
    <row r="2858" spans="5:11" x14ac:dyDescent="0.2">
      <c r="E2858"/>
      <c r="F2858"/>
      <c r="H2858" s="12"/>
      <c r="I2858" s="30"/>
      <c r="K2858"/>
    </row>
    <row r="2859" spans="5:11" x14ac:dyDescent="0.2">
      <c r="E2859"/>
      <c r="F2859"/>
      <c r="H2859" s="12"/>
      <c r="I2859" s="30"/>
      <c r="K2859"/>
    </row>
    <row r="2860" spans="5:11" x14ac:dyDescent="0.2">
      <c r="E2860"/>
      <c r="F2860"/>
      <c r="H2860" s="12"/>
      <c r="I2860" s="30"/>
      <c r="K2860"/>
    </row>
    <row r="2861" spans="5:11" x14ac:dyDescent="0.2">
      <c r="E2861"/>
      <c r="F2861"/>
      <c r="H2861" s="12"/>
      <c r="I2861" s="30"/>
      <c r="K2861"/>
    </row>
    <row r="2862" spans="5:11" x14ac:dyDescent="0.2">
      <c r="E2862"/>
      <c r="F2862"/>
      <c r="H2862" s="12"/>
      <c r="I2862" s="30"/>
      <c r="K2862"/>
    </row>
    <row r="2863" spans="5:11" x14ac:dyDescent="0.2">
      <c r="E2863"/>
      <c r="F2863"/>
      <c r="H2863" s="12"/>
      <c r="I2863" s="30"/>
      <c r="K2863"/>
    </row>
    <row r="2864" spans="5:11" x14ac:dyDescent="0.2">
      <c r="E2864"/>
      <c r="F2864"/>
      <c r="H2864" s="12"/>
      <c r="I2864" s="30"/>
      <c r="K2864"/>
    </row>
    <row r="2865" spans="5:11" x14ac:dyDescent="0.2">
      <c r="E2865"/>
      <c r="F2865"/>
      <c r="H2865" s="12"/>
      <c r="I2865" s="30"/>
      <c r="K2865"/>
    </row>
    <row r="2866" spans="5:11" x14ac:dyDescent="0.2">
      <c r="E2866"/>
      <c r="F2866"/>
      <c r="H2866" s="12"/>
      <c r="I2866" s="30"/>
      <c r="K2866"/>
    </row>
    <row r="2867" spans="5:11" x14ac:dyDescent="0.2">
      <c r="E2867"/>
      <c r="F2867"/>
      <c r="H2867" s="12"/>
      <c r="I2867" s="30"/>
      <c r="K2867"/>
    </row>
    <row r="2868" spans="5:11" x14ac:dyDescent="0.2">
      <c r="E2868"/>
      <c r="F2868"/>
      <c r="H2868" s="12"/>
      <c r="I2868" s="30"/>
      <c r="K2868"/>
    </row>
    <row r="2869" spans="5:11" x14ac:dyDescent="0.2">
      <c r="E2869"/>
      <c r="F2869"/>
      <c r="H2869" s="12"/>
      <c r="I2869" s="30"/>
      <c r="K2869"/>
    </row>
    <row r="2870" spans="5:11" x14ac:dyDescent="0.2">
      <c r="E2870"/>
      <c r="F2870"/>
      <c r="H2870" s="12"/>
      <c r="I2870" s="30"/>
      <c r="K2870"/>
    </row>
    <row r="2871" spans="5:11" x14ac:dyDescent="0.2">
      <c r="E2871"/>
      <c r="F2871"/>
      <c r="H2871" s="12"/>
      <c r="I2871" s="30"/>
      <c r="K2871"/>
    </row>
    <row r="2872" spans="5:11" x14ac:dyDescent="0.2">
      <c r="E2872"/>
      <c r="F2872"/>
      <c r="H2872" s="12"/>
      <c r="I2872" s="30"/>
      <c r="K2872"/>
    </row>
    <row r="2873" spans="5:11" x14ac:dyDescent="0.2">
      <c r="E2873"/>
      <c r="F2873"/>
      <c r="H2873" s="12"/>
      <c r="I2873" s="30"/>
      <c r="K2873"/>
    </row>
    <row r="2874" spans="5:11" x14ac:dyDescent="0.2">
      <c r="E2874"/>
      <c r="F2874"/>
      <c r="H2874" s="12"/>
      <c r="I2874" s="30"/>
      <c r="K2874"/>
    </row>
    <row r="2875" spans="5:11" x14ac:dyDescent="0.2">
      <c r="E2875"/>
      <c r="F2875"/>
      <c r="H2875" s="12"/>
      <c r="I2875" s="30"/>
      <c r="K2875"/>
    </row>
    <row r="2876" spans="5:11" x14ac:dyDescent="0.2">
      <c r="E2876"/>
      <c r="F2876"/>
      <c r="H2876" s="12"/>
      <c r="I2876" s="30"/>
      <c r="K2876"/>
    </row>
    <row r="2877" spans="5:11" x14ac:dyDescent="0.2">
      <c r="E2877"/>
      <c r="F2877"/>
      <c r="H2877" s="12"/>
      <c r="I2877" s="30"/>
      <c r="K2877"/>
    </row>
    <row r="2878" spans="5:11" x14ac:dyDescent="0.2">
      <c r="E2878"/>
      <c r="F2878"/>
      <c r="H2878" s="12"/>
      <c r="I2878" s="30"/>
      <c r="K2878"/>
    </row>
    <row r="2879" spans="5:11" x14ac:dyDescent="0.2">
      <c r="E2879"/>
      <c r="F2879"/>
      <c r="H2879" s="12"/>
      <c r="I2879" s="30"/>
      <c r="K2879"/>
    </row>
  </sheetData>
  <autoFilter ref="A1:H212" xr:uid="{00000000-0009-0000-0000-000014000000}"/>
  <pageMargins left="0.78740157499999996" right="0.78740157499999996" top="0.984251969" bottom="0.984251969" header="0.49212598499999999" footer="0.49212598499999999"/>
  <pageSetup paperSize="9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7">
    <tabColor rgb="FF92D050"/>
    <pageSetUpPr fitToPage="1"/>
  </sheetPr>
  <dimension ref="A1:AE46"/>
  <sheetViews>
    <sheetView zoomScale="75" zoomScaleNormal="75" workbookViewId="0">
      <pane xSplit="1" ySplit="4" topLeftCell="B5" activePane="bottomRight" state="frozen"/>
      <selection activeCell="J15" sqref="J15"/>
      <selection pane="topRight" activeCell="J15" sqref="J15"/>
      <selection pane="bottomLeft" activeCell="J15" sqref="J15"/>
      <selection pane="bottomRight" activeCell="A31" sqref="A31"/>
    </sheetView>
  </sheetViews>
  <sheetFormatPr defaultColWidth="15.7109375" defaultRowHeight="15" customHeight="1" x14ac:dyDescent="0.2"/>
  <cols>
    <col min="1" max="1" width="15.7109375" customWidth="1"/>
    <col min="2" max="12" width="15.7109375" style="1" customWidth="1"/>
    <col min="13" max="22" width="15.7109375" customWidth="1"/>
  </cols>
  <sheetData>
    <row r="1" spans="1:22" s="2" customFormat="1" ht="15" customHeight="1" x14ac:dyDescent="0.2">
      <c r="B1" s="2" t="str">
        <f>IF(B5=1,"Domingo",IF(B5=2,"Segunda",IF(B5=3,"Terça",IF(B5=4,"Quarta",IF(B5=5,"Quinta",IF(B5=6,"Sexta",IF(B5=7,"Sábado",0)))))))</f>
        <v>Segunda</v>
      </c>
      <c r="C1" s="2" t="str">
        <f t="shared" ref="C1:T1" si="0">IF(C5=1,"Domingo",IF(C5=2,"Segunda",IF(C5=3,"Terça",IF(C5=4,"Quarta",IF(C5=5,"Quinta",IF(C5=6,"Sexta",IF(C5=7,"Sábado",0)))))))</f>
        <v>Terça</v>
      </c>
      <c r="D1" s="2" t="str">
        <f t="shared" si="0"/>
        <v>Quarta</v>
      </c>
      <c r="E1" s="2" t="str">
        <f t="shared" si="0"/>
        <v>Quinta</v>
      </c>
      <c r="F1" s="2" t="str">
        <f t="shared" si="0"/>
        <v>Sexta</v>
      </c>
      <c r="G1" s="2" t="str">
        <f t="shared" si="0"/>
        <v>Segunda</v>
      </c>
      <c r="H1" s="2" t="str">
        <f t="shared" si="0"/>
        <v>Terça</v>
      </c>
      <c r="I1" s="2" t="str">
        <f t="shared" si="0"/>
        <v>Quarta</v>
      </c>
      <c r="J1" s="2" t="str">
        <f t="shared" si="0"/>
        <v>Quinta</v>
      </c>
      <c r="K1" s="2" t="str">
        <f t="shared" si="0"/>
        <v>Sexta</v>
      </c>
      <c r="L1" s="2" t="str">
        <f t="shared" si="0"/>
        <v>Segunda</v>
      </c>
      <c r="M1" s="2" t="str">
        <f t="shared" si="0"/>
        <v>Terça</v>
      </c>
      <c r="N1" s="2" t="str">
        <f t="shared" si="0"/>
        <v>Quarta</v>
      </c>
      <c r="O1" s="2" t="str">
        <f t="shared" si="0"/>
        <v>Quinta</v>
      </c>
      <c r="P1" s="2" t="str">
        <f t="shared" si="0"/>
        <v>Sexta</v>
      </c>
      <c r="Q1" s="2" t="str">
        <f t="shared" si="0"/>
        <v>Segunda</v>
      </c>
      <c r="R1" s="2" t="str">
        <f t="shared" si="0"/>
        <v>Terça</v>
      </c>
      <c r="S1" s="2" t="str">
        <f t="shared" si="0"/>
        <v>Quarta</v>
      </c>
      <c r="T1" s="2" t="str">
        <f t="shared" si="0"/>
        <v>Quinta</v>
      </c>
      <c r="U1" s="2" t="str">
        <f>IF(U5=1,"Domingo",IF(U5=2,"Segunda",IF(U5=3,"Terça",IF(U5=4,"Quarta",IF(U5=5,"Quinta",IF(U5=6,"Sexta",IF(U5=7,"Sábado",0)))))))</f>
        <v>Sexta</v>
      </c>
      <c r="V1" s="2" t="e">
        <f>IF(V5=1,"Domingo",IF(V5=2,"Segunda",IF(V5=3,"Terça",IF(V5=4,"Quarta",IF(V5=5,"Quinta",IF(V5=6,"Sexta",IF(V5=7,"Sábado",0)))))))</f>
        <v>#VALUE!</v>
      </c>
    </row>
    <row r="2" spans="1:22" s="3" customFormat="1" ht="15" customHeight="1" x14ac:dyDescent="0.2">
      <c r="A2" s="4" t="s">
        <v>2</v>
      </c>
      <c r="B2" s="3">
        <f t="shared" ref="B2:T2" si="1">B25</f>
        <v>44228</v>
      </c>
      <c r="C2" s="3">
        <f t="shared" si="1"/>
        <v>44229</v>
      </c>
      <c r="D2" s="3">
        <f t="shared" si="1"/>
        <v>44230</v>
      </c>
      <c r="E2" s="3">
        <f t="shared" si="1"/>
        <v>44231</v>
      </c>
      <c r="F2" s="3">
        <f t="shared" si="1"/>
        <v>44232</v>
      </c>
      <c r="G2" s="3">
        <f t="shared" si="1"/>
        <v>44235</v>
      </c>
      <c r="H2" s="3">
        <f t="shared" si="1"/>
        <v>44236</v>
      </c>
      <c r="I2" s="3">
        <f t="shared" si="1"/>
        <v>44237</v>
      </c>
      <c r="J2" s="3">
        <f t="shared" si="1"/>
        <v>44238</v>
      </c>
      <c r="K2" s="3">
        <f t="shared" si="1"/>
        <v>44239</v>
      </c>
      <c r="L2" s="3">
        <f t="shared" si="1"/>
        <v>44242</v>
      </c>
      <c r="M2" s="3">
        <f t="shared" si="1"/>
        <v>44243</v>
      </c>
      <c r="N2" s="3">
        <f t="shared" si="1"/>
        <v>44244</v>
      </c>
      <c r="O2" s="3">
        <f t="shared" si="1"/>
        <v>44245</v>
      </c>
      <c r="P2" s="3">
        <f t="shared" si="1"/>
        <v>44246</v>
      </c>
      <c r="Q2" s="3">
        <f t="shared" si="1"/>
        <v>44249</v>
      </c>
      <c r="R2" s="3">
        <f t="shared" si="1"/>
        <v>44250</v>
      </c>
      <c r="S2" s="3">
        <f t="shared" si="1"/>
        <v>44251</v>
      </c>
      <c r="T2" s="3">
        <f t="shared" si="1"/>
        <v>44252</v>
      </c>
      <c r="U2" s="3">
        <f>U25</f>
        <v>44253</v>
      </c>
      <c r="V2" s="3" t="str">
        <f>V25</f>
        <v>Total Geral</v>
      </c>
    </row>
    <row r="3" spans="1:22" ht="15" customHeight="1" thickBo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22" ht="15" customHeight="1" thickTop="1" thickBot="1" x14ac:dyDescent="0.25">
      <c r="A4" s="7" t="s">
        <v>40</v>
      </c>
      <c r="B4" s="69">
        <f>Fluxo_01_21!V35</f>
        <v>-10571.35999999999</v>
      </c>
      <c r="C4" s="68">
        <f>B34</f>
        <v>127125.16000000002</v>
      </c>
      <c r="D4" s="8">
        <f>C34</f>
        <v>161121.34000000003</v>
      </c>
      <c r="E4" s="8">
        <f>D34</f>
        <v>7596.8400000000256</v>
      </c>
      <c r="F4" s="8">
        <f>E34</f>
        <v>-12432.059999999976</v>
      </c>
      <c r="G4" s="8">
        <f>F34</f>
        <v>-9064.3499999999767</v>
      </c>
      <c r="H4" s="8">
        <f t="shared" ref="H4:T4" si="2">G34</f>
        <v>39917.590000000026</v>
      </c>
      <c r="I4" s="8">
        <f t="shared" si="2"/>
        <v>20161.470000000027</v>
      </c>
      <c r="J4" s="8">
        <f t="shared" si="2"/>
        <v>4956.9400000000278</v>
      </c>
      <c r="K4" s="8">
        <f t="shared" si="2"/>
        <v>4374.8800000000283</v>
      </c>
      <c r="L4" s="8">
        <f t="shared" si="2"/>
        <v>-10735.509999999971</v>
      </c>
      <c r="M4" s="8">
        <f t="shared" si="2"/>
        <v>-10985.509999999971</v>
      </c>
      <c r="N4" s="8">
        <f t="shared" si="2"/>
        <v>-11049.509999999971</v>
      </c>
      <c r="O4" s="8">
        <f t="shared" si="2"/>
        <v>3172.0300000000279</v>
      </c>
      <c r="P4" s="8">
        <f t="shared" si="2"/>
        <v>2490.5300000000279</v>
      </c>
      <c r="Q4" s="8">
        <f t="shared" si="2"/>
        <v>32136.640000000021</v>
      </c>
      <c r="R4" s="8">
        <f t="shared" si="2"/>
        <v>8789.8800000000192</v>
      </c>
      <c r="S4" s="8">
        <f t="shared" si="2"/>
        <v>20161.790000000019</v>
      </c>
      <c r="T4" s="8">
        <f t="shared" si="2"/>
        <v>6935.7000000000189</v>
      </c>
      <c r="U4" s="8">
        <f>T34</f>
        <v>11093.430000000022</v>
      </c>
      <c r="V4" s="8">
        <f>U34</f>
        <v>25852.980000000018</v>
      </c>
    </row>
    <row r="5" spans="1:22" ht="15" customHeight="1" thickTop="1" x14ac:dyDescent="0.2">
      <c r="A5" s="9"/>
      <c r="B5" s="10">
        <f t="shared" ref="B5:T5" si="3">WEEKDAY(B2)</f>
        <v>2</v>
      </c>
      <c r="C5" s="10">
        <f t="shared" si="3"/>
        <v>3</v>
      </c>
      <c r="D5" s="10">
        <f t="shared" si="3"/>
        <v>4</v>
      </c>
      <c r="E5" s="10">
        <f t="shared" si="3"/>
        <v>5</v>
      </c>
      <c r="F5" s="10">
        <f t="shared" si="3"/>
        <v>6</v>
      </c>
      <c r="G5" s="10">
        <f t="shared" si="3"/>
        <v>2</v>
      </c>
      <c r="H5" s="10">
        <f t="shared" si="3"/>
        <v>3</v>
      </c>
      <c r="I5" s="10">
        <f t="shared" si="3"/>
        <v>4</v>
      </c>
      <c r="J5" s="10">
        <f t="shared" si="3"/>
        <v>5</v>
      </c>
      <c r="K5" s="10">
        <f t="shared" si="3"/>
        <v>6</v>
      </c>
      <c r="L5" s="10">
        <f t="shared" si="3"/>
        <v>2</v>
      </c>
      <c r="M5" s="10">
        <f t="shared" si="3"/>
        <v>3</v>
      </c>
      <c r="N5" s="10">
        <f t="shared" si="3"/>
        <v>4</v>
      </c>
      <c r="O5" s="10">
        <f t="shared" si="3"/>
        <v>5</v>
      </c>
      <c r="P5" s="10">
        <f t="shared" si="3"/>
        <v>6</v>
      </c>
      <c r="Q5" s="10">
        <f t="shared" si="3"/>
        <v>2</v>
      </c>
      <c r="R5" s="10">
        <f t="shared" si="3"/>
        <v>3</v>
      </c>
      <c r="S5" s="10">
        <f t="shared" si="3"/>
        <v>4</v>
      </c>
      <c r="T5" s="10">
        <f t="shared" si="3"/>
        <v>5</v>
      </c>
      <c r="U5" s="10">
        <f>WEEKDAY(U2)</f>
        <v>6</v>
      </c>
      <c r="V5" s="10" t="e">
        <f>WEEKDAY(V2)</f>
        <v>#VALUE!</v>
      </c>
    </row>
    <row r="6" spans="1:22" ht="15" customHeight="1" x14ac:dyDescent="0.2">
      <c r="A6" s="20" t="s">
        <v>3</v>
      </c>
      <c r="B6" s="23">
        <f t="shared" ref="B6:T6" si="4">SUM(B7:B22)</f>
        <v>142490.29</v>
      </c>
      <c r="C6" s="23">
        <f t="shared" si="4"/>
        <v>35930.83</v>
      </c>
      <c r="D6" s="23">
        <f t="shared" si="4"/>
        <v>0</v>
      </c>
      <c r="E6" s="23">
        <f t="shared" si="4"/>
        <v>28085.33</v>
      </c>
      <c r="F6" s="23">
        <f t="shared" si="4"/>
        <v>41095.01</v>
      </c>
      <c r="G6" s="23">
        <f t="shared" si="4"/>
        <v>107774.36</v>
      </c>
      <c r="H6" s="23">
        <f t="shared" si="4"/>
        <v>0</v>
      </c>
      <c r="I6" s="23">
        <f t="shared" si="4"/>
        <v>0</v>
      </c>
      <c r="J6" s="23">
        <f t="shared" si="4"/>
        <v>5971.31</v>
      </c>
      <c r="K6" s="23">
        <f t="shared" si="4"/>
        <v>0</v>
      </c>
      <c r="L6" s="23">
        <f t="shared" si="4"/>
        <v>0</v>
      </c>
      <c r="M6" s="23">
        <f t="shared" si="4"/>
        <v>0</v>
      </c>
      <c r="N6" s="23">
        <f t="shared" si="4"/>
        <v>38567.65</v>
      </c>
      <c r="O6" s="23">
        <f t="shared" si="4"/>
        <v>8000</v>
      </c>
      <c r="P6" s="23">
        <f t="shared" si="4"/>
        <v>62602.189999999995</v>
      </c>
      <c r="Q6" s="23">
        <f t="shared" si="4"/>
        <v>13326.85</v>
      </c>
      <c r="R6" s="23">
        <f t="shared" si="4"/>
        <v>14365.5</v>
      </c>
      <c r="S6" s="23">
        <f t="shared" si="4"/>
        <v>0</v>
      </c>
      <c r="T6" s="23">
        <f t="shared" si="4"/>
        <v>28210.33</v>
      </c>
      <c r="U6" s="23">
        <f>SUM(U7:U22)</f>
        <v>40280.81</v>
      </c>
      <c r="V6" s="23">
        <f>SUM(V7:V22)</f>
        <v>0</v>
      </c>
    </row>
    <row r="7" spans="1:22" ht="15" customHeight="1" x14ac:dyDescent="0.2">
      <c r="A7" t="s">
        <v>1820</v>
      </c>
      <c r="B7" s="104">
        <f>12636+11747.84+2100+1576-869.55</f>
        <v>27190.29</v>
      </c>
      <c r="C7" s="106">
        <v>14021</v>
      </c>
      <c r="D7"/>
      <c r="E7"/>
      <c r="F7"/>
      <c r="G7"/>
      <c r="H7"/>
      <c r="I7" s="106"/>
      <c r="J7" s="15"/>
      <c r="K7" s="15"/>
      <c r="L7" s="15"/>
      <c r="M7" s="15"/>
      <c r="N7" s="104">
        <f>2630+1232</f>
        <v>3862</v>
      </c>
      <c r="O7" s="104">
        <f>8000</f>
        <v>8000</v>
      </c>
      <c r="P7" s="110">
        <v>9599.99</v>
      </c>
      <c r="Q7" s="110">
        <v>13326.85</v>
      </c>
      <c r="R7" s="15"/>
      <c r="S7" s="74"/>
      <c r="T7" s="74">
        <f>19495</f>
        <v>19495</v>
      </c>
    </row>
    <row r="8" spans="1:22" ht="15" customHeight="1" x14ac:dyDescent="0.2">
      <c r="A8" t="s">
        <v>1820</v>
      </c>
      <c r="B8" s="12"/>
      <c r="C8" s="12"/>
      <c r="E8" s="74">
        <v>21485.33</v>
      </c>
      <c r="F8" s="74">
        <v>21291.31</v>
      </c>
      <c r="G8" s="15"/>
      <c r="I8" s="15"/>
      <c r="J8" s="15"/>
      <c r="N8" s="104"/>
      <c r="P8" s="1"/>
      <c r="Q8" s="15"/>
      <c r="R8" s="94"/>
      <c r="S8" s="15"/>
      <c r="T8" s="15"/>
      <c r="U8" s="1"/>
    </row>
    <row r="9" spans="1:22" ht="15" customHeight="1" x14ac:dyDescent="0.2">
      <c r="A9" t="s">
        <v>1808</v>
      </c>
      <c r="B9" s="104">
        <f>4800+19000+91500</f>
        <v>115300</v>
      </c>
      <c r="C9" s="104">
        <v>21909.83</v>
      </c>
      <c r="G9" s="109">
        <v>49414.36</v>
      </c>
      <c r="M9" s="1"/>
      <c r="N9" s="104">
        <v>2620</v>
      </c>
      <c r="O9" s="105"/>
      <c r="P9" s="106">
        <f>14012+7800</f>
        <v>21812</v>
      </c>
      <c r="Q9" s="15"/>
      <c r="R9" s="15"/>
      <c r="S9" s="15"/>
      <c r="T9" s="1"/>
      <c r="U9" s="112">
        <v>31544.81</v>
      </c>
    </row>
    <row r="10" spans="1:22" ht="15" customHeight="1" x14ac:dyDescent="0.2">
      <c r="A10" t="s">
        <v>1809</v>
      </c>
      <c r="C10"/>
      <c r="D10" s="15"/>
      <c r="G10" s="15"/>
      <c r="H10" s="15"/>
      <c r="I10" s="15"/>
      <c r="J10" s="15"/>
      <c r="K10" s="15"/>
      <c r="L10" s="15"/>
      <c r="M10" s="15"/>
      <c r="N10" s="74"/>
      <c r="P10" s="15"/>
      <c r="Q10" s="15"/>
      <c r="R10" s="15"/>
      <c r="S10" s="15"/>
      <c r="T10" s="15"/>
      <c r="U10" s="106">
        <v>8736</v>
      </c>
    </row>
    <row r="11" spans="1:22" ht="15" customHeight="1" x14ac:dyDescent="0.2">
      <c r="A11" t="s">
        <v>1810</v>
      </c>
      <c r="B11" s="14"/>
      <c r="D11" s="15"/>
      <c r="E11" s="15"/>
      <c r="F11" s="15"/>
      <c r="G11" s="74">
        <v>55000</v>
      </c>
      <c r="H11" s="15"/>
      <c r="I11" s="15"/>
      <c r="J11" s="15"/>
      <c r="K11" s="15"/>
      <c r="L11" s="15"/>
      <c r="M11" s="15"/>
      <c r="N11" s="74">
        <f>830</f>
        <v>830</v>
      </c>
      <c r="O11" s="15"/>
      <c r="P11" s="15"/>
      <c r="Q11" s="14"/>
      <c r="R11" s="15"/>
    </row>
    <row r="12" spans="1:22" ht="15" customHeight="1" x14ac:dyDescent="0.2">
      <c r="A12" t="s">
        <v>1811</v>
      </c>
      <c r="C12"/>
      <c r="E12" s="15"/>
      <c r="F12" s="15"/>
      <c r="G12" s="15"/>
      <c r="H12" s="15"/>
      <c r="I12" s="15"/>
      <c r="J12" s="106">
        <v>384.96</v>
      </c>
      <c r="L12" s="15"/>
      <c r="O12" s="15"/>
      <c r="P12" s="106">
        <v>2570.56</v>
      </c>
    </row>
    <row r="13" spans="1:22" ht="15" customHeight="1" x14ac:dyDescent="0.2">
      <c r="A13" t="s">
        <v>1812</v>
      </c>
      <c r="B13" s="15"/>
      <c r="C13" s="15"/>
      <c r="D13" s="15"/>
      <c r="E13" s="15"/>
      <c r="F13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74">
        <v>14365.5</v>
      </c>
      <c r="S13" s="15"/>
      <c r="T13" s="15"/>
    </row>
    <row r="14" spans="1:22" ht="15" customHeight="1" x14ac:dyDescent="0.2">
      <c r="A14" t="s">
        <v>1813</v>
      </c>
      <c r="B14"/>
      <c r="C14"/>
      <c r="D14" s="15"/>
      <c r="E14" s="15"/>
      <c r="F14" s="15"/>
      <c r="G14" s="15"/>
      <c r="H14" s="15"/>
      <c r="I14" s="15"/>
      <c r="J14" s="110">
        <v>5586.35</v>
      </c>
      <c r="K14" s="15"/>
      <c r="L14" s="15"/>
      <c r="M14" s="15"/>
      <c r="N14" s="74">
        <f>6042.65</f>
        <v>6042.65</v>
      </c>
      <c r="O14" s="15"/>
      <c r="P14" s="112">
        <v>24535.64</v>
      </c>
      <c r="Q14" s="15"/>
      <c r="R14" s="15"/>
      <c r="T14" s="112">
        <v>5580.33</v>
      </c>
    </row>
    <row r="15" spans="1:22" ht="15" customHeight="1" x14ac:dyDescent="0.2">
      <c r="A15" t="s">
        <v>1821</v>
      </c>
      <c r="B15"/>
      <c r="C15"/>
      <c r="J15" s="15"/>
      <c r="K15" s="15"/>
      <c r="L15" s="15"/>
      <c r="M15" s="15"/>
      <c r="N15" s="74">
        <f>4040+3150+4080+2317+2310+2390+6926</f>
        <v>25213</v>
      </c>
      <c r="O15" s="15"/>
      <c r="P15" s="74">
        <v>4084</v>
      </c>
      <c r="Q15" s="15"/>
      <c r="R15" s="15"/>
      <c r="S15" s="15"/>
      <c r="T15" s="15"/>
    </row>
    <row r="16" spans="1:22" ht="15" customHeight="1" x14ac:dyDescent="0.2">
      <c r="A16" t="s">
        <v>1822</v>
      </c>
      <c r="B16"/>
      <c r="C16"/>
      <c r="D16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74">
        <f>3135</f>
        <v>3135</v>
      </c>
    </row>
    <row r="17" spans="1:31" ht="15" customHeight="1" x14ac:dyDescent="0.2">
      <c r="A17" t="s">
        <v>1823</v>
      </c>
      <c r="B17"/>
      <c r="C17"/>
      <c r="D17"/>
      <c r="E17"/>
      <c r="F17" s="106">
        <v>19803.7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31" ht="15" customHeight="1" x14ac:dyDescent="0.2">
      <c r="A18" t="s">
        <v>1412</v>
      </c>
      <c r="D18" s="13"/>
      <c r="E18" s="104">
        <v>2700</v>
      </c>
      <c r="F18" s="15"/>
      <c r="G18" s="15"/>
      <c r="I18" s="15"/>
      <c r="J18" s="15"/>
      <c r="M18" s="15"/>
      <c r="N18" s="15"/>
      <c r="O18" s="15"/>
      <c r="P18" s="41"/>
      <c r="R18" s="15"/>
      <c r="S18" s="15"/>
      <c r="T18" s="41"/>
    </row>
    <row r="19" spans="1:31" ht="15" customHeight="1" x14ac:dyDescent="0.2">
      <c r="A19" t="s">
        <v>1824</v>
      </c>
      <c r="E19" s="107">
        <v>3900</v>
      </c>
      <c r="F19" s="15"/>
      <c r="G19" s="15"/>
      <c r="I19" s="15"/>
      <c r="J19" s="15"/>
      <c r="K19" s="15"/>
      <c r="M19" s="15"/>
      <c r="N19" s="1"/>
      <c r="O19" s="14"/>
      <c r="P19" s="41"/>
      <c r="R19" s="15"/>
      <c r="S19" s="15"/>
      <c r="T19" s="41"/>
    </row>
    <row r="20" spans="1:31" ht="15" customHeight="1" x14ac:dyDescent="0.2">
      <c r="A20" t="s">
        <v>1816</v>
      </c>
      <c r="E20" s="107"/>
      <c r="F20" s="15"/>
      <c r="G20" s="104">
        <v>3360</v>
      </c>
      <c r="I20" s="15"/>
      <c r="J20" s="14"/>
      <c r="K20" s="15"/>
      <c r="M20" s="15"/>
      <c r="N20" s="1"/>
      <c r="O20" s="14"/>
      <c r="P20" s="41"/>
      <c r="R20" s="15"/>
      <c r="S20" s="15"/>
      <c r="T20" s="41"/>
    </row>
    <row r="21" spans="1:31" ht="15" customHeight="1" x14ac:dyDescent="0.2">
      <c r="D21" s="13"/>
      <c r="E21" s="47"/>
      <c r="F21" s="74"/>
      <c r="G21" s="15"/>
      <c r="I21" s="15"/>
      <c r="J21" s="14"/>
      <c r="M21" s="15"/>
      <c r="N21" s="15"/>
      <c r="P21" s="19"/>
      <c r="R21" s="15"/>
      <c r="S21" s="15"/>
      <c r="T21" s="12"/>
    </row>
    <row r="22" spans="1:31" ht="15" customHeight="1" x14ac:dyDescent="0.2">
      <c r="A22" s="12"/>
      <c r="B22"/>
      <c r="C22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1:31" ht="15" customHeight="1" x14ac:dyDescent="0.2">
      <c r="A23" s="21" t="s">
        <v>54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spans="1:31" ht="15" customHeight="1" x14ac:dyDescent="0.2">
      <c r="A24" s="80" t="s">
        <v>62</v>
      </c>
      <c r="B24" s="80" t="s">
        <v>42</v>
      </c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2"/>
    </row>
    <row r="25" spans="1:31" ht="15" customHeight="1" x14ac:dyDescent="0.2">
      <c r="A25" s="80" t="s">
        <v>50</v>
      </c>
      <c r="B25" s="83">
        <v>44228</v>
      </c>
      <c r="C25" s="84">
        <v>44229</v>
      </c>
      <c r="D25" s="84">
        <v>44230</v>
      </c>
      <c r="E25" s="84">
        <v>44231</v>
      </c>
      <c r="F25" s="84">
        <v>44232</v>
      </c>
      <c r="G25" s="84">
        <v>44235</v>
      </c>
      <c r="H25" s="84">
        <v>44236</v>
      </c>
      <c r="I25" s="84">
        <v>44237</v>
      </c>
      <c r="J25" s="84">
        <v>44238</v>
      </c>
      <c r="K25" s="84">
        <v>44239</v>
      </c>
      <c r="L25" s="84">
        <v>44242</v>
      </c>
      <c r="M25" s="84">
        <v>44243</v>
      </c>
      <c r="N25" s="84">
        <v>44244</v>
      </c>
      <c r="O25" s="84">
        <v>44245</v>
      </c>
      <c r="P25" s="84">
        <v>44246</v>
      </c>
      <c r="Q25" s="84">
        <v>44249</v>
      </c>
      <c r="R25" s="84">
        <v>44250</v>
      </c>
      <c r="S25" s="84">
        <v>44251</v>
      </c>
      <c r="T25" s="84">
        <v>44252</v>
      </c>
      <c r="U25" s="84">
        <v>44253</v>
      </c>
      <c r="V25" s="85" t="s">
        <v>71</v>
      </c>
    </row>
    <row r="26" spans="1:31" s="11" customFormat="1" ht="15" customHeight="1" x14ac:dyDescent="0.2">
      <c r="A26" s="86" t="s">
        <v>63</v>
      </c>
      <c r="B26" s="86"/>
      <c r="C26" s="87"/>
      <c r="D26" s="87">
        <v>300</v>
      </c>
      <c r="E26" s="87"/>
      <c r="F26" s="87">
        <v>1228.5</v>
      </c>
      <c r="G26" s="87">
        <v>160.62</v>
      </c>
      <c r="H26" s="87">
        <v>8225</v>
      </c>
      <c r="I26" s="87"/>
      <c r="J26" s="87"/>
      <c r="K26" s="87">
        <v>1249.6099999999999</v>
      </c>
      <c r="L26" s="87"/>
      <c r="M26" s="87"/>
      <c r="N26" s="87"/>
      <c r="O26" s="87">
        <v>2300</v>
      </c>
      <c r="P26" s="87">
        <v>3698.73</v>
      </c>
      <c r="Q26" s="87">
        <v>645.61</v>
      </c>
      <c r="R26" s="87"/>
      <c r="S26" s="87"/>
      <c r="T26" s="87">
        <v>2500</v>
      </c>
      <c r="U26" s="87">
        <v>6425.25</v>
      </c>
      <c r="V26" s="85">
        <v>26733.32</v>
      </c>
      <c r="W26"/>
      <c r="X26"/>
      <c r="Y26"/>
      <c r="Z26"/>
      <c r="AA26"/>
      <c r="AB26"/>
      <c r="AC26"/>
      <c r="AD26"/>
      <c r="AE26"/>
    </row>
    <row r="27" spans="1:31" s="11" customFormat="1" ht="15" customHeight="1" x14ac:dyDescent="0.2">
      <c r="A27" s="88" t="s">
        <v>1817</v>
      </c>
      <c r="B27" s="88">
        <v>4006.27</v>
      </c>
      <c r="C27"/>
      <c r="D27"/>
      <c r="E27"/>
      <c r="F27">
        <v>88</v>
      </c>
      <c r="G27">
        <v>8263</v>
      </c>
      <c r="H27">
        <v>3458.67</v>
      </c>
      <c r="I27">
        <v>90</v>
      </c>
      <c r="J27">
        <v>1101.44</v>
      </c>
      <c r="K27">
        <v>3220.3100000000004</v>
      </c>
      <c r="L27">
        <v>250</v>
      </c>
      <c r="M27">
        <v>64</v>
      </c>
      <c r="N27">
        <v>14585.14</v>
      </c>
      <c r="O27">
        <v>110</v>
      </c>
      <c r="P27">
        <v>3441.15</v>
      </c>
      <c r="Q27">
        <v>10037.049999999999</v>
      </c>
      <c r="R27">
        <v>1331.25</v>
      </c>
      <c r="S27">
        <v>2203.79</v>
      </c>
      <c r="T27"/>
      <c r="U27">
        <v>4630</v>
      </c>
      <c r="V27" s="89">
        <v>56880.07</v>
      </c>
      <c r="W27"/>
      <c r="X27"/>
      <c r="Y27"/>
      <c r="Z27"/>
      <c r="AA27"/>
      <c r="AB27"/>
      <c r="AC27"/>
      <c r="AD27"/>
      <c r="AE27"/>
    </row>
    <row r="28" spans="1:31" s="11" customFormat="1" ht="15" customHeight="1" x14ac:dyDescent="0.2">
      <c r="A28" s="88" t="s">
        <v>1825</v>
      </c>
      <c r="B28" s="88"/>
      <c r="C28"/>
      <c r="D28"/>
      <c r="E28"/>
      <c r="F28"/>
      <c r="G28"/>
      <c r="H28"/>
      <c r="I28"/>
      <c r="J28"/>
      <c r="K28"/>
      <c r="L28"/>
      <c r="M28"/>
      <c r="N28"/>
      <c r="O28"/>
      <c r="P28">
        <v>1278.05</v>
      </c>
      <c r="Q28"/>
      <c r="R28"/>
      <c r="S28"/>
      <c r="T28"/>
      <c r="U28"/>
      <c r="V28" s="89">
        <v>1278.05</v>
      </c>
      <c r="W28"/>
      <c r="X28"/>
      <c r="Y28"/>
      <c r="Z28"/>
      <c r="AA28"/>
      <c r="AB28"/>
      <c r="AC28"/>
      <c r="AD28"/>
      <c r="AE28"/>
    </row>
    <row r="29" spans="1:31" s="11" customFormat="1" ht="15" customHeight="1" x14ac:dyDescent="0.2">
      <c r="A29" s="88" t="s">
        <v>1818</v>
      </c>
      <c r="B29" s="88"/>
      <c r="C29"/>
      <c r="D29"/>
      <c r="E29"/>
      <c r="F29"/>
      <c r="G29"/>
      <c r="H29"/>
      <c r="I29"/>
      <c r="J29"/>
      <c r="K29"/>
      <c r="L29"/>
      <c r="M29"/>
      <c r="N29">
        <v>3594.05</v>
      </c>
      <c r="O29"/>
      <c r="P29"/>
      <c r="Q29"/>
      <c r="R29">
        <v>378.23</v>
      </c>
      <c r="S29"/>
      <c r="T29"/>
      <c r="U29"/>
      <c r="V29" s="89">
        <v>3972.28</v>
      </c>
      <c r="W29"/>
      <c r="X29"/>
      <c r="Y29"/>
      <c r="Z29"/>
      <c r="AA29"/>
      <c r="AB29"/>
      <c r="AC29"/>
      <c r="AD29"/>
      <c r="AE29"/>
    </row>
    <row r="30" spans="1:31" s="11" customFormat="1" ht="15" customHeight="1" x14ac:dyDescent="0.2">
      <c r="A30" s="88" t="s">
        <v>1819</v>
      </c>
      <c r="B30" s="88">
        <v>787.5</v>
      </c>
      <c r="C30">
        <v>1934.6499999999999</v>
      </c>
      <c r="D30">
        <v>153224.5</v>
      </c>
      <c r="E30">
        <v>48114.23</v>
      </c>
      <c r="F30">
        <v>36410.800000000003</v>
      </c>
      <c r="G30">
        <v>50368.799999999996</v>
      </c>
      <c r="H30">
        <v>8072.45</v>
      </c>
      <c r="I30">
        <v>15114.529999999999</v>
      </c>
      <c r="J30">
        <v>5451.93</v>
      </c>
      <c r="K30">
        <v>10640.47</v>
      </c>
      <c r="L30">
        <v>0</v>
      </c>
      <c r="M30"/>
      <c r="N30">
        <v>6166.92</v>
      </c>
      <c r="O30">
        <v>6271.5</v>
      </c>
      <c r="P30">
        <v>24538.150000000005</v>
      </c>
      <c r="Q30">
        <v>25990.950000000004</v>
      </c>
      <c r="R30">
        <v>1284.1100000000001</v>
      </c>
      <c r="S30">
        <v>11022.3</v>
      </c>
      <c r="T30">
        <v>21552.6</v>
      </c>
      <c r="U30">
        <v>14466.01</v>
      </c>
      <c r="V30" s="89">
        <v>441412.39999999991</v>
      </c>
      <c r="W30"/>
      <c r="X30"/>
      <c r="Y30"/>
      <c r="Z30"/>
      <c r="AA30"/>
      <c r="AB30"/>
      <c r="AC30"/>
      <c r="AD30"/>
      <c r="AE30"/>
    </row>
    <row r="31" spans="1:31" s="11" customFormat="1" ht="15" customHeight="1" x14ac:dyDescent="0.2">
      <c r="A31" s="90" t="s">
        <v>71</v>
      </c>
      <c r="B31" s="90">
        <v>4793.7700000000004</v>
      </c>
      <c r="C31" s="91">
        <v>1934.6499999999999</v>
      </c>
      <c r="D31" s="91">
        <v>153524.5</v>
      </c>
      <c r="E31" s="91">
        <v>48114.23</v>
      </c>
      <c r="F31" s="91">
        <v>37727.300000000003</v>
      </c>
      <c r="G31" s="91">
        <v>58792.42</v>
      </c>
      <c r="H31" s="91">
        <v>19756.12</v>
      </c>
      <c r="I31" s="91">
        <v>15204.529999999999</v>
      </c>
      <c r="J31" s="91">
        <v>6553.3700000000008</v>
      </c>
      <c r="K31" s="91">
        <v>15110.39</v>
      </c>
      <c r="L31" s="91">
        <v>250</v>
      </c>
      <c r="M31" s="91">
        <v>64</v>
      </c>
      <c r="N31" s="91">
        <v>24346.11</v>
      </c>
      <c r="O31" s="91">
        <v>8681.5</v>
      </c>
      <c r="P31" s="91">
        <v>32956.080000000002</v>
      </c>
      <c r="Q31" s="91">
        <v>36673.61</v>
      </c>
      <c r="R31" s="91">
        <v>2993.59</v>
      </c>
      <c r="S31" s="91">
        <v>13226.09</v>
      </c>
      <c r="T31" s="91">
        <v>24052.6</v>
      </c>
      <c r="U31" s="91">
        <v>25521.260000000002</v>
      </c>
      <c r="V31" s="92">
        <v>530276.11999999988</v>
      </c>
      <c r="W31"/>
      <c r="X31"/>
      <c r="Y31"/>
      <c r="Z31"/>
      <c r="AA31"/>
      <c r="AB31"/>
      <c r="AC31"/>
      <c r="AD31"/>
      <c r="AE31"/>
    </row>
    <row r="32" spans="1:31" s="11" customFormat="1" ht="15" customHeigh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pans="1:31" s="11" customFormat="1" ht="15" customHeight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</row>
    <row r="34" spans="1:31" s="25" customFormat="1" ht="15" customHeight="1" thickBot="1" x14ac:dyDescent="0.25">
      <c r="A34" s="24" t="s">
        <v>35</v>
      </c>
      <c r="B34" s="24">
        <f>B4+B6-GETPIVOTDATA("valor",$A$24,"Pagto.",DATE(2021,2,1))</f>
        <v>127125.16000000002</v>
      </c>
      <c r="C34" s="24">
        <f>C4+C6-GETPIVOTDATA("valor",$A$24,"Pagto.",DATE(2021,2,2))</f>
        <v>161121.34000000003</v>
      </c>
      <c r="D34" s="24">
        <f>D4+D6-GETPIVOTDATA("valor",$A$24,"Pagto.",DATE(2021,2,3))</f>
        <v>7596.8400000000256</v>
      </c>
      <c r="E34" s="24">
        <f>E4+E6-GETPIVOTDATA("valor",$A$24,"Pagto.",DATE(2021,2,4))</f>
        <v>-12432.059999999976</v>
      </c>
      <c r="F34" s="24">
        <f>F4+F6-GETPIVOTDATA("valor",$A$24,"Pagto.",DATE(2021,2,5))</f>
        <v>-9064.3499999999767</v>
      </c>
      <c r="G34" s="24">
        <f>G4+G6-GETPIVOTDATA("valor",$A$24,"Pagto.",DATE(2021,2,8))</f>
        <v>39917.590000000026</v>
      </c>
      <c r="H34" s="24">
        <f>H4+H6-GETPIVOTDATA("valor",$A$24,"Pagto.",DATE(2021,2,9))</f>
        <v>20161.470000000027</v>
      </c>
      <c r="I34" s="24">
        <f>I4+I6-GETPIVOTDATA("valor",$A$24,"Pagto.",DATE(2021,2,10))</f>
        <v>4956.9400000000278</v>
      </c>
      <c r="J34" s="24">
        <f>J4+J6-GETPIVOTDATA("valor",$A$24,"Pagto.",DATE(2021,2,11))</f>
        <v>4374.8800000000283</v>
      </c>
      <c r="K34" s="24">
        <f>K4+K6-GETPIVOTDATA("valor",$A$24,"Pagto.",DATE(2021,2,12))</f>
        <v>-10735.509999999971</v>
      </c>
      <c r="L34" s="24">
        <f>L4+L6-GETPIVOTDATA("valor",$A$24,"Pagto.",DATE(2021,2,15))</f>
        <v>-10985.509999999971</v>
      </c>
      <c r="M34" s="24">
        <f>M4+M6-GETPIVOTDATA("valor",$A$24,"Pagto.",DATE(2021,2,16))</f>
        <v>-11049.509999999971</v>
      </c>
      <c r="N34" s="24">
        <f>N4+N6-GETPIVOTDATA("valor",$A$24,"Pagto.",DATE(2021,2,17))</f>
        <v>3172.0300000000279</v>
      </c>
      <c r="O34" s="24">
        <f>O4+O6-GETPIVOTDATA("valor",$A$24,"Pagto.",DATE(2021,2,18))</f>
        <v>2490.5300000000279</v>
      </c>
      <c r="P34" s="24">
        <f>P4+P6-GETPIVOTDATA("valor",$A$24,"Pagto.",DATE(2021,2,19))</f>
        <v>32136.640000000021</v>
      </c>
      <c r="Q34" s="24">
        <f>Q4+Q6-GETPIVOTDATA("valor",$A$24,"Pagto.",DATE(2021,2,22))</f>
        <v>8789.8800000000192</v>
      </c>
      <c r="R34" s="24">
        <f>R4+R6-GETPIVOTDATA("valor",$A$24,"Pagto.",DATE(2021,2,23))</f>
        <v>20161.790000000019</v>
      </c>
      <c r="S34" s="24">
        <f>S4+S6-GETPIVOTDATA("valor",$A$24,"Pagto.",DATE(2021,2,24))</f>
        <v>6935.7000000000189</v>
      </c>
      <c r="T34" s="24">
        <f>T4+T6-GETPIVOTDATA("valor",$A$24,"Pagto.",DATE(2021,2,25))</f>
        <v>11093.430000000022</v>
      </c>
      <c r="U34" s="24">
        <f>U4+U6-GETPIVOTDATA("valor",$A$24,"Pagto.",DATE(2021,2,26))</f>
        <v>25852.980000000018</v>
      </c>
      <c r="V34" s="24"/>
    </row>
    <row r="35" spans="1:31" ht="15" customHeight="1" thickTop="1" x14ac:dyDescent="0.2">
      <c r="B35"/>
      <c r="C35"/>
      <c r="D35"/>
      <c r="E35"/>
      <c r="F35"/>
      <c r="G35"/>
      <c r="H35"/>
      <c r="I35"/>
      <c r="J35"/>
      <c r="K35"/>
      <c r="L35"/>
    </row>
    <row r="36" spans="1:31" ht="15" customHeight="1" x14ac:dyDescent="0.2">
      <c r="B36"/>
      <c r="C36"/>
      <c r="D36"/>
      <c r="E36"/>
      <c r="F36"/>
      <c r="G36"/>
      <c r="H36"/>
      <c r="I36"/>
    </row>
    <row r="37" spans="1:31" ht="15" customHeight="1" x14ac:dyDescent="0.2">
      <c r="B37"/>
      <c r="C37"/>
      <c r="D37"/>
      <c r="E37"/>
      <c r="F37"/>
      <c r="G37"/>
      <c r="H37"/>
      <c r="I37"/>
    </row>
    <row r="38" spans="1:31" ht="15" customHeight="1" x14ac:dyDescent="0.2">
      <c r="B38"/>
      <c r="C38"/>
      <c r="D38"/>
      <c r="E38"/>
      <c r="F38"/>
      <c r="G38"/>
      <c r="H38"/>
      <c r="I38"/>
    </row>
    <row r="39" spans="1:31" ht="15" customHeight="1" x14ac:dyDescent="0.2">
      <c r="B39"/>
      <c r="C39"/>
      <c r="D39"/>
      <c r="E39"/>
      <c r="F39"/>
      <c r="G39"/>
      <c r="H39"/>
      <c r="I39"/>
    </row>
    <row r="40" spans="1:31" ht="15" customHeight="1" x14ac:dyDescent="0.2">
      <c r="B40"/>
      <c r="C40"/>
      <c r="D40"/>
      <c r="E40"/>
      <c r="F40"/>
      <c r="G40"/>
      <c r="H40"/>
      <c r="I40"/>
    </row>
    <row r="41" spans="1:31" ht="15" customHeight="1" x14ac:dyDescent="0.2">
      <c r="B41"/>
      <c r="C41"/>
      <c r="D41"/>
      <c r="E41"/>
      <c r="F41"/>
      <c r="G41"/>
      <c r="H41"/>
      <c r="I41"/>
    </row>
    <row r="42" spans="1:31" ht="15" customHeight="1" x14ac:dyDescent="0.2">
      <c r="B42"/>
      <c r="C42"/>
      <c r="D42"/>
      <c r="E42"/>
      <c r="F42"/>
      <c r="G42"/>
      <c r="H42"/>
      <c r="I42"/>
    </row>
    <row r="43" spans="1:31" ht="15" customHeight="1" x14ac:dyDescent="0.2">
      <c r="B43"/>
      <c r="C43"/>
      <c r="D43"/>
      <c r="E43"/>
      <c r="F43"/>
      <c r="G43"/>
      <c r="H43"/>
      <c r="I43"/>
    </row>
    <row r="44" spans="1:31" ht="15" customHeight="1" x14ac:dyDescent="0.2">
      <c r="B44"/>
      <c r="C44"/>
      <c r="D44"/>
      <c r="E44"/>
      <c r="F44"/>
      <c r="G44"/>
      <c r="H44"/>
      <c r="I44"/>
    </row>
    <row r="45" spans="1:31" ht="15" customHeight="1" x14ac:dyDescent="0.2">
      <c r="B45"/>
      <c r="C45"/>
      <c r="D45"/>
      <c r="E45"/>
      <c r="F45"/>
      <c r="G45"/>
      <c r="H45"/>
      <c r="I45"/>
    </row>
    <row r="46" spans="1:31" ht="15" customHeight="1" x14ac:dyDescent="0.2">
      <c r="B46"/>
      <c r="C46"/>
      <c r="D46"/>
      <c r="E46"/>
      <c r="F46"/>
      <c r="G46"/>
      <c r="H46"/>
      <c r="I46"/>
    </row>
  </sheetData>
  <conditionalFormatting sqref="A32 A34:XFD34 A4:XFD4">
    <cfRule type="cellIs" dxfId="5" priority="5" stopIfTrue="1" operator="lessThan">
      <formula>0</formula>
    </cfRule>
  </conditionalFormatting>
  <conditionalFormatting sqref="A1:XFD1">
    <cfRule type="cellIs" dxfId="4" priority="3" stopIfTrue="1" operator="equal">
      <formula>"Sábado"</formula>
    </cfRule>
    <cfRule type="cellIs" dxfId="3" priority="4" stopIfTrue="1" operator="equal">
      <formula>"Domingo"</formula>
    </cfRule>
  </conditionalFormatting>
  <pageMargins left="0.15748031496062992" right="0.19685039370078741" top="0.98425196850393704" bottom="0.98425196850393704" header="0.51181102362204722" footer="0.51181102362204722"/>
  <pageSetup paperSize="9" scale="67" firstPageNumber="0" orientation="landscape" horizontalDpi="300" verticalDpi="300" r:id="rId2"/>
  <headerFooter alignWithMargins="0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7030A0"/>
  </sheetPr>
  <dimension ref="A1:K2897"/>
  <sheetViews>
    <sheetView zoomScale="90" workbookViewId="0">
      <pane ySplit="1" topLeftCell="A110" activePane="bottomLeft" state="frozen"/>
      <selection activeCell="J19" sqref="J19"/>
      <selection pane="bottomLeft" activeCell="D124" sqref="D124"/>
    </sheetView>
  </sheetViews>
  <sheetFormatPr defaultRowHeight="12.75" x14ac:dyDescent="0.2"/>
  <cols>
    <col min="1" max="1" width="7.140625" customWidth="1"/>
    <col min="2" max="2" width="5.7109375" customWidth="1"/>
    <col min="3" max="3" width="16.7109375" bestFit="1" customWidth="1"/>
    <col min="4" max="4" width="84.28515625" bestFit="1" customWidth="1"/>
    <col min="5" max="5" width="12.5703125" style="49" customWidth="1"/>
    <col min="6" max="6" width="17.42578125" style="40" customWidth="1"/>
    <col min="7" max="7" width="24.85546875" customWidth="1"/>
    <col min="8" max="8" width="15.28515625" style="75" customWidth="1"/>
    <col min="9" max="9" width="21.7109375" bestFit="1" customWidth="1"/>
    <col min="10" max="10" width="19" customWidth="1"/>
    <col min="11" max="11" width="18.28515625" style="1" customWidth="1"/>
    <col min="12" max="12" width="17.28515625" customWidth="1"/>
    <col min="13" max="13" width="14.140625" customWidth="1"/>
    <col min="14" max="14" width="19.140625" customWidth="1"/>
  </cols>
  <sheetData>
    <row r="1" spans="1:11" s="36" customFormat="1" x14ac:dyDescent="0.2">
      <c r="A1" s="36">
        <v>0</v>
      </c>
      <c r="B1" s="36" t="s">
        <v>5</v>
      </c>
      <c r="C1" s="36" t="s">
        <v>46</v>
      </c>
      <c r="D1" s="36" t="s">
        <v>47</v>
      </c>
      <c r="E1" s="36" t="s">
        <v>48</v>
      </c>
      <c r="F1" s="67" t="s">
        <v>78</v>
      </c>
      <c r="G1" s="36" t="s">
        <v>50</v>
      </c>
      <c r="H1" s="33" t="s">
        <v>42</v>
      </c>
      <c r="K1" s="37"/>
    </row>
    <row r="2" spans="1:11" ht="13.5" customHeight="1" x14ac:dyDescent="0.2">
      <c r="C2" s="12" t="s">
        <v>72</v>
      </c>
      <c r="D2" s="57" t="s">
        <v>1739</v>
      </c>
      <c r="E2" s="60">
        <v>44197</v>
      </c>
      <c r="F2" s="58">
        <v>725</v>
      </c>
      <c r="G2" s="12" t="s">
        <v>1675</v>
      </c>
      <c r="H2" s="61">
        <f t="shared" ref="H2:H33" si="0">VLOOKUP(E2,$E$2821:$H$2852,4,FALSE)</f>
        <v>44197</v>
      </c>
    </row>
    <row r="3" spans="1:11" ht="13.5" customHeight="1" x14ac:dyDescent="0.2">
      <c r="C3" s="12" t="s">
        <v>199</v>
      </c>
      <c r="D3" s="57" t="s">
        <v>231</v>
      </c>
      <c r="E3" s="60">
        <v>44198</v>
      </c>
      <c r="F3" s="58">
        <f>2254.15+125+594+44.35+600</f>
        <v>3617.5</v>
      </c>
      <c r="G3" s="12" t="s">
        <v>1676</v>
      </c>
      <c r="H3" s="61">
        <f t="shared" si="0"/>
        <v>44200</v>
      </c>
    </row>
    <row r="4" spans="1:11" ht="13.5" customHeight="1" x14ac:dyDescent="0.2">
      <c r="C4" s="12" t="s">
        <v>72</v>
      </c>
      <c r="D4" s="57" t="s">
        <v>178</v>
      </c>
      <c r="E4" s="60">
        <v>44199</v>
      </c>
      <c r="F4" s="14">
        <v>293.85000000000002</v>
      </c>
      <c r="G4" s="12" t="s">
        <v>1675</v>
      </c>
      <c r="H4" s="61">
        <f t="shared" si="0"/>
        <v>44200</v>
      </c>
    </row>
    <row r="5" spans="1:11" ht="13.5" customHeight="1" x14ac:dyDescent="0.2">
      <c r="C5" s="12" t="s">
        <v>72</v>
      </c>
      <c r="D5" s="57" t="s">
        <v>186</v>
      </c>
      <c r="E5" s="60">
        <v>44200</v>
      </c>
      <c r="F5" s="58">
        <v>1742.88</v>
      </c>
      <c r="G5" s="12" t="s">
        <v>1675</v>
      </c>
      <c r="H5" s="61">
        <f t="shared" si="0"/>
        <v>44200</v>
      </c>
    </row>
    <row r="6" spans="1:11" ht="13.5" customHeight="1" x14ac:dyDescent="0.2">
      <c r="C6" s="12" t="s">
        <v>170</v>
      </c>
      <c r="D6" s="57" t="s">
        <v>189</v>
      </c>
      <c r="E6" s="60">
        <v>44200</v>
      </c>
      <c r="F6" s="58">
        <v>153</v>
      </c>
      <c r="G6" s="12" t="s">
        <v>1676</v>
      </c>
      <c r="H6" s="61">
        <f t="shared" si="0"/>
        <v>44200</v>
      </c>
    </row>
    <row r="7" spans="1:11" ht="13.5" customHeight="1" x14ac:dyDescent="0.2">
      <c r="C7" s="12" t="s">
        <v>72</v>
      </c>
      <c r="D7" s="57" t="s">
        <v>1760</v>
      </c>
      <c r="E7" s="60">
        <v>44200</v>
      </c>
      <c r="F7" s="58">
        <v>500</v>
      </c>
      <c r="G7" s="12" t="s">
        <v>1675</v>
      </c>
      <c r="H7" s="61">
        <f t="shared" si="0"/>
        <v>44200</v>
      </c>
    </row>
    <row r="8" spans="1:11" ht="13.5" customHeight="1" x14ac:dyDescent="0.2">
      <c r="C8" s="12" t="s">
        <v>83</v>
      </c>
      <c r="D8" s="57" t="s">
        <v>198</v>
      </c>
      <c r="E8" s="60">
        <v>44200</v>
      </c>
      <c r="F8" s="58">
        <v>500</v>
      </c>
      <c r="G8" s="12" t="s">
        <v>1689</v>
      </c>
      <c r="H8" s="61">
        <f t="shared" si="0"/>
        <v>44200</v>
      </c>
    </row>
    <row r="9" spans="1:11" ht="13.5" customHeight="1" x14ac:dyDescent="0.2">
      <c r="C9" s="12" t="s">
        <v>117</v>
      </c>
      <c r="D9" s="57" t="s">
        <v>118</v>
      </c>
      <c r="E9" s="60">
        <v>44200</v>
      </c>
      <c r="F9" s="58">
        <v>361.67</v>
      </c>
      <c r="G9" s="12" t="s">
        <v>1676</v>
      </c>
      <c r="H9" s="61">
        <f t="shared" si="0"/>
        <v>44200</v>
      </c>
    </row>
    <row r="10" spans="1:11" ht="13.5" customHeight="1" x14ac:dyDescent="0.2">
      <c r="C10" s="12" t="s">
        <v>56</v>
      </c>
      <c r="D10" s="57" t="s">
        <v>190</v>
      </c>
      <c r="E10" s="60">
        <v>44200</v>
      </c>
      <c r="F10" s="58">
        <v>1400</v>
      </c>
      <c r="G10" s="12" t="s">
        <v>1689</v>
      </c>
      <c r="H10" s="61">
        <f t="shared" si="0"/>
        <v>44200</v>
      </c>
    </row>
    <row r="11" spans="1:11" ht="13.5" customHeight="1" x14ac:dyDescent="0.2">
      <c r="C11" s="12" t="s">
        <v>173</v>
      </c>
      <c r="D11" s="57" t="s">
        <v>176</v>
      </c>
      <c r="E11" s="60">
        <v>44200</v>
      </c>
      <c r="F11" s="58">
        <v>455.24</v>
      </c>
      <c r="G11" s="12" t="s">
        <v>1676</v>
      </c>
      <c r="H11" s="61">
        <f t="shared" si="0"/>
        <v>44200</v>
      </c>
    </row>
    <row r="12" spans="1:11" ht="13.5" customHeight="1" x14ac:dyDescent="0.2">
      <c r="C12" s="12" t="s">
        <v>97</v>
      </c>
      <c r="D12" s="57" t="s">
        <v>99</v>
      </c>
      <c r="E12" s="60">
        <v>44200</v>
      </c>
      <c r="F12" s="58">
        <v>2328.9899999999998</v>
      </c>
      <c r="G12" s="12" t="s">
        <v>1689</v>
      </c>
      <c r="H12" s="61">
        <f t="shared" si="0"/>
        <v>44200</v>
      </c>
    </row>
    <row r="13" spans="1:11" ht="13.5" customHeight="1" x14ac:dyDescent="0.2">
      <c r="C13" s="12" t="s">
        <v>80</v>
      </c>
      <c r="D13" s="57" t="s">
        <v>200</v>
      </c>
      <c r="E13" s="60">
        <v>44200</v>
      </c>
      <c r="F13" s="58">
        <v>100</v>
      </c>
      <c r="G13" s="12" t="s">
        <v>1689</v>
      </c>
      <c r="H13" s="61">
        <f t="shared" si="0"/>
        <v>44200</v>
      </c>
    </row>
    <row r="14" spans="1:11" ht="13.5" customHeight="1" x14ac:dyDescent="0.2">
      <c r="C14" s="12" t="s">
        <v>80</v>
      </c>
      <c r="D14" s="57" t="s">
        <v>201</v>
      </c>
      <c r="E14" s="60">
        <v>44200</v>
      </c>
      <c r="F14" s="58">
        <v>100</v>
      </c>
      <c r="G14" s="12" t="s">
        <v>1689</v>
      </c>
      <c r="H14" s="61">
        <f t="shared" si="0"/>
        <v>44200</v>
      </c>
    </row>
    <row r="15" spans="1:11" ht="13.5" customHeight="1" x14ac:dyDescent="0.2">
      <c r="C15" s="12" t="s">
        <v>187</v>
      </c>
      <c r="D15" s="57" t="s">
        <v>188</v>
      </c>
      <c r="E15" s="60">
        <v>44201</v>
      </c>
      <c r="F15" s="58">
        <v>175.16</v>
      </c>
      <c r="G15" s="12" t="s">
        <v>1689</v>
      </c>
      <c r="H15" s="61">
        <f t="shared" si="0"/>
        <v>44201</v>
      </c>
    </row>
    <row r="16" spans="1:11" ht="13.5" customHeight="1" x14ac:dyDescent="0.2">
      <c r="C16" s="12" t="s">
        <v>117</v>
      </c>
      <c r="D16" s="57" t="s">
        <v>211</v>
      </c>
      <c r="E16" s="60">
        <v>44201</v>
      </c>
      <c r="F16" s="58">
        <v>60</v>
      </c>
      <c r="G16" s="12" t="s">
        <v>1689</v>
      </c>
      <c r="H16" s="61">
        <f t="shared" si="0"/>
        <v>44201</v>
      </c>
    </row>
    <row r="17" spans="3:8" ht="13.5" customHeight="1" x14ac:dyDescent="0.2">
      <c r="C17" s="12" t="s">
        <v>97</v>
      </c>
      <c r="D17" s="57" t="s">
        <v>100</v>
      </c>
      <c r="E17" s="60">
        <v>44201</v>
      </c>
      <c r="F17" s="58">
        <v>2224.6799999999998</v>
      </c>
      <c r="G17" s="12" t="s">
        <v>1689</v>
      </c>
      <c r="H17" s="61">
        <f t="shared" si="0"/>
        <v>44201</v>
      </c>
    </row>
    <row r="18" spans="3:8" ht="13.5" customHeight="1" x14ac:dyDescent="0.2">
      <c r="C18" s="12" t="s">
        <v>88</v>
      </c>
      <c r="D18" s="57" t="s">
        <v>142</v>
      </c>
      <c r="E18" s="60">
        <v>44201</v>
      </c>
      <c r="F18" s="58">
        <v>1730</v>
      </c>
      <c r="G18" s="12" t="s">
        <v>1676</v>
      </c>
      <c r="H18" s="61">
        <f t="shared" si="0"/>
        <v>44201</v>
      </c>
    </row>
    <row r="19" spans="3:8" ht="13.5" customHeight="1" x14ac:dyDescent="0.2">
      <c r="C19" s="12" t="s">
        <v>88</v>
      </c>
      <c r="D19" s="57" t="s">
        <v>122</v>
      </c>
      <c r="E19" s="60">
        <v>44201</v>
      </c>
      <c r="F19" s="58">
        <v>3925.51</v>
      </c>
      <c r="G19" s="12" t="s">
        <v>1689</v>
      </c>
      <c r="H19" s="61">
        <f t="shared" si="0"/>
        <v>44201</v>
      </c>
    </row>
    <row r="20" spans="3:8" ht="13.5" customHeight="1" x14ac:dyDescent="0.2">
      <c r="C20" s="12" t="s">
        <v>170</v>
      </c>
      <c r="D20" s="57" t="s">
        <v>210</v>
      </c>
      <c r="E20" s="60">
        <v>44201</v>
      </c>
      <c r="F20" s="58">
        <v>830</v>
      </c>
      <c r="G20" s="12" t="s">
        <v>1676</v>
      </c>
      <c r="H20" s="61">
        <f t="shared" si="0"/>
        <v>44201</v>
      </c>
    </row>
    <row r="21" spans="3:8" ht="13.5" customHeight="1" x14ac:dyDescent="0.2">
      <c r="C21" s="12" t="s">
        <v>80</v>
      </c>
      <c r="D21" s="57" t="s">
        <v>1711</v>
      </c>
      <c r="E21" s="60">
        <v>44201</v>
      </c>
      <c r="F21" s="58">
        <v>100</v>
      </c>
      <c r="G21" s="12" t="s">
        <v>1675</v>
      </c>
      <c r="H21" s="61">
        <f t="shared" si="0"/>
        <v>44201</v>
      </c>
    </row>
    <row r="22" spans="3:8" ht="13.5" customHeight="1" x14ac:dyDescent="0.2">
      <c r="C22" s="12" t="s">
        <v>56</v>
      </c>
      <c r="D22" s="57" t="s">
        <v>220</v>
      </c>
      <c r="E22" s="60">
        <v>44202</v>
      </c>
      <c r="F22" s="58">
        <f>38605</f>
        <v>38605</v>
      </c>
      <c r="G22" s="12" t="s">
        <v>1689</v>
      </c>
      <c r="H22" s="61">
        <f t="shared" si="0"/>
        <v>44202</v>
      </c>
    </row>
    <row r="23" spans="3:8" ht="13.5" customHeight="1" x14ac:dyDescent="0.2">
      <c r="C23" s="12" t="s">
        <v>76</v>
      </c>
      <c r="D23" s="57" t="s">
        <v>167</v>
      </c>
      <c r="E23" s="60">
        <v>44202</v>
      </c>
      <c r="F23" s="58">
        <v>1884.96</v>
      </c>
      <c r="G23" s="12" t="s">
        <v>1689</v>
      </c>
      <c r="H23" s="61">
        <f t="shared" si="0"/>
        <v>44202</v>
      </c>
    </row>
    <row r="24" spans="3:8" ht="13.5" customHeight="1" x14ac:dyDescent="0.2">
      <c r="C24" s="12" t="s">
        <v>164</v>
      </c>
      <c r="D24" s="57" t="s">
        <v>225</v>
      </c>
      <c r="E24" s="60">
        <v>44202</v>
      </c>
      <c r="F24" s="58">
        <v>79.2</v>
      </c>
      <c r="G24" s="12" t="s">
        <v>1689</v>
      </c>
      <c r="H24" s="61">
        <f t="shared" si="0"/>
        <v>44202</v>
      </c>
    </row>
    <row r="25" spans="3:8" ht="13.5" customHeight="1" x14ac:dyDescent="0.2">
      <c r="C25" s="12" t="s">
        <v>56</v>
      </c>
      <c r="D25" s="57" t="s">
        <v>224</v>
      </c>
      <c r="E25" s="60">
        <v>44203</v>
      </c>
      <c r="F25" s="58">
        <v>576</v>
      </c>
      <c r="G25" s="12" t="s">
        <v>1689</v>
      </c>
      <c r="H25" s="61">
        <f t="shared" si="0"/>
        <v>44203</v>
      </c>
    </row>
    <row r="26" spans="3:8" ht="13.5" customHeight="1" x14ac:dyDescent="0.2">
      <c r="C26" s="12" t="s">
        <v>56</v>
      </c>
      <c r="D26" s="57" t="s">
        <v>218</v>
      </c>
      <c r="E26" s="60">
        <v>44203</v>
      </c>
      <c r="F26" s="58">
        <v>8167</v>
      </c>
      <c r="G26" s="12" t="s">
        <v>1689</v>
      </c>
      <c r="H26" s="61">
        <f t="shared" si="0"/>
        <v>44203</v>
      </c>
    </row>
    <row r="27" spans="3:8" ht="13.5" customHeight="1" x14ac:dyDescent="0.2">
      <c r="C27" s="12" t="s">
        <v>56</v>
      </c>
      <c r="D27" s="57" t="s">
        <v>219</v>
      </c>
      <c r="E27" s="60">
        <v>44203</v>
      </c>
      <c r="F27" s="58">
        <v>24992</v>
      </c>
      <c r="G27" s="12" t="s">
        <v>1689</v>
      </c>
      <c r="H27" s="61">
        <f t="shared" si="0"/>
        <v>44203</v>
      </c>
    </row>
    <row r="28" spans="3:8" ht="13.5" customHeight="1" x14ac:dyDescent="0.2">
      <c r="C28" s="12" t="s">
        <v>170</v>
      </c>
      <c r="D28" s="57" t="s">
        <v>226</v>
      </c>
      <c r="E28" s="60">
        <v>44203</v>
      </c>
      <c r="F28" s="58">
        <v>90</v>
      </c>
      <c r="G28" s="12" t="s">
        <v>1689</v>
      </c>
      <c r="H28" s="61">
        <f t="shared" si="0"/>
        <v>44203</v>
      </c>
    </row>
    <row r="29" spans="3:8" ht="13.5" customHeight="1" x14ac:dyDescent="0.2">
      <c r="C29" s="12" t="s">
        <v>164</v>
      </c>
      <c r="D29" s="57" t="s">
        <v>225</v>
      </c>
      <c r="E29" s="60">
        <v>44203</v>
      </c>
      <c r="F29" s="58">
        <v>78.2</v>
      </c>
      <c r="G29" s="12" t="s">
        <v>1689</v>
      </c>
      <c r="H29" s="61">
        <f t="shared" si="0"/>
        <v>44203</v>
      </c>
    </row>
    <row r="30" spans="3:8" ht="13.5" customHeight="1" x14ac:dyDescent="0.2">
      <c r="C30" s="12" t="s">
        <v>164</v>
      </c>
      <c r="D30" s="57" t="s">
        <v>177</v>
      </c>
      <c r="E30" s="60">
        <v>44203</v>
      </c>
      <c r="F30" s="58">
        <f>10362.25-5181</f>
        <v>5181.25</v>
      </c>
      <c r="G30" s="12" t="s">
        <v>1676</v>
      </c>
      <c r="H30" s="61">
        <f t="shared" si="0"/>
        <v>44203</v>
      </c>
    </row>
    <row r="31" spans="3:8" ht="13.5" customHeight="1" x14ac:dyDescent="0.2">
      <c r="C31" s="12" t="s">
        <v>159</v>
      </c>
      <c r="D31" s="57" t="s">
        <v>195</v>
      </c>
      <c r="E31" s="60">
        <v>44203</v>
      </c>
      <c r="F31" s="58">
        <v>2250</v>
      </c>
      <c r="G31" s="12" t="s">
        <v>1689</v>
      </c>
      <c r="H31" s="61">
        <f t="shared" si="0"/>
        <v>44203</v>
      </c>
    </row>
    <row r="32" spans="3:8" ht="13.5" customHeight="1" x14ac:dyDescent="0.2">
      <c r="C32" s="12" t="s">
        <v>80</v>
      </c>
      <c r="D32" s="57" t="s">
        <v>235</v>
      </c>
      <c r="E32" s="60">
        <v>44204</v>
      </c>
      <c r="F32" s="58">
        <v>50</v>
      </c>
      <c r="G32" s="12" t="s">
        <v>1689</v>
      </c>
      <c r="H32" s="61">
        <f t="shared" si="0"/>
        <v>44204</v>
      </c>
    </row>
    <row r="33" spans="3:8" ht="13.5" customHeight="1" x14ac:dyDescent="0.2">
      <c r="C33" s="12" t="s">
        <v>80</v>
      </c>
      <c r="D33" s="57" t="s">
        <v>236</v>
      </c>
      <c r="E33" s="60">
        <v>44204</v>
      </c>
      <c r="F33" s="58">
        <v>100</v>
      </c>
      <c r="G33" s="12" t="s">
        <v>1689</v>
      </c>
      <c r="H33" s="61">
        <f t="shared" si="0"/>
        <v>44204</v>
      </c>
    </row>
    <row r="34" spans="3:8" ht="13.5" customHeight="1" x14ac:dyDescent="0.2">
      <c r="C34" s="12" t="s">
        <v>84</v>
      </c>
      <c r="D34" s="57" t="s">
        <v>227</v>
      </c>
      <c r="E34" s="60">
        <v>44204</v>
      </c>
      <c r="F34" s="58">
        <v>372</v>
      </c>
      <c r="G34" s="12" t="s">
        <v>1689</v>
      </c>
      <c r="H34" s="61">
        <f t="shared" ref="H34:H65" si="1">VLOOKUP(E34,$E$2821:$H$2852,4,FALSE)</f>
        <v>44204</v>
      </c>
    </row>
    <row r="35" spans="3:8" ht="13.5" customHeight="1" x14ac:dyDescent="0.2">
      <c r="C35" s="12" t="s">
        <v>159</v>
      </c>
      <c r="D35" s="57" t="s">
        <v>160</v>
      </c>
      <c r="E35" s="60">
        <v>44205</v>
      </c>
      <c r="F35" s="58">
        <v>590.59</v>
      </c>
      <c r="G35" s="12" t="s">
        <v>1689</v>
      </c>
      <c r="H35" s="61">
        <f t="shared" si="1"/>
        <v>44207</v>
      </c>
    </row>
    <row r="36" spans="3:8" ht="13.5" customHeight="1" x14ac:dyDescent="0.2">
      <c r="C36" s="12" t="s">
        <v>72</v>
      </c>
      <c r="D36" s="57" t="s">
        <v>141</v>
      </c>
      <c r="E36" s="60">
        <v>44206</v>
      </c>
      <c r="F36" s="58">
        <v>210.51</v>
      </c>
      <c r="G36" s="12" t="s">
        <v>1675</v>
      </c>
      <c r="H36" s="61">
        <f t="shared" si="1"/>
        <v>44207</v>
      </c>
    </row>
    <row r="37" spans="3:8" ht="13.5" customHeight="1" x14ac:dyDescent="0.2">
      <c r="C37" s="12" t="s">
        <v>216</v>
      </c>
      <c r="D37" s="57" t="s">
        <v>217</v>
      </c>
      <c r="E37" s="60">
        <v>44207</v>
      </c>
      <c r="F37" s="58">
        <v>96</v>
      </c>
      <c r="G37" s="12" t="s">
        <v>1676</v>
      </c>
      <c r="H37" s="61">
        <f t="shared" si="1"/>
        <v>44207</v>
      </c>
    </row>
    <row r="38" spans="3:8" ht="13.5" customHeight="1" x14ac:dyDescent="0.2">
      <c r="C38" s="12" t="s">
        <v>80</v>
      </c>
      <c r="D38" s="57" t="s">
        <v>240</v>
      </c>
      <c r="E38" s="60">
        <v>44207</v>
      </c>
      <c r="F38" s="58">
        <v>100</v>
      </c>
      <c r="G38" s="12" t="s">
        <v>1675</v>
      </c>
      <c r="H38" s="61">
        <f t="shared" si="1"/>
        <v>44207</v>
      </c>
    </row>
    <row r="39" spans="3:8" ht="13.5" customHeight="1" x14ac:dyDescent="0.2">
      <c r="C39" s="12" t="s">
        <v>80</v>
      </c>
      <c r="D39" s="57" t="s">
        <v>1711</v>
      </c>
      <c r="E39" s="60">
        <v>44207</v>
      </c>
      <c r="F39" s="58">
        <v>100</v>
      </c>
      <c r="G39" s="12" t="s">
        <v>1675</v>
      </c>
      <c r="H39" s="61">
        <f t="shared" si="1"/>
        <v>44207</v>
      </c>
    </row>
    <row r="40" spans="3:8" ht="13.5" customHeight="1" x14ac:dyDescent="0.2">
      <c r="C40" s="12" t="s">
        <v>97</v>
      </c>
      <c r="D40" s="57" t="s">
        <v>222</v>
      </c>
      <c r="E40" s="60">
        <v>44207</v>
      </c>
      <c r="F40" s="58">
        <v>695.57</v>
      </c>
      <c r="G40" s="12" t="s">
        <v>1689</v>
      </c>
      <c r="H40" s="61">
        <f t="shared" si="1"/>
        <v>44207</v>
      </c>
    </row>
    <row r="41" spans="3:8" ht="13.5" customHeight="1" x14ac:dyDescent="0.2">
      <c r="C41" s="12" t="s">
        <v>97</v>
      </c>
      <c r="D41" s="57" t="s">
        <v>223</v>
      </c>
      <c r="E41" s="60">
        <v>44207</v>
      </c>
      <c r="F41" s="58">
        <v>401.05</v>
      </c>
      <c r="G41" s="12" t="s">
        <v>1689</v>
      </c>
      <c r="H41" s="61">
        <f t="shared" si="1"/>
        <v>44207</v>
      </c>
    </row>
    <row r="42" spans="3:8" ht="13.5" customHeight="1" x14ac:dyDescent="0.2">
      <c r="C42" s="12" t="s">
        <v>56</v>
      </c>
      <c r="D42" s="57" t="s">
        <v>194</v>
      </c>
      <c r="E42" s="60">
        <v>44208</v>
      </c>
      <c r="F42" s="58">
        <v>2434</v>
      </c>
      <c r="G42" s="12" t="s">
        <v>1676</v>
      </c>
      <c r="H42" s="61">
        <f t="shared" si="1"/>
        <v>44208</v>
      </c>
    </row>
    <row r="43" spans="3:8" ht="13.5" customHeight="1" x14ac:dyDescent="0.2">
      <c r="C43" s="12" t="s">
        <v>170</v>
      </c>
      <c r="D43" s="57" t="s">
        <v>228</v>
      </c>
      <c r="E43" s="60">
        <v>44208</v>
      </c>
      <c r="F43" s="58">
        <v>320.72000000000003</v>
      </c>
      <c r="G43" s="12" t="s">
        <v>1676</v>
      </c>
      <c r="H43" s="61">
        <f t="shared" si="1"/>
        <v>44208</v>
      </c>
    </row>
    <row r="44" spans="3:8" ht="13.5" customHeight="1" x14ac:dyDescent="0.2">
      <c r="C44" s="12" t="s">
        <v>56</v>
      </c>
      <c r="D44" s="57" t="s">
        <v>221</v>
      </c>
      <c r="E44" s="60">
        <v>44208</v>
      </c>
      <c r="F44" s="58">
        <f>103715-24992-8167-36605-576-1163</f>
        <v>32212</v>
      </c>
      <c r="G44" s="12" t="s">
        <v>1689</v>
      </c>
      <c r="H44" s="61">
        <f t="shared" si="1"/>
        <v>44208</v>
      </c>
    </row>
    <row r="45" spans="3:8" ht="13.5" customHeight="1" x14ac:dyDescent="0.2">
      <c r="C45" s="12" t="s">
        <v>88</v>
      </c>
      <c r="D45" s="57" t="s">
        <v>208</v>
      </c>
      <c r="E45" s="60">
        <v>44208</v>
      </c>
      <c r="F45" s="58">
        <v>2468</v>
      </c>
      <c r="G45" s="12" t="s">
        <v>1689</v>
      </c>
      <c r="H45" s="61">
        <f t="shared" si="1"/>
        <v>44208</v>
      </c>
    </row>
    <row r="46" spans="3:8" ht="13.5" customHeight="1" x14ac:dyDescent="0.2">
      <c r="C46" s="12" t="s">
        <v>88</v>
      </c>
      <c r="D46" s="57" t="s">
        <v>238</v>
      </c>
      <c r="E46" s="60">
        <v>44208</v>
      </c>
      <c r="F46" s="58">
        <v>1163</v>
      </c>
      <c r="G46" s="12" t="s">
        <v>1689</v>
      </c>
      <c r="H46" s="61">
        <f t="shared" si="1"/>
        <v>44208</v>
      </c>
    </row>
    <row r="47" spans="3:8" ht="13.5" customHeight="1" x14ac:dyDescent="0.2">
      <c r="C47" s="12" t="s">
        <v>56</v>
      </c>
      <c r="D47" s="57" t="s">
        <v>196</v>
      </c>
      <c r="E47" s="60">
        <v>44208</v>
      </c>
      <c r="F47" s="58">
        <f>670.11+665.09+728.93+150.24+200.32</f>
        <v>2414.69</v>
      </c>
      <c r="G47" s="12" t="s">
        <v>1689</v>
      </c>
      <c r="H47" s="61">
        <f t="shared" si="1"/>
        <v>44208</v>
      </c>
    </row>
    <row r="48" spans="3:8" ht="13.5" customHeight="1" x14ac:dyDescent="0.2">
      <c r="C48" s="12" t="s">
        <v>56</v>
      </c>
      <c r="D48" s="57" t="s">
        <v>1677</v>
      </c>
      <c r="E48" s="60">
        <v>44208</v>
      </c>
      <c r="F48" s="58">
        <v>5583</v>
      </c>
      <c r="G48" s="12" t="s">
        <v>1676</v>
      </c>
      <c r="H48" s="61">
        <f t="shared" si="1"/>
        <v>44208</v>
      </c>
    </row>
    <row r="49" spans="3:8" ht="13.5" customHeight="1" x14ac:dyDescent="0.2">
      <c r="C49" s="12" t="s">
        <v>56</v>
      </c>
      <c r="D49" s="57" t="s">
        <v>197</v>
      </c>
      <c r="E49" s="60">
        <v>44208</v>
      </c>
      <c r="F49" s="58">
        <v>2800</v>
      </c>
      <c r="G49" s="12" t="s">
        <v>1689</v>
      </c>
      <c r="H49" s="61">
        <f t="shared" si="1"/>
        <v>44208</v>
      </c>
    </row>
    <row r="50" spans="3:8" ht="13.5" customHeight="1" x14ac:dyDescent="0.2">
      <c r="C50" s="12" t="s">
        <v>73</v>
      </c>
      <c r="D50" s="57" t="s">
        <v>258</v>
      </c>
      <c r="E50" s="60">
        <v>44209</v>
      </c>
      <c r="F50" s="58">
        <v>6294.7</v>
      </c>
      <c r="G50" s="12" t="s">
        <v>1689</v>
      </c>
      <c r="H50" s="61">
        <f t="shared" si="1"/>
        <v>44209</v>
      </c>
    </row>
    <row r="51" spans="3:8" ht="13.5" customHeight="1" x14ac:dyDescent="0.2">
      <c r="C51" s="12" t="s">
        <v>83</v>
      </c>
      <c r="D51" s="57" t="s">
        <v>206</v>
      </c>
      <c r="E51" s="60">
        <v>44209</v>
      </c>
      <c r="F51" s="58">
        <v>2720</v>
      </c>
      <c r="G51" s="12" t="s">
        <v>1689</v>
      </c>
      <c r="H51" s="61">
        <f t="shared" si="1"/>
        <v>44209</v>
      </c>
    </row>
    <row r="52" spans="3:8" ht="13.5" customHeight="1" x14ac:dyDescent="0.2">
      <c r="C52" s="12" t="s">
        <v>83</v>
      </c>
      <c r="D52" s="57" t="s">
        <v>1690</v>
      </c>
      <c r="E52" s="60">
        <v>44209</v>
      </c>
      <c r="F52" s="58">
        <v>500</v>
      </c>
      <c r="G52" s="12" t="s">
        <v>1689</v>
      </c>
      <c r="H52" s="61">
        <f t="shared" si="1"/>
        <v>44209</v>
      </c>
    </row>
    <row r="53" spans="3:8" ht="13.5" customHeight="1" x14ac:dyDescent="0.2">
      <c r="C53" s="12" t="s">
        <v>170</v>
      </c>
      <c r="D53" s="57" t="s">
        <v>241</v>
      </c>
      <c r="E53" s="60">
        <v>44209</v>
      </c>
      <c r="F53" s="58">
        <v>1630</v>
      </c>
      <c r="G53" s="12" t="s">
        <v>1676</v>
      </c>
      <c r="H53" s="61">
        <f t="shared" si="1"/>
        <v>44209</v>
      </c>
    </row>
    <row r="54" spans="3:8" ht="13.5" customHeight="1" x14ac:dyDescent="0.2">
      <c r="C54" s="12" t="s">
        <v>192</v>
      </c>
      <c r="D54" s="57" t="s">
        <v>193</v>
      </c>
      <c r="E54" s="60">
        <v>44210</v>
      </c>
      <c r="F54" s="58">
        <v>109.4</v>
      </c>
      <c r="G54" s="12" t="s">
        <v>1689</v>
      </c>
      <c r="H54" s="61">
        <f t="shared" si="1"/>
        <v>44210</v>
      </c>
    </row>
    <row r="55" spans="3:8" ht="13.5" customHeight="1" x14ac:dyDescent="0.2">
      <c r="C55" s="12" t="s">
        <v>76</v>
      </c>
      <c r="D55" s="57" t="s">
        <v>148</v>
      </c>
      <c r="E55" s="60">
        <v>44210</v>
      </c>
      <c r="F55" s="58">
        <v>3039</v>
      </c>
      <c r="G55" s="12" t="s">
        <v>1676</v>
      </c>
      <c r="H55" s="61">
        <f t="shared" si="1"/>
        <v>44210</v>
      </c>
    </row>
    <row r="56" spans="3:8" ht="13.5" customHeight="1" x14ac:dyDescent="0.2">
      <c r="C56" s="12" t="s">
        <v>73</v>
      </c>
      <c r="D56" s="57" t="s">
        <v>262</v>
      </c>
      <c r="E56" s="60">
        <v>44210</v>
      </c>
      <c r="F56" s="58">
        <v>1258.94</v>
      </c>
      <c r="G56" s="12" t="s">
        <v>1689</v>
      </c>
      <c r="H56" s="61">
        <f t="shared" si="1"/>
        <v>44210</v>
      </c>
    </row>
    <row r="57" spans="3:8" ht="13.5" customHeight="1" x14ac:dyDescent="0.2">
      <c r="C57" s="12" t="s">
        <v>73</v>
      </c>
      <c r="D57" s="57" t="s">
        <v>263</v>
      </c>
      <c r="E57" s="60">
        <v>44210</v>
      </c>
      <c r="F57" s="58">
        <v>589.24</v>
      </c>
      <c r="G57" s="12" t="s">
        <v>1689</v>
      </c>
      <c r="H57" s="61">
        <f t="shared" si="1"/>
        <v>44210</v>
      </c>
    </row>
    <row r="58" spans="3:8" ht="13.5" customHeight="1" x14ac:dyDescent="0.2">
      <c r="C58" s="12" t="s">
        <v>80</v>
      </c>
      <c r="D58" s="57" t="s">
        <v>265</v>
      </c>
      <c r="E58" s="60">
        <v>44210</v>
      </c>
      <c r="F58" s="58">
        <v>100</v>
      </c>
      <c r="G58" s="12" t="s">
        <v>1689</v>
      </c>
      <c r="H58" s="61">
        <f t="shared" si="1"/>
        <v>44210</v>
      </c>
    </row>
    <row r="59" spans="3:8" ht="13.5" customHeight="1" x14ac:dyDescent="0.2">
      <c r="C59" s="12" t="s">
        <v>80</v>
      </c>
      <c r="D59" s="57" t="s">
        <v>1712</v>
      </c>
      <c r="E59" s="60">
        <v>44210</v>
      </c>
      <c r="F59" s="58">
        <v>200</v>
      </c>
      <c r="G59" s="12" t="s">
        <v>1689</v>
      </c>
      <c r="H59" s="61">
        <f t="shared" si="1"/>
        <v>44210</v>
      </c>
    </row>
    <row r="60" spans="3:8" ht="13.5" customHeight="1" x14ac:dyDescent="0.2">
      <c r="C60" s="12" t="s">
        <v>80</v>
      </c>
      <c r="D60" s="57" t="s">
        <v>264</v>
      </c>
      <c r="E60" s="60">
        <v>44210</v>
      </c>
      <c r="F60" s="58">
        <v>100</v>
      </c>
      <c r="G60" s="12" t="s">
        <v>1689</v>
      </c>
      <c r="H60" s="61">
        <f t="shared" si="1"/>
        <v>44210</v>
      </c>
    </row>
    <row r="61" spans="3:8" ht="13.5" customHeight="1" x14ac:dyDescent="0.2">
      <c r="C61" s="12" t="s">
        <v>83</v>
      </c>
      <c r="D61" s="57" t="s">
        <v>266</v>
      </c>
      <c r="E61" s="60">
        <v>44210</v>
      </c>
      <c r="F61" s="58">
        <v>307.44</v>
      </c>
      <c r="G61" s="12" t="s">
        <v>1689</v>
      </c>
      <c r="H61" s="61">
        <f t="shared" si="1"/>
        <v>44210</v>
      </c>
    </row>
    <row r="62" spans="3:8" ht="13.5" customHeight="1" x14ac:dyDescent="0.2">
      <c r="C62" s="12" t="s">
        <v>83</v>
      </c>
      <c r="D62" s="57" t="s">
        <v>267</v>
      </c>
      <c r="E62" s="60">
        <v>44210</v>
      </c>
      <c r="F62" s="58">
        <v>507.5</v>
      </c>
      <c r="G62" s="12" t="s">
        <v>1689</v>
      </c>
      <c r="H62" s="61">
        <f t="shared" si="1"/>
        <v>44210</v>
      </c>
    </row>
    <row r="63" spans="3:8" ht="13.5" customHeight="1" x14ac:dyDescent="0.2">
      <c r="C63" s="12" t="s">
        <v>83</v>
      </c>
      <c r="D63" s="57" t="s">
        <v>268</v>
      </c>
      <c r="E63" s="60">
        <v>44211</v>
      </c>
      <c r="F63" s="58">
        <v>700</v>
      </c>
      <c r="G63" s="12" t="s">
        <v>1689</v>
      </c>
      <c r="H63" s="61">
        <f t="shared" si="1"/>
        <v>44211</v>
      </c>
    </row>
    <row r="64" spans="3:8" ht="13.5" customHeight="1" x14ac:dyDescent="0.2">
      <c r="C64" s="12" t="s">
        <v>89</v>
      </c>
      <c r="D64" s="57" t="s">
        <v>212</v>
      </c>
      <c r="E64" s="60">
        <v>44211</v>
      </c>
      <c r="F64" s="58">
        <v>80.25</v>
      </c>
      <c r="G64" s="12" t="s">
        <v>1676</v>
      </c>
      <c r="H64" s="61">
        <f t="shared" si="1"/>
        <v>44211</v>
      </c>
    </row>
    <row r="65" spans="3:8" ht="13.5" customHeight="1" x14ac:dyDescent="0.2">
      <c r="C65" s="12" t="s">
        <v>97</v>
      </c>
      <c r="D65" s="57" t="s">
        <v>98</v>
      </c>
      <c r="E65" s="60">
        <v>44211</v>
      </c>
      <c r="F65" s="58">
        <v>14028.3</v>
      </c>
      <c r="G65" s="12" t="s">
        <v>1676</v>
      </c>
      <c r="H65" s="61">
        <f t="shared" si="1"/>
        <v>44211</v>
      </c>
    </row>
    <row r="66" spans="3:8" ht="13.5" customHeight="1" x14ac:dyDescent="0.2">
      <c r="C66" s="12" t="s">
        <v>171</v>
      </c>
      <c r="D66" s="57" t="s">
        <v>172</v>
      </c>
      <c r="E66" s="60">
        <v>44211</v>
      </c>
      <c r="F66" s="58">
        <v>45.76</v>
      </c>
      <c r="G66" s="12" t="s">
        <v>1676</v>
      </c>
      <c r="H66" s="61">
        <f t="shared" ref="H66:H97" si="2">VLOOKUP(E66,$E$2821:$H$2852,4,FALSE)</f>
        <v>44211</v>
      </c>
    </row>
    <row r="67" spans="3:8" ht="13.5" customHeight="1" x14ac:dyDescent="0.2">
      <c r="C67" s="12" t="s">
        <v>96</v>
      </c>
      <c r="D67" s="57" t="s">
        <v>128</v>
      </c>
      <c r="E67" s="60">
        <v>44211</v>
      </c>
      <c r="F67" s="58">
        <v>280</v>
      </c>
      <c r="G67" s="12" t="s">
        <v>1689</v>
      </c>
      <c r="H67" s="61">
        <f t="shared" si="2"/>
        <v>44211</v>
      </c>
    </row>
    <row r="68" spans="3:8" ht="13.5" customHeight="1" x14ac:dyDescent="0.2">
      <c r="C68" s="12" t="s">
        <v>86</v>
      </c>
      <c r="D68" s="57" t="s">
        <v>85</v>
      </c>
      <c r="E68" s="60">
        <v>44211</v>
      </c>
      <c r="F68" s="16">
        <v>138</v>
      </c>
      <c r="G68" s="12" t="s">
        <v>1689</v>
      </c>
      <c r="H68" s="61">
        <f t="shared" si="2"/>
        <v>44211</v>
      </c>
    </row>
    <row r="69" spans="3:8" ht="13.5" customHeight="1" x14ac:dyDescent="0.2">
      <c r="C69" s="12" t="s">
        <v>84</v>
      </c>
      <c r="D69" s="57" t="s">
        <v>271</v>
      </c>
      <c r="E69" s="60">
        <v>44211</v>
      </c>
      <c r="F69" s="16">
        <v>1500</v>
      </c>
      <c r="G69" s="12" t="s">
        <v>1689</v>
      </c>
      <c r="H69" s="61">
        <f t="shared" si="2"/>
        <v>44211</v>
      </c>
    </row>
    <row r="70" spans="3:8" ht="13.5" customHeight="1" x14ac:dyDescent="0.2">
      <c r="C70" s="12" t="s">
        <v>89</v>
      </c>
      <c r="D70" s="57" t="s">
        <v>90</v>
      </c>
      <c r="E70" s="60">
        <v>44211</v>
      </c>
      <c r="F70" s="58">
        <v>3594.05</v>
      </c>
      <c r="G70" s="12" t="s">
        <v>64</v>
      </c>
      <c r="H70" s="61">
        <f t="shared" si="2"/>
        <v>44211</v>
      </c>
    </row>
    <row r="71" spans="3:8" ht="13.5" customHeight="1" x14ac:dyDescent="0.2">
      <c r="C71" s="12" t="s">
        <v>72</v>
      </c>
      <c r="D71" s="57" t="s">
        <v>1711</v>
      </c>
      <c r="E71" s="60">
        <v>44211</v>
      </c>
      <c r="F71" s="58">
        <v>2000</v>
      </c>
      <c r="G71" s="12" t="s">
        <v>1675</v>
      </c>
      <c r="H71" s="61">
        <f t="shared" si="2"/>
        <v>44211</v>
      </c>
    </row>
    <row r="72" spans="3:8" ht="13.5" customHeight="1" x14ac:dyDescent="0.2">
      <c r="C72" s="12" t="s">
        <v>77</v>
      </c>
      <c r="D72" s="57" t="s">
        <v>175</v>
      </c>
      <c r="E72" s="60">
        <v>44211</v>
      </c>
      <c r="F72" s="58">
        <f>1328.22+243.09+53.63</f>
        <v>1624.94</v>
      </c>
      <c r="G72" s="12" t="s">
        <v>1676</v>
      </c>
      <c r="H72" s="61">
        <f t="shared" si="2"/>
        <v>44211</v>
      </c>
    </row>
    <row r="73" spans="3:8" ht="13.5" customHeight="1" x14ac:dyDescent="0.2">
      <c r="C73" s="12" t="s">
        <v>77</v>
      </c>
      <c r="D73" s="57" t="s">
        <v>179</v>
      </c>
      <c r="E73" s="60">
        <v>44211</v>
      </c>
      <c r="F73" s="58">
        <v>365.34</v>
      </c>
      <c r="G73" s="12" t="s">
        <v>64</v>
      </c>
      <c r="H73" s="61">
        <f t="shared" si="2"/>
        <v>44211</v>
      </c>
    </row>
    <row r="74" spans="3:8" ht="13.5" customHeight="1" x14ac:dyDescent="0.2">
      <c r="C74" s="12" t="s">
        <v>84</v>
      </c>
      <c r="D74" s="57" t="s">
        <v>260</v>
      </c>
      <c r="E74" s="60">
        <v>44211</v>
      </c>
      <c r="F74" s="58">
        <v>186</v>
      </c>
      <c r="G74" s="12" t="s">
        <v>1689</v>
      </c>
      <c r="H74" s="61">
        <f t="shared" si="2"/>
        <v>44211</v>
      </c>
    </row>
    <row r="75" spans="3:8" ht="13.5" customHeight="1" x14ac:dyDescent="0.2">
      <c r="C75" s="12" t="s">
        <v>89</v>
      </c>
      <c r="D75" s="57" t="s">
        <v>244</v>
      </c>
      <c r="E75" s="60">
        <v>44212</v>
      </c>
      <c r="F75" s="58">
        <v>880.59</v>
      </c>
      <c r="G75" s="12" t="s">
        <v>1689</v>
      </c>
      <c r="H75" s="61">
        <f t="shared" si="2"/>
        <v>44214</v>
      </c>
    </row>
    <row r="76" spans="3:8" ht="13.5" customHeight="1" x14ac:dyDescent="0.2">
      <c r="C76" s="12" t="s">
        <v>83</v>
      </c>
      <c r="D76" s="57" t="s">
        <v>261</v>
      </c>
      <c r="E76" s="60">
        <v>44213</v>
      </c>
      <c r="F76" s="58">
        <v>700</v>
      </c>
      <c r="G76" s="12" t="s">
        <v>1689</v>
      </c>
      <c r="H76" s="61">
        <f t="shared" si="2"/>
        <v>44214</v>
      </c>
    </row>
    <row r="77" spans="3:8" ht="13.5" customHeight="1" x14ac:dyDescent="0.2">
      <c r="C77" s="12" t="s">
        <v>72</v>
      </c>
      <c r="D77" s="57" t="s">
        <v>1761</v>
      </c>
      <c r="E77" s="60">
        <v>44214</v>
      </c>
      <c r="F77" s="58">
        <v>3000</v>
      </c>
      <c r="G77" s="12" t="s">
        <v>1675</v>
      </c>
      <c r="H77" s="61">
        <f t="shared" si="2"/>
        <v>44214</v>
      </c>
    </row>
    <row r="78" spans="3:8" ht="13.5" customHeight="1" x14ac:dyDescent="0.2">
      <c r="C78" s="12" t="s">
        <v>192</v>
      </c>
      <c r="D78" s="57" t="s">
        <v>237</v>
      </c>
      <c r="E78" s="60">
        <v>44214</v>
      </c>
      <c r="F78" s="58">
        <v>408.54</v>
      </c>
      <c r="G78" s="12" t="s">
        <v>1689</v>
      </c>
      <c r="H78" s="61">
        <f t="shared" si="2"/>
        <v>44214</v>
      </c>
    </row>
    <row r="79" spans="3:8" ht="13.5" customHeight="1" x14ac:dyDescent="0.2">
      <c r="C79" s="12" t="s">
        <v>84</v>
      </c>
      <c r="D79" s="57" t="s">
        <v>284</v>
      </c>
      <c r="E79" s="60">
        <v>44215</v>
      </c>
      <c r="F79" s="58">
        <v>279</v>
      </c>
      <c r="G79" s="12" t="s">
        <v>1689</v>
      </c>
      <c r="H79" s="61">
        <f t="shared" si="2"/>
        <v>44215</v>
      </c>
    </row>
    <row r="80" spans="3:8" ht="13.5" customHeight="1" x14ac:dyDescent="0.2">
      <c r="C80" s="12" t="s">
        <v>164</v>
      </c>
      <c r="D80" s="57" t="s">
        <v>301</v>
      </c>
      <c r="E80" s="60">
        <v>44215</v>
      </c>
      <c r="F80" s="58">
        <v>501.4</v>
      </c>
      <c r="G80" s="12" t="s">
        <v>1689</v>
      </c>
      <c r="H80" s="61">
        <f t="shared" si="2"/>
        <v>44215</v>
      </c>
    </row>
    <row r="81" spans="3:8" ht="13.5" customHeight="1" x14ac:dyDescent="0.2">
      <c r="C81" s="12" t="s">
        <v>84</v>
      </c>
      <c r="D81" s="57" t="s">
        <v>213</v>
      </c>
      <c r="E81" s="60">
        <v>44215</v>
      </c>
      <c r="F81" s="58">
        <v>2725</v>
      </c>
      <c r="G81" s="12" t="s">
        <v>1689</v>
      </c>
      <c r="H81" s="61">
        <f t="shared" si="2"/>
        <v>44215</v>
      </c>
    </row>
    <row r="82" spans="3:8" ht="13.5" customHeight="1" x14ac:dyDescent="0.2">
      <c r="C82" s="12" t="s">
        <v>72</v>
      </c>
      <c r="D82" s="57" t="s">
        <v>1711</v>
      </c>
      <c r="E82" s="60">
        <v>44215</v>
      </c>
      <c r="F82" s="58">
        <v>2000</v>
      </c>
      <c r="G82" s="12" t="s">
        <v>1675</v>
      </c>
      <c r="H82" s="61">
        <f t="shared" si="2"/>
        <v>44215</v>
      </c>
    </row>
    <row r="83" spans="3:8" ht="13.5" customHeight="1" x14ac:dyDescent="0.2">
      <c r="C83" s="12" t="s">
        <v>72</v>
      </c>
      <c r="D83" s="57" t="s">
        <v>65</v>
      </c>
      <c r="E83" s="60">
        <v>44215</v>
      </c>
      <c r="F83" s="58">
        <v>3000</v>
      </c>
      <c r="G83" s="12" t="s">
        <v>1675</v>
      </c>
      <c r="H83" s="61">
        <f t="shared" si="2"/>
        <v>44215</v>
      </c>
    </row>
    <row r="84" spans="3:8" ht="13.5" customHeight="1" x14ac:dyDescent="0.2">
      <c r="C84" s="12" t="s">
        <v>164</v>
      </c>
      <c r="D84" s="57" t="s">
        <v>301</v>
      </c>
      <c r="E84" s="60">
        <v>44216</v>
      </c>
      <c r="F84" s="58">
        <v>231.6</v>
      </c>
      <c r="G84" s="12" t="s">
        <v>1689</v>
      </c>
      <c r="H84" s="61">
        <f t="shared" si="2"/>
        <v>44216</v>
      </c>
    </row>
    <row r="85" spans="3:8" ht="13.5" customHeight="1" x14ac:dyDescent="0.2">
      <c r="C85" s="12" t="s">
        <v>84</v>
      </c>
      <c r="D85" s="57" t="s">
        <v>320</v>
      </c>
      <c r="E85" s="60">
        <v>44216</v>
      </c>
      <c r="F85" s="58">
        <v>140</v>
      </c>
      <c r="G85" s="12" t="s">
        <v>1689</v>
      </c>
      <c r="H85" s="61">
        <f t="shared" si="2"/>
        <v>44216</v>
      </c>
    </row>
    <row r="86" spans="3:8" ht="13.5" customHeight="1" x14ac:dyDescent="0.2">
      <c r="C86" s="12" t="s">
        <v>83</v>
      </c>
      <c r="D86" s="57" t="s">
        <v>305</v>
      </c>
      <c r="E86" s="60">
        <v>44216</v>
      </c>
      <c r="F86" s="58">
        <v>293</v>
      </c>
      <c r="G86" s="12" t="s">
        <v>1689</v>
      </c>
      <c r="H86" s="61">
        <f t="shared" si="2"/>
        <v>44216</v>
      </c>
    </row>
    <row r="87" spans="3:8" ht="13.5" customHeight="1" x14ac:dyDescent="0.2">
      <c r="C87" s="12" t="s">
        <v>74</v>
      </c>
      <c r="D87" s="57" t="s">
        <v>69</v>
      </c>
      <c r="E87" s="60">
        <v>44216</v>
      </c>
      <c r="F87" s="58">
        <v>12102.98</v>
      </c>
      <c r="G87" s="12" t="s">
        <v>1689</v>
      </c>
      <c r="H87" s="61">
        <f t="shared" si="2"/>
        <v>44216</v>
      </c>
    </row>
    <row r="88" spans="3:8" ht="13.5" customHeight="1" x14ac:dyDescent="0.2">
      <c r="C88" s="12" t="s">
        <v>159</v>
      </c>
      <c r="D88" s="57" t="s">
        <v>300</v>
      </c>
      <c r="E88" s="60">
        <v>44216</v>
      </c>
      <c r="F88" s="58">
        <v>996.28</v>
      </c>
      <c r="G88" s="12" t="s">
        <v>1689</v>
      </c>
      <c r="H88" s="61">
        <f t="shared" si="2"/>
        <v>44216</v>
      </c>
    </row>
    <row r="89" spans="3:8" ht="13.5" customHeight="1" x14ac:dyDescent="0.2">
      <c r="C89" s="12" t="s">
        <v>80</v>
      </c>
      <c r="D89" s="57" t="s">
        <v>311</v>
      </c>
      <c r="E89" s="60">
        <v>44217</v>
      </c>
      <c r="F89" s="58">
        <v>100</v>
      </c>
      <c r="G89" s="12" t="s">
        <v>1689</v>
      </c>
      <c r="H89" s="61">
        <f t="shared" si="2"/>
        <v>44217</v>
      </c>
    </row>
    <row r="90" spans="3:8" ht="13.5" customHeight="1" x14ac:dyDescent="0.2">
      <c r="C90" s="12" t="s">
        <v>164</v>
      </c>
      <c r="D90" s="57" t="s">
        <v>301</v>
      </c>
      <c r="E90" s="60">
        <v>44217</v>
      </c>
      <c r="F90" s="58">
        <v>78.2</v>
      </c>
      <c r="G90" s="12" t="s">
        <v>1689</v>
      </c>
      <c r="H90" s="61">
        <f t="shared" si="2"/>
        <v>44217</v>
      </c>
    </row>
    <row r="91" spans="3:8" ht="13.5" customHeight="1" x14ac:dyDescent="0.2">
      <c r="C91" s="12" t="s">
        <v>83</v>
      </c>
      <c r="D91" s="57" t="s">
        <v>207</v>
      </c>
      <c r="E91" s="60">
        <v>44217</v>
      </c>
      <c r="F91" s="58">
        <v>2720</v>
      </c>
      <c r="G91" s="12" t="s">
        <v>1689</v>
      </c>
      <c r="H91" s="61">
        <f t="shared" si="2"/>
        <v>44217</v>
      </c>
    </row>
    <row r="92" spans="3:8" ht="14.25" customHeight="1" x14ac:dyDescent="0.2">
      <c r="C92" s="12" t="s">
        <v>72</v>
      </c>
      <c r="D92" s="57" t="s">
        <v>115</v>
      </c>
      <c r="E92" s="60">
        <v>44217</v>
      </c>
      <c r="F92" s="58">
        <v>229.45</v>
      </c>
      <c r="G92" s="12" t="s">
        <v>1675</v>
      </c>
      <c r="H92" s="61">
        <f t="shared" si="2"/>
        <v>44217</v>
      </c>
    </row>
    <row r="93" spans="3:8" ht="14.25" customHeight="1" x14ac:dyDescent="0.2">
      <c r="C93" s="12" t="s">
        <v>164</v>
      </c>
      <c r="D93" s="57" t="s">
        <v>313</v>
      </c>
      <c r="E93" s="60">
        <v>44217</v>
      </c>
      <c r="F93" s="58">
        <v>195</v>
      </c>
      <c r="G93" s="12" t="s">
        <v>1689</v>
      </c>
      <c r="H93" s="61">
        <f t="shared" si="2"/>
        <v>44217</v>
      </c>
    </row>
    <row r="94" spans="3:8" ht="14.25" customHeight="1" x14ac:dyDescent="0.2">
      <c r="C94" s="12" t="s">
        <v>170</v>
      </c>
      <c r="D94" s="57" t="s">
        <v>302</v>
      </c>
      <c r="E94" s="60">
        <v>44218</v>
      </c>
      <c r="F94" s="58">
        <v>169.6</v>
      </c>
      <c r="G94" s="12" t="s">
        <v>1689</v>
      </c>
      <c r="H94" s="61">
        <f t="shared" si="2"/>
        <v>44218</v>
      </c>
    </row>
    <row r="95" spans="3:8" ht="14.25" customHeight="1" x14ac:dyDescent="0.2">
      <c r="C95" s="12" t="s">
        <v>80</v>
      </c>
      <c r="D95" s="57" t="s">
        <v>235</v>
      </c>
      <c r="E95" s="60">
        <v>44218</v>
      </c>
      <c r="F95" s="58">
        <v>100</v>
      </c>
      <c r="G95" s="12" t="s">
        <v>1689</v>
      </c>
      <c r="H95" s="61">
        <f t="shared" si="2"/>
        <v>44218</v>
      </c>
    </row>
    <row r="96" spans="3:8" ht="14.25" customHeight="1" x14ac:dyDescent="0.2">
      <c r="C96" s="12" t="s">
        <v>56</v>
      </c>
      <c r="D96" s="57" t="s">
        <v>256</v>
      </c>
      <c r="E96" s="60">
        <v>44218</v>
      </c>
      <c r="F96" s="58">
        <v>1163</v>
      </c>
      <c r="G96" s="12" t="s">
        <v>1689</v>
      </c>
      <c r="H96" s="61">
        <f t="shared" si="2"/>
        <v>44218</v>
      </c>
    </row>
    <row r="97" spans="3:11" ht="13.5" customHeight="1" x14ac:dyDescent="0.2">
      <c r="C97" s="12" t="s">
        <v>74</v>
      </c>
      <c r="D97" s="57" t="s">
        <v>161</v>
      </c>
      <c r="E97" s="60">
        <v>44218</v>
      </c>
      <c r="F97" s="58">
        <v>15315.42</v>
      </c>
      <c r="G97" s="12" t="s">
        <v>1689</v>
      </c>
      <c r="H97" s="61">
        <f t="shared" si="2"/>
        <v>44218</v>
      </c>
    </row>
    <row r="98" spans="3:11" ht="13.5" customHeight="1" x14ac:dyDescent="0.2">
      <c r="C98" s="12" t="s">
        <v>84</v>
      </c>
      <c r="D98" s="57" t="s">
        <v>271</v>
      </c>
      <c r="E98" s="60">
        <v>44218</v>
      </c>
      <c r="F98" s="16">
        <v>3153</v>
      </c>
      <c r="G98" s="12" t="s">
        <v>1689</v>
      </c>
      <c r="H98" s="61">
        <f t="shared" ref="H98:H129" si="3">VLOOKUP(E98,$E$2821:$H$2852,4,FALSE)</f>
        <v>44218</v>
      </c>
    </row>
    <row r="99" spans="3:11" ht="13.5" customHeight="1" x14ac:dyDescent="0.2">
      <c r="C99" s="12" t="s">
        <v>88</v>
      </c>
      <c r="D99" s="57" t="s">
        <v>251</v>
      </c>
      <c r="E99" s="60">
        <v>44218</v>
      </c>
      <c r="F99" s="58">
        <v>739</v>
      </c>
      <c r="G99" s="12" t="s">
        <v>1689</v>
      </c>
      <c r="H99" s="61">
        <f t="shared" si="3"/>
        <v>44218</v>
      </c>
    </row>
    <row r="100" spans="3:11" ht="13.5" customHeight="1" x14ac:dyDescent="0.2">
      <c r="C100" s="12" t="s">
        <v>80</v>
      </c>
      <c r="D100" s="57" t="s">
        <v>321</v>
      </c>
      <c r="E100" s="60">
        <v>44218</v>
      </c>
      <c r="F100" s="58">
        <v>100</v>
      </c>
      <c r="G100" s="12" t="s">
        <v>1689</v>
      </c>
      <c r="H100" s="61">
        <f t="shared" si="3"/>
        <v>44218</v>
      </c>
    </row>
    <row r="101" spans="3:11" ht="13.5" customHeight="1" x14ac:dyDescent="0.2">
      <c r="C101" s="12" t="s">
        <v>80</v>
      </c>
      <c r="D101" s="57" t="s">
        <v>236</v>
      </c>
      <c r="E101" s="60">
        <v>44218</v>
      </c>
      <c r="F101" s="58">
        <v>309.2</v>
      </c>
      <c r="G101" s="12" t="s">
        <v>1689</v>
      </c>
      <c r="H101" s="61">
        <f t="shared" si="3"/>
        <v>44218</v>
      </c>
    </row>
    <row r="102" spans="3:11" ht="13.5" customHeight="1" x14ac:dyDescent="0.2">
      <c r="C102" s="12" t="s">
        <v>80</v>
      </c>
      <c r="D102" s="57" t="s">
        <v>240</v>
      </c>
      <c r="E102" s="60">
        <v>44218</v>
      </c>
      <c r="F102" s="58">
        <v>150</v>
      </c>
      <c r="G102" s="12" t="s">
        <v>1689</v>
      </c>
      <c r="H102" s="61">
        <f t="shared" si="3"/>
        <v>44218</v>
      </c>
    </row>
    <row r="103" spans="3:11" ht="13.5" customHeight="1" x14ac:dyDescent="0.2">
      <c r="C103" s="12" t="s">
        <v>80</v>
      </c>
      <c r="D103" s="57" t="s">
        <v>288</v>
      </c>
      <c r="E103" s="60">
        <v>44218</v>
      </c>
      <c r="F103" s="58">
        <v>130</v>
      </c>
      <c r="G103" s="12" t="s">
        <v>1689</v>
      </c>
      <c r="H103" s="61">
        <f t="shared" si="3"/>
        <v>44218</v>
      </c>
    </row>
    <row r="104" spans="3:11" ht="13.5" customHeight="1" x14ac:dyDescent="0.2">
      <c r="C104" s="12" t="s">
        <v>192</v>
      </c>
      <c r="D104" s="57" t="s">
        <v>314</v>
      </c>
      <c r="E104" s="60">
        <v>44218</v>
      </c>
      <c r="F104" s="58">
        <v>2165.6</v>
      </c>
      <c r="G104" s="12" t="s">
        <v>1689</v>
      </c>
      <c r="H104" s="61">
        <f t="shared" si="3"/>
        <v>44218</v>
      </c>
      <c r="K104"/>
    </row>
    <row r="105" spans="3:11" ht="13.5" customHeight="1" x14ac:dyDescent="0.2">
      <c r="C105" s="12" t="s">
        <v>96</v>
      </c>
      <c r="D105" s="57" t="s">
        <v>123</v>
      </c>
      <c r="E105" s="60">
        <v>44218</v>
      </c>
      <c r="F105" s="58">
        <v>2000</v>
      </c>
      <c r="G105" s="12" t="s">
        <v>1689</v>
      </c>
      <c r="H105" s="61">
        <f t="shared" si="3"/>
        <v>44218</v>
      </c>
      <c r="K105"/>
    </row>
    <row r="106" spans="3:11" ht="13.5" customHeight="1" x14ac:dyDescent="0.2">
      <c r="C106" s="12" t="s">
        <v>131</v>
      </c>
      <c r="D106" s="57" t="s">
        <v>322</v>
      </c>
      <c r="E106" s="60">
        <v>44219</v>
      </c>
      <c r="F106" s="58">
        <v>319.91000000000003</v>
      </c>
      <c r="G106" s="12" t="s">
        <v>1676</v>
      </c>
      <c r="H106" s="61">
        <f t="shared" si="3"/>
        <v>44221</v>
      </c>
      <c r="K106"/>
    </row>
    <row r="107" spans="3:11" ht="13.5" customHeight="1" x14ac:dyDescent="0.2">
      <c r="C107" s="12" t="s">
        <v>82</v>
      </c>
      <c r="D107" s="12" t="s">
        <v>166</v>
      </c>
      <c r="E107" s="60">
        <v>44220</v>
      </c>
      <c r="F107" s="58">
        <v>1496.95</v>
      </c>
      <c r="G107" s="12" t="s">
        <v>1676</v>
      </c>
      <c r="H107" s="61">
        <f t="shared" si="3"/>
        <v>44221</v>
      </c>
      <c r="K107"/>
    </row>
    <row r="108" spans="3:11" ht="13.5" customHeight="1" x14ac:dyDescent="0.2">
      <c r="C108" s="12" t="s">
        <v>164</v>
      </c>
      <c r="D108" s="12" t="s">
        <v>1691</v>
      </c>
      <c r="E108" s="60">
        <v>44221</v>
      </c>
      <c r="F108" s="58">
        <v>140</v>
      </c>
      <c r="G108" s="12" t="s">
        <v>1689</v>
      </c>
      <c r="H108" s="61">
        <f t="shared" si="3"/>
        <v>44221</v>
      </c>
      <c r="K108"/>
    </row>
    <row r="109" spans="3:11" ht="13.5" customHeight="1" x14ac:dyDescent="0.2">
      <c r="C109" s="12" t="s">
        <v>173</v>
      </c>
      <c r="D109" s="57" t="s">
        <v>174</v>
      </c>
      <c r="E109" s="60">
        <v>44221</v>
      </c>
      <c r="F109" s="58">
        <v>915.31</v>
      </c>
      <c r="G109" s="12" t="s">
        <v>1676</v>
      </c>
      <c r="H109" s="61">
        <f t="shared" si="3"/>
        <v>44221</v>
      </c>
      <c r="K109"/>
    </row>
    <row r="110" spans="3:11" ht="13.5" customHeight="1" x14ac:dyDescent="0.2">
      <c r="C110" s="12" t="s">
        <v>72</v>
      </c>
      <c r="D110" s="57" t="s">
        <v>281</v>
      </c>
      <c r="E110" s="60">
        <v>44221</v>
      </c>
      <c r="F110" s="58">
        <v>210</v>
      </c>
      <c r="G110" s="12" t="s">
        <v>1675</v>
      </c>
      <c r="H110" s="61">
        <f t="shared" si="3"/>
        <v>44221</v>
      </c>
      <c r="K110"/>
    </row>
    <row r="111" spans="3:11" ht="13.5" customHeight="1" x14ac:dyDescent="0.2">
      <c r="C111" s="12" t="s">
        <v>159</v>
      </c>
      <c r="D111" s="57" t="s">
        <v>289</v>
      </c>
      <c r="E111" s="60">
        <v>44221</v>
      </c>
      <c r="F111" s="58">
        <v>232.81</v>
      </c>
      <c r="G111" s="12" t="s">
        <v>1689</v>
      </c>
      <c r="H111" s="61">
        <f t="shared" si="3"/>
        <v>44221</v>
      </c>
      <c r="K111"/>
    </row>
    <row r="112" spans="3:11" ht="13.5" customHeight="1" x14ac:dyDescent="0.2">
      <c r="C112" s="12" t="s">
        <v>159</v>
      </c>
      <c r="D112" s="57" t="s">
        <v>289</v>
      </c>
      <c r="E112" s="60">
        <v>44221</v>
      </c>
      <c r="F112" s="58">
        <v>119.09</v>
      </c>
      <c r="G112" s="12" t="s">
        <v>1689</v>
      </c>
      <c r="H112" s="61">
        <f t="shared" si="3"/>
        <v>44221</v>
      </c>
      <c r="K112"/>
    </row>
    <row r="113" spans="3:11" ht="13.5" customHeight="1" x14ac:dyDescent="0.2">
      <c r="C113" s="12" t="s">
        <v>76</v>
      </c>
      <c r="D113" s="57" t="s">
        <v>285</v>
      </c>
      <c r="E113" s="60">
        <v>44221</v>
      </c>
      <c r="F113" s="58">
        <v>1961.82</v>
      </c>
      <c r="G113" s="12" t="s">
        <v>1689</v>
      </c>
      <c r="H113" s="61">
        <f t="shared" si="3"/>
        <v>44221</v>
      </c>
      <c r="K113"/>
    </row>
    <row r="114" spans="3:11" ht="13.5" customHeight="1" x14ac:dyDescent="0.2">
      <c r="C114" s="12" t="s">
        <v>72</v>
      </c>
      <c r="D114" s="57" t="s">
        <v>330</v>
      </c>
      <c r="E114" s="60">
        <v>44221</v>
      </c>
      <c r="F114" s="58">
        <v>500</v>
      </c>
      <c r="G114" s="12" t="s">
        <v>1675</v>
      </c>
      <c r="H114" s="61">
        <f t="shared" si="3"/>
        <v>44221</v>
      </c>
      <c r="K114"/>
    </row>
    <row r="115" spans="3:11" ht="13.5" customHeight="1" x14ac:dyDescent="0.2">
      <c r="C115" s="12" t="s">
        <v>135</v>
      </c>
      <c r="D115" s="57" t="s">
        <v>185</v>
      </c>
      <c r="E115" s="60">
        <v>44221</v>
      </c>
      <c r="F115" s="58">
        <v>243.06</v>
      </c>
      <c r="G115" s="12" t="s">
        <v>1676</v>
      </c>
      <c r="H115" s="61">
        <f t="shared" si="3"/>
        <v>44221</v>
      </c>
      <c r="K115"/>
    </row>
    <row r="116" spans="3:11" ht="13.5" customHeight="1" x14ac:dyDescent="0.2">
      <c r="C116" s="12" t="s">
        <v>135</v>
      </c>
      <c r="D116" s="57" t="s">
        <v>282</v>
      </c>
      <c r="E116" s="60">
        <v>44221</v>
      </c>
      <c r="F116" s="58">
        <v>703.58</v>
      </c>
      <c r="G116" s="12" t="s">
        <v>1689</v>
      </c>
      <c r="H116" s="61">
        <f t="shared" si="3"/>
        <v>44221</v>
      </c>
      <c r="K116"/>
    </row>
    <row r="117" spans="3:11" ht="13.5" customHeight="1" x14ac:dyDescent="0.2">
      <c r="C117" s="12" t="s">
        <v>135</v>
      </c>
      <c r="D117" s="57" t="s">
        <v>209</v>
      </c>
      <c r="E117" s="60">
        <v>44221</v>
      </c>
      <c r="F117" s="58">
        <v>231</v>
      </c>
      <c r="G117" s="12" t="s">
        <v>1676</v>
      </c>
      <c r="H117" s="61">
        <f t="shared" si="3"/>
        <v>44221</v>
      </c>
      <c r="K117"/>
    </row>
    <row r="118" spans="3:11" ht="13.5" customHeight="1" x14ac:dyDescent="0.2">
      <c r="C118" s="12" t="s">
        <v>187</v>
      </c>
      <c r="D118" s="57" t="s">
        <v>205</v>
      </c>
      <c r="E118" s="60">
        <v>44221</v>
      </c>
      <c r="F118" s="58">
        <v>65.7</v>
      </c>
      <c r="G118" s="12" t="s">
        <v>1689</v>
      </c>
      <c r="H118" s="61">
        <f t="shared" si="3"/>
        <v>44221</v>
      </c>
      <c r="K118"/>
    </row>
    <row r="119" spans="3:11" ht="13.5" customHeight="1" x14ac:dyDescent="0.2">
      <c r="C119" s="12" t="s">
        <v>216</v>
      </c>
      <c r="D119" s="57" t="s">
        <v>332</v>
      </c>
      <c r="E119" s="60">
        <v>44221</v>
      </c>
      <c r="F119" s="58">
        <v>77.5</v>
      </c>
      <c r="G119" s="12" t="s">
        <v>1689</v>
      </c>
      <c r="H119" s="61">
        <f t="shared" si="3"/>
        <v>44221</v>
      </c>
      <c r="K119"/>
    </row>
    <row r="120" spans="3:11" ht="13.5" customHeight="1" x14ac:dyDescent="0.2">
      <c r="C120" s="12" t="s">
        <v>117</v>
      </c>
      <c r="D120" s="57" t="s">
        <v>234</v>
      </c>
      <c r="E120" s="60">
        <v>44221</v>
      </c>
      <c r="F120" s="58">
        <v>80</v>
      </c>
      <c r="G120" s="12" t="s">
        <v>1676</v>
      </c>
      <c r="H120" s="61">
        <f t="shared" si="3"/>
        <v>44221</v>
      </c>
      <c r="K120"/>
    </row>
    <row r="121" spans="3:11" ht="13.5" customHeight="1" x14ac:dyDescent="0.2">
      <c r="C121" s="12" t="s">
        <v>164</v>
      </c>
      <c r="D121" s="57" t="s">
        <v>301</v>
      </c>
      <c r="E121" s="60">
        <v>44221</v>
      </c>
      <c r="F121" s="58">
        <f>78.2+155.2</f>
        <v>233.39999999999998</v>
      </c>
      <c r="G121" s="12" t="s">
        <v>1689</v>
      </c>
      <c r="H121" s="61">
        <f t="shared" si="3"/>
        <v>44221</v>
      </c>
      <c r="K121"/>
    </row>
    <row r="122" spans="3:11" ht="13.5" customHeight="1" x14ac:dyDescent="0.2">
      <c r="C122" s="12" t="s">
        <v>192</v>
      </c>
      <c r="D122" s="57" t="s">
        <v>312</v>
      </c>
      <c r="E122" s="60">
        <v>44221</v>
      </c>
      <c r="F122" s="58">
        <v>166.24</v>
      </c>
      <c r="G122" s="12" t="s">
        <v>1689</v>
      </c>
      <c r="H122" s="61">
        <f t="shared" si="3"/>
        <v>44221</v>
      </c>
      <c r="K122"/>
    </row>
    <row r="123" spans="3:11" ht="13.5" customHeight="1" x14ac:dyDescent="0.2">
      <c r="C123" s="12" t="s">
        <v>170</v>
      </c>
      <c r="D123" s="57" t="s">
        <v>324</v>
      </c>
      <c r="E123" s="60">
        <v>44222</v>
      </c>
      <c r="F123" s="58">
        <v>2523.96</v>
      </c>
      <c r="G123" s="12" t="s">
        <v>1676</v>
      </c>
      <c r="H123" s="61">
        <f t="shared" si="3"/>
        <v>44222</v>
      </c>
      <c r="K123"/>
    </row>
    <row r="124" spans="3:11" ht="13.5" customHeight="1" x14ac:dyDescent="0.2">
      <c r="C124" s="12" t="s">
        <v>170</v>
      </c>
      <c r="D124" s="57" t="s">
        <v>333</v>
      </c>
      <c r="E124" s="60">
        <v>44222</v>
      </c>
      <c r="F124" s="58">
        <v>337.6</v>
      </c>
      <c r="G124" s="12" t="s">
        <v>1676</v>
      </c>
      <c r="H124" s="61">
        <f t="shared" si="3"/>
        <v>44222</v>
      </c>
      <c r="K124"/>
    </row>
    <row r="125" spans="3:11" ht="13.5" customHeight="1" x14ac:dyDescent="0.2">
      <c r="C125" s="12" t="s">
        <v>56</v>
      </c>
      <c r="D125" s="57" t="s">
        <v>257</v>
      </c>
      <c r="E125" s="60">
        <v>44222</v>
      </c>
      <c r="F125" s="58">
        <v>7894</v>
      </c>
      <c r="G125" s="12" t="s">
        <v>1689</v>
      </c>
      <c r="H125" s="61">
        <f t="shared" si="3"/>
        <v>44222</v>
      </c>
      <c r="K125"/>
    </row>
    <row r="126" spans="3:11" ht="13.5" customHeight="1" x14ac:dyDescent="0.2">
      <c r="C126" s="12" t="s">
        <v>56</v>
      </c>
      <c r="D126" s="57" t="s">
        <v>283</v>
      </c>
      <c r="E126" s="60">
        <v>44222</v>
      </c>
      <c r="F126" s="58">
        <v>1847</v>
      </c>
      <c r="G126" s="12" t="s">
        <v>1689</v>
      </c>
      <c r="H126" s="61">
        <f t="shared" si="3"/>
        <v>44222</v>
      </c>
      <c r="K126"/>
    </row>
    <row r="127" spans="3:11" ht="13.5" customHeight="1" x14ac:dyDescent="0.2">
      <c r="C127" s="12" t="s">
        <v>56</v>
      </c>
      <c r="D127" s="57" t="s">
        <v>329</v>
      </c>
      <c r="E127" s="60">
        <v>44222</v>
      </c>
      <c r="F127" s="58">
        <v>2538</v>
      </c>
      <c r="G127" s="12" t="s">
        <v>1689</v>
      </c>
      <c r="H127" s="61">
        <f t="shared" si="3"/>
        <v>44222</v>
      </c>
      <c r="K127"/>
    </row>
    <row r="128" spans="3:11" ht="13.5" customHeight="1" x14ac:dyDescent="0.2">
      <c r="C128" s="12" t="s">
        <v>72</v>
      </c>
      <c r="D128" s="57" t="s">
        <v>1762</v>
      </c>
      <c r="E128" s="60">
        <v>44222</v>
      </c>
      <c r="F128" s="58">
        <v>1000</v>
      </c>
      <c r="G128" s="12" t="s">
        <v>1675</v>
      </c>
      <c r="H128" s="61">
        <f t="shared" si="3"/>
        <v>44222</v>
      </c>
      <c r="K128"/>
    </row>
    <row r="129" spans="3:11" ht="13.5" customHeight="1" x14ac:dyDescent="0.2">
      <c r="C129" s="12" t="s">
        <v>80</v>
      </c>
      <c r="D129" s="57" t="s">
        <v>346</v>
      </c>
      <c r="E129" s="60">
        <v>44222</v>
      </c>
      <c r="F129" s="58">
        <v>100</v>
      </c>
      <c r="G129" s="12" t="s">
        <v>1689</v>
      </c>
      <c r="H129" s="61">
        <f t="shared" si="3"/>
        <v>44222</v>
      </c>
      <c r="K129"/>
    </row>
    <row r="130" spans="3:11" ht="13.5" customHeight="1" x14ac:dyDescent="0.2">
      <c r="C130" s="12" t="s">
        <v>84</v>
      </c>
      <c r="D130" s="57" t="s">
        <v>347</v>
      </c>
      <c r="E130" s="60">
        <v>44222</v>
      </c>
      <c r="F130" s="58">
        <v>93</v>
      </c>
      <c r="G130" s="12" t="s">
        <v>1689</v>
      </c>
      <c r="H130" s="61">
        <f t="shared" ref="H130:H147" si="4">VLOOKUP(E130,$E$2821:$H$2852,4,FALSE)</f>
        <v>44222</v>
      </c>
      <c r="K130"/>
    </row>
    <row r="131" spans="3:11" ht="13.5" customHeight="1" x14ac:dyDescent="0.2">
      <c r="C131" s="12" t="s">
        <v>243</v>
      </c>
      <c r="D131" s="57" t="s">
        <v>337</v>
      </c>
      <c r="E131" s="60">
        <v>44223</v>
      </c>
      <c r="F131" s="58">
        <v>500</v>
      </c>
      <c r="G131" s="12" t="s">
        <v>1676</v>
      </c>
      <c r="H131" s="61">
        <f t="shared" si="4"/>
        <v>44223</v>
      </c>
      <c r="K131"/>
    </row>
    <row r="132" spans="3:11" ht="13.5" customHeight="1" x14ac:dyDescent="0.2">
      <c r="C132" s="12" t="s">
        <v>80</v>
      </c>
      <c r="D132" s="57" t="s">
        <v>1758</v>
      </c>
      <c r="E132" s="60">
        <v>44223</v>
      </c>
      <c r="F132" s="58">
        <v>158</v>
      </c>
      <c r="G132" s="12" t="s">
        <v>1675</v>
      </c>
      <c r="H132" s="61">
        <f t="shared" si="4"/>
        <v>44223</v>
      </c>
      <c r="K132"/>
    </row>
    <row r="133" spans="3:11" ht="13.5" customHeight="1" x14ac:dyDescent="0.2">
      <c r="C133" s="12" t="s">
        <v>80</v>
      </c>
      <c r="D133" s="57" t="s">
        <v>1759</v>
      </c>
      <c r="E133" s="60">
        <v>44223</v>
      </c>
      <c r="F133" s="58">
        <f>128+107.03</f>
        <v>235.03</v>
      </c>
      <c r="G133" s="12" t="s">
        <v>1675</v>
      </c>
      <c r="H133" s="61">
        <f t="shared" si="4"/>
        <v>44223</v>
      </c>
      <c r="K133"/>
    </row>
    <row r="134" spans="3:11" ht="13.5" customHeight="1" x14ac:dyDescent="0.2">
      <c r="C134" s="12" t="s">
        <v>173</v>
      </c>
      <c r="D134" s="57" t="s">
        <v>339</v>
      </c>
      <c r="E134" s="60">
        <v>44223</v>
      </c>
      <c r="F134" s="58">
        <v>140</v>
      </c>
      <c r="G134" s="12" t="s">
        <v>1689</v>
      </c>
      <c r="H134" s="61">
        <f t="shared" si="4"/>
        <v>44223</v>
      </c>
      <c r="K134"/>
    </row>
    <row r="135" spans="3:11" ht="13.5" customHeight="1" x14ac:dyDescent="0.2">
      <c r="C135" s="12" t="s">
        <v>96</v>
      </c>
      <c r="D135" s="57" t="s">
        <v>290</v>
      </c>
      <c r="E135" s="60">
        <v>44223</v>
      </c>
      <c r="F135" s="58">
        <v>1884</v>
      </c>
      <c r="G135" s="12" t="s">
        <v>1689</v>
      </c>
      <c r="H135" s="61">
        <f t="shared" si="4"/>
        <v>44223</v>
      </c>
      <c r="K135"/>
    </row>
    <row r="136" spans="3:11" ht="13.5" customHeight="1" x14ac:dyDescent="0.2">
      <c r="C136" s="12" t="s">
        <v>159</v>
      </c>
      <c r="D136" s="57" t="s">
        <v>214</v>
      </c>
      <c r="E136" s="60">
        <v>44223</v>
      </c>
      <c r="F136" s="58">
        <v>1389.5</v>
      </c>
      <c r="G136" s="12" t="s">
        <v>1689</v>
      </c>
      <c r="H136" s="61">
        <f t="shared" si="4"/>
        <v>44223</v>
      </c>
      <c r="K136"/>
    </row>
    <row r="137" spans="3:11" ht="13.5" customHeight="1" x14ac:dyDescent="0.2">
      <c r="C137" s="12" t="s">
        <v>164</v>
      </c>
      <c r="D137" s="57" t="s">
        <v>232</v>
      </c>
      <c r="E137" s="60">
        <v>44224</v>
      </c>
      <c r="F137" s="58">
        <v>5537.25</v>
      </c>
      <c r="G137" s="12" t="s">
        <v>1689</v>
      </c>
      <c r="H137" s="61">
        <f t="shared" si="4"/>
        <v>44224</v>
      </c>
      <c r="K137"/>
    </row>
    <row r="138" spans="3:11" ht="13.5" customHeight="1" x14ac:dyDescent="0.2">
      <c r="C138" s="12" t="s">
        <v>83</v>
      </c>
      <c r="D138" s="57" t="s">
        <v>343</v>
      </c>
      <c r="E138" s="60">
        <v>44224</v>
      </c>
      <c r="F138" s="58">
        <v>1360</v>
      </c>
      <c r="G138" s="12" t="s">
        <v>1689</v>
      </c>
      <c r="H138" s="61">
        <f t="shared" si="4"/>
        <v>44224</v>
      </c>
      <c r="K138"/>
    </row>
    <row r="139" spans="3:11" ht="13.5" customHeight="1" x14ac:dyDescent="0.2">
      <c r="C139" s="12" t="s">
        <v>153</v>
      </c>
      <c r="D139" s="57" t="s">
        <v>294</v>
      </c>
      <c r="E139" s="60">
        <v>44224</v>
      </c>
      <c r="F139" s="58">
        <v>1971.74</v>
      </c>
      <c r="G139" s="12" t="s">
        <v>1689</v>
      </c>
      <c r="H139" s="61">
        <f t="shared" si="4"/>
        <v>44224</v>
      </c>
      <c r="K139"/>
    </row>
    <row r="140" spans="3:11" ht="13.5" customHeight="1" x14ac:dyDescent="0.2">
      <c r="C140" s="12" t="s">
        <v>89</v>
      </c>
      <c r="D140" s="57" t="s">
        <v>355</v>
      </c>
      <c r="E140" s="60">
        <v>44224</v>
      </c>
      <c r="F140" s="58">
        <v>91.5</v>
      </c>
      <c r="G140" s="12" t="s">
        <v>1689</v>
      </c>
      <c r="H140" s="61">
        <f t="shared" si="4"/>
        <v>44224</v>
      </c>
      <c r="K140"/>
    </row>
    <row r="141" spans="3:11" ht="13.5" customHeight="1" x14ac:dyDescent="0.2">
      <c r="C141" s="12" t="s">
        <v>74</v>
      </c>
      <c r="D141" s="57" t="s">
        <v>161</v>
      </c>
      <c r="E141" s="60">
        <v>44224</v>
      </c>
      <c r="F141" s="58">
        <v>1970.32</v>
      </c>
      <c r="G141" s="12" t="s">
        <v>1676</v>
      </c>
      <c r="H141" s="61">
        <f t="shared" si="4"/>
        <v>44224</v>
      </c>
      <c r="K141"/>
    </row>
    <row r="142" spans="3:11" ht="13.5" customHeight="1" x14ac:dyDescent="0.2">
      <c r="C142" s="12" t="s">
        <v>192</v>
      </c>
      <c r="D142" s="57" t="s">
        <v>349</v>
      </c>
      <c r="E142" s="60">
        <v>44224</v>
      </c>
      <c r="F142" s="58">
        <v>117.02</v>
      </c>
      <c r="G142" s="12" t="s">
        <v>1689</v>
      </c>
      <c r="H142" s="61">
        <f t="shared" si="4"/>
        <v>44224</v>
      </c>
      <c r="K142"/>
    </row>
    <row r="143" spans="3:11" ht="13.5" customHeight="1" x14ac:dyDescent="0.2">
      <c r="C143" s="12" t="s">
        <v>80</v>
      </c>
      <c r="D143" s="57" t="s">
        <v>354</v>
      </c>
      <c r="E143" s="60">
        <v>44225</v>
      </c>
      <c r="F143" s="58">
        <v>200</v>
      </c>
      <c r="G143" s="12" t="s">
        <v>1689</v>
      </c>
      <c r="H143" s="61">
        <f t="shared" si="4"/>
        <v>44225</v>
      </c>
      <c r="K143"/>
    </row>
    <row r="144" spans="3:11" ht="13.5" customHeight="1" x14ac:dyDescent="0.2">
      <c r="C144" s="12" t="s">
        <v>84</v>
      </c>
      <c r="D144" s="57" t="s">
        <v>272</v>
      </c>
      <c r="E144" s="60">
        <v>44225</v>
      </c>
      <c r="F144" s="16">
        <v>3153</v>
      </c>
      <c r="G144" s="12" t="s">
        <v>1676</v>
      </c>
      <c r="H144" s="61">
        <f t="shared" si="4"/>
        <v>44225</v>
      </c>
      <c r="K144"/>
    </row>
    <row r="145" spans="3:11" ht="13.5" customHeight="1" x14ac:dyDescent="0.2">
      <c r="C145" s="12" t="s">
        <v>76</v>
      </c>
      <c r="D145" s="57" t="s">
        <v>286</v>
      </c>
      <c r="E145" s="60">
        <v>44225</v>
      </c>
      <c r="F145" s="58">
        <v>510</v>
      </c>
      <c r="G145" s="12" t="s">
        <v>1676</v>
      </c>
      <c r="H145" s="61">
        <f t="shared" si="4"/>
        <v>44225</v>
      </c>
      <c r="K145"/>
    </row>
    <row r="146" spans="3:11" ht="13.5" customHeight="1" x14ac:dyDescent="0.2">
      <c r="C146" s="12" t="s">
        <v>76</v>
      </c>
      <c r="D146" s="57" t="s">
        <v>350</v>
      </c>
      <c r="E146" s="60">
        <v>44225</v>
      </c>
      <c r="F146" s="58">
        <v>1000</v>
      </c>
      <c r="G146" s="12" t="s">
        <v>1689</v>
      </c>
      <c r="H146" s="61">
        <f t="shared" si="4"/>
        <v>44225</v>
      </c>
      <c r="K146"/>
    </row>
    <row r="147" spans="3:11" ht="13.5" customHeight="1" x14ac:dyDescent="0.2">
      <c r="C147" s="12" t="s">
        <v>97</v>
      </c>
      <c r="D147" s="57" t="s">
        <v>348</v>
      </c>
      <c r="E147" s="60">
        <v>44225</v>
      </c>
      <c r="F147" s="58">
        <v>522.08000000000004</v>
      </c>
      <c r="G147" s="12" t="s">
        <v>1689</v>
      </c>
      <c r="H147" s="61">
        <f t="shared" si="4"/>
        <v>44225</v>
      </c>
    </row>
    <row r="148" spans="3:11" ht="13.5" customHeight="1" x14ac:dyDescent="0.2">
      <c r="E148" s="52"/>
      <c r="H148" s="61"/>
      <c r="K148"/>
    </row>
    <row r="149" spans="3:11" ht="13.5" customHeight="1" x14ac:dyDescent="0.2">
      <c r="E149" s="52"/>
      <c r="H149" s="61"/>
      <c r="K149"/>
    </row>
    <row r="150" spans="3:11" ht="13.5" customHeight="1" x14ac:dyDescent="0.2">
      <c r="E150" s="52"/>
      <c r="H150" s="61"/>
      <c r="K150"/>
    </row>
    <row r="151" spans="3:11" ht="13.5" customHeight="1" x14ac:dyDescent="0.2">
      <c r="E151" s="52"/>
      <c r="H151" s="61"/>
      <c r="K151"/>
    </row>
    <row r="152" spans="3:11" ht="13.5" customHeight="1" x14ac:dyDescent="0.2">
      <c r="E152" s="52"/>
      <c r="H152" s="61"/>
      <c r="K152"/>
    </row>
    <row r="153" spans="3:11" ht="13.5" customHeight="1" x14ac:dyDescent="0.2">
      <c r="E153" s="52"/>
      <c r="H153" s="61"/>
      <c r="K153"/>
    </row>
    <row r="154" spans="3:11" ht="13.5" customHeight="1" x14ac:dyDescent="0.2">
      <c r="E154" s="52"/>
      <c r="H154" s="61"/>
      <c r="K154"/>
    </row>
    <row r="155" spans="3:11" ht="13.5" customHeight="1" x14ac:dyDescent="0.2">
      <c r="E155" s="52"/>
      <c r="H155" s="61"/>
      <c r="K155"/>
    </row>
    <row r="156" spans="3:11" ht="13.5" customHeight="1" x14ac:dyDescent="0.2">
      <c r="E156" s="52"/>
      <c r="H156" s="61"/>
      <c r="K156"/>
    </row>
    <row r="157" spans="3:11" ht="13.5" customHeight="1" x14ac:dyDescent="0.2">
      <c r="E157" s="52"/>
      <c r="H157" s="61"/>
      <c r="K157"/>
    </row>
    <row r="158" spans="3:11" ht="13.5" customHeight="1" x14ac:dyDescent="0.2">
      <c r="E158" s="52"/>
      <c r="H158" s="61"/>
      <c r="K158"/>
    </row>
    <row r="159" spans="3:11" ht="13.5" customHeight="1" x14ac:dyDescent="0.2">
      <c r="E159" s="52"/>
      <c r="H159" s="61"/>
      <c r="K159"/>
    </row>
    <row r="160" spans="3:11" ht="13.5" customHeight="1" x14ac:dyDescent="0.2">
      <c r="E160" s="52"/>
      <c r="H160" s="61"/>
      <c r="K160"/>
    </row>
    <row r="161" spans="5:11" ht="13.5" customHeight="1" x14ac:dyDescent="0.2">
      <c r="E161" s="52"/>
      <c r="H161" s="61"/>
      <c r="K161"/>
    </row>
    <row r="162" spans="5:11" ht="13.5" customHeight="1" x14ac:dyDescent="0.2">
      <c r="E162" s="52"/>
      <c r="H162" s="61"/>
      <c r="K162"/>
    </row>
    <row r="163" spans="5:11" ht="13.5" customHeight="1" x14ac:dyDescent="0.2">
      <c r="E163" s="52"/>
      <c r="H163" s="61"/>
      <c r="K163"/>
    </row>
    <row r="164" spans="5:11" ht="13.5" customHeight="1" x14ac:dyDescent="0.2">
      <c r="E164" s="52"/>
      <c r="H164" s="61"/>
      <c r="K164"/>
    </row>
    <row r="165" spans="5:11" ht="13.5" customHeight="1" x14ac:dyDescent="0.2">
      <c r="E165" s="52"/>
      <c r="H165" s="61"/>
      <c r="K165"/>
    </row>
    <row r="166" spans="5:11" ht="13.5" customHeight="1" x14ac:dyDescent="0.2">
      <c r="E166" s="52"/>
      <c r="H166" s="61"/>
      <c r="K166"/>
    </row>
    <row r="167" spans="5:11" ht="13.5" customHeight="1" x14ac:dyDescent="0.2">
      <c r="E167" s="52"/>
      <c r="H167" s="61"/>
      <c r="K167"/>
    </row>
    <row r="168" spans="5:11" ht="13.5" customHeight="1" x14ac:dyDescent="0.2">
      <c r="E168" s="52"/>
      <c r="H168" s="61"/>
      <c r="K168"/>
    </row>
    <row r="169" spans="5:11" ht="13.5" customHeight="1" x14ac:dyDescent="0.2">
      <c r="E169" s="52"/>
      <c r="H169" s="61"/>
      <c r="K169"/>
    </row>
    <row r="170" spans="5:11" ht="13.5" customHeight="1" x14ac:dyDescent="0.2">
      <c r="E170" s="52"/>
      <c r="H170" s="61"/>
      <c r="K170"/>
    </row>
    <row r="171" spans="5:11" ht="13.5" customHeight="1" x14ac:dyDescent="0.2">
      <c r="E171" s="52"/>
      <c r="H171" s="61"/>
      <c r="K171"/>
    </row>
    <row r="172" spans="5:11" ht="13.5" customHeight="1" x14ac:dyDescent="0.2">
      <c r="E172" s="52"/>
      <c r="H172" s="61"/>
      <c r="K172"/>
    </row>
    <row r="173" spans="5:11" ht="13.5" customHeight="1" x14ac:dyDescent="0.2">
      <c r="E173" s="52"/>
      <c r="H173" s="61"/>
      <c r="K173"/>
    </row>
    <row r="174" spans="5:11" ht="13.5" customHeight="1" x14ac:dyDescent="0.2">
      <c r="E174" s="52"/>
      <c r="H174" s="61"/>
      <c r="K174"/>
    </row>
    <row r="175" spans="5:11" ht="13.5" customHeight="1" x14ac:dyDescent="0.2">
      <c r="E175" s="52"/>
      <c r="H175" s="61"/>
      <c r="K175"/>
    </row>
    <row r="176" spans="5:11" ht="13.5" customHeight="1" x14ac:dyDescent="0.2">
      <c r="E176" s="52"/>
      <c r="H176" s="61"/>
      <c r="K176"/>
    </row>
    <row r="177" spans="5:11" ht="13.5" customHeight="1" x14ac:dyDescent="0.2">
      <c r="E177" s="52"/>
      <c r="H177" s="61"/>
      <c r="K177"/>
    </row>
    <row r="178" spans="5:11" ht="13.5" customHeight="1" x14ac:dyDescent="0.2">
      <c r="E178" s="52"/>
      <c r="H178" s="61"/>
      <c r="K178"/>
    </row>
    <row r="179" spans="5:11" ht="13.5" customHeight="1" x14ac:dyDescent="0.2">
      <c r="E179" s="52"/>
      <c r="H179" s="61"/>
      <c r="K179"/>
    </row>
    <row r="180" spans="5:11" ht="13.5" customHeight="1" x14ac:dyDescent="0.2">
      <c r="E180" s="52"/>
      <c r="H180" s="61"/>
      <c r="K180"/>
    </row>
    <row r="181" spans="5:11" ht="13.5" customHeight="1" x14ac:dyDescent="0.2">
      <c r="E181" s="52"/>
      <c r="H181" s="61"/>
      <c r="K181"/>
    </row>
    <row r="182" spans="5:11" ht="13.5" customHeight="1" x14ac:dyDescent="0.2">
      <c r="E182" s="52"/>
      <c r="H182" s="61"/>
      <c r="K182"/>
    </row>
    <row r="183" spans="5:11" ht="13.5" customHeight="1" x14ac:dyDescent="0.2">
      <c r="E183" s="52"/>
      <c r="H183" s="61"/>
      <c r="K183"/>
    </row>
    <row r="184" spans="5:11" ht="13.5" customHeight="1" x14ac:dyDescent="0.2">
      <c r="E184" s="52"/>
      <c r="H184" s="61"/>
      <c r="K184"/>
    </row>
    <row r="185" spans="5:11" ht="13.5" customHeight="1" x14ac:dyDescent="0.2">
      <c r="E185" s="52"/>
      <c r="H185" s="61"/>
      <c r="K185"/>
    </row>
    <row r="186" spans="5:11" ht="13.5" customHeight="1" x14ac:dyDescent="0.2">
      <c r="E186" s="52"/>
      <c r="H186" s="61"/>
      <c r="K186"/>
    </row>
    <row r="187" spans="5:11" ht="13.5" customHeight="1" x14ac:dyDescent="0.2">
      <c r="E187" s="52"/>
      <c r="H187" s="61"/>
      <c r="K187"/>
    </row>
    <row r="188" spans="5:11" ht="13.5" customHeight="1" x14ac:dyDescent="0.2">
      <c r="E188" s="52"/>
      <c r="H188" s="61"/>
      <c r="K188"/>
    </row>
    <row r="189" spans="5:11" ht="13.5" customHeight="1" x14ac:dyDescent="0.2">
      <c r="E189" s="52"/>
      <c r="H189" s="61"/>
      <c r="K189"/>
    </row>
    <row r="190" spans="5:11" ht="13.5" customHeight="1" x14ac:dyDescent="0.2">
      <c r="E190" s="52"/>
      <c r="H190" s="61"/>
      <c r="K190"/>
    </row>
    <row r="191" spans="5:11" ht="13.5" customHeight="1" x14ac:dyDescent="0.2">
      <c r="E191" s="52"/>
      <c r="H191" s="61"/>
      <c r="K191"/>
    </row>
    <row r="192" spans="5:11" ht="13.5" customHeight="1" x14ac:dyDescent="0.2">
      <c r="E192" s="52"/>
      <c r="H192" s="61"/>
      <c r="K192"/>
    </row>
    <row r="193" spans="5:11" ht="13.5" customHeight="1" x14ac:dyDescent="0.2">
      <c r="E193" s="52"/>
      <c r="H193" s="61"/>
      <c r="K193"/>
    </row>
    <row r="194" spans="5:11" ht="13.5" customHeight="1" x14ac:dyDescent="0.2">
      <c r="E194" s="52"/>
      <c r="H194" s="61"/>
      <c r="K194"/>
    </row>
    <row r="195" spans="5:11" ht="13.5" customHeight="1" x14ac:dyDescent="0.2">
      <c r="E195" s="52"/>
      <c r="H195" s="61"/>
      <c r="K195"/>
    </row>
    <row r="196" spans="5:11" ht="13.5" customHeight="1" x14ac:dyDescent="0.2">
      <c r="E196" s="52"/>
      <c r="H196" s="61"/>
      <c r="K196"/>
    </row>
    <row r="197" spans="5:11" ht="13.5" customHeight="1" x14ac:dyDescent="0.2">
      <c r="E197" s="52"/>
      <c r="H197" s="61"/>
      <c r="K197"/>
    </row>
    <row r="198" spans="5:11" ht="13.5" customHeight="1" x14ac:dyDescent="0.2">
      <c r="E198" s="52"/>
      <c r="H198" s="61"/>
      <c r="K198"/>
    </row>
    <row r="199" spans="5:11" ht="13.5" customHeight="1" x14ac:dyDescent="0.2">
      <c r="E199" s="52"/>
      <c r="H199" s="61"/>
      <c r="K199"/>
    </row>
    <row r="200" spans="5:11" ht="13.5" customHeight="1" x14ac:dyDescent="0.2">
      <c r="E200" s="52"/>
      <c r="H200" s="61"/>
      <c r="K200"/>
    </row>
    <row r="201" spans="5:11" ht="13.5" customHeight="1" x14ac:dyDescent="0.2">
      <c r="E201" s="52"/>
      <c r="H201" s="61"/>
      <c r="K201"/>
    </row>
    <row r="202" spans="5:11" ht="13.5" customHeight="1" x14ac:dyDescent="0.2">
      <c r="E202" s="52"/>
      <c r="H202" s="61"/>
      <c r="K202"/>
    </row>
    <row r="203" spans="5:11" ht="13.5" customHeight="1" x14ac:dyDescent="0.2">
      <c r="E203" s="52"/>
      <c r="H203" s="61"/>
      <c r="K203"/>
    </row>
    <row r="204" spans="5:11" ht="13.5" customHeight="1" x14ac:dyDescent="0.2">
      <c r="E204" s="52"/>
      <c r="H204" s="61"/>
      <c r="K204"/>
    </row>
    <row r="205" spans="5:11" ht="13.5" customHeight="1" x14ac:dyDescent="0.2">
      <c r="E205" s="52"/>
      <c r="H205" s="61"/>
      <c r="K205"/>
    </row>
    <row r="206" spans="5:11" ht="13.5" customHeight="1" x14ac:dyDescent="0.2">
      <c r="E206" s="52"/>
      <c r="H206" s="61"/>
      <c r="K206"/>
    </row>
    <row r="207" spans="5:11" ht="13.5" customHeight="1" x14ac:dyDescent="0.2">
      <c r="E207" s="52"/>
      <c r="H207" s="61"/>
      <c r="K207"/>
    </row>
    <row r="208" spans="5:11" ht="13.5" customHeight="1" x14ac:dyDescent="0.2">
      <c r="E208" s="52"/>
      <c r="H208" s="61"/>
      <c r="K208"/>
    </row>
    <row r="209" spans="5:11" ht="13.5" customHeight="1" x14ac:dyDescent="0.2">
      <c r="E209" s="52"/>
      <c r="H209" s="61"/>
      <c r="K209"/>
    </row>
    <row r="210" spans="5:11" ht="13.5" customHeight="1" x14ac:dyDescent="0.2">
      <c r="E210" s="52"/>
      <c r="H210" s="61"/>
      <c r="K210"/>
    </row>
    <row r="211" spans="5:11" ht="13.5" customHeight="1" x14ac:dyDescent="0.2">
      <c r="E211" s="52"/>
      <c r="H211" s="61"/>
      <c r="K211"/>
    </row>
    <row r="212" spans="5:11" ht="13.5" customHeight="1" x14ac:dyDescent="0.2">
      <c r="E212" s="52"/>
      <c r="H212" s="61"/>
      <c r="K212"/>
    </row>
    <row r="213" spans="5:11" ht="13.5" customHeight="1" x14ac:dyDescent="0.2">
      <c r="E213" s="52"/>
      <c r="H213" s="61"/>
      <c r="K213"/>
    </row>
    <row r="214" spans="5:11" ht="13.5" customHeight="1" x14ac:dyDescent="0.2">
      <c r="E214" s="52"/>
      <c r="H214" s="61"/>
      <c r="K214"/>
    </row>
    <row r="215" spans="5:11" ht="13.5" customHeight="1" x14ac:dyDescent="0.2">
      <c r="E215" s="52"/>
      <c r="H215" s="61"/>
      <c r="K215"/>
    </row>
    <row r="216" spans="5:11" ht="13.5" customHeight="1" x14ac:dyDescent="0.2">
      <c r="E216" s="52"/>
      <c r="H216" s="61"/>
      <c r="K216"/>
    </row>
    <row r="217" spans="5:11" ht="13.5" customHeight="1" x14ac:dyDescent="0.2">
      <c r="E217" s="52"/>
      <c r="H217" s="61"/>
      <c r="K217"/>
    </row>
    <row r="218" spans="5:11" ht="13.5" customHeight="1" x14ac:dyDescent="0.2">
      <c r="E218" s="52"/>
      <c r="H218" s="61"/>
      <c r="K218"/>
    </row>
    <row r="219" spans="5:11" ht="13.5" customHeight="1" x14ac:dyDescent="0.2">
      <c r="E219" s="52"/>
      <c r="H219" s="61"/>
      <c r="K219"/>
    </row>
    <row r="220" spans="5:11" ht="13.5" customHeight="1" x14ac:dyDescent="0.2">
      <c r="E220" s="52"/>
      <c r="H220" s="61"/>
      <c r="K220"/>
    </row>
    <row r="221" spans="5:11" ht="13.5" customHeight="1" x14ac:dyDescent="0.2">
      <c r="E221" s="52"/>
      <c r="H221" s="61"/>
      <c r="K221"/>
    </row>
    <row r="222" spans="5:11" ht="13.5" customHeight="1" x14ac:dyDescent="0.2">
      <c r="E222" s="52"/>
      <c r="H222" s="61"/>
      <c r="K222"/>
    </row>
    <row r="223" spans="5:11" ht="13.5" customHeight="1" x14ac:dyDescent="0.2">
      <c r="E223" s="52"/>
      <c r="H223" s="61"/>
      <c r="K223"/>
    </row>
    <row r="224" spans="5:11" ht="13.5" customHeight="1" x14ac:dyDescent="0.2">
      <c r="E224" s="52"/>
      <c r="H224" s="61"/>
      <c r="K224"/>
    </row>
    <row r="225" spans="5:11" ht="13.5" customHeight="1" x14ac:dyDescent="0.2">
      <c r="E225" s="52"/>
      <c r="H225" s="61"/>
      <c r="K225"/>
    </row>
    <row r="226" spans="5:11" ht="13.5" customHeight="1" x14ac:dyDescent="0.2">
      <c r="E226" s="52"/>
      <c r="H226" s="61"/>
      <c r="K226"/>
    </row>
    <row r="227" spans="5:11" ht="13.5" customHeight="1" x14ac:dyDescent="0.2">
      <c r="E227" s="52"/>
      <c r="H227" s="61"/>
      <c r="K227"/>
    </row>
    <row r="228" spans="5:11" ht="13.5" customHeight="1" x14ac:dyDescent="0.2">
      <c r="E228" s="52"/>
      <c r="H228" s="61"/>
      <c r="K228"/>
    </row>
    <row r="229" spans="5:11" ht="13.5" customHeight="1" x14ac:dyDescent="0.2">
      <c r="E229" s="52"/>
      <c r="H229" s="61"/>
      <c r="K229"/>
    </row>
    <row r="230" spans="5:11" ht="13.5" customHeight="1" x14ac:dyDescent="0.2">
      <c r="E230" s="52"/>
      <c r="H230" s="61"/>
      <c r="K230"/>
    </row>
    <row r="231" spans="5:11" ht="13.5" customHeight="1" x14ac:dyDescent="0.2">
      <c r="E231" s="52"/>
      <c r="H231" s="61"/>
      <c r="K231"/>
    </row>
    <row r="232" spans="5:11" ht="13.5" customHeight="1" x14ac:dyDescent="0.2">
      <c r="E232" s="52"/>
      <c r="H232" s="61"/>
      <c r="K232"/>
    </row>
    <row r="233" spans="5:11" ht="13.5" customHeight="1" x14ac:dyDescent="0.2">
      <c r="E233" s="52"/>
      <c r="H233" s="61"/>
      <c r="K233"/>
    </row>
    <row r="234" spans="5:11" ht="13.5" customHeight="1" x14ac:dyDescent="0.2">
      <c r="E234" s="52"/>
      <c r="H234" s="61"/>
      <c r="K234"/>
    </row>
    <row r="235" spans="5:11" ht="13.5" customHeight="1" x14ac:dyDescent="0.2">
      <c r="E235" s="52"/>
      <c r="H235" s="61"/>
      <c r="K235"/>
    </row>
    <row r="236" spans="5:11" ht="13.5" customHeight="1" x14ac:dyDescent="0.2">
      <c r="E236" s="52"/>
      <c r="H236" s="61"/>
      <c r="K236"/>
    </row>
    <row r="237" spans="5:11" ht="13.5" customHeight="1" x14ac:dyDescent="0.2">
      <c r="E237" s="52"/>
      <c r="H237" s="61"/>
      <c r="K237"/>
    </row>
    <row r="238" spans="5:11" ht="13.5" customHeight="1" x14ac:dyDescent="0.2">
      <c r="E238" s="52"/>
      <c r="H238" s="61"/>
      <c r="K238"/>
    </row>
    <row r="239" spans="5:11" ht="13.5" customHeight="1" x14ac:dyDescent="0.2">
      <c r="E239" s="52"/>
      <c r="H239" s="61"/>
      <c r="K239"/>
    </row>
    <row r="240" spans="5:11" ht="13.5" customHeight="1" x14ac:dyDescent="0.2">
      <c r="E240" s="52"/>
      <c r="H240" s="61"/>
      <c r="K240"/>
    </row>
    <row r="241" spans="5:11" ht="13.5" customHeight="1" x14ac:dyDescent="0.2">
      <c r="E241" s="52"/>
      <c r="H241" s="61"/>
      <c r="K241"/>
    </row>
    <row r="242" spans="5:11" ht="13.5" customHeight="1" x14ac:dyDescent="0.2">
      <c r="E242" s="52"/>
      <c r="H242" s="61"/>
      <c r="K242"/>
    </row>
    <row r="243" spans="5:11" ht="13.5" customHeight="1" x14ac:dyDescent="0.2">
      <c r="E243" s="52"/>
      <c r="H243" s="61"/>
      <c r="K243"/>
    </row>
    <row r="244" spans="5:11" ht="13.5" customHeight="1" x14ac:dyDescent="0.2">
      <c r="E244" s="52"/>
      <c r="H244" s="61"/>
      <c r="K244"/>
    </row>
    <row r="245" spans="5:11" ht="13.5" customHeight="1" x14ac:dyDescent="0.2">
      <c r="E245" s="52"/>
      <c r="H245" s="61"/>
      <c r="K245"/>
    </row>
    <row r="246" spans="5:11" ht="13.5" customHeight="1" x14ac:dyDescent="0.2">
      <c r="E246" s="52"/>
      <c r="H246" s="61"/>
      <c r="K246"/>
    </row>
    <row r="247" spans="5:11" ht="13.5" customHeight="1" x14ac:dyDescent="0.2">
      <c r="E247" s="52"/>
      <c r="H247" s="61"/>
      <c r="K247"/>
    </row>
    <row r="248" spans="5:11" ht="13.5" customHeight="1" x14ac:dyDescent="0.2">
      <c r="E248" s="52"/>
      <c r="H248" s="61"/>
      <c r="K248"/>
    </row>
    <row r="249" spans="5:11" ht="13.5" customHeight="1" x14ac:dyDescent="0.2">
      <c r="E249" s="52"/>
      <c r="H249" s="61"/>
      <c r="K249"/>
    </row>
    <row r="250" spans="5:11" ht="13.5" customHeight="1" x14ac:dyDescent="0.2">
      <c r="E250" s="52"/>
      <c r="H250" s="61"/>
      <c r="K250"/>
    </row>
    <row r="251" spans="5:11" ht="13.5" customHeight="1" x14ac:dyDescent="0.2">
      <c r="E251" s="52"/>
      <c r="H251" s="61"/>
      <c r="K251"/>
    </row>
    <row r="252" spans="5:11" ht="13.5" customHeight="1" x14ac:dyDescent="0.2">
      <c r="E252" s="52"/>
      <c r="H252" s="61"/>
      <c r="K252"/>
    </row>
    <row r="253" spans="5:11" ht="13.5" customHeight="1" x14ac:dyDescent="0.2">
      <c r="E253" s="52"/>
      <c r="H253" s="61"/>
      <c r="K253"/>
    </row>
    <row r="254" spans="5:11" ht="13.5" customHeight="1" x14ac:dyDescent="0.2">
      <c r="E254" s="52"/>
      <c r="H254" s="61"/>
      <c r="K254"/>
    </row>
    <row r="255" spans="5:11" ht="13.5" customHeight="1" x14ac:dyDescent="0.2">
      <c r="E255" s="52"/>
      <c r="H255" s="61"/>
      <c r="K255"/>
    </row>
    <row r="256" spans="5:11" ht="13.5" customHeight="1" x14ac:dyDescent="0.2">
      <c r="E256" s="52"/>
      <c r="H256" s="61"/>
      <c r="K256"/>
    </row>
    <row r="257" spans="5:11" ht="13.5" customHeight="1" x14ac:dyDescent="0.2">
      <c r="E257" s="52"/>
      <c r="H257" s="61"/>
      <c r="K257"/>
    </row>
    <row r="258" spans="5:11" ht="13.5" customHeight="1" x14ac:dyDescent="0.2">
      <c r="E258" s="52"/>
      <c r="H258" s="61"/>
      <c r="K258"/>
    </row>
    <row r="259" spans="5:11" ht="13.5" customHeight="1" x14ac:dyDescent="0.2">
      <c r="E259" s="52"/>
      <c r="H259" s="61"/>
      <c r="K259"/>
    </row>
    <row r="260" spans="5:11" ht="13.5" customHeight="1" x14ac:dyDescent="0.2">
      <c r="E260" s="52"/>
      <c r="H260" s="61"/>
      <c r="K260"/>
    </row>
    <row r="261" spans="5:11" ht="13.5" customHeight="1" x14ac:dyDescent="0.2">
      <c r="E261" s="52"/>
      <c r="H261" s="61"/>
      <c r="K261"/>
    </row>
    <row r="262" spans="5:11" ht="13.5" customHeight="1" x14ac:dyDescent="0.2">
      <c r="E262" s="52"/>
      <c r="H262" s="61"/>
      <c r="K262"/>
    </row>
    <row r="263" spans="5:11" ht="13.5" customHeight="1" x14ac:dyDescent="0.2">
      <c r="E263" s="52"/>
      <c r="H263" s="61"/>
      <c r="K263"/>
    </row>
    <row r="264" spans="5:11" ht="13.5" customHeight="1" x14ac:dyDescent="0.2">
      <c r="E264" s="52"/>
      <c r="H264" s="61"/>
      <c r="K264"/>
    </row>
    <row r="265" spans="5:11" ht="13.5" customHeight="1" x14ac:dyDescent="0.2">
      <c r="E265" s="52"/>
      <c r="H265" s="61"/>
      <c r="K265"/>
    </row>
    <row r="266" spans="5:11" ht="13.5" customHeight="1" x14ac:dyDescent="0.2">
      <c r="E266" s="52"/>
      <c r="H266" s="61"/>
      <c r="K266"/>
    </row>
    <row r="267" spans="5:11" ht="13.5" customHeight="1" x14ac:dyDescent="0.2">
      <c r="E267" s="52"/>
      <c r="H267" s="61"/>
      <c r="K267"/>
    </row>
    <row r="268" spans="5:11" ht="13.5" customHeight="1" x14ac:dyDescent="0.2">
      <c r="E268" s="52"/>
      <c r="H268" s="61"/>
      <c r="K268"/>
    </row>
    <row r="269" spans="5:11" ht="13.5" customHeight="1" x14ac:dyDescent="0.2">
      <c r="E269" s="52"/>
      <c r="H269" s="61"/>
      <c r="K269"/>
    </row>
    <row r="270" spans="5:11" ht="13.5" customHeight="1" x14ac:dyDescent="0.2">
      <c r="E270" s="52"/>
      <c r="H270" s="61"/>
      <c r="K270"/>
    </row>
    <row r="271" spans="5:11" ht="13.5" customHeight="1" x14ac:dyDescent="0.2">
      <c r="E271" s="52"/>
      <c r="H271" s="61"/>
      <c r="K271"/>
    </row>
    <row r="272" spans="5:11" ht="13.5" customHeight="1" x14ac:dyDescent="0.2">
      <c r="E272" s="52"/>
      <c r="H272" s="61"/>
      <c r="K272"/>
    </row>
    <row r="273" spans="5:11" ht="13.5" customHeight="1" x14ac:dyDescent="0.2">
      <c r="E273" s="52"/>
      <c r="H273" s="61"/>
      <c r="K273"/>
    </row>
    <row r="274" spans="5:11" ht="13.5" customHeight="1" x14ac:dyDescent="0.2">
      <c r="E274" s="52"/>
      <c r="H274" s="61"/>
      <c r="K274"/>
    </row>
    <row r="275" spans="5:11" ht="13.5" customHeight="1" x14ac:dyDescent="0.2">
      <c r="E275" s="52"/>
      <c r="H275" s="61"/>
      <c r="K275"/>
    </row>
    <row r="276" spans="5:11" ht="13.5" customHeight="1" x14ac:dyDescent="0.2">
      <c r="E276" s="52"/>
      <c r="H276" s="61"/>
      <c r="K276"/>
    </row>
    <row r="277" spans="5:11" ht="13.5" customHeight="1" x14ac:dyDescent="0.2">
      <c r="E277" s="52"/>
      <c r="H277" s="61"/>
      <c r="K277"/>
    </row>
    <row r="278" spans="5:11" ht="13.5" customHeight="1" x14ac:dyDescent="0.2">
      <c r="E278" s="52"/>
      <c r="H278" s="61"/>
      <c r="K278"/>
    </row>
    <row r="279" spans="5:11" ht="13.5" customHeight="1" x14ac:dyDescent="0.2">
      <c r="E279" s="52"/>
      <c r="H279" s="61"/>
      <c r="K279"/>
    </row>
    <row r="280" spans="5:11" ht="13.5" customHeight="1" x14ac:dyDescent="0.2">
      <c r="E280" s="52"/>
      <c r="H280" s="61"/>
      <c r="K280"/>
    </row>
    <row r="281" spans="5:11" ht="13.5" customHeight="1" x14ac:dyDescent="0.2">
      <c r="E281" s="52"/>
      <c r="H281" s="61"/>
      <c r="K281"/>
    </row>
    <row r="282" spans="5:11" ht="13.5" customHeight="1" x14ac:dyDescent="0.2">
      <c r="E282" s="52"/>
      <c r="H282" s="61"/>
      <c r="K282"/>
    </row>
    <row r="283" spans="5:11" ht="13.5" customHeight="1" x14ac:dyDescent="0.2">
      <c r="E283" s="52"/>
      <c r="H283" s="61"/>
      <c r="K283"/>
    </row>
    <row r="284" spans="5:11" ht="13.5" customHeight="1" x14ac:dyDescent="0.2">
      <c r="E284" s="52"/>
      <c r="H284" s="61"/>
      <c r="K284"/>
    </row>
    <row r="285" spans="5:11" ht="13.5" customHeight="1" x14ac:dyDescent="0.2">
      <c r="E285" s="52"/>
      <c r="H285" s="61"/>
      <c r="K285"/>
    </row>
    <row r="286" spans="5:11" ht="13.5" customHeight="1" x14ac:dyDescent="0.2">
      <c r="E286" s="52"/>
      <c r="H286" s="61"/>
      <c r="K286"/>
    </row>
    <row r="287" spans="5:11" ht="13.5" customHeight="1" x14ac:dyDescent="0.2">
      <c r="E287" s="52"/>
      <c r="H287" s="61"/>
      <c r="K287"/>
    </row>
    <row r="288" spans="5:11" ht="13.5" customHeight="1" x14ac:dyDescent="0.2">
      <c r="E288" s="52"/>
      <c r="H288" s="61"/>
      <c r="K288"/>
    </row>
    <row r="289" spans="5:11" ht="13.5" customHeight="1" x14ac:dyDescent="0.2">
      <c r="E289" s="52"/>
      <c r="H289" s="61"/>
      <c r="K289"/>
    </row>
    <row r="290" spans="5:11" ht="13.5" customHeight="1" x14ac:dyDescent="0.2">
      <c r="E290" s="52"/>
      <c r="H290" s="61"/>
      <c r="K290"/>
    </row>
    <row r="291" spans="5:11" ht="13.5" customHeight="1" x14ac:dyDescent="0.2">
      <c r="E291" s="52"/>
      <c r="H291" s="61"/>
      <c r="K291"/>
    </row>
    <row r="292" spans="5:11" ht="13.5" customHeight="1" x14ac:dyDescent="0.2">
      <c r="E292" s="52"/>
      <c r="H292" s="61"/>
      <c r="K292"/>
    </row>
    <row r="293" spans="5:11" ht="13.5" customHeight="1" x14ac:dyDescent="0.2">
      <c r="E293" s="52"/>
      <c r="H293" s="61"/>
      <c r="K293"/>
    </row>
    <row r="294" spans="5:11" ht="13.5" customHeight="1" x14ac:dyDescent="0.2">
      <c r="E294" s="52"/>
      <c r="H294" s="61"/>
      <c r="K294"/>
    </row>
    <row r="295" spans="5:11" ht="13.5" customHeight="1" x14ac:dyDescent="0.2">
      <c r="E295" s="52"/>
      <c r="H295" s="61"/>
      <c r="K295"/>
    </row>
    <row r="296" spans="5:11" ht="13.5" customHeight="1" x14ac:dyDescent="0.2">
      <c r="E296" s="52"/>
      <c r="H296" s="61"/>
      <c r="K296"/>
    </row>
    <row r="297" spans="5:11" ht="13.5" customHeight="1" x14ac:dyDescent="0.2">
      <c r="E297" s="52"/>
      <c r="H297" s="61"/>
      <c r="K297"/>
    </row>
    <row r="298" spans="5:11" ht="13.5" customHeight="1" x14ac:dyDescent="0.2">
      <c r="E298" s="52"/>
      <c r="H298" s="61"/>
      <c r="K298"/>
    </row>
    <row r="299" spans="5:11" ht="13.5" customHeight="1" x14ac:dyDescent="0.2">
      <c r="E299" s="52"/>
      <c r="H299" s="61"/>
      <c r="K299"/>
    </row>
    <row r="300" spans="5:11" ht="13.5" customHeight="1" x14ac:dyDescent="0.2">
      <c r="E300" s="52"/>
      <c r="H300" s="61"/>
      <c r="K300"/>
    </row>
    <row r="301" spans="5:11" ht="13.5" customHeight="1" x14ac:dyDescent="0.2">
      <c r="E301" s="52"/>
      <c r="H301" s="61"/>
      <c r="K301"/>
    </row>
    <row r="302" spans="5:11" ht="13.5" customHeight="1" x14ac:dyDescent="0.2">
      <c r="E302" s="52"/>
      <c r="H302" s="61"/>
      <c r="K302"/>
    </row>
    <row r="303" spans="5:11" ht="13.5" customHeight="1" x14ac:dyDescent="0.2">
      <c r="E303" s="52"/>
      <c r="H303" s="61"/>
      <c r="K303"/>
    </row>
    <row r="304" spans="5:11" ht="14.25" customHeight="1" x14ac:dyDescent="0.2">
      <c r="E304" s="52"/>
      <c r="H304" s="61"/>
      <c r="K304"/>
    </row>
    <row r="305" spans="5:11" ht="14.25" customHeight="1" x14ac:dyDescent="0.2">
      <c r="E305" s="52"/>
      <c r="H305" s="61"/>
      <c r="K305"/>
    </row>
    <row r="306" spans="5:11" ht="14.25" customHeight="1" x14ac:dyDescent="0.2">
      <c r="E306" s="52"/>
      <c r="H306" s="61"/>
      <c r="K306"/>
    </row>
    <row r="307" spans="5:11" ht="14.25" customHeight="1" x14ac:dyDescent="0.2">
      <c r="E307" s="52"/>
      <c r="H307" s="61"/>
      <c r="K307"/>
    </row>
    <row r="308" spans="5:11" ht="14.25" customHeight="1" x14ac:dyDescent="0.2">
      <c r="E308" s="52"/>
      <c r="H308" s="61"/>
      <c r="K308"/>
    </row>
    <row r="309" spans="5:11" ht="14.25" customHeight="1" x14ac:dyDescent="0.2">
      <c r="E309" s="52"/>
      <c r="H309" s="61"/>
      <c r="K309"/>
    </row>
    <row r="310" spans="5:11" ht="14.25" customHeight="1" x14ac:dyDescent="0.2">
      <c r="E310" s="52"/>
      <c r="H310" s="61"/>
      <c r="K310"/>
    </row>
    <row r="311" spans="5:11" ht="14.25" customHeight="1" x14ac:dyDescent="0.2">
      <c r="E311" s="52"/>
      <c r="H311" s="61"/>
      <c r="K311"/>
    </row>
    <row r="312" spans="5:11" ht="14.25" customHeight="1" x14ac:dyDescent="0.2">
      <c r="E312" s="52"/>
      <c r="H312" s="61"/>
      <c r="K312"/>
    </row>
    <row r="313" spans="5:11" ht="14.25" customHeight="1" x14ac:dyDescent="0.2">
      <c r="E313" s="52"/>
      <c r="H313" s="61"/>
      <c r="K313"/>
    </row>
    <row r="314" spans="5:11" ht="14.25" customHeight="1" x14ac:dyDescent="0.2">
      <c r="E314" s="52"/>
      <c r="H314" s="61"/>
      <c r="K314"/>
    </row>
    <row r="315" spans="5:11" ht="14.25" customHeight="1" x14ac:dyDescent="0.2">
      <c r="E315" s="52"/>
      <c r="H315" s="61"/>
      <c r="K315"/>
    </row>
    <row r="316" spans="5:11" ht="14.25" customHeight="1" x14ac:dyDescent="0.2">
      <c r="E316" s="52"/>
      <c r="H316" s="61"/>
      <c r="K316"/>
    </row>
    <row r="317" spans="5:11" ht="14.25" customHeight="1" x14ac:dyDescent="0.2">
      <c r="E317" s="52"/>
      <c r="H317" s="61"/>
      <c r="K317"/>
    </row>
    <row r="318" spans="5:11" ht="14.25" customHeight="1" x14ac:dyDescent="0.2">
      <c r="E318" s="52"/>
      <c r="H318" s="61"/>
      <c r="K318"/>
    </row>
    <row r="319" spans="5:11" ht="14.25" customHeight="1" x14ac:dyDescent="0.2">
      <c r="E319" s="52"/>
      <c r="H319" s="61"/>
      <c r="K319"/>
    </row>
    <row r="320" spans="5:11" ht="14.25" customHeight="1" x14ac:dyDescent="0.2">
      <c r="E320" s="52"/>
      <c r="H320" s="61"/>
      <c r="K320"/>
    </row>
    <row r="321" spans="5:11" ht="14.25" customHeight="1" x14ac:dyDescent="0.2">
      <c r="E321" s="52"/>
      <c r="H321" s="61"/>
      <c r="K321"/>
    </row>
    <row r="322" spans="5:11" ht="14.25" customHeight="1" x14ac:dyDescent="0.2">
      <c r="E322" s="52"/>
      <c r="H322" s="61"/>
      <c r="K322"/>
    </row>
    <row r="323" spans="5:11" ht="14.25" customHeight="1" x14ac:dyDescent="0.2">
      <c r="E323" s="52"/>
      <c r="H323" s="61"/>
      <c r="K323"/>
    </row>
    <row r="324" spans="5:11" ht="14.25" customHeight="1" x14ac:dyDescent="0.2">
      <c r="E324" s="52"/>
      <c r="H324" s="61"/>
      <c r="K324"/>
    </row>
    <row r="325" spans="5:11" ht="14.25" customHeight="1" x14ac:dyDescent="0.2">
      <c r="E325" s="52"/>
      <c r="H325" s="61"/>
      <c r="K325"/>
    </row>
    <row r="326" spans="5:11" ht="14.25" customHeight="1" x14ac:dyDescent="0.2">
      <c r="E326" s="52"/>
      <c r="H326" s="61"/>
      <c r="K326"/>
    </row>
    <row r="327" spans="5:11" ht="14.25" customHeight="1" x14ac:dyDescent="0.2">
      <c r="E327" s="52"/>
      <c r="H327" s="61"/>
      <c r="K327"/>
    </row>
    <row r="328" spans="5:11" ht="14.25" customHeight="1" x14ac:dyDescent="0.2">
      <c r="E328" s="52"/>
      <c r="H328" s="61"/>
      <c r="K328"/>
    </row>
    <row r="329" spans="5:11" ht="14.25" customHeight="1" x14ac:dyDescent="0.2">
      <c r="E329" s="52"/>
      <c r="H329" s="61"/>
      <c r="K329"/>
    </row>
    <row r="330" spans="5:11" ht="14.25" customHeight="1" x14ac:dyDescent="0.2">
      <c r="E330" s="52"/>
      <c r="H330" s="61"/>
      <c r="K330"/>
    </row>
    <row r="331" spans="5:11" ht="14.25" customHeight="1" x14ac:dyDescent="0.2">
      <c r="E331" s="52"/>
      <c r="H331" s="61"/>
      <c r="K331"/>
    </row>
    <row r="332" spans="5:11" ht="14.25" customHeight="1" x14ac:dyDescent="0.2">
      <c r="E332" s="52"/>
      <c r="H332" s="61"/>
      <c r="K332"/>
    </row>
    <row r="333" spans="5:11" ht="14.25" customHeight="1" x14ac:dyDescent="0.2">
      <c r="E333" s="52"/>
      <c r="H333" s="61"/>
      <c r="K333"/>
    </row>
    <row r="334" spans="5:11" ht="14.25" customHeight="1" x14ac:dyDescent="0.2">
      <c r="E334" s="52"/>
      <c r="H334" s="61"/>
      <c r="K334"/>
    </row>
    <row r="335" spans="5:11" ht="14.25" customHeight="1" x14ac:dyDescent="0.2">
      <c r="E335" s="52"/>
      <c r="H335" s="61"/>
      <c r="K335"/>
    </row>
    <row r="336" spans="5:11" ht="14.25" customHeight="1" x14ac:dyDescent="0.2">
      <c r="E336" s="52"/>
      <c r="H336" s="61"/>
      <c r="K336"/>
    </row>
    <row r="337" spans="5:11" ht="14.25" customHeight="1" x14ac:dyDescent="0.2">
      <c r="E337" s="52"/>
      <c r="H337" s="61"/>
      <c r="K337"/>
    </row>
    <row r="338" spans="5:11" ht="14.25" customHeight="1" x14ac:dyDescent="0.2">
      <c r="E338" s="52"/>
      <c r="H338" s="61"/>
      <c r="K338"/>
    </row>
    <row r="339" spans="5:11" ht="14.25" customHeight="1" x14ac:dyDescent="0.2">
      <c r="E339" s="52"/>
      <c r="H339" s="61"/>
      <c r="K339"/>
    </row>
    <row r="340" spans="5:11" ht="14.25" customHeight="1" x14ac:dyDescent="0.2">
      <c r="E340" s="52"/>
      <c r="H340" s="61"/>
      <c r="K340"/>
    </row>
    <row r="341" spans="5:11" ht="14.25" customHeight="1" x14ac:dyDescent="0.2">
      <c r="E341" s="52"/>
      <c r="H341" s="61"/>
      <c r="K341"/>
    </row>
    <row r="342" spans="5:11" ht="14.25" customHeight="1" x14ac:dyDescent="0.2">
      <c r="E342" s="52"/>
      <c r="H342" s="61"/>
      <c r="K342"/>
    </row>
    <row r="343" spans="5:11" ht="14.25" customHeight="1" x14ac:dyDescent="0.2">
      <c r="E343" s="52"/>
      <c r="H343" s="61"/>
      <c r="K343"/>
    </row>
    <row r="344" spans="5:11" ht="14.25" customHeight="1" x14ac:dyDescent="0.2">
      <c r="E344" s="52"/>
      <c r="H344" s="61"/>
      <c r="K344"/>
    </row>
    <row r="345" spans="5:11" ht="14.25" customHeight="1" x14ac:dyDescent="0.2">
      <c r="E345" s="52"/>
      <c r="H345" s="61"/>
      <c r="K345"/>
    </row>
    <row r="346" spans="5:11" ht="14.25" customHeight="1" x14ac:dyDescent="0.2">
      <c r="E346" s="52"/>
      <c r="H346" s="61"/>
      <c r="K346"/>
    </row>
    <row r="347" spans="5:11" ht="14.25" customHeight="1" x14ac:dyDescent="0.2">
      <c r="E347" s="52"/>
      <c r="H347" s="61"/>
      <c r="K347"/>
    </row>
    <row r="348" spans="5:11" ht="14.25" customHeight="1" x14ac:dyDescent="0.2">
      <c r="E348" s="52"/>
      <c r="H348" s="61"/>
      <c r="K348"/>
    </row>
    <row r="349" spans="5:11" ht="14.25" customHeight="1" x14ac:dyDescent="0.2">
      <c r="E349" s="52"/>
      <c r="H349" s="61"/>
      <c r="K349"/>
    </row>
    <row r="350" spans="5:11" ht="14.25" customHeight="1" x14ac:dyDescent="0.2">
      <c r="E350" s="52"/>
      <c r="H350" s="61"/>
      <c r="K350"/>
    </row>
    <row r="351" spans="5:11" ht="14.25" customHeight="1" x14ac:dyDescent="0.2">
      <c r="E351" s="52"/>
      <c r="H351" s="61"/>
      <c r="K351"/>
    </row>
    <row r="352" spans="5:11" ht="14.25" customHeight="1" x14ac:dyDescent="0.2">
      <c r="E352" s="52"/>
      <c r="H352" s="61"/>
      <c r="K352"/>
    </row>
    <row r="353" spans="5:11" ht="14.25" customHeight="1" x14ac:dyDescent="0.2">
      <c r="E353" s="52"/>
      <c r="H353" s="61"/>
      <c r="K353"/>
    </row>
    <row r="354" spans="5:11" ht="14.25" customHeight="1" x14ac:dyDescent="0.2">
      <c r="E354" s="52"/>
      <c r="H354" s="61"/>
      <c r="K354"/>
    </row>
    <row r="355" spans="5:11" ht="14.25" customHeight="1" x14ac:dyDescent="0.2">
      <c r="E355" s="52"/>
      <c r="H355" s="61"/>
      <c r="K355"/>
    </row>
    <row r="356" spans="5:11" ht="14.25" customHeight="1" x14ac:dyDescent="0.2">
      <c r="E356" s="52"/>
      <c r="H356" s="61"/>
      <c r="K356"/>
    </row>
    <row r="357" spans="5:11" ht="14.25" customHeight="1" x14ac:dyDescent="0.2">
      <c r="E357" s="52"/>
      <c r="H357" s="61"/>
      <c r="K357"/>
    </row>
    <row r="358" spans="5:11" ht="14.25" customHeight="1" x14ac:dyDescent="0.2">
      <c r="E358" s="52"/>
      <c r="H358" s="61"/>
      <c r="K358"/>
    </row>
    <row r="359" spans="5:11" ht="14.25" customHeight="1" x14ac:dyDescent="0.2">
      <c r="E359" s="52"/>
      <c r="H359" s="61"/>
      <c r="K359"/>
    </row>
    <row r="360" spans="5:11" ht="14.25" customHeight="1" x14ac:dyDescent="0.2">
      <c r="E360" s="52"/>
      <c r="H360" s="61"/>
      <c r="K360"/>
    </row>
    <row r="361" spans="5:11" ht="14.25" customHeight="1" x14ac:dyDescent="0.2">
      <c r="E361" s="52"/>
      <c r="H361" s="61"/>
      <c r="K361"/>
    </row>
    <row r="362" spans="5:11" ht="14.25" customHeight="1" x14ac:dyDescent="0.2">
      <c r="E362" s="52"/>
      <c r="H362" s="61"/>
      <c r="K362"/>
    </row>
    <row r="363" spans="5:11" ht="14.25" customHeight="1" x14ac:dyDescent="0.2">
      <c r="E363" s="52"/>
      <c r="H363" s="61"/>
      <c r="K363"/>
    </row>
    <row r="364" spans="5:11" ht="14.25" customHeight="1" x14ac:dyDescent="0.2">
      <c r="E364" s="52"/>
      <c r="H364" s="61"/>
      <c r="K364"/>
    </row>
    <row r="365" spans="5:11" ht="14.25" customHeight="1" x14ac:dyDescent="0.2">
      <c r="E365" s="52"/>
      <c r="H365" s="61"/>
      <c r="K365"/>
    </row>
    <row r="366" spans="5:11" ht="14.25" customHeight="1" x14ac:dyDescent="0.2">
      <c r="E366" s="52"/>
      <c r="H366" s="61"/>
      <c r="K366"/>
    </row>
    <row r="367" spans="5:11" ht="14.25" customHeight="1" x14ac:dyDescent="0.2">
      <c r="E367" s="52"/>
      <c r="H367" s="61"/>
      <c r="K367"/>
    </row>
    <row r="368" spans="5:11" ht="14.25" customHeight="1" x14ac:dyDescent="0.2">
      <c r="E368" s="52"/>
      <c r="H368" s="61"/>
      <c r="K368"/>
    </row>
    <row r="369" spans="5:11" ht="14.25" customHeight="1" x14ac:dyDescent="0.2">
      <c r="E369" s="52"/>
      <c r="H369" s="61"/>
      <c r="K369"/>
    </row>
    <row r="370" spans="5:11" ht="14.25" customHeight="1" x14ac:dyDescent="0.2">
      <c r="E370" s="52"/>
      <c r="H370" s="61"/>
      <c r="K370"/>
    </row>
    <row r="371" spans="5:11" ht="14.25" customHeight="1" x14ac:dyDescent="0.2">
      <c r="E371" s="52"/>
      <c r="H371" s="61"/>
      <c r="K371"/>
    </row>
    <row r="372" spans="5:11" ht="14.25" customHeight="1" x14ac:dyDescent="0.2">
      <c r="E372" s="52"/>
      <c r="H372" s="61"/>
      <c r="K372"/>
    </row>
    <row r="373" spans="5:11" ht="14.25" customHeight="1" x14ac:dyDescent="0.2">
      <c r="E373" s="52"/>
      <c r="H373" s="61"/>
      <c r="K373"/>
    </row>
    <row r="374" spans="5:11" ht="14.25" customHeight="1" x14ac:dyDescent="0.2">
      <c r="E374" s="52"/>
      <c r="H374" s="61"/>
      <c r="K374"/>
    </row>
    <row r="375" spans="5:11" ht="14.25" customHeight="1" x14ac:dyDescent="0.2">
      <c r="E375" s="52"/>
      <c r="H375" s="61"/>
      <c r="K375"/>
    </row>
    <row r="376" spans="5:11" ht="14.25" customHeight="1" x14ac:dyDescent="0.2">
      <c r="E376" s="52"/>
      <c r="H376" s="61"/>
      <c r="K376"/>
    </row>
    <row r="377" spans="5:11" ht="14.25" customHeight="1" x14ac:dyDescent="0.2">
      <c r="E377" s="52"/>
      <c r="H377" s="61"/>
      <c r="K377"/>
    </row>
    <row r="378" spans="5:11" ht="14.25" customHeight="1" x14ac:dyDescent="0.2">
      <c r="E378" s="52"/>
      <c r="H378" s="61"/>
      <c r="K378"/>
    </row>
    <row r="379" spans="5:11" ht="14.25" customHeight="1" x14ac:dyDescent="0.2">
      <c r="E379" s="52"/>
      <c r="H379" s="61"/>
      <c r="K379"/>
    </row>
    <row r="380" spans="5:11" ht="14.25" customHeight="1" x14ac:dyDescent="0.2">
      <c r="E380" s="52"/>
      <c r="H380" s="61"/>
      <c r="K380"/>
    </row>
    <row r="381" spans="5:11" ht="14.25" customHeight="1" x14ac:dyDescent="0.2">
      <c r="E381" s="52"/>
      <c r="H381" s="61"/>
      <c r="K381"/>
    </row>
    <row r="382" spans="5:11" ht="14.25" customHeight="1" x14ac:dyDescent="0.2">
      <c r="E382" s="52"/>
      <c r="H382" s="61"/>
      <c r="K382"/>
    </row>
    <row r="383" spans="5:11" ht="14.25" customHeight="1" x14ac:dyDescent="0.2">
      <c r="E383" s="52"/>
      <c r="H383" s="61"/>
      <c r="K383"/>
    </row>
    <row r="384" spans="5:11" ht="14.25" customHeight="1" x14ac:dyDescent="0.2">
      <c r="E384" s="52"/>
      <c r="H384" s="61"/>
      <c r="K384"/>
    </row>
    <row r="385" spans="5:11" ht="14.25" customHeight="1" x14ac:dyDescent="0.2">
      <c r="E385" s="52"/>
      <c r="H385" s="61"/>
      <c r="K385"/>
    </row>
    <row r="386" spans="5:11" ht="14.25" customHeight="1" x14ac:dyDescent="0.2">
      <c r="E386" s="52"/>
      <c r="H386" s="61"/>
      <c r="K386"/>
    </row>
    <row r="387" spans="5:11" ht="14.25" customHeight="1" x14ac:dyDescent="0.2">
      <c r="E387" s="52"/>
      <c r="H387" s="61"/>
      <c r="K387"/>
    </row>
    <row r="388" spans="5:11" ht="14.25" customHeight="1" x14ac:dyDescent="0.2">
      <c r="E388" s="52"/>
      <c r="H388" s="61"/>
      <c r="K388"/>
    </row>
    <row r="389" spans="5:11" ht="14.25" customHeight="1" x14ac:dyDescent="0.2">
      <c r="E389" s="52"/>
      <c r="H389" s="61"/>
      <c r="K389"/>
    </row>
    <row r="390" spans="5:11" ht="14.25" customHeight="1" x14ac:dyDescent="0.2">
      <c r="E390" s="52"/>
      <c r="H390" s="61"/>
      <c r="K390"/>
    </row>
    <row r="391" spans="5:11" ht="14.25" customHeight="1" x14ac:dyDescent="0.2">
      <c r="E391" s="52"/>
      <c r="H391" s="61"/>
      <c r="K391"/>
    </row>
    <row r="392" spans="5:11" ht="14.25" customHeight="1" x14ac:dyDescent="0.2">
      <c r="E392" s="52"/>
      <c r="H392" s="61"/>
      <c r="K392"/>
    </row>
    <row r="393" spans="5:11" ht="14.25" customHeight="1" x14ac:dyDescent="0.2">
      <c r="E393" s="52"/>
      <c r="H393" s="61"/>
      <c r="K393"/>
    </row>
    <row r="394" spans="5:11" ht="14.25" customHeight="1" x14ac:dyDescent="0.2">
      <c r="E394" s="52"/>
      <c r="H394" s="61"/>
      <c r="K394"/>
    </row>
    <row r="395" spans="5:11" ht="14.25" customHeight="1" x14ac:dyDescent="0.2">
      <c r="E395" s="52"/>
      <c r="H395" s="61"/>
      <c r="K395"/>
    </row>
    <row r="396" spans="5:11" ht="14.25" customHeight="1" x14ac:dyDescent="0.2">
      <c r="E396" s="52"/>
      <c r="H396" s="61"/>
      <c r="K396"/>
    </row>
    <row r="397" spans="5:11" ht="14.25" customHeight="1" x14ac:dyDescent="0.2">
      <c r="E397" s="52"/>
      <c r="H397" s="61"/>
      <c r="K397"/>
    </row>
    <row r="398" spans="5:11" ht="14.25" customHeight="1" x14ac:dyDescent="0.2">
      <c r="E398" s="52"/>
      <c r="H398" s="61"/>
      <c r="K398"/>
    </row>
    <row r="399" spans="5:11" ht="14.25" customHeight="1" x14ac:dyDescent="0.2">
      <c r="E399" s="52"/>
      <c r="H399" s="61"/>
      <c r="K399"/>
    </row>
    <row r="400" spans="5:11" ht="14.25" customHeight="1" x14ac:dyDescent="0.2">
      <c r="E400" s="52"/>
      <c r="H400" s="61"/>
      <c r="K400"/>
    </row>
    <row r="401" spans="5:11" ht="14.25" customHeight="1" x14ac:dyDescent="0.2">
      <c r="E401" s="52"/>
      <c r="H401" s="61"/>
      <c r="K401"/>
    </row>
    <row r="402" spans="5:11" ht="14.25" customHeight="1" x14ac:dyDescent="0.2">
      <c r="E402" s="52"/>
      <c r="H402" s="61"/>
      <c r="K402"/>
    </row>
    <row r="403" spans="5:11" ht="14.25" customHeight="1" x14ac:dyDescent="0.2">
      <c r="E403" s="52"/>
      <c r="H403" s="61"/>
      <c r="K403"/>
    </row>
    <row r="404" spans="5:11" ht="14.25" customHeight="1" x14ac:dyDescent="0.2">
      <c r="E404" s="52"/>
      <c r="H404" s="61"/>
      <c r="K404"/>
    </row>
    <row r="405" spans="5:11" ht="14.25" customHeight="1" x14ac:dyDescent="0.2">
      <c r="E405" s="52"/>
      <c r="H405" s="61"/>
      <c r="K405"/>
    </row>
    <row r="406" spans="5:11" ht="14.25" customHeight="1" x14ac:dyDescent="0.2">
      <c r="E406" s="52"/>
      <c r="H406" s="61"/>
      <c r="K406"/>
    </row>
    <row r="407" spans="5:11" ht="14.25" customHeight="1" x14ac:dyDescent="0.2">
      <c r="E407" s="52"/>
      <c r="H407" s="61"/>
      <c r="K407"/>
    </row>
    <row r="408" spans="5:11" ht="14.25" customHeight="1" x14ac:dyDescent="0.2">
      <c r="E408" s="52"/>
      <c r="H408" s="61"/>
      <c r="K408"/>
    </row>
    <row r="409" spans="5:11" ht="14.25" customHeight="1" x14ac:dyDescent="0.2">
      <c r="E409" s="52"/>
      <c r="H409" s="61"/>
      <c r="K409"/>
    </row>
    <row r="410" spans="5:11" ht="14.25" customHeight="1" x14ac:dyDescent="0.2">
      <c r="E410" s="52"/>
      <c r="H410" s="61"/>
      <c r="K410"/>
    </row>
    <row r="411" spans="5:11" ht="14.25" customHeight="1" x14ac:dyDescent="0.2">
      <c r="E411" s="52"/>
      <c r="H411" s="61"/>
      <c r="K411"/>
    </row>
    <row r="412" spans="5:11" ht="14.25" customHeight="1" x14ac:dyDescent="0.2">
      <c r="E412" s="52"/>
      <c r="H412" s="61"/>
      <c r="K412"/>
    </row>
    <row r="413" spans="5:11" ht="14.25" customHeight="1" x14ac:dyDescent="0.2">
      <c r="E413" s="52"/>
      <c r="H413" s="61"/>
      <c r="K413"/>
    </row>
    <row r="414" spans="5:11" ht="14.25" customHeight="1" x14ac:dyDescent="0.2">
      <c r="E414" s="52"/>
      <c r="H414" s="61"/>
      <c r="K414"/>
    </row>
    <row r="415" spans="5:11" ht="14.25" customHeight="1" x14ac:dyDescent="0.2">
      <c r="E415" s="52"/>
      <c r="H415" s="61"/>
      <c r="K415"/>
    </row>
    <row r="416" spans="5:11" ht="14.25" customHeight="1" x14ac:dyDescent="0.2">
      <c r="E416" s="52"/>
      <c r="H416" s="61"/>
      <c r="K416"/>
    </row>
    <row r="417" spans="5:11" ht="14.25" customHeight="1" x14ac:dyDescent="0.2">
      <c r="E417" s="52"/>
      <c r="H417" s="61"/>
      <c r="K417"/>
    </row>
    <row r="418" spans="5:11" ht="14.25" customHeight="1" x14ac:dyDescent="0.2">
      <c r="E418" s="52"/>
      <c r="H418" s="61"/>
      <c r="K418"/>
    </row>
    <row r="419" spans="5:11" ht="14.25" customHeight="1" x14ac:dyDescent="0.2">
      <c r="E419" s="52"/>
      <c r="H419" s="61"/>
      <c r="K419"/>
    </row>
    <row r="420" spans="5:11" ht="14.25" customHeight="1" x14ac:dyDescent="0.2">
      <c r="E420" s="52"/>
      <c r="H420" s="61"/>
      <c r="K420"/>
    </row>
    <row r="421" spans="5:11" ht="14.25" customHeight="1" x14ac:dyDescent="0.2">
      <c r="E421" s="52"/>
      <c r="H421" s="61"/>
      <c r="K421"/>
    </row>
    <row r="422" spans="5:11" ht="14.25" customHeight="1" x14ac:dyDescent="0.2">
      <c r="E422" s="52"/>
      <c r="H422" s="61"/>
      <c r="K422"/>
    </row>
    <row r="423" spans="5:11" ht="14.25" customHeight="1" x14ac:dyDescent="0.2">
      <c r="E423" s="52"/>
      <c r="H423" s="61"/>
      <c r="K423"/>
    </row>
    <row r="424" spans="5:11" ht="14.25" customHeight="1" x14ac:dyDescent="0.2">
      <c r="E424" s="52"/>
      <c r="H424" s="61"/>
      <c r="K424"/>
    </row>
    <row r="425" spans="5:11" ht="14.25" customHeight="1" x14ac:dyDescent="0.2">
      <c r="E425" s="52"/>
      <c r="H425" s="61"/>
      <c r="K425"/>
    </row>
    <row r="426" spans="5:11" ht="14.25" customHeight="1" x14ac:dyDescent="0.2">
      <c r="E426" s="52"/>
      <c r="H426" s="61"/>
      <c r="K426"/>
    </row>
    <row r="427" spans="5:11" ht="14.25" customHeight="1" x14ac:dyDescent="0.2">
      <c r="E427" s="52"/>
      <c r="H427" s="61"/>
      <c r="K427"/>
    </row>
    <row r="428" spans="5:11" ht="14.25" customHeight="1" x14ac:dyDescent="0.2">
      <c r="E428" s="52"/>
      <c r="H428" s="61"/>
      <c r="K428"/>
    </row>
    <row r="429" spans="5:11" ht="14.25" customHeight="1" x14ac:dyDescent="0.2">
      <c r="E429" s="52"/>
      <c r="H429" s="61"/>
      <c r="K429"/>
    </row>
    <row r="430" spans="5:11" ht="14.25" customHeight="1" x14ac:dyDescent="0.2">
      <c r="E430" s="52"/>
      <c r="H430" s="61"/>
      <c r="K430"/>
    </row>
    <row r="431" spans="5:11" ht="14.25" customHeight="1" x14ac:dyDescent="0.2">
      <c r="E431" s="52"/>
      <c r="H431" s="61"/>
      <c r="K431"/>
    </row>
    <row r="432" spans="5:11" ht="14.25" customHeight="1" x14ac:dyDescent="0.2">
      <c r="E432" s="52"/>
      <c r="H432" s="61"/>
      <c r="K432"/>
    </row>
    <row r="433" spans="5:11" ht="14.25" customHeight="1" x14ac:dyDescent="0.2">
      <c r="E433" s="52"/>
      <c r="H433" s="61"/>
      <c r="K433"/>
    </row>
    <row r="434" spans="5:11" ht="14.25" customHeight="1" x14ac:dyDescent="0.2">
      <c r="E434" s="52"/>
      <c r="H434" s="61"/>
      <c r="K434"/>
    </row>
    <row r="435" spans="5:11" ht="14.25" customHeight="1" x14ac:dyDescent="0.2">
      <c r="E435" s="52"/>
      <c r="H435" s="61"/>
      <c r="K435"/>
    </row>
    <row r="436" spans="5:11" ht="14.25" customHeight="1" x14ac:dyDescent="0.2">
      <c r="E436" s="52"/>
      <c r="F436" s="41"/>
      <c r="H436" s="61"/>
      <c r="K436"/>
    </row>
    <row r="437" spans="5:11" ht="14.25" customHeight="1" x14ac:dyDescent="0.2">
      <c r="E437" s="52"/>
      <c r="F437" s="41"/>
      <c r="H437" s="61"/>
      <c r="K437"/>
    </row>
    <row r="438" spans="5:11" ht="14.25" customHeight="1" x14ac:dyDescent="0.2">
      <c r="E438" s="52"/>
      <c r="F438" s="41"/>
      <c r="H438" s="61"/>
      <c r="K438"/>
    </row>
    <row r="439" spans="5:11" ht="14.25" customHeight="1" x14ac:dyDescent="0.2">
      <c r="E439" s="52"/>
      <c r="F439" s="41"/>
      <c r="H439" s="61"/>
      <c r="K439"/>
    </row>
    <row r="440" spans="5:11" ht="14.25" customHeight="1" x14ac:dyDescent="0.2">
      <c r="E440" s="52"/>
      <c r="F440" s="41"/>
      <c r="H440" s="61"/>
      <c r="K440"/>
    </row>
    <row r="441" spans="5:11" ht="14.25" customHeight="1" x14ac:dyDescent="0.2">
      <c r="E441" s="52"/>
      <c r="F441" s="41"/>
      <c r="H441" s="61"/>
      <c r="K441"/>
    </row>
    <row r="442" spans="5:11" ht="14.25" customHeight="1" x14ac:dyDescent="0.2">
      <c r="E442" s="52"/>
      <c r="F442" s="41"/>
      <c r="H442" s="61"/>
      <c r="K442"/>
    </row>
    <row r="443" spans="5:11" ht="14.25" customHeight="1" x14ac:dyDescent="0.2">
      <c r="E443" s="52"/>
      <c r="F443" s="41"/>
      <c r="H443" s="61"/>
      <c r="K443"/>
    </row>
    <row r="444" spans="5:11" ht="14.25" customHeight="1" x14ac:dyDescent="0.2">
      <c r="E444" s="52"/>
      <c r="F444" s="41"/>
      <c r="H444" s="61"/>
      <c r="K444"/>
    </row>
    <row r="445" spans="5:11" ht="14.25" customHeight="1" x14ac:dyDescent="0.2">
      <c r="E445" s="52"/>
      <c r="F445" s="41"/>
      <c r="H445" s="61"/>
      <c r="K445"/>
    </row>
    <row r="446" spans="5:11" ht="14.25" customHeight="1" x14ac:dyDescent="0.2">
      <c r="E446" s="52"/>
      <c r="F446" s="41"/>
      <c r="H446" s="61"/>
      <c r="K446"/>
    </row>
    <row r="447" spans="5:11" ht="14.25" customHeight="1" x14ac:dyDescent="0.2">
      <c r="E447" s="52"/>
      <c r="F447" s="41"/>
      <c r="H447" s="61"/>
      <c r="K447"/>
    </row>
    <row r="448" spans="5:11" ht="13.5" customHeight="1" x14ac:dyDescent="0.2">
      <c r="E448" s="52"/>
      <c r="F448" s="41"/>
      <c r="H448" s="61"/>
      <c r="K448"/>
    </row>
    <row r="449" spans="5:11" ht="13.5" customHeight="1" x14ac:dyDescent="0.2">
      <c r="E449" s="52"/>
      <c r="F449" s="41"/>
      <c r="H449" s="61"/>
      <c r="K449"/>
    </row>
    <row r="450" spans="5:11" ht="13.5" customHeight="1" x14ac:dyDescent="0.2">
      <c r="E450" s="52"/>
      <c r="F450" s="41"/>
      <c r="H450" s="61"/>
      <c r="K450"/>
    </row>
    <row r="451" spans="5:11" ht="13.5" customHeight="1" x14ac:dyDescent="0.2">
      <c r="E451" s="52"/>
      <c r="F451" s="41"/>
      <c r="H451" s="61"/>
      <c r="K451"/>
    </row>
    <row r="452" spans="5:11" ht="13.5" customHeight="1" x14ac:dyDescent="0.2">
      <c r="E452" s="52"/>
      <c r="F452" s="41"/>
      <c r="H452" s="61"/>
      <c r="K452"/>
    </row>
    <row r="453" spans="5:11" ht="13.5" customHeight="1" x14ac:dyDescent="0.2">
      <c r="E453" s="52"/>
      <c r="F453" s="41"/>
      <c r="H453" s="61"/>
      <c r="K453"/>
    </row>
    <row r="454" spans="5:11" ht="13.5" customHeight="1" x14ac:dyDescent="0.2">
      <c r="E454" s="52"/>
      <c r="F454" s="41"/>
      <c r="H454" s="61"/>
      <c r="K454"/>
    </row>
    <row r="455" spans="5:11" ht="13.5" customHeight="1" x14ac:dyDescent="0.2">
      <c r="E455" s="52"/>
      <c r="F455" s="41"/>
      <c r="H455" s="61"/>
      <c r="K455"/>
    </row>
    <row r="456" spans="5:11" ht="13.5" customHeight="1" x14ac:dyDescent="0.2">
      <c r="E456" s="52"/>
      <c r="F456" s="41"/>
      <c r="H456" s="61"/>
      <c r="K456"/>
    </row>
    <row r="457" spans="5:11" ht="13.5" customHeight="1" x14ac:dyDescent="0.2">
      <c r="E457" s="52"/>
      <c r="F457" s="41"/>
      <c r="H457" s="61"/>
      <c r="K457"/>
    </row>
    <row r="458" spans="5:11" ht="13.5" customHeight="1" x14ac:dyDescent="0.2">
      <c r="E458" s="52"/>
      <c r="F458" s="41"/>
      <c r="H458" s="61"/>
      <c r="K458"/>
    </row>
    <row r="459" spans="5:11" ht="13.5" customHeight="1" x14ac:dyDescent="0.2">
      <c r="E459" s="52"/>
      <c r="F459" s="41"/>
      <c r="H459" s="61"/>
      <c r="K459"/>
    </row>
    <row r="460" spans="5:11" ht="13.5" customHeight="1" x14ac:dyDescent="0.2">
      <c r="E460" s="52"/>
      <c r="F460" s="41"/>
      <c r="H460" s="61"/>
      <c r="K460"/>
    </row>
    <row r="461" spans="5:11" ht="13.5" customHeight="1" x14ac:dyDescent="0.2">
      <c r="E461" s="52"/>
      <c r="F461" s="41"/>
      <c r="H461" s="61"/>
      <c r="K461"/>
    </row>
    <row r="462" spans="5:11" ht="13.5" customHeight="1" x14ac:dyDescent="0.2">
      <c r="E462" s="52"/>
      <c r="F462" s="41"/>
      <c r="H462" s="61"/>
      <c r="K462"/>
    </row>
    <row r="463" spans="5:11" ht="13.5" customHeight="1" x14ac:dyDescent="0.2">
      <c r="E463" s="52"/>
      <c r="F463" s="41"/>
      <c r="H463" s="61"/>
      <c r="K463"/>
    </row>
    <row r="464" spans="5:11" ht="13.5" customHeight="1" x14ac:dyDescent="0.2">
      <c r="E464" s="52"/>
      <c r="F464" s="41"/>
      <c r="H464" s="61"/>
      <c r="K464"/>
    </row>
    <row r="465" spans="5:11" ht="13.5" customHeight="1" x14ac:dyDescent="0.2">
      <c r="E465" s="52"/>
      <c r="F465" s="41"/>
      <c r="H465" s="61"/>
      <c r="K465"/>
    </row>
    <row r="466" spans="5:11" ht="13.5" customHeight="1" x14ac:dyDescent="0.2">
      <c r="E466" s="52"/>
      <c r="F466" s="41"/>
      <c r="H466" s="61"/>
      <c r="K466"/>
    </row>
    <row r="467" spans="5:11" ht="13.5" customHeight="1" x14ac:dyDescent="0.2">
      <c r="E467" s="52"/>
      <c r="F467" s="41"/>
      <c r="H467" s="61"/>
      <c r="K467"/>
    </row>
    <row r="468" spans="5:11" ht="13.5" customHeight="1" x14ac:dyDescent="0.2">
      <c r="E468" s="52"/>
      <c r="F468" s="41"/>
      <c r="H468" s="61"/>
      <c r="K468"/>
    </row>
    <row r="469" spans="5:11" ht="13.5" customHeight="1" x14ac:dyDescent="0.2">
      <c r="E469" s="52"/>
      <c r="F469" s="41"/>
      <c r="H469" s="61"/>
      <c r="K469"/>
    </row>
    <row r="470" spans="5:11" ht="13.5" customHeight="1" x14ac:dyDescent="0.2">
      <c r="E470" s="52"/>
      <c r="F470" s="41"/>
      <c r="H470" s="61"/>
      <c r="K470"/>
    </row>
    <row r="471" spans="5:11" ht="13.5" customHeight="1" x14ac:dyDescent="0.2">
      <c r="E471" s="52"/>
      <c r="F471" s="41"/>
      <c r="H471" s="61"/>
      <c r="K471"/>
    </row>
    <row r="472" spans="5:11" ht="13.5" customHeight="1" x14ac:dyDescent="0.2">
      <c r="E472" s="52"/>
      <c r="H472" s="61"/>
      <c r="K472"/>
    </row>
    <row r="473" spans="5:11" ht="13.5" customHeight="1" x14ac:dyDescent="0.2">
      <c r="E473" s="52"/>
      <c r="H473" s="61"/>
      <c r="K473"/>
    </row>
    <row r="474" spans="5:11" ht="13.5" customHeight="1" x14ac:dyDescent="0.2">
      <c r="E474" s="52"/>
      <c r="H474" s="61"/>
      <c r="K474"/>
    </row>
    <row r="475" spans="5:11" ht="13.5" customHeight="1" x14ac:dyDescent="0.2">
      <c r="E475" s="52"/>
      <c r="H475" s="61"/>
      <c r="K475"/>
    </row>
    <row r="476" spans="5:11" ht="13.5" customHeight="1" x14ac:dyDescent="0.2">
      <c r="E476" s="52"/>
      <c r="H476" s="61"/>
      <c r="K476"/>
    </row>
    <row r="477" spans="5:11" ht="13.5" customHeight="1" x14ac:dyDescent="0.2">
      <c r="E477" s="52"/>
      <c r="H477" s="61"/>
      <c r="K477"/>
    </row>
    <row r="478" spans="5:11" ht="13.5" customHeight="1" x14ac:dyDescent="0.2">
      <c r="E478" s="52"/>
      <c r="H478" s="61"/>
      <c r="K478"/>
    </row>
    <row r="479" spans="5:11" ht="13.5" customHeight="1" x14ac:dyDescent="0.2">
      <c r="E479" s="52"/>
      <c r="H479" s="61"/>
      <c r="K479"/>
    </row>
    <row r="480" spans="5:11" ht="13.5" customHeight="1" x14ac:dyDescent="0.2">
      <c r="E480" s="52"/>
      <c r="H480" s="61"/>
      <c r="K480"/>
    </row>
    <row r="481" spans="5:11" ht="13.5" customHeight="1" x14ac:dyDescent="0.2">
      <c r="E481" s="52"/>
      <c r="H481" s="61"/>
      <c r="K481"/>
    </row>
    <row r="482" spans="5:11" ht="13.5" customHeight="1" x14ac:dyDescent="0.2">
      <c r="E482" s="52"/>
      <c r="H482" s="61"/>
      <c r="K482"/>
    </row>
    <row r="483" spans="5:11" ht="13.5" customHeight="1" x14ac:dyDescent="0.2">
      <c r="E483" s="52"/>
      <c r="H483" s="61"/>
      <c r="K483"/>
    </row>
    <row r="484" spans="5:11" ht="13.5" customHeight="1" x14ac:dyDescent="0.2">
      <c r="E484" s="52"/>
      <c r="H484" s="61"/>
      <c r="K484"/>
    </row>
    <row r="485" spans="5:11" ht="13.5" customHeight="1" x14ac:dyDescent="0.2">
      <c r="E485" s="52"/>
      <c r="H485" s="61"/>
      <c r="K485"/>
    </row>
    <row r="486" spans="5:11" ht="13.5" customHeight="1" x14ac:dyDescent="0.2">
      <c r="E486" s="52"/>
      <c r="H486" s="61"/>
      <c r="K486"/>
    </row>
    <row r="487" spans="5:11" ht="13.5" customHeight="1" x14ac:dyDescent="0.2">
      <c r="E487" s="52"/>
      <c r="H487" s="61"/>
      <c r="K487"/>
    </row>
    <row r="488" spans="5:11" ht="13.5" customHeight="1" x14ac:dyDescent="0.2">
      <c r="E488" s="52"/>
      <c r="H488" s="61"/>
      <c r="K488"/>
    </row>
    <row r="489" spans="5:11" ht="13.5" customHeight="1" x14ac:dyDescent="0.2">
      <c r="E489" s="52"/>
      <c r="H489" s="61"/>
      <c r="K489"/>
    </row>
    <row r="490" spans="5:11" ht="13.5" customHeight="1" x14ac:dyDescent="0.2">
      <c r="E490" s="52"/>
      <c r="H490" s="61"/>
      <c r="K490"/>
    </row>
    <row r="491" spans="5:11" ht="13.5" customHeight="1" x14ac:dyDescent="0.2">
      <c r="E491" s="52"/>
      <c r="H491" s="61"/>
      <c r="K491"/>
    </row>
    <row r="492" spans="5:11" ht="13.5" customHeight="1" x14ac:dyDescent="0.2">
      <c r="E492" s="52"/>
      <c r="H492" s="61"/>
      <c r="K492"/>
    </row>
    <row r="493" spans="5:11" ht="13.5" customHeight="1" x14ac:dyDescent="0.2">
      <c r="E493" s="52"/>
      <c r="H493" s="61"/>
      <c r="K493"/>
    </row>
    <row r="494" spans="5:11" ht="13.5" customHeight="1" x14ac:dyDescent="0.2">
      <c r="E494" s="52"/>
      <c r="H494" s="61"/>
      <c r="K494"/>
    </row>
    <row r="495" spans="5:11" ht="13.5" customHeight="1" x14ac:dyDescent="0.2">
      <c r="E495" s="52"/>
      <c r="H495" s="61"/>
      <c r="K495"/>
    </row>
    <row r="496" spans="5:11" ht="13.5" customHeight="1" x14ac:dyDescent="0.2">
      <c r="E496" s="52"/>
      <c r="H496" s="61"/>
      <c r="K496"/>
    </row>
    <row r="497" spans="5:11" ht="13.5" customHeight="1" x14ac:dyDescent="0.2">
      <c r="E497" s="52"/>
      <c r="H497" s="61"/>
      <c r="K497"/>
    </row>
    <row r="498" spans="5:11" ht="13.5" customHeight="1" x14ac:dyDescent="0.2">
      <c r="E498" s="52"/>
      <c r="H498" s="61"/>
      <c r="K498"/>
    </row>
    <row r="499" spans="5:11" ht="13.5" customHeight="1" x14ac:dyDescent="0.2">
      <c r="E499" s="52"/>
      <c r="H499" s="61"/>
      <c r="K499"/>
    </row>
    <row r="500" spans="5:11" ht="13.5" customHeight="1" x14ac:dyDescent="0.2">
      <c r="E500" s="52"/>
      <c r="H500" s="61"/>
      <c r="K500"/>
    </row>
    <row r="501" spans="5:11" ht="13.5" customHeight="1" x14ac:dyDescent="0.2">
      <c r="E501" s="52"/>
      <c r="H501" s="61"/>
      <c r="K501"/>
    </row>
    <row r="502" spans="5:11" ht="13.5" customHeight="1" x14ac:dyDescent="0.2">
      <c r="E502" s="52"/>
      <c r="H502" s="61"/>
      <c r="K502"/>
    </row>
    <row r="503" spans="5:11" ht="13.5" customHeight="1" x14ac:dyDescent="0.2">
      <c r="E503" s="52"/>
      <c r="H503" s="61"/>
      <c r="K503"/>
    </row>
    <row r="504" spans="5:11" ht="13.5" customHeight="1" x14ac:dyDescent="0.2">
      <c r="E504" s="52"/>
      <c r="H504" s="61"/>
      <c r="K504"/>
    </row>
    <row r="505" spans="5:11" ht="13.5" customHeight="1" x14ac:dyDescent="0.2">
      <c r="E505" s="52"/>
      <c r="H505" s="61"/>
      <c r="K505"/>
    </row>
    <row r="506" spans="5:11" ht="13.5" customHeight="1" x14ac:dyDescent="0.2">
      <c r="E506" s="52"/>
      <c r="H506" s="61"/>
      <c r="K506"/>
    </row>
    <row r="507" spans="5:11" ht="13.5" customHeight="1" x14ac:dyDescent="0.2">
      <c r="E507" s="52"/>
      <c r="H507" s="61"/>
      <c r="K507"/>
    </row>
    <row r="508" spans="5:11" ht="13.5" customHeight="1" x14ac:dyDescent="0.2">
      <c r="E508" s="52"/>
      <c r="H508" s="61"/>
      <c r="K508"/>
    </row>
    <row r="509" spans="5:11" ht="13.5" customHeight="1" x14ac:dyDescent="0.2">
      <c r="E509" s="52"/>
      <c r="H509" s="61"/>
      <c r="K509"/>
    </row>
    <row r="510" spans="5:11" ht="13.5" customHeight="1" x14ac:dyDescent="0.2">
      <c r="E510" s="52"/>
      <c r="H510" s="61"/>
      <c r="K510"/>
    </row>
    <row r="511" spans="5:11" ht="13.5" customHeight="1" x14ac:dyDescent="0.2">
      <c r="E511" s="52"/>
      <c r="H511" s="61"/>
      <c r="K511"/>
    </row>
    <row r="512" spans="5:11" ht="13.5" customHeight="1" x14ac:dyDescent="0.2">
      <c r="E512" s="52"/>
      <c r="H512" s="61"/>
      <c r="K512"/>
    </row>
    <row r="513" spans="5:11" ht="13.5" customHeight="1" x14ac:dyDescent="0.2">
      <c r="E513" s="52"/>
      <c r="H513" s="61"/>
      <c r="K513"/>
    </row>
    <row r="514" spans="5:11" ht="13.5" customHeight="1" x14ac:dyDescent="0.2">
      <c r="E514" s="52"/>
      <c r="H514" s="61"/>
      <c r="K514"/>
    </row>
    <row r="515" spans="5:11" ht="13.5" customHeight="1" x14ac:dyDescent="0.2">
      <c r="E515" s="52"/>
      <c r="H515" s="61"/>
      <c r="K515"/>
    </row>
    <row r="516" spans="5:11" ht="13.5" customHeight="1" x14ac:dyDescent="0.2">
      <c r="E516" s="52"/>
      <c r="H516" s="61"/>
      <c r="K516"/>
    </row>
    <row r="517" spans="5:11" ht="13.5" customHeight="1" x14ac:dyDescent="0.2">
      <c r="E517" s="52"/>
      <c r="H517" s="61"/>
      <c r="K517"/>
    </row>
    <row r="518" spans="5:11" ht="13.5" customHeight="1" x14ac:dyDescent="0.2">
      <c r="E518" s="52"/>
      <c r="H518" s="61"/>
      <c r="K518"/>
    </row>
    <row r="519" spans="5:11" ht="13.5" customHeight="1" x14ac:dyDescent="0.2">
      <c r="E519" s="52"/>
      <c r="H519" s="61"/>
      <c r="K519"/>
    </row>
    <row r="520" spans="5:11" ht="13.5" customHeight="1" x14ac:dyDescent="0.2">
      <c r="E520" s="52"/>
      <c r="H520" s="61"/>
      <c r="K520"/>
    </row>
    <row r="521" spans="5:11" ht="13.5" customHeight="1" x14ac:dyDescent="0.2">
      <c r="E521" s="52"/>
      <c r="H521" s="61"/>
      <c r="K521"/>
    </row>
    <row r="522" spans="5:11" ht="13.5" customHeight="1" x14ac:dyDescent="0.2">
      <c r="E522" s="52"/>
      <c r="H522" s="61"/>
      <c r="K522"/>
    </row>
    <row r="523" spans="5:11" ht="13.5" customHeight="1" x14ac:dyDescent="0.2">
      <c r="E523" s="52"/>
      <c r="H523" s="61"/>
      <c r="K523"/>
    </row>
    <row r="524" spans="5:11" ht="13.5" customHeight="1" x14ac:dyDescent="0.2">
      <c r="E524" s="52"/>
      <c r="H524" s="61"/>
      <c r="K524"/>
    </row>
    <row r="525" spans="5:11" ht="13.5" customHeight="1" x14ac:dyDescent="0.2">
      <c r="E525" s="52"/>
      <c r="H525" s="61"/>
      <c r="K525"/>
    </row>
    <row r="526" spans="5:11" ht="13.5" customHeight="1" x14ac:dyDescent="0.2">
      <c r="E526" s="52"/>
      <c r="H526" s="61"/>
      <c r="K526"/>
    </row>
    <row r="527" spans="5:11" ht="13.5" customHeight="1" x14ac:dyDescent="0.2">
      <c r="E527" s="52"/>
      <c r="H527" s="61"/>
      <c r="K527"/>
    </row>
    <row r="528" spans="5:11" ht="13.5" customHeight="1" x14ac:dyDescent="0.2">
      <c r="E528" s="52"/>
      <c r="H528" s="61"/>
      <c r="K528"/>
    </row>
    <row r="529" spans="5:11" ht="13.5" customHeight="1" x14ac:dyDescent="0.2">
      <c r="E529" s="52"/>
      <c r="H529" s="61"/>
      <c r="K529"/>
    </row>
    <row r="530" spans="5:11" ht="13.5" customHeight="1" x14ac:dyDescent="0.2">
      <c r="E530" s="52"/>
      <c r="H530" s="61"/>
      <c r="K530"/>
    </row>
    <row r="531" spans="5:11" ht="13.5" customHeight="1" x14ac:dyDescent="0.2">
      <c r="E531" s="52"/>
      <c r="H531" s="61"/>
      <c r="K531"/>
    </row>
    <row r="532" spans="5:11" ht="13.5" customHeight="1" x14ac:dyDescent="0.2">
      <c r="E532" s="52"/>
      <c r="H532" s="61"/>
      <c r="K532"/>
    </row>
    <row r="533" spans="5:11" ht="13.5" customHeight="1" x14ac:dyDescent="0.2">
      <c r="E533" s="52"/>
      <c r="H533" s="61"/>
      <c r="K533"/>
    </row>
    <row r="534" spans="5:11" ht="13.5" customHeight="1" x14ac:dyDescent="0.2">
      <c r="E534" s="52"/>
      <c r="H534" s="61"/>
      <c r="K534"/>
    </row>
    <row r="535" spans="5:11" ht="13.5" customHeight="1" x14ac:dyDescent="0.2">
      <c r="E535" s="52"/>
      <c r="H535" s="61"/>
      <c r="K535"/>
    </row>
    <row r="536" spans="5:11" ht="13.5" customHeight="1" x14ac:dyDescent="0.2">
      <c r="E536" s="52"/>
      <c r="H536" s="61"/>
      <c r="K536"/>
    </row>
    <row r="537" spans="5:11" ht="13.5" customHeight="1" x14ac:dyDescent="0.2">
      <c r="E537" s="52"/>
      <c r="H537" s="61"/>
      <c r="K537"/>
    </row>
    <row r="538" spans="5:11" ht="13.5" customHeight="1" x14ac:dyDescent="0.2">
      <c r="E538" s="52"/>
      <c r="H538" s="61"/>
      <c r="K538"/>
    </row>
    <row r="539" spans="5:11" ht="13.5" customHeight="1" x14ac:dyDescent="0.2">
      <c r="E539" s="52"/>
      <c r="H539" s="61"/>
      <c r="K539"/>
    </row>
    <row r="540" spans="5:11" ht="13.5" customHeight="1" x14ac:dyDescent="0.2">
      <c r="E540" s="52"/>
      <c r="H540" s="61"/>
      <c r="K540"/>
    </row>
    <row r="541" spans="5:11" ht="13.5" customHeight="1" x14ac:dyDescent="0.2">
      <c r="E541" s="52"/>
      <c r="H541" s="61"/>
      <c r="K541"/>
    </row>
    <row r="542" spans="5:11" ht="13.5" customHeight="1" x14ac:dyDescent="0.2">
      <c r="E542" s="52"/>
      <c r="H542" s="61"/>
      <c r="K542"/>
    </row>
    <row r="543" spans="5:11" ht="13.5" customHeight="1" x14ac:dyDescent="0.2">
      <c r="E543" s="52"/>
      <c r="H543" s="61"/>
      <c r="K543"/>
    </row>
    <row r="544" spans="5:11" ht="13.5" customHeight="1" x14ac:dyDescent="0.2">
      <c r="E544" s="52"/>
      <c r="H544" s="61"/>
      <c r="K544"/>
    </row>
    <row r="545" spans="5:11" ht="13.5" customHeight="1" x14ac:dyDescent="0.2">
      <c r="E545" s="52"/>
      <c r="H545" s="61"/>
      <c r="K545"/>
    </row>
    <row r="546" spans="5:11" ht="13.5" customHeight="1" x14ac:dyDescent="0.2">
      <c r="E546" s="52"/>
      <c r="H546" s="61"/>
      <c r="K546"/>
    </row>
    <row r="547" spans="5:11" ht="13.5" customHeight="1" x14ac:dyDescent="0.2">
      <c r="E547" s="52"/>
      <c r="H547" s="61"/>
      <c r="K547"/>
    </row>
    <row r="548" spans="5:11" ht="13.5" customHeight="1" x14ac:dyDescent="0.2">
      <c r="E548" s="52"/>
      <c r="H548" s="61"/>
      <c r="K548"/>
    </row>
    <row r="549" spans="5:11" ht="13.5" customHeight="1" x14ac:dyDescent="0.2">
      <c r="E549" s="52"/>
      <c r="H549" s="61"/>
      <c r="K549"/>
    </row>
    <row r="550" spans="5:11" ht="13.5" customHeight="1" x14ac:dyDescent="0.2">
      <c r="E550" s="52"/>
      <c r="H550" s="61"/>
      <c r="K550"/>
    </row>
    <row r="551" spans="5:11" ht="13.5" customHeight="1" x14ac:dyDescent="0.2">
      <c r="E551" s="52"/>
      <c r="H551" s="61"/>
      <c r="K551"/>
    </row>
    <row r="552" spans="5:11" ht="13.5" customHeight="1" x14ac:dyDescent="0.2">
      <c r="E552" s="52"/>
      <c r="H552" s="61"/>
      <c r="K552"/>
    </row>
    <row r="553" spans="5:11" ht="13.5" customHeight="1" x14ac:dyDescent="0.2">
      <c r="E553" s="52"/>
      <c r="H553" s="61"/>
      <c r="K553"/>
    </row>
    <row r="554" spans="5:11" ht="13.5" customHeight="1" x14ac:dyDescent="0.2">
      <c r="E554" s="52"/>
      <c r="H554" s="61"/>
      <c r="K554"/>
    </row>
    <row r="555" spans="5:11" ht="13.5" customHeight="1" x14ac:dyDescent="0.2">
      <c r="E555" s="52"/>
      <c r="H555" s="61"/>
      <c r="K555"/>
    </row>
    <row r="556" spans="5:11" ht="13.5" customHeight="1" x14ac:dyDescent="0.2">
      <c r="E556" s="52"/>
      <c r="H556" s="61"/>
      <c r="K556"/>
    </row>
    <row r="557" spans="5:11" ht="13.5" customHeight="1" x14ac:dyDescent="0.2">
      <c r="E557" s="52"/>
      <c r="H557" s="61"/>
      <c r="K557"/>
    </row>
    <row r="558" spans="5:11" ht="13.5" customHeight="1" x14ac:dyDescent="0.2">
      <c r="E558" s="52"/>
      <c r="H558" s="61"/>
      <c r="K558"/>
    </row>
    <row r="559" spans="5:11" ht="13.5" customHeight="1" x14ac:dyDescent="0.2">
      <c r="E559" s="52"/>
      <c r="H559" s="61"/>
      <c r="K559"/>
    </row>
    <row r="560" spans="5:11" ht="13.5" customHeight="1" x14ac:dyDescent="0.2">
      <c r="E560" s="52"/>
      <c r="H560" s="61"/>
      <c r="K560"/>
    </row>
    <row r="561" spans="5:11" ht="13.5" customHeight="1" x14ac:dyDescent="0.2">
      <c r="E561" s="52"/>
      <c r="H561" s="61"/>
      <c r="K561"/>
    </row>
    <row r="562" spans="5:11" ht="13.5" customHeight="1" x14ac:dyDescent="0.2">
      <c r="E562" s="52"/>
      <c r="H562" s="61"/>
      <c r="K562"/>
    </row>
    <row r="563" spans="5:11" ht="13.5" customHeight="1" x14ac:dyDescent="0.2">
      <c r="E563" s="52"/>
      <c r="H563" s="61"/>
      <c r="K563"/>
    </row>
    <row r="564" spans="5:11" ht="13.5" customHeight="1" x14ac:dyDescent="0.2">
      <c r="E564" s="52"/>
      <c r="H564" s="61"/>
      <c r="K564"/>
    </row>
    <row r="565" spans="5:11" ht="13.5" customHeight="1" x14ac:dyDescent="0.2">
      <c r="E565" s="52"/>
      <c r="H565" s="61"/>
      <c r="K565"/>
    </row>
    <row r="566" spans="5:11" ht="13.5" customHeight="1" x14ac:dyDescent="0.2">
      <c r="E566" s="52"/>
      <c r="H566" s="61"/>
      <c r="K566"/>
    </row>
    <row r="567" spans="5:11" ht="13.5" customHeight="1" x14ac:dyDescent="0.2">
      <c r="E567" s="52"/>
      <c r="H567" s="61"/>
      <c r="K567"/>
    </row>
    <row r="568" spans="5:11" ht="13.5" customHeight="1" x14ac:dyDescent="0.2">
      <c r="E568" s="52"/>
      <c r="H568" s="61"/>
      <c r="K568"/>
    </row>
    <row r="569" spans="5:11" ht="13.5" customHeight="1" x14ac:dyDescent="0.2">
      <c r="E569" s="52"/>
      <c r="H569" s="61"/>
      <c r="K569"/>
    </row>
    <row r="570" spans="5:11" ht="13.5" customHeight="1" x14ac:dyDescent="0.2">
      <c r="E570" s="52"/>
      <c r="H570" s="61"/>
      <c r="K570"/>
    </row>
    <row r="571" spans="5:11" ht="13.5" customHeight="1" x14ac:dyDescent="0.2">
      <c r="E571" s="52"/>
      <c r="H571" s="61"/>
      <c r="K571"/>
    </row>
    <row r="572" spans="5:11" ht="13.5" customHeight="1" x14ac:dyDescent="0.2">
      <c r="E572" s="52"/>
      <c r="H572" s="61"/>
      <c r="K572"/>
    </row>
    <row r="573" spans="5:11" ht="13.5" customHeight="1" x14ac:dyDescent="0.2">
      <c r="E573" s="52"/>
      <c r="H573" s="61"/>
      <c r="K573"/>
    </row>
    <row r="574" spans="5:11" ht="13.5" customHeight="1" x14ac:dyDescent="0.2">
      <c r="E574" s="52"/>
      <c r="H574" s="61"/>
      <c r="K574"/>
    </row>
    <row r="575" spans="5:11" ht="13.5" customHeight="1" x14ac:dyDescent="0.2">
      <c r="E575" s="52"/>
      <c r="H575" s="61"/>
      <c r="K575"/>
    </row>
    <row r="576" spans="5:11" ht="13.5" customHeight="1" x14ac:dyDescent="0.2">
      <c r="E576" s="52"/>
      <c r="H576" s="61"/>
      <c r="K576"/>
    </row>
    <row r="577" spans="5:11" ht="13.5" customHeight="1" x14ac:dyDescent="0.2">
      <c r="E577" s="52"/>
      <c r="H577" s="61"/>
      <c r="K577"/>
    </row>
    <row r="578" spans="5:11" ht="13.5" customHeight="1" x14ac:dyDescent="0.2">
      <c r="E578" s="52"/>
      <c r="H578" s="61"/>
      <c r="K578"/>
    </row>
    <row r="579" spans="5:11" ht="13.5" customHeight="1" x14ac:dyDescent="0.2">
      <c r="E579" s="52"/>
      <c r="H579" s="61"/>
      <c r="K579"/>
    </row>
    <row r="580" spans="5:11" ht="13.5" customHeight="1" x14ac:dyDescent="0.2">
      <c r="E580" s="52"/>
      <c r="H580" s="61"/>
      <c r="K580"/>
    </row>
    <row r="581" spans="5:11" ht="13.5" customHeight="1" x14ac:dyDescent="0.2">
      <c r="E581" s="52"/>
      <c r="H581" s="61"/>
      <c r="K581"/>
    </row>
    <row r="582" spans="5:11" ht="13.5" customHeight="1" x14ac:dyDescent="0.2">
      <c r="E582" s="52"/>
      <c r="H582" s="61"/>
      <c r="K582"/>
    </row>
    <row r="583" spans="5:11" ht="13.5" customHeight="1" x14ac:dyDescent="0.2">
      <c r="E583" s="52"/>
      <c r="H583" s="61"/>
      <c r="K583"/>
    </row>
    <row r="584" spans="5:11" ht="13.5" customHeight="1" x14ac:dyDescent="0.2">
      <c r="E584" s="52"/>
      <c r="H584" s="61"/>
      <c r="K584"/>
    </row>
    <row r="585" spans="5:11" ht="13.5" customHeight="1" x14ac:dyDescent="0.2">
      <c r="E585" s="52"/>
      <c r="H585" s="61"/>
      <c r="K585"/>
    </row>
    <row r="586" spans="5:11" ht="13.5" customHeight="1" x14ac:dyDescent="0.2">
      <c r="E586" s="52"/>
      <c r="H586" s="61"/>
      <c r="K586"/>
    </row>
    <row r="587" spans="5:11" ht="13.5" customHeight="1" x14ac:dyDescent="0.2">
      <c r="E587" s="52"/>
      <c r="H587" s="61"/>
      <c r="K587"/>
    </row>
    <row r="588" spans="5:11" ht="13.5" customHeight="1" x14ac:dyDescent="0.2">
      <c r="E588" s="52"/>
      <c r="H588" s="61"/>
      <c r="K588"/>
    </row>
    <row r="589" spans="5:11" ht="13.5" customHeight="1" x14ac:dyDescent="0.2">
      <c r="E589" s="52"/>
      <c r="H589" s="61"/>
      <c r="K589"/>
    </row>
    <row r="590" spans="5:11" ht="13.5" customHeight="1" x14ac:dyDescent="0.2">
      <c r="E590" s="52"/>
      <c r="H590" s="61"/>
      <c r="K590"/>
    </row>
    <row r="591" spans="5:11" ht="13.5" customHeight="1" x14ac:dyDescent="0.2">
      <c r="E591" s="52"/>
      <c r="H591" s="61"/>
      <c r="K591"/>
    </row>
    <row r="592" spans="5:11" ht="13.5" customHeight="1" x14ac:dyDescent="0.2">
      <c r="E592" s="52"/>
      <c r="H592" s="61"/>
      <c r="K592"/>
    </row>
    <row r="593" spans="5:11" ht="13.5" customHeight="1" x14ac:dyDescent="0.2">
      <c r="E593" s="52"/>
      <c r="H593" s="61"/>
      <c r="K593"/>
    </row>
    <row r="594" spans="5:11" ht="13.5" customHeight="1" x14ac:dyDescent="0.2">
      <c r="E594" s="52"/>
      <c r="H594" s="61"/>
      <c r="K594"/>
    </row>
    <row r="595" spans="5:11" ht="13.5" customHeight="1" x14ac:dyDescent="0.2">
      <c r="E595" s="52"/>
      <c r="H595" s="61"/>
      <c r="K595"/>
    </row>
    <row r="596" spans="5:11" ht="13.5" customHeight="1" x14ac:dyDescent="0.2">
      <c r="E596" s="52"/>
      <c r="H596" s="61"/>
      <c r="K596"/>
    </row>
    <row r="597" spans="5:11" ht="13.5" customHeight="1" x14ac:dyDescent="0.2">
      <c r="E597" s="52"/>
      <c r="H597" s="61"/>
      <c r="K597"/>
    </row>
    <row r="598" spans="5:11" ht="13.5" customHeight="1" x14ac:dyDescent="0.2">
      <c r="E598" s="52"/>
      <c r="H598" s="61"/>
      <c r="K598"/>
    </row>
    <row r="599" spans="5:11" ht="13.5" customHeight="1" x14ac:dyDescent="0.2">
      <c r="E599" s="52"/>
      <c r="H599" s="61"/>
      <c r="K599"/>
    </row>
    <row r="600" spans="5:11" ht="13.5" customHeight="1" x14ac:dyDescent="0.2">
      <c r="E600" s="52"/>
      <c r="H600" s="61"/>
      <c r="K600"/>
    </row>
    <row r="601" spans="5:11" ht="13.5" customHeight="1" x14ac:dyDescent="0.2">
      <c r="E601" s="52"/>
      <c r="H601" s="61"/>
      <c r="K601"/>
    </row>
    <row r="602" spans="5:11" ht="13.5" customHeight="1" x14ac:dyDescent="0.2">
      <c r="E602" s="52"/>
      <c r="H602" s="61"/>
      <c r="K602"/>
    </row>
    <row r="603" spans="5:11" ht="13.5" customHeight="1" x14ac:dyDescent="0.2">
      <c r="E603" s="52"/>
      <c r="H603" s="61"/>
      <c r="K603"/>
    </row>
    <row r="604" spans="5:11" ht="13.5" customHeight="1" x14ac:dyDescent="0.2">
      <c r="E604" s="52"/>
      <c r="H604" s="61"/>
      <c r="K604"/>
    </row>
    <row r="605" spans="5:11" ht="13.5" customHeight="1" x14ac:dyDescent="0.2">
      <c r="E605" s="52"/>
      <c r="H605" s="61"/>
      <c r="K605"/>
    </row>
    <row r="606" spans="5:11" ht="13.5" customHeight="1" x14ac:dyDescent="0.2">
      <c r="E606" s="52"/>
      <c r="H606" s="61"/>
      <c r="K606"/>
    </row>
    <row r="607" spans="5:11" ht="13.5" customHeight="1" x14ac:dyDescent="0.2">
      <c r="E607" s="52"/>
      <c r="H607" s="61"/>
      <c r="K607"/>
    </row>
    <row r="608" spans="5:11" ht="13.5" customHeight="1" x14ac:dyDescent="0.2">
      <c r="E608" s="52"/>
      <c r="H608" s="61"/>
      <c r="K608"/>
    </row>
    <row r="609" spans="5:11" ht="13.5" customHeight="1" x14ac:dyDescent="0.2">
      <c r="E609" s="52"/>
      <c r="H609" s="61"/>
      <c r="K609"/>
    </row>
    <row r="610" spans="5:11" ht="13.5" customHeight="1" x14ac:dyDescent="0.2">
      <c r="E610" s="52"/>
      <c r="H610" s="61"/>
      <c r="K610"/>
    </row>
    <row r="611" spans="5:11" ht="13.5" customHeight="1" x14ac:dyDescent="0.2">
      <c r="E611" s="52"/>
      <c r="H611" s="61"/>
      <c r="K611"/>
    </row>
    <row r="612" spans="5:11" ht="13.5" customHeight="1" x14ac:dyDescent="0.2">
      <c r="E612" s="52"/>
      <c r="H612" s="61"/>
      <c r="K612"/>
    </row>
    <row r="613" spans="5:11" ht="13.5" customHeight="1" x14ac:dyDescent="0.2">
      <c r="E613" s="52"/>
      <c r="H613" s="61"/>
      <c r="K613"/>
    </row>
    <row r="614" spans="5:11" ht="13.5" customHeight="1" x14ac:dyDescent="0.2">
      <c r="E614" s="52"/>
      <c r="H614" s="61"/>
      <c r="K614"/>
    </row>
    <row r="615" spans="5:11" ht="13.5" customHeight="1" x14ac:dyDescent="0.2">
      <c r="E615" s="52"/>
      <c r="H615" s="61"/>
      <c r="K615"/>
    </row>
    <row r="616" spans="5:11" ht="13.5" customHeight="1" x14ac:dyDescent="0.2">
      <c r="E616" s="52"/>
      <c r="H616" s="61"/>
      <c r="K616"/>
    </row>
    <row r="617" spans="5:11" ht="13.5" customHeight="1" x14ac:dyDescent="0.2">
      <c r="E617" s="52"/>
      <c r="H617" s="61"/>
      <c r="K617"/>
    </row>
    <row r="618" spans="5:11" ht="13.5" customHeight="1" x14ac:dyDescent="0.2">
      <c r="E618" s="52"/>
      <c r="H618" s="61"/>
      <c r="K618"/>
    </row>
    <row r="619" spans="5:11" ht="13.5" customHeight="1" x14ac:dyDescent="0.2">
      <c r="E619" s="52"/>
      <c r="H619" s="61"/>
      <c r="K619"/>
    </row>
    <row r="620" spans="5:11" ht="13.5" customHeight="1" x14ac:dyDescent="0.2">
      <c r="E620" s="52"/>
      <c r="H620" s="61"/>
      <c r="K620"/>
    </row>
    <row r="621" spans="5:11" ht="13.5" customHeight="1" x14ac:dyDescent="0.2">
      <c r="E621" s="52"/>
      <c r="H621" s="61"/>
      <c r="K621"/>
    </row>
    <row r="622" spans="5:11" ht="13.5" customHeight="1" x14ac:dyDescent="0.2">
      <c r="E622" s="52"/>
      <c r="H622" s="61"/>
      <c r="K622"/>
    </row>
    <row r="623" spans="5:11" ht="13.5" customHeight="1" x14ac:dyDescent="0.2">
      <c r="E623" s="52"/>
      <c r="H623" s="61"/>
      <c r="K623"/>
    </row>
    <row r="624" spans="5:11" ht="13.5" customHeight="1" x14ac:dyDescent="0.2">
      <c r="E624" s="52"/>
      <c r="H624" s="61"/>
      <c r="K624"/>
    </row>
    <row r="625" spans="5:11" ht="13.5" customHeight="1" x14ac:dyDescent="0.2">
      <c r="E625" s="52"/>
      <c r="H625" s="61"/>
      <c r="K625"/>
    </row>
    <row r="626" spans="5:11" ht="13.5" customHeight="1" x14ac:dyDescent="0.2">
      <c r="E626" s="52"/>
      <c r="H626" s="61"/>
      <c r="K626"/>
    </row>
    <row r="627" spans="5:11" ht="13.5" customHeight="1" x14ac:dyDescent="0.2">
      <c r="E627" s="52"/>
      <c r="H627" s="61"/>
      <c r="K627"/>
    </row>
    <row r="628" spans="5:11" ht="13.5" customHeight="1" x14ac:dyDescent="0.2">
      <c r="E628" s="52"/>
      <c r="H628" s="61"/>
      <c r="K628"/>
    </row>
    <row r="629" spans="5:11" ht="13.5" customHeight="1" x14ac:dyDescent="0.2">
      <c r="E629" s="52"/>
      <c r="H629" s="61"/>
      <c r="K629"/>
    </row>
    <row r="630" spans="5:11" ht="13.5" customHeight="1" x14ac:dyDescent="0.2">
      <c r="E630" s="52"/>
      <c r="H630" s="61"/>
      <c r="K630"/>
    </row>
    <row r="631" spans="5:11" ht="13.5" customHeight="1" x14ac:dyDescent="0.2">
      <c r="E631" s="52"/>
      <c r="H631" s="61"/>
      <c r="K631"/>
    </row>
    <row r="632" spans="5:11" ht="13.5" customHeight="1" x14ac:dyDescent="0.2">
      <c r="E632" s="52"/>
      <c r="H632" s="61"/>
      <c r="K632"/>
    </row>
    <row r="633" spans="5:11" ht="13.5" customHeight="1" x14ac:dyDescent="0.2">
      <c r="E633" s="52"/>
      <c r="H633" s="61"/>
      <c r="K633"/>
    </row>
    <row r="634" spans="5:11" ht="13.5" customHeight="1" x14ac:dyDescent="0.2">
      <c r="E634" s="52"/>
      <c r="H634" s="61"/>
      <c r="K634"/>
    </row>
    <row r="635" spans="5:11" ht="13.5" customHeight="1" x14ac:dyDescent="0.2">
      <c r="E635" s="52"/>
      <c r="H635" s="61"/>
      <c r="K635"/>
    </row>
    <row r="636" spans="5:11" ht="13.5" customHeight="1" x14ac:dyDescent="0.2">
      <c r="E636" s="52"/>
      <c r="H636" s="61"/>
      <c r="K636"/>
    </row>
    <row r="637" spans="5:11" ht="13.5" customHeight="1" x14ac:dyDescent="0.2">
      <c r="E637" s="52"/>
      <c r="H637" s="61"/>
      <c r="K637"/>
    </row>
    <row r="638" spans="5:11" ht="13.5" customHeight="1" x14ac:dyDescent="0.2">
      <c r="E638" s="52"/>
      <c r="H638" s="61"/>
      <c r="K638"/>
    </row>
    <row r="639" spans="5:11" ht="13.5" customHeight="1" x14ac:dyDescent="0.2">
      <c r="E639" s="52"/>
      <c r="H639" s="61"/>
      <c r="K639"/>
    </row>
    <row r="640" spans="5:11" ht="13.5" customHeight="1" x14ac:dyDescent="0.2">
      <c r="E640" s="52"/>
      <c r="H640" s="61"/>
      <c r="K640"/>
    </row>
    <row r="641" spans="5:11" ht="13.5" customHeight="1" x14ac:dyDescent="0.2">
      <c r="E641" s="52"/>
      <c r="H641" s="61"/>
      <c r="K641"/>
    </row>
    <row r="642" spans="5:11" ht="13.5" customHeight="1" x14ac:dyDescent="0.2">
      <c r="E642" s="52"/>
      <c r="H642" s="61"/>
      <c r="K642"/>
    </row>
    <row r="643" spans="5:11" ht="13.5" customHeight="1" x14ac:dyDescent="0.2">
      <c r="E643" s="52"/>
      <c r="H643" s="61"/>
      <c r="K643"/>
    </row>
    <row r="644" spans="5:11" ht="13.5" customHeight="1" x14ac:dyDescent="0.2">
      <c r="E644" s="52"/>
      <c r="H644" s="61"/>
      <c r="K644"/>
    </row>
    <row r="645" spans="5:11" ht="13.5" customHeight="1" x14ac:dyDescent="0.2">
      <c r="E645" s="52"/>
      <c r="H645" s="61"/>
      <c r="K645"/>
    </row>
    <row r="646" spans="5:11" ht="13.5" customHeight="1" x14ac:dyDescent="0.2">
      <c r="E646" s="52"/>
      <c r="H646" s="61"/>
      <c r="K646"/>
    </row>
    <row r="647" spans="5:11" ht="13.5" customHeight="1" x14ac:dyDescent="0.2">
      <c r="E647" s="52"/>
      <c r="H647" s="61"/>
      <c r="K647"/>
    </row>
    <row r="648" spans="5:11" ht="13.5" customHeight="1" x14ac:dyDescent="0.2">
      <c r="E648" s="52"/>
      <c r="H648" s="61"/>
      <c r="K648"/>
    </row>
    <row r="649" spans="5:11" ht="13.5" customHeight="1" x14ac:dyDescent="0.2">
      <c r="E649" s="52"/>
      <c r="H649" s="61"/>
      <c r="K649"/>
    </row>
    <row r="650" spans="5:11" ht="13.5" customHeight="1" x14ac:dyDescent="0.2">
      <c r="E650" s="52"/>
      <c r="H650" s="61"/>
      <c r="K650"/>
    </row>
    <row r="651" spans="5:11" ht="13.5" customHeight="1" x14ac:dyDescent="0.2">
      <c r="E651" s="52"/>
      <c r="H651" s="61"/>
      <c r="K651"/>
    </row>
    <row r="652" spans="5:11" ht="13.5" customHeight="1" x14ac:dyDescent="0.2">
      <c r="E652" s="52"/>
      <c r="H652" s="61"/>
      <c r="K652"/>
    </row>
    <row r="653" spans="5:11" ht="13.5" customHeight="1" x14ac:dyDescent="0.2">
      <c r="E653" s="52"/>
      <c r="H653" s="61"/>
      <c r="K653"/>
    </row>
    <row r="654" spans="5:11" ht="13.5" customHeight="1" x14ac:dyDescent="0.2">
      <c r="E654" s="52"/>
      <c r="H654" s="61"/>
      <c r="K654"/>
    </row>
    <row r="655" spans="5:11" ht="13.5" customHeight="1" x14ac:dyDescent="0.2">
      <c r="E655" s="52"/>
      <c r="H655" s="61"/>
      <c r="K655"/>
    </row>
    <row r="656" spans="5:11" ht="13.5" customHeight="1" x14ac:dyDescent="0.2">
      <c r="E656" s="52"/>
      <c r="H656" s="61"/>
      <c r="K656"/>
    </row>
    <row r="657" spans="5:11" ht="13.5" customHeight="1" x14ac:dyDescent="0.2">
      <c r="E657" s="52"/>
      <c r="H657" s="61"/>
      <c r="K657"/>
    </row>
    <row r="658" spans="5:11" ht="13.5" customHeight="1" x14ac:dyDescent="0.2">
      <c r="E658" s="52"/>
      <c r="H658" s="61"/>
      <c r="K658"/>
    </row>
    <row r="659" spans="5:11" ht="13.5" customHeight="1" x14ac:dyDescent="0.2">
      <c r="E659" s="52"/>
      <c r="H659" s="61"/>
      <c r="K659"/>
    </row>
    <row r="660" spans="5:11" ht="13.5" customHeight="1" x14ac:dyDescent="0.2">
      <c r="E660" s="52"/>
      <c r="H660" s="61"/>
      <c r="K660"/>
    </row>
    <row r="661" spans="5:11" ht="13.5" customHeight="1" x14ac:dyDescent="0.2">
      <c r="E661" s="52"/>
      <c r="H661" s="61"/>
      <c r="K661"/>
    </row>
    <row r="662" spans="5:11" ht="13.5" customHeight="1" x14ac:dyDescent="0.2">
      <c r="E662" s="52"/>
      <c r="H662" s="61"/>
      <c r="K662"/>
    </row>
    <row r="663" spans="5:11" ht="13.5" customHeight="1" x14ac:dyDescent="0.2">
      <c r="E663" s="52"/>
      <c r="H663" s="61"/>
      <c r="K663"/>
    </row>
    <row r="664" spans="5:11" ht="13.5" customHeight="1" x14ac:dyDescent="0.2">
      <c r="E664" s="52"/>
      <c r="H664" s="61"/>
      <c r="K664"/>
    </row>
    <row r="665" spans="5:11" ht="13.5" customHeight="1" x14ac:dyDescent="0.2">
      <c r="E665" s="52"/>
      <c r="H665" s="61"/>
      <c r="K665"/>
    </row>
    <row r="666" spans="5:11" ht="13.5" customHeight="1" x14ac:dyDescent="0.2">
      <c r="E666" s="52"/>
      <c r="H666" s="61"/>
      <c r="K666"/>
    </row>
    <row r="667" spans="5:11" ht="13.5" customHeight="1" x14ac:dyDescent="0.2">
      <c r="E667" s="52"/>
      <c r="H667" s="61"/>
      <c r="K667"/>
    </row>
    <row r="668" spans="5:11" ht="13.5" customHeight="1" x14ac:dyDescent="0.2">
      <c r="E668" s="52"/>
      <c r="H668" s="61"/>
      <c r="K668"/>
    </row>
    <row r="669" spans="5:11" ht="13.5" customHeight="1" x14ac:dyDescent="0.2">
      <c r="E669" s="52"/>
      <c r="H669" s="61"/>
      <c r="K669"/>
    </row>
    <row r="670" spans="5:11" ht="13.5" customHeight="1" x14ac:dyDescent="0.2">
      <c r="E670" s="52"/>
      <c r="H670" s="61"/>
      <c r="K670"/>
    </row>
    <row r="671" spans="5:11" ht="13.5" customHeight="1" x14ac:dyDescent="0.2">
      <c r="E671" s="52"/>
      <c r="H671" s="61"/>
      <c r="K671"/>
    </row>
    <row r="672" spans="5:11" ht="13.5" customHeight="1" x14ac:dyDescent="0.2">
      <c r="E672" s="52"/>
      <c r="H672" s="61"/>
      <c r="K672"/>
    </row>
    <row r="673" spans="5:11" ht="13.5" customHeight="1" x14ac:dyDescent="0.2">
      <c r="E673" s="52"/>
      <c r="H673" s="61"/>
      <c r="K673"/>
    </row>
    <row r="674" spans="5:11" ht="13.5" customHeight="1" x14ac:dyDescent="0.2">
      <c r="E674" s="52"/>
      <c r="H674" s="61"/>
      <c r="K674"/>
    </row>
    <row r="675" spans="5:11" ht="13.5" customHeight="1" x14ac:dyDescent="0.2">
      <c r="E675" s="52"/>
      <c r="H675" s="61"/>
      <c r="K675"/>
    </row>
    <row r="676" spans="5:11" ht="13.5" customHeight="1" x14ac:dyDescent="0.2">
      <c r="E676" s="52"/>
      <c r="H676" s="61"/>
      <c r="K676"/>
    </row>
    <row r="677" spans="5:11" ht="13.5" customHeight="1" x14ac:dyDescent="0.2">
      <c r="E677" s="52"/>
      <c r="H677" s="61"/>
      <c r="K677"/>
    </row>
    <row r="678" spans="5:11" ht="13.5" customHeight="1" x14ac:dyDescent="0.2">
      <c r="E678" s="52"/>
      <c r="H678" s="61"/>
      <c r="K678"/>
    </row>
    <row r="679" spans="5:11" ht="13.5" customHeight="1" x14ac:dyDescent="0.2">
      <c r="E679" s="52"/>
      <c r="H679" s="61"/>
      <c r="K679"/>
    </row>
    <row r="680" spans="5:11" ht="13.5" customHeight="1" x14ac:dyDescent="0.2">
      <c r="E680" s="52"/>
      <c r="H680" s="61"/>
      <c r="K680"/>
    </row>
    <row r="681" spans="5:11" ht="13.5" customHeight="1" x14ac:dyDescent="0.2">
      <c r="E681" s="52"/>
      <c r="H681" s="61"/>
      <c r="K681"/>
    </row>
    <row r="682" spans="5:11" ht="13.5" customHeight="1" x14ac:dyDescent="0.2">
      <c r="E682" s="52"/>
      <c r="H682" s="61"/>
      <c r="K682"/>
    </row>
    <row r="683" spans="5:11" ht="13.5" customHeight="1" x14ac:dyDescent="0.2">
      <c r="E683" s="52"/>
      <c r="H683" s="61"/>
      <c r="K683"/>
    </row>
    <row r="684" spans="5:11" ht="13.5" customHeight="1" x14ac:dyDescent="0.2">
      <c r="E684" s="52"/>
      <c r="H684" s="61"/>
      <c r="K684"/>
    </row>
    <row r="685" spans="5:11" ht="13.5" customHeight="1" x14ac:dyDescent="0.2">
      <c r="E685" s="52"/>
      <c r="H685" s="61"/>
      <c r="K685"/>
    </row>
    <row r="686" spans="5:11" ht="13.5" customHeight="1" x14ac:dyDescent="0.2">
      <c r="E686" s="52"/>
      <c r="H686" s="61"/>
      <c r="K686"/>
    </row>
    <row r="687" spans="5:11" ht="13.5" customHeight="1" x14ac:dyDescent="0.2">
      <c r="E687" s="52"/>
      <c r="H687" s="61"/>
      <c r="K687"/>
    </row>
    <row r="688" spans="5:11" ht="13.5" customHeight="1" x14ac:dyDescent="0.2">
      <c r="E688" s="52"/>
      <c r="H688" s="61"/>
      <c r="K688"/>
    </row>
    <row r="689" spans="5:11" ht="13.5" customHeight="1" x14ac:dyDescent="0.2">
      <c r="E689" s="52"/>
      <c r="H689" s="61"/>
      <c r="K689"/>
    </row>
    <row r="690" spans="5:11" ht="13.5" customHeight="1" x14ac:dyDescent="0.2">
      <c r="E690" s="52"/>
      <c r="H690" s="61"/>
      <c r="K690"/>
    </row>
    <row r="691" spans="5:11" ht="13.5" customHeight="1" x14ac:dyDescent="0.2">
      <c r="E691" s="52"/>
      <c r="H691" s="61"/>
      <c r="K691"/>
    </row>
    <row r="692" spans="5:11" ht="13.5" customHeight="1" x14ac:dyDescent="0.2">
      <c r="E692" s="52"/>
      <c r="H692" s="61"/>
      <c r="K692"/>
    </row>
    <row r="693" spans="5:11" ht="13.5" customHeight="1" x14ac:dyDescent="0.2">
      <c r="E693" s="52"/>
      <c r="H693" s="61"/>
      <c r="K693"/>
    </row>
    <row r="694" spans="5:11" ht="13.5" customHeight="1" x14ac:dyDescent="0.2">
      <c r="E694" s="52"/>
      <c r="H694" s="61"/>
      <c r="K694"/>
    </row>
    <row r="695" spans="5:11" ht="13.5" customHeight="1" x14ac:dyDescent="0.2">
      <c r="E695" s="52"/>
      <c r="H695" s="61"/>
      <c r="K695"/>
    </row>
    <row r="696" spans="5:11" ht="13.5" customHeight="1" x14ac:dyDescent="0.2">
      <c r="E696" s="52"/>
      <c r="H696" s="61"/>
      <c r="K696"/>
    </row>
    <row r="697" spans="5:11" ht="13.5" customHeight="1" x14ac:dyDescent="0.2">
      <c r="E697" s="52"/>
      <c r="H697" s="61"/>
      <c r="K697"/>
    </row>
    <row r="698" spans="5:11" ht="13.5" customHeight="1" x14ac:dyDescent="0.2">
      <c r="E698" s="52"/>
      <c r="H698" s="61"/>
      <c r="K698"/>
    </row>
    <row r="699" spans="5:11" ht="13.5" customHeight="1" x14ac:dyDescent="0.2">
      <c r="E699" s="52"/>
      <c r="H699" s="61"/>
      <c r="K699"/>
    </row>
    <row r="700" spans="5:11" ht="13.5" customHeight="1" x14ac:dyDescent="0.2">
      <c r="E700" s="52"/>
      <c r="H700" s="61"/>
      <c r="K700"/>
    </row>
    <row r="701" spans="5:11" ht="13.5" customHeight="1" x14ac:dyDescent="0.2">
      <c r="E701" s="52"/>
      <c r="H701" s="61"/>
      <c r="K701"/>
    </row>
    <row r="702" spans="5:11" ht="13.5" customHeight="1" x14ac:dyDescent="0.2">
      <c r="E702" s="52"/>
      <c r="H702" s="61"/>
      <c r="K702"/>
    </row>
    <row r="703" spans="5:11" ht="13.5" customHeight="1" x14ac:dyDescent="0.2">
      <c r="E703" s="52"/>
      <c r="H703" s="61"/>
      <c r="K703"/>
    </row>
    <row r="704" spans="5:11" ht="13.5" customHeight="1" x14ac:dyDescent="0.2">
      <c r="E704" s="52"/>
      <c r="H704" s="61"/>
      <c r="K704"/>
    </row>
    <row r="705" spans="5:11" ht="13.5" customHeight="1" x14ac:dyDescent="0.2">
      <c r="E705" s="52"/>
      <c r="H705" s="61"/>
      <c r="K705"/>
    </row>
    <row r="706" spans="5:11" ht="13.5" customHeight="1" x14ac:dyDescent="0.2">
      <c r="E706" s="52"/>
      <c r="H706" s="61"/>
      <c r="K706"/>
    </row>
    <row r="707" spans="5:11" ht="13.5" customHeight="1" x14ac:dyDescent="0.2">
      <c r="E707" s="52"/>
      <c r="H707" s="61"/>
      <c r="K707"/>
    </row>
    <row r="708" spans="5:11" ht="13.5" customHeight="1" x14ac:dyDescent="0.2">
      <c r="E708" s="52"/>
      <c r="H708" s="61"/>
      <c r="K708"/>
    </row>
    <row r="709" spans="5:11" ht="13.5" customHeight="1" x14ac:dyDescent="0.2">
      <c r="E709" s="52"/>
      <c r="H709" s="61"/>
      <c r="K709"/>
    </row>
    <row r="710" spans="5:11" ht="13.5" customHeight="1" x14ac:dyDescent="0.2">
      <c r="E710" s="52"/>
      <c r="H710" s="61"/>
      <c r="K710"/>
    </row>
    <row r="711" spans="5:11" ht="13.5" customHeight="1" x14ac:dyDescent="0.2">
      <c r="E711" s="52"/>
      <c r="H711" s="61"/>
      <c r="K711"/>
    </row>
    <row r="712" spans="5:11" ht="13.5" customHeight="1" x14ac:dyDescent="0.2">
      <c r="E712" s="52"/>
      <c r="H712" s="61"/>
      <c r="K712"/>
    </row>
    <row r="713" spans="5:11" ht="13.5" customHeight="1" x14ac:dyDescent="0.2">
      <c r="E713" s="52"/>
      <c r="H713" s="61"/>
      <c r="K713"/>
    </row>
    <row r="714" spans="5:11" ht="13.5" customHeight="1" x14ac:dyDescent="0.2">
      <c r="E714" s="52"/>
      <c r="H714" s="61"/>
      <c r="K714"/>
    </row>
    <row r="715" spans="5:11" ht="13.5" customHeight="1" x14ac:dyDescent="0.2">
      <c r="E715" s="52"/>
      <c r="H715" s="61"/>
      <c r="K715"/>
    </row>
    <row r="716" spans="5:11" ht="13.5" customHeight="1" x14ac:dyDescent="0.2">
      <c r="E716" s="52"/>
      <c r="H716" s="61"/>
      <c r="K716"/>
    </row>
    <row r="717" spans="5:11" ht="13.5" customHeight="1" x14ac:dyDescent="0.2">
      <c r="E717" s="52"/>
      <c r="H717" s="61"/>
      <c r="K717"/>
    </row>
    <row r="718" spans="5:11" ht="13.5" customHeight="1" x14ac:dyDescent="0.2">
      <c r="E718" s="52"/>
      <c r="H718" s="61"/>
      <c r="K718"/>
    </row>
    <row r="719" spans="5:11" ht="13.5" customHeight="1" x14ac:dyDescent="0.2">
      <c r="E719" s="52"/>
      <c r="H719" s="61"/>
      <c r="K719"/>
    </row>
    <row r="720" spans="5:11" ht="13.5" customHeight="1" x14ac:dyDescent="0.2">
      <c r="E720" s="52"/>
      <c r="H720" s="61"/>
      <c r="K720"/>
    </row>
    <row r="721" spans="5:11" ht="13.5" customHeight="1" x14ac:dyDescent="0.2">
      <c r="E721" s="52"/>
      <c r="H721" s="61"/>
      <c r="K721"/>
    </row>
    <row r="722" spans="5:11" ht="13.5" customHeight="1" x14ac:dyDescent="0.2">
      <c r="E722" s="52"/>
      <c r="H722" s="61"/>
      <c r="K722"/>
    </row>
    <row r="723" spans="5:11" ht="13.5" customHeight="1" x14ac:dyDescent="0.2">
      <c r="E723" s="52"/>
      <c r="H723" s="61"/>
      <c r="K723"/>
    </row>
    <row r="724" spans="5:11" ht="13.5" customHeight="1" x14ac:dyDescent="0.2">
      <c r="E724" s="52"/>
      <c r="H724" s="61"/>
      <c r="K724"/>
    </row>
    <row r="725" spans="5:11" ht="13.5" customHeight="1" x14ac:dyDescent="0.2">
      <c r="E725" s="52"/>
      <c r="H725" s="61"/>
      <c r="K725"/>
    </row>
    <row r="726" spans="5:11" ht="13.5" customHeight="1" x14ac:dyDescent="0.2">
      <c r="E726" s="52"/>
      <c r="H726" s="61"/>
      <c r="K726"/>
    </row>
    <row r="727" spans="5:11" ht="13.5" customHeight="1" x14ac:dyDescent="0.2">
      <c r="E727" s="52"/>
      <c r="H727" s="61"/>
      <c r="K727"/>
    </row>
    <row r="728" spans="5:11" ht="13.5" customHeight="1" x14ac:dyDescent="0.2">
      <c r="E728" s="52"/>
      <c r="H728" s="61"/>
      <c r="K728"/>
    </row>
    <row r="729" spans="5:11" ht="13.5" customHeight="1" x14ac:dyDescent="0.2">
      <c r="E729" s="52"/>
      <c r="H729" s="61"/>
      <c r="K729"/>
    </row>
    <row r="730" spans="5:11" ht="13.5" customHeight="1" x14ac:dyDescent="0.2">
      <c r="E730" s="52"/>
      <c r="H730" s="61"/>
      <c r="K730"/>
    </row>
    <row r="731" spans="5:11" ht="13.5" customHeight="1" x14ac:dyDescent="0.2">
      <c r="E731" s="52"/>
      <c r="H731" s="61"/>
      <c r="K731"/>
    </row>
    <row r="732" spans="5:11" ht="13.5" customHeight="1" x14ac:dyDescent="0.2">
      <c r="E732" s="52"/>
      <c r="H732" s="61"/>
    </row>
    <row r="733" spans="5:11" ht="13.5" customHeight="1" x14ac:dyDescent="0.2">
      <c r="E733" s="52"/>
      <c r="H733" s="61"/>
    </row>
    <row r="734" spans="5:11" ht="13.5" customHeight="1" x14ac:dyDescent="0.2">
      <c r="E734" s="52"/>
      <c r="H734" s="61"/>
    </row>
    <row r="735" spans="5:11" ht="13.5" customHeight="1" x14ac:dyDescent="0.2">
      <c r="E735" s="52"/>
      <c r="H735" s="61"/>
    </row>
    <row r="736" spans="5:11" ht="13.5" customHeight="1" x14ac:dyDescent="0.2">
      <c r="E736" s="52"/>
      <c r="H736" s="61"/>
    </row>
    <row r="737" spans="5:11" ht="13.5" customHeight="1" x14ac:dyDescent="0.2">
      <c r="E737" s="52"/>
      <c r="H737" s="61"/>
      <c r="K737"/>
    </row>
    <row r="738" spans="5:11" ht="13.5" customHeight="1" x14ac:dyDescent="0.2">
      <c r="E738" s="52"/>
      <c r="H738" s="61"/>
      <c r="K738"/>
    </row>
    <row r="739" spans="5:11" ht="13.5" customHeight="1" x14ac:dyDescent="0.2">
      <c r="E739" s="52"/>
      <c r="H739" s="61"/>
      <c r="K739"/>
    </row>
    <row r="740" spans="5:11" ht="13.5" customHeight="1" x14ac:dyDescent="0.2">
      <c r="E740" s="52"/>
      <c r="H740" s="61"/>
      <c r="K740"/>
    </row>
    <row r="741" spans="5:11" ht="13.5" customHeight="1" x14ac:dyDescent="0.2">
      <c r="E741" s="52"/>
      <c r="H741" s="61"/>
      <c r="K741"/>
    </row>
    <row r="742" spans="5:11" ht="13.5" customHeight="1" x14ac:dyDescent="0.2">
      <c r="E742" s="52"/>
      <c r="H742" s="61"/>
      <c r="K742"/>
    </row>
    <row r="743" spans="5:11" ht="13.5" customHeight="1" x14ac:dyDescent="0.2">
      <c r="E743" s="52"/>
      <c r="H743" s="61"/>
      <c r="K743"/>
    </row>
    <row r="744" spans="5:11" ht="13.5" customHeight="1" x14ac:dyDescent="0.2">
      <c r="E744" s="52"/>
      <c r="H744" s="61"/>
      <c r="K744"/>
    </row>
    <row r="745" spans="5:11" ht="13.5" customHeight="1" x14ac:dyDescent="0.2">
      <c r="E745" s="52"/>
      <c r="H745" s="61"/>
      <c r="K745"/>
    </row>
    <row r="746" spans="5:11" ht="13.5" customHeight="1" x14ac:dyDescent="0.2">
      <c r="E746" s="52"/>
      <c r="H746" s="61"/>
      <c r="K746"/>
    </row>
    <row r="747" spans="5:11" ht="13.5" customHeight="1" x14ac:dyDescent="0.2">
      <c r="E747" s="52"/>
      <c r="H747" s="61"/>
      <c r="K747"/>
    </row>
    <row r="748" spans="5:11" ht="13.5" customHeight="1" x14ac:dyDescent="0.2">
      <c r="E748" s="52"/>
      <c r="H748" s="61"/>
      <c r="K748"/>
    </row>
    <row r="749" spans="5:11" ht="13.5" customHeight="1" x14ac:dyDescent="0.2">
      <c r="E749" s="52"/>
      <c r="H749" s="61"/>
      <c r="K749"/>
    </row>
    <row r="750" spans="5:11" ht="13.5" customHeight="1" x14ac:dyDescent="0.2">
      <c r="E750" s="52"/>
      <c r="H750" s="61"/>
      <c r="K750"/>
    </row>
    <row r="751" spans="5:11" ht="13.5" customHeight="1" x14ac:dyDescent="0.2">
      <c r="E751" s="52"/>
      <c r="H751" s="61"/>
      <c r="K751"/>
    </row>
    <row r="752" spans="5:11" ht="13.5" customHeight="1" x14ac:dyDescent="0.2">
      <c r="E752" s="52"/>
      <c r="H752" s="61"/>
      <c r="K752"/>
    </row>
    <row r="753" spans="5:11" ht="13.5" customHeight="1" x14ac:dyDescent="0.2">
      <c r="E753" s="52"/>
      <c r="H753" s="61"/>
      <c r="K753"/>
    </row>
    <row r="754" spans="5:11" ht="13.5" customHeight="1" x14ac:dyDescent="0.2">
      <c r="E754" s="50"/>
      <c r="H754" s="61"/>
      <c r="K754"/>
    </row>
    <row r="755" spans="5:11" ht="13.5" customHeight="1" x14ac:dyDescent="0.2">
      <c r="E755" s="50"/>
      <c r="H755" s="61"/>
      <c r="K755"/>
    </row>
    <row r="756" spans="5:11" ht="13.5" customHeight="1" x14ac:dyDescent="0.2">
      <c r="E756" s="50"/>
      <c r="H756" s="61"/>
      <c r="K756"/>
    </row>
    <row r="757" spans="5:11" ht="13.5" customHeight="1" x14ac:dyDescent="0.2">
      <c r="E757" s="50"/>
      <c r="H757" s="61"/>
      <c r="K757"/>
    </row>
    <row r="758" spans="5:11" ht="13.5" customHeight="1" x14ac:dyDescent="0.2">
      <c r="E758" s="50"/>
      <c r="H758" s="61"/>
      <c r="K758"/>
    </row>
    <row r="759" spans="5:11" ht="13.5" customHeight="1" x14ac:dyDescent="0.2">
      <c r="E759" s="50"/>
      <c r="H759" s="61"/>
      <c r="K759"/>
    </row>
    <row r="760" spans="5:11" ht="13.5" customHeight="1" x14ac:dyDescent="0.2">
      <c r="E760" s="50"/>
      <c r="H760" s="61"/>
      <c r="K760"/>
    </row>
    <row r="761" spans="5:11" ht="13.5" customHeight="1" x14ac:dyDescent="0.2">
      <c r="E761" s="50"/>
      <c r="H761" s="61"/>
      <c r="K761"/>
    </row>
    <row r="762" spans="5:11" ht="13.5" customHeight="1" x14ac:dyDescent="0.2">
      <c r="E762" s="50"/>
      <c r="H762" s="61"/>
      <c r="K762"/>
    </row>
    <row r="763" spans="5:11" ht="13.5" customHeight="1" x14ac:dyDescent="0.2">
      <c r="E763" s="50"/>
      <c r="H763" s="61"/>
      <c r="K763"/>
    </row>
    <row r="764" spans="5:11" ht="13.5" customHeight="1" x14ac:dyDescent="0.2">
      <c r="E764" s="50"/>
      <c r="H764" s="61"/>
      <c r="K764"/>
    </row>
    <row r="765" spans="5:11" ht="13.5" customHeight="1" x14ac:dyDescent="0.2">
      <c r="E765" s="50"/>
      <c r="H765" s="61"/>
      <c r="K765"/>
    </row>
    <row r="766" spans="5:11" ht="13.5" customHeight="1" x14ac:dyDescent="0.2">
      <c r="E766" s="50"/>
      <c r="H766" s="61"/>
      <c r="K766"/>
    </row>
    <row r="767" spans="5:11" ht="13.5" customHeight="1" x14ac:dyDescent="0.2">
      <c r="E767" s="50"/>
      <c r="H767" s="61"/>
      <c r="K767"/>
    </row>
    <row r="768" spans="5:11" ht="13.5" customHeight="1" x14ac:dyDescent="0.2">
      <c r="E768" s="50"/>
      <c r="H768" s="61"/>
      <c r="K768"/>
    </row>
    <row r="769" spans="5:11" ht="13.5" customHeight="1" x14ac:dyDescent="0.2">
      <c r="E769" s="50"/>
      <c r="H769" s="61"/>
      <c r="K769"/>
    </row>
    <row r="770" spans="5:11" ht="13.5" customHeight="1" x14ac:dyDescent="0.2">
      <c r="E770" s="50"/>
      <c r="H770" s="61"/>
      <c r="K770"/>
    </row>
    <row r="771" spans="5:11" ht="13.5" customHeight="1" x14ac:dyDescent="0.2">
      <c r="E771" s="50"/>
      <c r="H771" s="61"/>
      <c r="K771"/>
    </row>
    <row r="772" spans="5:11" ht="13.5" customHeight="1" x14ac:dyDescent="0.2">
      <c r="E772" s="50"/>
      <c r="H772" s="61"/>
      <c r="K772"/>
    </row>
    <row r="773" spans="5:11" ht="13.5" customHeight="1" x14ac:dyDescent="0.2">
      <c r="E773" s="50"/>
      <c r="H773" s="61"/>
      <c r="K773"/>
    </row>
    <row r="774" spans="5:11" ht="13.5" customHeight="1" x14ac:dyDescent="0.2">
      <c r="E774" s="50"/>
      <c r="H774" s="61"/>
      <c r="K774"/>
    </row>
    <row r="775" spans="5:11" ht="13.5" customHeight="1" x14ac:dyDescent="0.2">
      <c r="E775" s="50"/>
      <c r="H775" s="61"/>
      <c r="K775"/>
    </row>
    <row r="776" spans="5:11" ht="13.5" customHeight="1" x14ac:dyDescent="0.2">
      <c r="E776" s="50"/>
      <c r="H776" s="61"/>
      <c r="K776"/>
    </row>
    <row r="777" spans="5:11" ht="13.5" customHeight="1" x14ac:dyDescent="0.2">
      <c r="E777" s="50"/>
      <c r="H777" s="61"/>
      <c r="K777"/>
    </row>
    <row r="778" spans="5:11" ht="13.5" customHeight="1" x14ac:dyDescent="0.2">
      <c r="E778" s="50"/>
      <c r="H778" s="61"/>
      <c r="K778"/>
    </row>
    <row r="779" spans="5:11" ht="13.5" customHeight="1" x14ac:dyDescent="0.2">
      <c r="E779" s="50"/>
      <c r="H779" s="61"/>
      <c r="K779"/>
    </row>
    <row r="780" spans="5:11" ht="13.5" customHeight="1" x14ac:dyDescent="0.2">
      <c r="E780" s="50"/>
      <c r="H780" s="61"/>
      <c r="K780"/>
    </row>
    <row r="781" spans="5:11" ht="13.5" customHeight="1" x14ac:dyDescent="0.2">
      <c r="E781" s="50"/>
      <c r="H781" s="61"/>
      <c r="K781"/>
    </row>
    <row r="782" spans="5:11" ht="13.5" customHeight="1" x14ac:dyDescent="0.2">
      <c r="E782" s="50"/>
      <c r="H782" s="61"/>
      <c r="K782"/>
    </row>
    <row r="783" spans="5:11" ht="13.5" customHeight="1" x14ac:dyDescent="0.2">
      <c r="E783" s="50"/>
      <c r="H783" s="61"/>
      <c r="K783"/>
    </row>
    <row r="784" spans="5:11" ht="13.5" customHeight="1" x14ac:dyDescent="0.2">
      <c r="E784" s="50"/>
      <c r="H784" s="61"/>
      <c r="K784"/>
    </row>
    <row r="785" spans="5:11" ht="13.5" customHeight="1" x14ac:dyDescent="0.2">
      <c r="E785" s="50"/>
      <c r="H785" s="61"/>
      <c r="K785"/>
    </row>
    <row r="786" spans="5:11" ht="13.5" customHeight="1" x14ac:dyDescent="0.2">
      <c r="E786" s="50"/>
      <c r="H786" s="61"/>
      <c r="K786"/>
    </row>
    <row r="787" spans="5:11" ht="13.5" customHeight="1" x14ac:dyDescent="0.2">
      <c r="E787" s="50"/>
      <c r="H787" s="61"/>
      <c r="K787"/>
    </row>
    <row r="788" spans="5:11" ht="13.5" customHeight="1" x14ac:dyDescent="0.2">
      <c r="E788" s="50"/>
      <c r="H788" s="61"/>
      <c r="K788"/>
    </row>
    <row r="789" spans="5:11" ht="13.5" customHeight="1" x14ac:dyDescent="0.2">
      <c r="E789" s="50"/>
      <c r="H789" s="61"/>
      <c r="K789"/>
    </row>
    <row r="790" spans="5:11" ht="13.5" customHeight="1" x14ac:dyDescent="0.2">
      <c r="E790" s="50"/>
      <c r="H790" s="61"/>
      <c r="K790"/>
    </row>
    <row r="791" spans="5:11" ht="13.5" customHeight="1" x14ac:dyDescent="0.2">
      <c r="E791" s="50"/>
      <c r="H791" s="61"/>
      <c r="K791"/>
    </row>
    <row r="792" spans="5:11" ht="13.5" customHeight="1" x14ac:dyDescent="0.2">
      <c r="E792" s="50"/>
      <c r="H792" s="61"/>
      <c r="K792"/>
    </row>
    <row r="793" spans="5:11" ht="13.5" customHeight="1" x14ac:dyDescent="0.2">
      <c r="E793" s="50"/>
      <c r="H793" s="61"/>
      <c r="K793"/>
    </row>
    <row r="794" spans="5:11" ht="13.5" customHeight="1" x14ac:dyDescent="0.2">
      <c r="E794" s="50"/>
      <c r="H794" s="61"/>
      <c r="K794"/>
    </row>
    <row r="795" spans="5:11" ht="13.5" customHeight="1" x14ac:dyDescent="0.2">
      <c r="E795" s="50"/>
      <c r="H795" s="61"/>
      <c r="K795"/>
    </row>
    <row r="796" spans="5:11" ht="13.5" customHeight="1" x14ac:dyDescent="0.2">
      <c r="E796" s="50"/>
      <c r="H796" s="61"/>
      <c r="K796"/>
    </row>
    <row r="797" spans="5:11" ht="13.5" customHeight="1" x14ac:dyDescent="0.2">
      <c r="E797" s="50"/>
      <c r="H797" s="61"/>
      <c r="K797"/>
    </row>
    <row r="798" spans="5:11" ht="13.5" customHeight="1" x14ac:dyDescent="0.2">
      <c r="E798" s="50"/>
      <c r="H798" s="61"/>
      <c r="K798"/>
    </row>
    <row r="799" spans="5:11" ht="13.5" customHeight="1" x14ac:dyDescent="0.2">
      <c r="E799" s="50"/>
      <c r="H799" s="61"/>
      <c r="K799"/>
    </row>
    <row r="800" spans="5:11" ht="13.5" customHeight="1" x14ac:dyDescent="0.2">
      <c r="E800" s="50"/>
      <c r="H800" s="61"/>
      <c r="K800"/>
    </row>
    <row r="801" spans="5:11" ht="13.5" customHeight="1" x14ac:dyDescent="0.2">
      <c r="E801" s="50"/>
      <c r="H801" s="61"/>
      <c r="K801"/>
    </row>
    <row r="802" spans="5:11" ht="13.5" customHeight="1" x14ac:dyDescent="0.2">
      <c r="E802" s="50"/>
      <c r="H802" s="61"/>
      <c r="K802"/>
    </row>
    <row r="803" spans="5:11" ht="13.5" customHeight="1" x14ac:dyDescent="0.2">
      <c r="E803" s="50"/>
      <c r="H803" s="61"/>
      <c r="K803"/>
    </row>
    <row r="804" spans="5:11" ht="13.5" customHeight="1" x14ac:dyDescent="0.2">
      <c r="E804" s="50"/>
      <c r="H804" s="61"/>
      <c r="K804"/>
    </row>
    <row r="805" spans="5:11" ht="13.5" customHeight="1" x14ac:dyDescent="0.2">
      <c r="E805" s="50"/>
      <c r="H805" s="61"/>
      <c r="K805"/>
    </row>
    <row r="806" spans="5:11" ht="13.5" customHeight="1" x14ac:dyDescent="0.2">
      <c r="E806" s="50"/>
      <c r="H806" s="61"/>
      <c r="K806"/>
    </row>
    <row r="807" spans="5:11" ht="13.5" customHeight="1" x14ac:dyDescent="0.2">
      <c r="E807" s="50"/>
      <c r="H807" s="61"/>
      <c r="K807"/>
    </row>
    <row r="808" spans="5:11" ht="13.5" customHeight="1" x14ac:dyDescent="0.2">
      <c r="E808" s="50"/>
      <c r="H808" s="12"/>
      <c r="K808"/>
    </row>
    <row r="809" spans="5:11" ht="13.5" customHeight="1" x14ac:dyDescent="0.2">
      <c r="E809" s="50"/>
      <c r="H809" s="12"/>
      <c r="K809"/>
    </row>
    <row r="810" spans="5:11" ht="13.5" customHeight="1" x14ac:dyDescent="0.2">
      <c r="E810" s="50"/>
      <c r="H810" s="12"/>
      <c r="K810"/>
    </row>
    <row r="811" spans="5:11" ht="13.5" customHeight="1" x14ac:dyDescent="0.2">
      <c r="E811" s="50"/>
      <c r="H811" s="12"/>
      <c r="K811"/>
    </row>
    <row r="812" spans="5:11" ht="13.5" customHeight="1" x14ac:dyDescent="0.2">
      <c r="E812" s="50"/>
      <c r="H812" s="12"/>
      <c r="K812"/>
    </row>
    <row r="813" spans="5:11" ht="13.5" customHeight="1" x14ac:dyDescent="0.2">
      <c r="E813" s="50"/>
      <c r="H813" s="12"/>
      <c r="K813"/>
    </row>
    <row r="814" spans="5:11" ht="13.5" customHeight="1" x14ac:dyDescent="0.2">
      <c r="E814" s="50"/>
      <c r="H814" s="12"/>
      <c r="K814"/>
    </row>
    <row r="815" spans="5:11" ht="13.5" customHeight="1" x14ac:dyDescent="0.2">
      <c r="E815" s="50"/>
      <c r="H815" s="12"/>
      <c r="K815"/>
    </row>
    <row r="816" spans="5:11" ht="13.5" customHeight="1" x14ac:dyDescent="0.2">
      <c r="E816" s="50"/>
      <c r="H816" s="12"/>
      <c r="K816"/>
    </row>
    <row r="817" spans="5:11" ht="13.5" customHeight="1" x14ac:dyDescent="0.2">
      <c r="E817" s="50"/>
      <c r="H817" s="12"/>
      <c r="K817"/>
    </row>
    <row r="818" spans="5:11" ht="13.5" customHeight="1" x14ac:dyDescent="0.2">
      <c r="E818" s="50"/>
      <c r="H818" s="12"/>
      <c r="K818"/>
    </row>
    <row r="819" spans="5:11" ht="13.5" customHeight="1" x14ac:dyDescent="0.2">
      <c r="E819" s="50"/>
      <c r="H819" s="12"/>
      <c r="K819"/>
    </row>
    <row r="820" spans="5:11" ht="13.5" customHeight="1" x14ac:dyDescent="0.2">
      <c r="E820" s="50"/>
      <c r="H820" s="12"/>
      <c r="K820"/>
    </row>
    <row r="821" spans="5:11" ht="13.5" customHeight="1" x14ac:dyDescent="0.2">
      <c r="E821" s="50"/>
      <c r="H821" s="12"/>
      <c r="K821"/>
    </row>
    <row r="822" spans="5:11" ht="13.5" customHeight="1" x14ac:dyDescent="0.2">
      <c r="E822" s="50"/>
      <c r="H822" s="12"/>
      <c r="K822"/>
    </row>
    <row r="823" spans="5:11" ht="13.5" customHeight="1" x14ac:dyDescent="0.2">
      <c r="E823" s="50"/>
      <c r="H823" s="12"/>
      <c r="K823"/>
    </row>
    <row r="824" spans="5:11" ht="13.5" customHeight="1" x14ac:dyDescent="0.2">
      <c r="E824" s="50"/>
      <c r="H824" s="12"/>
      <c r="K824"/>
    </row>
    <row r="825" spans="5:11" ht="13.5" customHeight="1" x14ac:dyDescent="0.2">
      <c r="E825" s="50"/>
      <c r="H825" s="12"/>
      <c r="K825"/>
    </row>
    <row r="826" spans="5:11" ht="13.5" customHeight="1" x14ac:dyDescent="0.2">
      <c r="E826" s="50"/>
      <c r="H826" s="12"/>
      <c r="K826"/>
    </row>
    <row r="827" spans="5:11" ht="13.5" customHeight="1" x14ac:dyDescent="0.2">
      <c r="E827" s="50"/>
      <c r="H827" s="12"/>
      <c r="K827"/>
    </row>
    <row r="828" spans="5:11" ht="13.5" customHeight="1" x14ac:dyDescent="0.2">
      <c r="E828" s="50"/>
      <c r="H828" s="12"/>
      <c r="K828"/>
    </row>
    <row r="829" spans="5:11" ht="13.5" customHeight="1" x14ac:dyDescent="0.2">
      <c r="E829" s="50"/>
      <c r="H829" s="12"/>
      <c r="K829"/>
    </row>
    <row r="830" spans="5:11" ht="13.5" customHeight="1" x14ac:dyDescent="0.2">
      <c r="E830" s="50"/>
      <c r="H830" s="12"/>
      <c r="K830"/>
    </row>
    <row r="831" spans="5:11" ht="13.5" customHeight="1" x14ac:dyDescent="0.2">
      <c r="E831" s="50"/>
      <c r="H831" s="12"/>
      <c r="K831"/>
    </row>
    <row r="832" spans="5:11" ht="13.5" customHeight="1" x14ac:dyDescent="0.2">
      <c r="E832" s="50"/>
      <c r="H832" s="12"/>
      <c r="K832"/>
    </row>
    <row r="833" spans="5:11" ht="13.5" customHeight="1" x14ac:dyDescent="0.2">
      <c r="E833" s="50"/>
      <c r="H833" s="12"/>
      <c r="K833"/>
    </row>
    <row r="834" spans="5:11" ht="13.5" customHeight="1" x14ac:dyDescent="0.2">
      <c r="E834" s="50"/>
      <c r="H834" s="12"/>
      <c r="K834"/>
    </row>
    <row r="835" spans="5:11" ht="13.5" customHeight="1" x14ac:dyDescent="0.2">
      <c r="E835" s="50"/>
      <c r="H835" s="12"/>
      <c r="K835"/>
    </row>
    <row r="836" spans="5:11" ht="13.5" customHeight="1" x14ac:dyDescent="0.2">
      <c r="E836" s="50"/>
      <c r="H836" s="12"/>
      <c r="K836"/>
    </row>
    <row r="837" spans="5:11" ht="13.5" customHeight="1" x14ac:dyDescent="0.2">
      <c r="E837" s="50"/>
      <c r="H837" s="12"/>
      <c r="K837"/>
    </row>
    <row r="838" spans="5:11" ht="13.5" customHeight="1" x14ac:dyDescent="0.2">
      <c r="E838" s="50"/>
      <c r="H838" s="12"/>
      <c r="K838"/>
    </row>
    <row r="839" spans="5:11" ht="13.5" customHeight="1" x14ac:dyDescent="0.2">
      <c r="E839" s="50"/>
      <c r="H839" s="12"/>
      <c r="K839"/>
    </row>
    <row r="840" spans="5:11" ht="13.5" customHeight="1" x14ac:dyDescent="0.2">
      <c r="E840" s="50"/>
      <c r="H840" s="12"/>
      <c r="K840"/>
    </row>
    <row r="841" spans="5:11" ht="13.5" customHeight="1" x14ac:dyDescent="0.2">
      <c r="E841" s="50"/>
      <c r="H841" s="12"/>
      <c r="K841"/>
    </row>
    <row r="842" spans="5:11" ht="13.5" customHeight="1" x14ac:dyDescent="0.2">
      <c r="E842" s="50"/>
      <c r="H842" s="12"/>
      <c r="K842"/>
    </row>
    <row r="843" spans="5:11" ht="13.5" customHeight="1" x14ac:dyDescent="0.2">
      <c r="E843" s="50"/>
      <c r="H843" s="12"/>
      <c r="K843"/>
    </row>
    <row r="844" spans="5:11" ht="13.5" customHeight="1" x14ac:dyDescent="0.2">
      <c r="E844" s="50"/>
      <c r="H844" s="12"/>
      <c r="K844"/>
    </row>
    <row r="845" spans="5:11" ht="13.5" customHeight="1" x14ac:dyDescent="0.2">
      <c r="E845" s="50"/>
      <c r="H845" s="12"/>
      <c r="K845"/>
    </row>
    <row r="846" spans="5:11" ht="13.5" customHeight="1" x14ac:dyDescent="0.2">
      <c r="E846" s="50"/>
      <c r="H846" s="12"/>
      <c r="K846"/>
    </row>
    <row r="847" spans="5:11" ht="13.5" customHeight="1" x14ac:dyDescent="0.2">
      <c r="E847" s="50"/>
      <c r="H847" s="12"/>
      <c r="K847"/>
    </row>
    <row r="848" spans="5:11" ht="13.5" customHeight="1" x14ac:dyDescent="0.2">
      <c r="E848" s="50"/>
      <c r="H848" s="12"/>
      <c r="K848"/>
    </row>
    <row r="849" spans="5:11" ht="13.5" customHeight="1" x14ac:dyDescent="0.2">
      <c r="E849" s="50"/>
      <c r="H849" s="12"/>
      <c r="K849"/>
    </row>
    <row r="850" spans="5:11" ht="13.5" customHeight="1" x14ac:dyDescent="0.2">
      <c r="E850" s="50"/>
      <c r="H850" s="12"/>
      <c r="K850"/>
    </row>
    <row r="851" spans="5:11" ht="13.5" customHeight="1" x14ac:dyDescent="0.2">
      <c r="E851" s="50"/>
      <c r="H851" s="12"/>
      <c r="K851"/>
    </row>
    <row r="852" spans="5:11" ht="13.5" customHeight="1" x14ac:dyDescent="0.2">
      <c r="E852" s="50"/>
      <c r="H852" s="12"/>
      <c r="K852"/>
    </row>
    <row r="853" spans="5:11" ht="13.5" customHeight="1" x14ac:dyDescent="0.2">
      <c r="E853" s="50"/>
      <c r="H853" s="12"/>
      <c r="K853"/>
    </row>
    <row r="854" spans="5:11" ht="13.5" customHeight="1" x14ac:dyDescent="0.2">
      <c r="E854" s="50"/>
      <c r="H854" s="12"/>
      <c r="K854"/>
    </row>
    <row r="855" spans="5:11" ht="13.5" customHeight="1" x14ac:dyDescent="0.2">
      <c r="E855" s="50"/>
      <c r="H855" s="12"/>
      <c r="K855"/>
    </row>
    <row r="856" spans="5:11" ht="13.5" customHeight="1" x14ac:dyDescent="0.2">
      <c r="E856" s="50"/>
      <c r="H856" s="12"/>
      <c r="K856"/>
    </row>
    <row r="857" spans="5:11" ht="13.5" customHeight="1" x14ac:dyDescent="0.2">
      <c r="E857" s="50"/>
      <c r="H857" s="12"/>
      <c r="K857"/>
    </row>
    <row r="858" spans="5:11" ht="13.5" customHeight="1" x14ac:dyDescent="0.2">
      <c r="E858" s="50"/>
      <c r="H858" s="12"/>
      <c r="K858"/>
    </row>
    <row r="859" spans="5:11" ht="13.5" customHeight="1" x14ac:dyDescent="0.2">
      <c r="E859" s="50"/>
      <c r="H859" s="12"/>
      <c r="K859"/>
    </row>
    <row r="860" spans="5:11" ht="13.5" customHeight="1" x14ac:dyDescent="0.2">
      <c r="E860" s="50"/>
      <c r="H860" s="12"/>
      <c r="K860"/>
    </row>
    <row r="861" spans="5:11" ht="13.5" customHeight="1" x14ac:dyDescent="0.2">
      <c r="E861" s="50"/>
      <c r="H861" s="12"/>
      <c r="K861"/>
    </row>
    <row r="862" spans="5:11" ht="13.5" customHeight="1" x14ac:dyDescent="0.2">
      <c r="E862" s="50"/>
      <c r="H862" s="12"/>
      <c r="K862"/>
    </row>
    <row r="863" spans="5:11" ht="13.5" customHeight="1" x14ac:dyDescent="0.2">
      <c r="E863" s="50"/>
      <c r="H863" s="12"/>
      <c r="K863"/>
    </row>
    <row r="864" spans="5:11" ht="13.5" customHeight="1" x14ac:dyDescent="0.2">
      <c r="E864" s="50"/>
      <c r="H864" s="12"/>
      <c r="K864"/>
    </row>
    <row r="865" spans="5:11" ht="13.5" customHeight="1" x14ac:dyDescent="0.2">
      <c r="E865" s="50"/>
      <c r="H865" s="12"/>
      <c r="K865"/>
    </row>
    <row r="866" spans="5:11" ht="13.5" customHeight="1" x14ac:dyDescent="0.2">
      <c r="E866" s="50"/>
      <c r="H866" s="12"/>
      <c r="K866"/>
    </row>
    <row r="867" spans="5:11" ht="13.5" customHeight="1" x14ac:dyDescent="0.2">
      <c r="E867" s="50"/>
      <c r="H867" s="12"/>
      <c r="K867"/>
    </row>
    <row r="868" spans="5:11" ht="13.5" customHeight="1" x14ac:dyDescent="0.2">
      <c r="E868" s="50"/>
      <c r="H868" s="12"/>
      <c r="K868"/>
    </row>
    <row r="869" spans="5:11" ht="13.5" customHeight="1" x14ac:dyDescent="0.2">
      <c r="E869" s="50"/>
      <c r="H869" s="12"/>
      <c r="K869"/>
    </row>
    <row r="870" spans="5:11" ht="13.5" customHeight="1" x14ac:dyDescent="0.2">
      <c r="E870" s="50"/>
      <c r="H870" s="12"/>
      <c r="K870"/>
    </row>
    <row r="871" spans="5:11" ht="13.5" customHeight="1" x14ac:dyDescent="0.2">
      <c r="E871" s="50"/>
      <c r="H871" s="12"/>
      <c r="K871"/>
    </row>
    <row r="872" spans="5:11" ht="13.5" customHeight="1" x14ac:dyDescent="0.2">
      <c r="E872" s="50"/>
      <c r="H872" s="12"/>
      <c r="K872"/>
    </row>
    <row r="873" spans="5:11" ht="13.5" customHeight="1" x14ac:dyDescent="0.2">
      <c r="E873" s="50"/>
      <c r="H873" s="12"/>
      <c r="K873"/>
    </row>
    <row r="874" spans="5:11" ht="13.5" customHeight="1" x14ac:dyDescent="0.2">
      <c r="E874" s="50"/>
      <c r="H874" s="12"/>
      <c r="K874"/>
    </row>
    <row r="875" spans="5:11" ht="13.5" customHeight="1" x14ac:dyDescent="0.2">
      <c r="E875" s="50"/>
      <c r="H875" s="12"/>
      <c r="K875"/>
    </row>
    <row r="876" spans="5:11" ht="13.5" customHeight="1" x14ac:dyDescent="0.2">
      <c r="E876" s="50"/>
      <c r="H876" s="12"/>
      <c r="K876"/>
    </row>
    <row r="877" spans="5:11" ht="13.5" customHeight="1" x14ac:dyDescent="0.2">
      <c r="E877" s="50"/>
      <c r="H877" s="12"/>
      <c r="K877"/>
    </row>
    <row r="878" spans="5:11" ht="13.5" customHeight="1" x14ac:dyDescent="0.2">
      <c r="E878" s="50"/>
      <c r="H878" s="12"/>
      <c r="K878"/>
    </row>
    <row r="879" spans="5:11" ht="13.5" customHeight="1" x14ac:dyDescent="0.2">
      <c r="E879" s="50"/>
      <c r="H879" s="12"/>
      <c r="K879"/>
    </row>
    <row r="880" spans="5:11" ht="13.5" customHeight="1" x14ac:dyDescent="0.2">
      <c r="E880" s="50"/>
      <c r="H880" s="12"/>
      <c r="K880"/>
    </row>
    <row r="881" spans="5:11" ht="13.5" customHeight="1" x14ac:dyDescent="0.2">
      <c r="E881" s="50"/>
      <c r="H881" s="12"/>
      <c r="K881"/>
    </row>
    <row r="882" spans="5:11" ht="13.5" customHeight="1" x14ac:dyDescent="0.2">
      <c r="E882" s="50"/>
      <c r="H882" s="12"/>
      <c r="K882"/>
    </row>
    <row r="883" spans="5:11" ht="13.5" customHeight="1" x14ac:dyDescent="0.2">
      <c r="E883" s="50"/>
      <c r="H883" s="12"/>
      <c r="K883"/>
    </row>
    <row r="884" spans="5:11" ht="13.5" customHeight="1" x14ac:dyDescent="0.2">
      <c r="E884" s="50"/>
      <c r="H884" s="12"/>
      <c r="K884"/>
    </row>
    <row r="885" spans="5:11" ht="13.5" customHeight="1" x14ac:dyDescent="0.2">
      <c r="E885" s="50"/>
      <c r="H885" s="12"/>
      <c r="K885"/>
    </row>
    <row r="886" spans="5:11" ht="13.5" customHeight="1" x14ac:dyDescent="0.2">
      <c r="E886" s="50"/>
      <c r="H886" s="12"/>
      <c r="K886"/>
    </row>
    <row r="887" spans="5:11" ht="13.5" customHeight="1" x14ac:dyDescent="0.2">
      <c r="E887" s="50"/>
      <c r="H887" s="12"/>
      <c r="K887"/>
    </row>
    <row r="888" spans="5:11" ht="13.5" customHeight="1" x14ac:dyDescent="0.2">
      <c r="E888" s="50"/>
      <c r="H888" s="12"/>
      <c r="K888"/>
    </row>
    <row r="889" spans="5:11" ht="13.5" customHeight="1" x14ac:dyDescent="0.2">
      <c r="E889" s="50"/>
      <c r="H889" s="12"/>
      <c r="K889"/>
    </row>
    <row r="890" spans="5:11" ht="13.5" customHeight="1" x14ac:dyDescent="0.2">
      <c r="E890" s="50"/>
      <c r="H890" s="12"/>
      <c r="K890"/>
    </row>
    <row r="891" spans="5:11" ht="13.5" customHeight="1" x14ac:dyDescent="0.2">
      <c r="E891" s="50"/>
      <c r="H891" s="12"/>
      <c r="K891"/>
    </row>
    <row r="892" spans="5:11" ht="13.5" customHeight="1" x14ac:dyDescent="0.2">
      <c r="E892" s="50"/>
      <c r="H892" s="12"/>
      <c r="K892"/>
    </row>
    <row r="893" spans="5:11" ht="13.5" customHeight="1" x14ac:dyDescent="0.2">
      <c r="E893" s="50"/>
      <c r="H893" s="12"/>
      <c r="K893"/>
    </row>
    <row r="894" spans="5:11" ht="13.5" customHeight="1" x14ac:dyDescent="0.2">
      <c r="E894" s="50"/>
      <c r="H894" s="12"/>
      <c r="K894"/>
    </row>
    <row r="895" spans="5:11" ht="13.5" customHeight="1" x14ac:dyDescent="0.2">
      <c r="E895" s="50"/>
      <c r="H895" s="12"/>
      <c r="K895"/>
    </row>
    <row r="896" spans="5:11" ht="13.5" customHeight="1" x14ac:dyDescent="0.2">
      <c r="E896" s="50"/>
      <c r="H896" s="12"/>
      <c r="K896"/>
    </row>
    <row r="897" spans="5:11" ht="13.5" customHeight="1" x14ac:dyDescent="0.2">
      <c r="E897" s="50"/>
      <c r="H897" s="12"/>
      <c r="K897"/>
    </row>
    <row r="898" spans="5:11" ht="13.5" customHeight="1" x14ac:dyDescent="0.2">
      <c r="E898" s="50"/>
      <c r="H898" s="12"/>
      <c r="K898"/>
    </row>
    <row r="899" spans="5:11" ht="13.5" customHeight="1" x14ac:dyDescent="0.2">
      <c r="E899" s="50"/>
      <c r="H899" s="12"/>
      <c r="K899"/>
    </row>
    <row r="900" spans="5:11" ht="13.5" customHeight="1" x14ac:dyDescent="0.2">
      <c r="E900" s="50"/>
      <c r="H900" s="12"/>
      <c r="K900"/>
    </row>
    <row r="901" spans="5:11" ht="13.5" customHeight="1" x14ac:dyDescent="0.2">
      <c r="E901" s="50"/>
      <c r="H901" s="12"/>
      <c r="K901"/>
    </row>
    <row r="902" spans="5:11" ht="13.5" customHeight="1" x14ac:dyDescent="0.2">
      <c r="E902" s="50"/>
      <c r="H902" s="12"/>
      <c r="K902"/>
    </row>
    <row r="903" spans="5:11" ht="13.5" customHeight="1" x14ac:dyDescent="0.2">
      <c r="E903" s="50"/>
      <c r="H903" s="12"/>
      <c r="K903"/>
    </row>
    <row r="904" spans="5:11" ht="13.5" customHeight="1" x14ac:dyDescent="0.2">
      <c r="E904" s="50"/>
      <c r="H904" s="12"/>
      <c r="K904"/>
    </row>
    <row r="905" spans="5:11" ht="13.5" customHeight="1" x14ac:dyDescent="0.2">
      <c r="E905" s="50"/>
      <c r="H905" s="12"/>
      <c r="K905"/>
    </row>
    <row r="906" spans="5:11" ht="13.5" customHeight="1" x14ac:dyDescent="0.2">
      <c r="E906" s="50"/>
      <c r="H906" s="12"/>
      <c r="K906"/>
    </row>
    <row r="907" spans="5:11" ht="13.5" customHeight="1" x14ac:dyDescent="0.2">
      <c r="E907" s="50"/>
      <c r="H907" s="12"/>
      <c r="K907"/>
    </row>
    <row r="908" spans="5:11" ht="13.5" customHeight="1" x14ac:dyDescent="0.2">
      <c r="E908" s="50"/>
      <c r="H908" s="12"/>
      <c r="K908"/>
    </row>
    <row r="909" spans="5:11" ht="14.25" customHeight="1" x14ac:dyDescent="0.2">
      <c r="E909" s="50"/>
      <c r="H909" s="12"/>
      <c r="K909"/>
    </row>
    <row r="910" spans="5:11" ht="13.5" customHeight="1" x14ac:dyDescent="0.2">
      <c r="E910" s="50"/>
      <c r="H910" s="12"/>
      <c r="K910"/>
    </row>
    <row r="911" spans="5:11" ht="13.5" customHeight="1" x14ac:dyDescent="0.2">
      <c r="E911" s="50"/>
      <c r="H911" s="12"/>
      <c r="K911"/>
    </row>
    <row r="912" spans="5:11" ht="13.5" customHeight="1" x14ac:dyDescent="0.2">
      <c r="E912" s="50"/>
      <c r="H912" s="12"/>
      <c r="K912"/>
    </row>
    <row r="913" spans="5:11" ht="13.5" customHeight="1" x14ac:dyDescent="0.2">
      <c r="E913" s="50"/>
      <c r="H913" s="12"/>
      <c r="K913"/>
    </row>
    <row r="914" spans="5:11" ht="13.5" customHeight="1" x14ac:dyDescent="0.2">
      <c r="E914" s="50"/>
      <c r="H914" s="12"/>
      <c r="K914"/>
    </row>
    <row r="915" spans="5:11" ht="13.5" customHeight="1" x14ac:dyDescent="0.2">
      <c r="E915" s="50"/>
      <c r="H915" s="12"/>
      <c r="K915"/>
    </row>
    <row r="916" spans="5:11" ht="13.5" customHeight="1" x14ac:dyDescent="0.2">
      <c r="E916" s="50"/>
      <c r="H916" s="12"/>
      <c r="K916"/>
    </row>
    <row r="917" spans="5:11" ht="13.5" customHeight="1" x14ac:dyDescent="0.2">
      <c r="E917" s="50"/>
      <c r="H917" s="12"/>
      <c r="K917"/>
    </row>
    <row r="918" spans="5:11" ht="13.5" customHeight="1" x14ac:dyDescent="0.2">
      <c r="E918" s="50"/>
      <c r="H918" s="12"/>
      <c r="K918"/>
    </row>
    <row r="919" spans="5:11" ht="13.5" customHeight="1" x14ac:dyDescent="0.2">
      <c r="E919" s="50"/>
      <c r="H919" s="12"/>
      <c r="K919"/>
    </row>
    <row r="920" spans="5:11" ht="13.5" customHeight="1" x14ac:dyDescent="0.2">
      <c r="E920" s="50"/>
      <c r="H920" s="12"/>
      <c r="K920"/>
    </row>
    <row r="921" spans="5:11" ht="13.5" customHeight="1" x14ac:dyDescent="0.2">
      <c r="E921" s="50"/>
      <c r="H921" s="12"/>
      <c r="K921"/>
    </row>
    <row r="922" spans="5:11" ht="13.5" customHeight="1" x14ac:dyDescent="0.2">
      <c r="E922" s="50"/>
      <c r="H922" s="12"/>
      <c r="K922"/>
    </row>
    <row r="923" spans="5:11" ht="13.5" customHeight="1" x14ac:dyDescent="0.2">
      <c r="E923" s="50"/>
      <c r="H923" s="12"/>
      <c r="K923"/>
    </row>
    <row r="924" spans="5:11" ht="13.5" customHeight="1" x14ac:dyDescent="0.2">
      <c r="E924" s="50"/>
      <c r="H924" s="12"/>
      <c r="K924"/>
    </row>
    <row r="925" spans="5:11" ht="13.5" customHeight="1" x14ac:dyDescent="0.2">
      <c r="E925" s="50"/>
      <c r="H925" s="12"/>
      <c r="K925"/>
    </row>
    <row r="926" spans="5:11" ht="13.5" customHeight="1" x14ac:dyDescent="0.2">
      <c r="E926" s="50"/>
      <c r="H926" s="12"/>
      <c r="K926"/>
    </row>
    <row r="927" spans="5:11" ht="13.5" customHeight="1" x14ac:dyDescent="0.2">
      <c r="E927" s="50"/>
      <c r="H927" s="12"/>
      <c r="K927"/>
    </row>
    <row r="928" spans="5:11" ht="13.5" customHeight="1" x14ac:dyDescent="0.2">
      <c r="E928" s="50"/>
      <c r="H928" s="12"/>
      <c r="K928"/>
    </row>
    <row r="929" spans="5:11" ht="13.5" customHeight="1" x14ac:dyDescent="0.2">
      <c r="E929" s="50"/>
      <c r="H929" s="12"/>
      <c r="K929"/>
    </row>
    <row r="930" spans="5:11" ht="13.5" customHeight="1" x14ac:dyDescent="0.2">
      <c r="E930" s="50"/>
      <c r="H930" s="12"/>
      <c r="K930"/>
    </row>
    <row r="931" spans="5:11" ht="13.5" customHeight="1" x14ac:dyDescent="0.2">
      <c r="E931" s="50"/>
      <c r="H931" s="12"/>
      <c r="K931"/>
    </row>
    <row r="932" spans="5:11" ht="13.5" customHeight="1" x14ac:dyDescent="0.2">
      <c r="E932" s="50"/>
      <c r="H932" s="12"/>
      <c r="K932"/>
    </row>
    <row r="933" spans="5:11" ht="13.5" customHeight="1" x14ac:dyDescent="0.2">
      <c r="E933" s="50"/>
      <c r="H933" s="12"/>
      <c r="K933"/>
    </row>
    <row r="934" spans="5:11" ht="13.5" customHeight="1" x14ac:dyDescent="0.2">
      <c r="E934" s="50"/>
      <c r="H934" s="12"/>
      <c r="K934"/>
    </row>
    <row r="935" spans="5:11" ht="13.5" customHeight="1" x14ac:dyDescent="0.2">
      <c r="E935" s="50"/>
      <c r="H935" s="12"/>
      <c r="K935"/>
    </row>
    <row r="936" spans="5:11" ht="13.5" customHeight="1" x14ac:dyDescent="0.2">
      <c r="E936" s="50"/>
      <c r="H936" s="12"/>
      <c r="K936"/>
    </row>
    <row r="937" spans="5:11" ht="13.5" customHeight="1" x14ac:dyDescent="0.2">
      <c r="E937" s="50"/>
      <c r="H937" s="12"/>
      <c r="K937"/>
    </row>
    <row r="938" spans="5:11" ht="13.5" customHeight="1" x14ac:dyDescent="0.2">
      <c r="E938" s="50"/>
      <c r="H938" s="12"/>
      <c r="K938"/>
    </row>
    <row r="939" spans="5:11" ht="13.5" customHeight="1" x14ac:dyDescent="0.2">
      <c r="E939" s="50"/>
      <c r="H939" s="12"/>
      <c r="K939"/>
    </row>
    <row r="940" spans="5:11" ht="13.5" customHeight="1" x14ac:dyDescent="0.2">
      <c r="E940" s="50"/>
      <c r="H940" s="12"/>
      <c r="K940"/>
    </row>
    <row r="941" spans="5:11" ht="13.5" customHeight="1" x14ac:dyDescent="0.2">
      <c r="E941" s="50"/>
      <c r="H941" s="12"/>
      <c r="K941"/>
    </row>
    <row r="942" spans="5:11" ht="13.5" customHeight="1" x14ac:dyDescent="0.2">
      <c r="E942" s="50"/>
      <c r="H942" s="12"/>
      <c r="K942"/>
    </row>
    <row r="943" spans="5:11" ht="13.5" customHeight="1" x14ac:dyDescent="0.2">
      <c r="E943" s="50"/>
      <c r="H943" s="12"/>
      <c r="K943"/>
    </row>
    <row r="944" spans="5:11" ht="13.5" customHeight="1" x14ac:dyDescent="0.2">
      <c r="E944" s="50"/>
      <c r="H944" s="12"/>
      <c r="K944"/>
    </row>
    <row r="945" spans="5:11" ht="13.5" customHeight="1" x14ac:dyDescent="0.2">
      <c r="E945" s="50"/>
      <c r="H945" s="12"/>
      <c r="K945"/>
    </row>
    <row r="946" spans="5:11" ht="13.5" customHeight="1" x14ac:dyDescent="0.2">
      <c r="E946" s="50"/>
      <c r="H946" s="12"/>
      <c r="K946"/>
    </row>
    <row r="947" spans="5:11" ht="13.5" customHeight="1" x14ac:dyDescent="0.2">
      <c r="E947" s="50"/>
      <c r="H947" s="12"/>
      <c r="K947"/>
    </row>
    <row r="948" spans="5:11" ht="13.5" customHeight="1" x14ac:dyDescent="0.2">
      <c r="E948" s="50"/>
      <c r="H948" s="12"/>
      <c r="K948"/>
    </row>
    <row r="949" spans="5:11" ht="13.5" customHeight="1" x14ac:dyDescent="0.2">
      <c r="E949" s="50"/>
      <c r="H949" s="12"/>
      <c r="K949"/>
    </row>
    <row r="950" spans="5:11" ht="13.5" customHeight="1" x14ac:dyDescent="0.2">
      <c r="E950" s="50"/>
      <c r="H950" s="12"/>
      <c r="K950"/>
    </row>
    <row r="951" spans="5:11" ht="13.5" customHeight="1" x14ac:dyDescent="0.2">
      <c r="E951" s="50"/>
      <c r="H951" s="12"/>
      <c r="K951"/>
    </row>
    <row r="952" spans="5:11" ht="13.5" customHeight="1" x14ac:dyDescent="0.2">
      <c r="E952" s="50"/>
      <c r="H952" s="12"/>
      <c r="K952"/>
    </row>
    <row r="953" spans="5:11" ht="13.5" customHeight="1" x14ac:dyDescent="0.2">
      <c r="E953" s="50"/>
      <c r="H953" s="12"/>
      <c r="K953"/>
    </row>
    <row r="954" spans="5:11" ht="13.5" customHeight="1" x14ac:dyDescent="0.2">
      <c r="E954" s="50"/>
      <c r="H954" s="12"/>
      <c r="K954"/>
    </row>
    <row r="955" spans="5:11" ht="13.5" customHeight="1" x14ac:dyDescent="0.2">
      <c r="E955" s="50"/>
      <c r="H955" s="12"/>
      <c r="K955"/>
    </row>
    <row r="956" spans="5:11" ht="13.5" customHeight="1" x14ac:dyDescent="0.2">
      <c r="E956" s="50"/>
      <c r="H956" s="12"/>
      <c r="K956"/>
    </row>
    <row r="957" spans="5:11" ht="13.5" customHeight="1" x14ac:dyDescent="0.2">
      <c r="E957" s="50"/>
      <c r="H957" s="12"/>
      <c r="K957"/>
    </row>
    <row r="958" spans="5:11" ht="13.5" customHeight="1" x14ac:dyDescent="0.2">
      <c r="E958" s="50"/>
      <c r="H958" s="12"/>
      <c r="K958"/>
    </row>
    <row r="959" spans="5:11" ht="13.5" customHeight="1" x14ac:dyDescent="0.2">
      <c r="E959" s="50"/>
      <c r="H959" s="12"/>
      <c r="K959"/>
    </row>
    <row r="960" spans="5:11" ht="13.5" customHeight="1" x14ac:dyDescent="0.2">
      <c r="E960" s="50"/>
      <c r="H960" s="12"/>
      <c r="K960"/>
    </row>
    <row r="961" spans="5:11" ht="13.5" customHeight="1" x14ac:dyDescent="0.2">
      <c r="E961" s="50"/>
      <c r="H961" s="12"/>
      <c r="K961"/>
    </row>
    <row r="962" spans="5:11" ht="13.5" customHeight="1" x14ac:dyDescent="0.2">
      <c r="E962" s="50"/>
      <c r="H962" s="12"/>
      <c r="K962"/>
    </row>
    <row r="963" spans="5:11" ht="13.5" customHeight="1" x14ac:dyDescent="0.2">
      <c r="E963" s="50"/>
      <c r="H963" s="12"/>
      <c r="K963"/>
    </row>
    <row r="964" spans="5:11" ht="13.5" customHeight="1" x14ac:dyDescent="0.2">
      <c r="E964" s="50"/>
      <c r="H964" s="12"/>
      <c r="K964"/>
    </row>
    <row r="965" spans="5:11" ht="13.5" customHeight="1" x14ac:dyDescent="0.2">
      <c r="E965" s="50"/>
      <c r="H965" s="12"/>
      <c r="K965"/>
    </row>
    <row r="966" spans="5:11" ht="13.5" customHeight="1" x14ac:dyDescent="0.2">
      <c r="E966" s="50"/>
      <c r="H966" s="12"/>
      <c r="K966"/>
    </row>
    <row r="967" spans="5:11" ht="13.5" customHeight="1" x14ac:dyDescent="0.2">
      <c r="E967" s="50"/>
      <c r="H967" s="12"/>
      <c r="K967"/>
    </row>
    <row r="968" spans="5:11" ht="13.5" customHeight="1" x14ac:dyDescent="0.2">
      <c r="E968" s="50"/>
      <c r="H968" s="12"/>
      <c r="K968"/>
    </row>
    <row r="969" spans="5:11" ht="13.5" customHeight="1" x14ac:dyDescent="0.2">
      <c r="E969" s="50"/>
      <c r="H969" s="12"/>
      <c r="K969"/>
    </row>
    <row r="970" spans="5:11" ht="13.5" customHeight="1" x14ac:dyDescent="0.2">
      <c r="E970" s="50"/>
      <c r="H970" s="12"/>
      <c r="K970"/>
    </row>
    <row r="971" spans="5:11" ht="13.5" customHeight="1" x14ac:dyDescent="0.2">
      <c r="E971" s="50"/>
      <c r="H971" s="12"/>
      <c r="K971"/>
    </row>
    <row r="972" spans="5:11" ht="13.5" customHeight="1" x14ac:dyDescent="0.2">
      <c r="E972" s="50"/>
      <c r="H972" s="12"/>
      <c r="K972"/>
    </row>
    <row r="973" spans="5:11" ht="13.5" customHeight="1" x14ac:dyDescent="0.2">
      <c r="E973" s="50"/>
      <c r="H973" s="12"/>
      <c r="K973"/>
    </row>
    <row r="974" spans="5:11" ht="13.5" customHeight="1" x14ac:dyDescent="0.2">
      <c r="E974" s="50"/>
      <c r="H974" s="12"/>
      <c r="K974"/>
    </row>
    <row r="975" spans="5:11" ht="13.5" customHeight="1" x14ac:dyDescent="0.2">
      <c r="E975" s="50"/>
      <c r="H975" s="12"/>
      <c r="K975"/>
    </row>
    <row r="976" spans="5:11" ht="13.5" customHeight="1" x14ac:dyDescent="0.2">
      <c r="E976" s="50"/>
      <c r="H976" s="12"/>
      <c r="K976"/>
    </row>
    <row r="977" spans="5:11" ht="13.5" customHeight="1" x14ac:dyDescent="0.2">
      <c r="E977" s="50"/>
      <c r="H977" s="12"/>
      <c r="K977"/>
    </row>
    <row r="978" spans="5:11" ht="13.5" customHeight="1" x14ac:dyDescent="0.2">
      <c r="E978" s="50"/>
      <c r="H978" s="12"/>
      <c r="K978"/>
    </row>
    <row r="979" spans="5:11" ht="12.75" customHeight="1" x14ac:dyDescent="0.2">
      <c r="E979" s="50"/>
      <c r="H979" s="12"/>
      <c r="K979"/>
    </row>
    <row r="980" spans="5:11" ht="12.75" customHeight="1" x14ac:dyDescent="0.2">
      <c r="E980" s="50"/>
      <c r="H980" s="12"/>
      <c r="K980"/>
    </row>
    <row r="981" spans="5:11" ht="12.75" customHeight="1" x14ac:dyDescent="0.2">
      <c r="E981" s="50"/>
      <c r="H981" s="12"/>
      <c r="K981"/>
    </row>
    <row r="982" spans="5:11" ht="12.75" customHeight="1" x14ac:dyDescent="0.2">
      <c r="E982" s="50"/>
      <c r="H982" s="12"/>
      <c r="K982"/>
    </row>
    <row r="983" spans="5:11" ht="12.75" customHeight="1" x14ac:dyDescent="0.2">
      <c r="E983" s="50"/>
      <c r="H983" s="12"/>
      <c r="K983"/>
    </row>
    <row r="984" spans="5:11" ht="12.75" customHeight="1" x14ac:dyDescent="0.2">
      <c r="E984" s="50"/>
      <c r="H984" s="12"/>
      <c r="K984"/>
    </row>
    <row r="985" spans="5:11" ht="12.75" customHeight="1" x14ac:dyDescent="0.2">
      <c r="E985" s="50"/>
      <c r="H985" s="12"/>
      <c r="K985"/>
    </row>
    <row r="986" spans="5:11" ht="12.75" customHeight="1" x14ac:dyDescent="0.2">
      <c r="E986" s="50"/>
      <c r="H986" s="12"/>
      <c r="K986"/>
    </row>
    <row r="987" spans="5:11" ht="12.75" customHeight="1" x14ac:dyDescent="0.2">
      <c r="E987" s="50"/>
      <c r="H987" s="12"/>
      <c r="K987"/>
    </row>
    <row r="988" spans="5:11" ht="12.75" customHeight="1" x14ac:dyDescent="0.2">
      <c r="E988" s="50"/>
      <c r="H988" s="12"/>
      <c r="K988"/>
    </row>
    <row r="989" spans="5:11" ht="12.75" customHeight="1" x14ac:dyDescent="0.2">
      <c r="E989" s="50"/>
      <c r="H989" s="12"/>
      <c r="K989"/>
    </row>
    <row r="990" spans="5:11" ht="12.75" customHeight="1" x14ac:dyDescent="0.2">
      <c r="E990" s="50"/>
      <c r="H990" s="12"/>
      <c r="K990"/>
    </row>
    <row r="991" spans="5:11" ht="12.75" customHeight="1" x14ac:dyDescent="0.2">
      <c r="E991" s="50"/>
      <c r="H991" s="12"/>
      <c r="K991"/>
    </row>
    <row r="992" spans="5:11" ht="12.75" customHeight="1" x14ac:dyDescent="0.2">
      <c r="E992" s="50"/>
      <c r="H992" s="12"/>
      <c r="K992"/>
    </row>
    <row r="993" spans="5:11" ht="12.75" customHeight="1" x14ac:dyDescent="0.2">
      <c r="E993" s="50"/>
      <c r="H993" s="12"/>
      <c r="K993"/>
    </row>
    <row r="994" spans="5:11" ht="12.75" customHeight="1" x14ac:dyDescent="0.2">
      <c r="E994" s="50"/>
      <c r="H994" s="12"/>
      <c r="K994"/>
    </row>
    <row r="995" spans="5:11" ht="12.75" customHeight="1" x14ac:dyDescent="0.2">
      <c r="E995" s="50"/>
      <c r="H995" s="12"/>
      <c r="K995"/>
    </row>
    <row r="996" spans="5:11" ht="12.75" customHeight="1" x14ac:dyDescent="0.2">
      <c r="E996" s="50"/>
      <c r="H996" s="12"/>
      <c r="K996"/>
    </row>
    <row r="997" spans="5:11" ht="12.75" customHeight="1" x14ac:dyDescent="0.2">
      <c r="E997" s="50"/>
      <c r="H997" s="12"/>
      <c r="K997"/>
    </row>
    <row r="998" spans="5:11" ht="12.75" customHeight="1" x14ac:dyDescent="0.2">
      <c r="E998" s="50"/>
      <c r="H998" s="12"/>
      <c r="K998"/>
    </row>
    <row r="999" spans="5:11" ht="12.75" customHeight="1" x14ac:dyDescent="0.2">
      <c r="E999" s="50"/>
      <c r="H999" s="12"/>
      <c r="K999"/>
    </row>
    <row r="1000" spans="5:11" ht="12.75" customHeight="1" x14ac:dyDescent="0.2">
      <c r="E1000" s="50"/>
      <c r="H1000" s="12"/>
      <c r="K1000"/>
    </row>
    <row r="1001" spans="5:11" ht="12.75" customHeight="1" x14ac:dyDescent="0.2">
      <c r="E1001" s="50"/>
      <c r="H1001" s="12"/>
      <c r="K1001"/>
    </row>
    <row r="1002" spans="5:11" ht="12.75" customHeight="1" x14ac:dyDescent="0.2">
      <c r="E1002" s="50"/>
      <c r="H1002" s="12"/>
      <c r="K1002"/>
    </row>
    <row r="1003" spans="5:11" ht="12.75" customHeight="1" x14ac:dyDescent="0.2">
      <c r="E1003" s="50"/>
      <c r="H1003" s="12"/>
      <c r="K1003"/>
    </row>
    <row r="1004" spans="5:11" ht="12.75" customHeight="1" x14ac:dyDescent="0.2">
      <c r="E1004" s="50"/>
      <c r="H1004" s="12"/>
      <c r="K1004"/>
    </row>
    <row r="1005" spans="5:11" ht="12.75" customHeight="1" x14ac:dyDescent="0.2">
      <c r="E1005" s="50"/>
      <c r="H1005" s="12"/>
      <c r="K1005"/>
    </row>
    <row r="1006" spans="5:11" ht="12.75" customHeight="1" x14ac:dyDescent="0.2">
      <c r="E1006" s="50"/>
      <c r="H1006" s="12"/>
      <c r="K1006"/>
    </row>
    <row r="1007" spans="5:11" ht="12.75" customHeight="1" x14ac:dyDescent="0.2">
      <c r="E1007" s="50"/>
      <c r="H1007" s="12"/>
      <c r="K1007"/>
    </row>
    <row r="1008" spans="5:11" ht="12.75" customHeight="1" x14ac:dyDescent="0.2">
      <c r="E1008" s="50"/>
      <c r="H1008" s="12"/>
      <c r="K1008"/>
    </row>
    <row r="1009" spans="5:11" ht="12.75" customHeight="1" x14ac:dyDescent="0.2">
      <c r="E1009" s="50"/>
      <c r="H1009" s="12"/>
      <c r="K1009"/>
    </row>
    <row r="1010" spans="5:11" ht="12.75" customHeight="1" x14ac:dyDescent="0.2">
      <c r="E1010" s="50"/>
      <c r="H1010" s="12"/>
      <c r="K1010"/>
    </row>
    <row r="1011" spans="5:11" ht="12.75" customHeight="1" x14ac:dyDescent="0.2">
      <c r="E1011" s="50"/>
      <c r="H1011" s="12"/>
      <c r="K1011"/>
    </row>
    <row r="1012" spans="5:11" ht="12.75" customHeight="1" x14ac:dyDescent="0.2">
      <c r="E1012" s="50"/>
      <c r="H1012" s="12"/>
      <c r="K1012"/>
    </row>
    <row r="1013" spans="5:11" ht="12.75" customHeight="1" x14ac:dyDescent="0.2">
      <c r="E1013" s="50"/>
      <c r="H1013" s="12"/>
      <c r="K1013"/>
    </row>
    <row r="1014" spans="5:11" ht="12.75" customHeight="1" x14ac:dyDescent="0.2">
      <c r="E1014" s="50"/>
      <c r="H1014" s="12"/>
      <c r="K1014"/>
    </row>
    <row r="1015" spans="5:11" ht="12.75" customHeight="1" x14ac:dyDescent="0.2">
      <c r="E1015" s="50"/>
      <c r="H1015" s="12"/>
      <c r="K1015"/>
    </row>
    <row r="1016" spans="5:11" ht="12.75" customHeight="1" x14ac:dyDescent="0.2">
      <c r="E1016" s="50"/>
      <c r="H1016" s="12"/>
      <c r="K1016"/>
    </row>
    <row r="1017" spans="5:11" ht="12.75" customHeight="1" x14ac:dyDescent="0.2">
      <c r="E1017" s="50"/>
      <c r="H1017" s="12"/>
      <c r="K1017"/>
    </row>
    <row r="1018" spans="5:11" ht="12.75" customHeight="1" x14ac:dyDescent="0.2">
      <c r="E1018" s="50"/>
      <c r="H1018" s="12"/>
      <c r="K1018"/>
    </row>
    <row r="1019" spans="5:11" ht="12.75" customHeight="1" x14ac:dyDescent="0.2">
      <c r="E1019" s="50"/>
      <c r="H1019" s="12"/>
      <c r="K1019"/>
    </row>
    <row r="1020" spans="5:11" ht="12.75" customHeight="1" x14ac:dyDescent="0.2">
      <c r="E1020" s="50"/>
      <c r="H1020" s="12"/>
      <c r="K1020"/>
    </row>
    <row r="1021" spans="5:11" ht="12.75" customHeight="1" x14ac:dyDescent="0.2">
      <c r="E1021" s="50"/>
      <c r="H1021" s="12"/>
      <c r="K1021"/>
    </row>
    <row r="1022" spans="5:11" ht="12.75" customHeight="1" x14ac:dyDescent="0.2">
      <c r="E1022" s="50"/>
      <c r="H1022" s="12"/>
      <c r="K1022"/>
    </row>
    <row r="1023" spans="5:11" ht="12.75" customHeight="1" x14ac:dyDescent="0.2">
      <c r="E1023" s="50"/>
      <c r="H1023" s="12"/>
      <c r="K1023"/>
    </row>
    <row r="1024" spans="5:11" ht="12.75" customHeight="1" x14ac:dyDescent="0.2">
      <c r="E1024" s="50"/>
      <c r="H1024" s="12"/>
      <c r="K1024"/>
    </row>
    <row r="1025" spans="5:11" ht="12.75" customHeight="1" x14ac:dyDescent="0.2">
      <c r="E1025" s="50"/>
      <c r="H1025" s="12"/>
      <c r="K1025"/>
    </row>
    <row r="1026" spans="5:11" ht="12.75" customHeight="1" x14ac:dyDescent="0.2">
      <c r="E1026" s="50"/>
      <c r="H1026" s="12"/>
      <c r="K1026"/>
    </row>
    <row r="1027" spans="5:11" ht="12.75" customHeight="1" x14ac:dyDescent="0.2">
      <c r="E1027" s="50"/>
      <c r="H1027" s="12"/>
      <c r="K1027"/>
    </row>
    <row r="1028" spans="5:11" ht="12.75" customHeight="1" x14ac:dyDescent="0.2">
      <c r="E1028" s="50"/>
      <c r="H1028" s="12"/>
      <c r="K1028"/>
    </row>
    <row r="1029" spans="5:11" ht="12.75" customHeight="1" x14ac:dyDescent="0.2">
      <c r="E1029" s="50"/>
      <c r="H1029" s="12"/>
      <c r="K1029"/>
    </row>
    <row r="1030" spans="5:11" ht="12.75" customHeight="1" x14ac:dyDescent="0.2">
      <c r="E1030" s="50"/>
      <c r="H1030" s="12"/>
      <c r="K1030"/>
    </row>
    <row r="1031" spans="5:11" ht="12.75" customHeight="1" x14ac:dyDescent="0.2">
      <c r="E1031" s="50"/>
      <c r="H1031" s="12"/>
      <c r="K1031"/>
    </row>
    <row r="1032" spans="5:11" ht="12.75" customHeight="1" x14ac:dyDescent="0.2">
      <c r="E1032" s="50"/>
      <c r="H1032" s="12"/>
      <c r="K1032"/>
    </row>
    <row r="1033" spans="5:11" ht="12.75" customHeight="1" x14ac:dyDescent="0.2">
      <c r="E1033" s="50"/>
      <c r="H1033" s="12"/>
      <c r="K1033"/>
    </row>
    <row r="1034" spans="5:11" ht="12.75" customHeight="1" x14ac:dyDescent="0.2">
      <c r="E1034" s="50"/>
      <c r="H1034" s="12"/>
      <c r="K1034"/>
    </row>
    <row r="1035" spans="5:11" ht="12.75" customHeight="1" x14ac:dyDescent="0.2">
      <c r="E1035" s="50"/>
      <c r="H1035" s="12"/>
      <c r="K1035"/>
    </row>
    <row r="1036" spans="5:11" ht="12.75" customHeight="1" x14ac:dyDescent="0.2">
      <c r="E1036" s="50"/>
      <c r="H1036" s="12"/>
      <c r="K1036"/>
    </row>
    <row r="1037" spans="5:11" ht="12.75" customHeight="1" x14ac:dyDescent="0.2">
      <c r="E1037" s="50"/>
      <c r="H1037" s="12"/>
      <c r="K1037"/>
    </row>
    <row r="1038" spans="5:11" ht="12.75" customHeight="1" x14ac:dyDescent="0.2">
      <c r="E1038" s="50"/>
      <c r="H1038" s="12"/>
      <c r="K1038"/>
    </row>
    <row r="1039" spans="5:11" ht="12.75" customHeight="1" x14ac:dyDescent="0.2">
      <c r="E1039" s="50"/>
      <c r="H1039" s="12"/>
      <c r="K1039"/>
    </row>
    <row r="1040" spans="5:11" ht="12.75" customHeight="1" x14ac:dyDescent="0.2">
      <c r="E1040" s="50"/>
      <c r="H1040" s="12"/>
      <c r="K1040"/>
    </row>
    <row r="1041" spans="5:11" ht="12.75" customHeight="1" x14ac:dyDescent="0.2">
      <c r="E1041" s="50"/>
      <c r="H1041" s="12"/>
      <c r="K1041"/>
    </row>
    <row r="1042" spans="5:11" ht="12.75" customHeight="1" x14ac:dyDescent="0.2">
      <c r="E1042" s="50"/>
      <c r="H1042" s="12"/>
      <c r="K1042"/>
    </row>
    <row r="1043" spans="5:11" ht="12.75" customHeight="1" x14ac:dyDescent="0.2">
      <c r="E1043" s="50"/>
      <c r="H1043" s="12"/>
      <c r="K1043"/>
    </row>
    <row r="1044" spans="5:11" ht="12.75" customHeight="1" x14ac:dyDescent="0.2">
      <c r="E1044" s="50"/>
      <c r="H1044" s="12"/>
      <c r="K1044"/>
    </row>
    <row r="1045" spans="5:11" ht="12.75" customHeight="1" x14ac:dyDescent="0.2">
      <c r="E1045" s="50"/>
      <c r="H1045" s="12"/>
      <c r="K1045"/>
    </row>
    <row r="1046" spans="5:11" ht="12.75" customHeight="1" x14ac:dyDescent="0.2">
      <c r="E1046" s="50"/>
      <c r="H1046" s="12"/>
      <c r="K1046"/>
    </row>
    <row r="1047" spans="5:11" ht="12.75" customHeight="1" x14ac:dyDescent="0.2">
      <c r="E1047" s="50"/>
      <c r="H1047" s="12"/>
      <c r="K1047"/>
    </row>
    <row r="1048" spans="5:11" ht="12.75" customHeight="1" x14ac:dyDescent="0.2">
      <c r="E1048" s="50"/>
      <c r="H1048" s="12"/>
      <c r="K1048"/>
    </row>
    <row r="1049" spans="5:11" ht="12.75" customHeight="1" x14ac:dyDescent="0.2">
      <c r="E1049" s="50"/>
      <c r="H1049" s="12"/>
      <c r="K1049"/>
    </row>
    <row r="1050" spans="5:11" ht="12.75" customHeight="1" x14ac:dyDescent="0.2">
      <c r="E1050" s="50"/>
      <c r="H1050" s="12"/>
      <c r="K1050"/>
    </row>
    <row r="1051" spans="5:11" ht="12.75" customHeight="1" x14ac:dyDescent="0.2">
      <c r="E1051" s="50"/>
      <c r="H1051" s="12"/>
      <c r="K1051"/>
    </row>
    <row r="1052" spans="5:11" ht="12.75" customHeight="1" x14ac:dyDescent="0.2">
      <c r="E1052" s="50"/>
      <c r="H1052" s="12"/>
      <c r="K1052"/>
    </row>
    <row r="1053" spans="5:11" ht="12.75" customHeight="1" x14ac:dyDescent="0.2">
      <c r="E1053" s="50"/>
      <c r="H1053" s="12"/>
      <c r="K1053"/>
    </row>
    <row r="1054" spans="5:11" ht="12.75" customHeight="1" x14ac:dyDescent="0.2">
      <c r="E1054" s="50"/>
      <c r="H1054" s="12"/>
      <c r="K1054"/>
    </row>
    <row r="1055" spans="5:11" ht="12.75" customHeight="1" x14ac:dyDescent="0.2">
      <c r="E1055" s="50"/>
      <c r="H1055" s="12"/>
      <c r="K1055"/>
    </row>
    <row r="1056" spans="5:11" ht="12.75" customHeight="1" x14ac:dyDescent="0.2">
      <c r="E1056" s="50"/>
      <c r="H1056" s="12"/>
      <c r="K1056"/>
    </row>
    <row r="1057" spans="5:11" ht="12.75" customHeight="1" x14ac:dyDescent="0.2">
      <c r="E1057" s="50"/>
      <c r="H1057" s="12"/>
      <c r="K1057"/>
    </row>
    <row r="1058" spans="5:11" ht="12.75" customHeight="1" x14ac:dyDescent="0.2">
      <c r="E1058" s="50"/>
      <c r="H1058" s="12"/>
      <c r="K1058"/>
    </row>
    <row r="1059" spans="5:11" ht="12.75" customHeight="1" x14ac:dyDescent="0.2">
      <c r="E1059" s="50"/>
      <c r="H1059" s="12"/>
      <c r="K1059"/>
    </row>
    <row r="1060" spans="5:11" ht="12.75" customHeight="1" x14ac:dyDescent="0.2">
      <c r="E1060" s="50"/>
      <c r="H1060" s="12"/>
      <c r="K1060"/>
    </row>
    <row r="1061" spans="5:11" ht="12.75" customHeight="1" x14ac:dyDescent="0.2">
      <c r="E1061" s="50"/>
      <c r="H1061" s="12"/>
      <c r="K1061"/>
    </row>
    <row r="1062" spans="5:11" ht="12.75" customHeight="1" x14ac:dyDescent="0.2">
      <c r="E1062" s="50"/>
      <c r="H1062" s="12"/>
      <c r="K1062"/>
    </row>
    <row r="1063" spans="5:11" ht="12.75" customHeight="1" x14ac:dyDescent="0.2">
      <c r="E1063" s="50"/>
      <c r="H1063" s="12"/>
      <c r="K1063"/>
    </row>
    <row r="1064" spans="5:11" ht="12.75" customHeight="1" x14ac:dyDescent="0.2">
      <c r="E1064" s="50"/>
      <c r="H1064" s="12"/>
      <c r="K1064"/>
    </row>
    <row r="1065" spans="5:11" ht="12.75" customHeight="1" x14ac:dyDescent="0.2">
      <c r="E1065" s="50"/>
      <c r="H1065" s="12"/>
      <c r="K1065"/>
    </row>
    <row r="1066" spans="5:11" ht="12.75" customHeight="1" x14ac:dyDescent="0.2">
      <c r="E1066" s="50"/>
      <c r="H1066" s="12"/>
      <c r="K1066"/>
    </row>
    <row r="1067" spans="5:11" ht="12.75" customHeight="1" x14ac:dyDescent="0.2">
      <c r="E1067" s="50"/>
      <c r="H1067" s="12"/>
      <c r="K1067"/>
    </row>
    <row r="1068" spans="5:11" ht="12.75" customHeight="1" x14ac:dyDescent="0.2">
      <c r="E1068" s="50"/>
      <c r="H1068" s="12"/>
      <c r="K1068"/>
    </row>
    <row r="1069" spans="5:11" ht="12.75" customHeight="1" x14ac:dyDescent="0.2">
      <c r="E1069" s="50"/>
      <c r="H1069" s="12"/>
      <c r="K1069"/>
    </row>
    <row r="1070" spans="5:11" ht="12.75" customHeight="1" x14ac:dyDescent="0.2">
      <c r="E1070" s="50"/>
      <c r="H1070" s="12"/>
      <c r="K1070"/>
    </row>
    <row r="1071" spans="5:11" ht="12.75" customHeight="1" x14ac:dyDescent="0.2">
      <c r="E1071" s="50"/>
      <c r="H1071" s="12"/>
      <c r="K1071"/>
    </row>
    <row r="1072" spans="5:11" ht="12.75" customHeight="1" x14ac:dyDescent="0.2">
      <c r="E1072" s="50"/>
      <c r="H1072" s="12"/>
      <c r="K1072"/>
    </row>
    <row r="1073" spans="5:11" ht="12.75" customHeight="1" x14ac:dyDescent="0.2">
      <c r="E1073" s="50"/>
      <c r="H1073" s="12"/>
      <c r="K1073"/>
    </row>
    <row r="1074" spans="5:11" ht="12.75" customHeight="1" x14ac:dyDescent="0.2">
      <c r="E1074" s="50"/>
      <c r="H1074" s="12"/>
      <c r="K1074"/>
    </row>
    <row r="1075" spans="5:11" ht="12.75" customHeight="1" x14ac:dyDescent="0.2">
      <c r="E1075" s="50"/>
      <c r="H1075" s="12"/>
      <c r="K1075"/>
    </row>
    <row r="1076" spans="5:11" ht="12.75" customHeight="1" x14ac:dyDescent="0.2">
      <c r="E1076" s="50"/>
      <c r="H1076" s="12"/>
      <c r="K1076"/>
    </row>
    <row r="1077" spans="5:11" ht="12.75" customHeight="1" x14ac:dyDescent="0.2">
      <c r="E1077" s="50"/>
      <c r="H1077" s="12"/>
      <c r="K1077"/>
    </row>
    <row r="1078" spans="5:11" ht="12.75" customHeight="1" x14ac:dyDescent="0.2">
      <c r="E1078" s="50"/>
      <c r="H1078" s="12"/>
      <c r="K1078"/>
    </row>
    <row r="1079" spans="5:11" ht="12.75" customHeight="1" x14ac:dyDescent="0.2">
      <c r="E1079" s="50"/>
      <c r="H1079" s="12"/>
      <c r="K1079"/>
    </row>
    <row r="1080" spans="5:11" ht="12.75" customHeight="1" x14ac:dyDescent="0.2">
      <c r="E1080" s="50"/>
      <c r="H1080" s="12"/>
      <c r="K1080"/>
    </row>
    <row r="1081" spans="5:11" ht="12.75" customHeight="1" x14ac:dyDescent="0.2">
      <c r="E1081" s="50"/>
      <c r="H1081" s="12"/>
      <c r="K1081"/>
    </row>
    <row r="1082" spans="5:11" ht="12.75" customHeight="1" x14ac:dyDescent="0.2">
      <c r="E1082" s="50"/>
      <c r="H1082" s="12"/>
      <c r="K1082"/>
    </row>
    <row r="1083" spans="5:11" ht="12.75" customHeight="1" x14ac:dyDescent="0.2">
      <c r="E1083" s="50"/>
      <c r="H1083" s="12"/>
      <c r="K1083"/>
    </row>
    <row r="1084" spans="5:11" ht="12.75" customHeight="1" x14ac:dyDescent="0.2">
      <c r="E1084" s="50"/>
      <c r="H1084" s="12"/>
      <c r="K1084"/>
    </row>
    <row r="1085" spans="5:11" ht="12.75" customHeight="1" x14ac:dyDescent="0.2">
      <c r="E1085" s="50"/>
      <c r="H1085" s="12"/>
      <c r="K1085"/>
    </row>
    <row r="1086" spans="5:11" ht="12.75" customHeight="1" x14ac:dyDescent="0.2">
      <c r="E1086" s="50"/>
      <c r="H1086" s="12"/>
      <c r="K1086"/>
    </row>
    <row r="1087" spans="5:11" ht="12.75" customHeight="1" x14ac:dyDescent="0.2">
      <c r="E1087" s="50"/>
      <c r="H1087" s="12"/>
      <c r="K1087"/>
    </row>
    <row r="1088" spans="5:11" ht="12.75" customHeight="1" x14ac:dyDescent="0.2">
      <c r="E1088" s="50"/>
      <c r="H1088" s="12"/>
      <c r="K1088"/>
    </row>
    <row r="1089" spans="5:11" ht="12.75" customHeight="1" x14ac:dyDescent="0.2">
      <c r="E1089" s="50"/>
      <c r="H1089" s="12"/>
      <c r="K1089"/>
    </row>
    <row r="1090" spans="5:11" ht="12.75" customHeight="1" x14ac:dyDescent="0.2">
      <c r="E1090" s="50"/>
      <c r="H1090" s="12"/>
      <c r="K1090"/>
    </row>
    <row r="1091" spans="5:11" ht="12.75" customHeight="1" x14ac:dyDescent="0.2">
      <c r="E1091" s="50"/>
      <c r="H1091" s="12"/>
      <c r="K1091"/>
    </row>
    <row r="1092" spans="5:11" ht="12.75" customHeight="1" x14ac:dyDescent="0.2">
      <c r="E1092" s="50"/>
      <c r="H1092" s="12"/>
      <c r="K1092"/>
    </row>
    <row r="1093" spans="5:11" ht="12.75" customHeight="1" x14ac:dyDescent="0.2">
      <c r="E1093" s="50"/>
      <c r="H1093" s="12"/>
      <c r="K1093"/>
    </row>
    <row r="1094" spans="5:11" ht="12.75" customHeight="1" x14ac:dyDescent="0.2">
      <c r="E1094" s="50"/>
      <c r="H1094" s="12"/>
      <c r="K1094"/>
    </row>
    <row r="1095" spans="5:11" ht="12.75" customHeight="1" x14ac:dyDescent="0.2">
      <c r="E1095" s="50"/>
      <c r="H1095" s="12"/>
      <c r="K1095"/>
    </row>
    <row r="1096" spans="5:11" ht="12.75" customHeight="1" x14ac:dyDescent="0.2">
      <c r="E1096" s="50"/>
      <c r="H1096" s="12"/>
      <c r="K1096"/>
    </row>
    <row r="1097" spans="5:11" ht="12.75" customHeight="1" x14ac:dyDescent="0.2">
      <c r="E1097" s="50"/>
      <c r="H1097" s="12"/>
      <c r="K1097"/>
    </row>
    <row r="1098" spans="5:11" ht="12.75" customHeight="1" x14ac:dyDescent="0.2">
      <c r="E1098" s="50"/>
      <c r="H1098" s="12"/>
      <c r="K1098"/>
    </row>
    <row r="1099" spans="5:11" ht="12.75" customHeight="1" x14ac:dyDescent="0.2">
      <c r="E1099" s="50"/>
      <c r="H1099" s="12"/>
      <c r="K1099"/>
    </row>
    <row r="1100" spans="5:11" ht="12.75" customHeight="1" x14ac:dyDescent="0.2">
      <c r="E1100" s="50"/>
      <c r="H1100" s="12"/>
      <c r="K1100"/>
    </row>
    <row r="1101" spans="5:11" ht="12.75" customHeight="1" x14ac:dyDescent="0.2">
      <c r="E1101" s="50"/>
      <c r="H1101" s="12"/>
      <c r="K1101"/>
    </row>
    <row r="1102" spans="5:11" ht="12.75" customHeight="1" x14ac:dyDescent="0.2">
      <c r="E1102" s="50"/>
      <c r="H1102" s="12"/>
      <c r="K1102"/>
    </row>
    <row r="1103" spans="5:11" ht="12.75" customHeight="1" x14ac:dyDescent="0.2">
      <c r="E1103" s="50"/>
      <c r="H1103" s="12"/>
      <c r="K1103"/>
    </row>
    <row r="1104" spans="5:11" ht="12.75" customHeight="1" x14ac:dyDescent="0.2">
      <c r="E1104" s="50"/>
      <c r="H1104" s="12"/>
      <c r="K1104"/>
    </row>
    <row r="1105" spans="5:11" ht="12.75" customHeight="1" x14ac:dyDescent="0.2">
      <c r="E1105" s="50"/>
      <c r="H1105" s="12"/>
      <c r="K1105"/>
    </row>
    <row r="1106" spans="5:11" ht="12.75" customHeight="1" x14ac:dyDescent="0.2">
      <c r="E1106" s="50"/>
      <c r="H1106" s="12"/>
      <c r="K1106"/>
    </row>
    <row r="1107" spans="5:11" ht="12.75" customHeight="1" x14ac:dyDescent="0.2">
      <c r="E1107" s="50"/>
      <c r="H1107" s="12"/>
      <c r="K1107"/>
    </row>
    <row r="1108" spans="5:11" ht="12.75" customHeight="1" x14ac:dyDescent="0.2">
      <c r="E1108" s="50"/>
      <c r="H1108" s="12"/>
      <c r="K1108"/>
    </row>
    <row r="1109" spans="5:11" ht="12.75" customHeight="1" x14ac:dyDescent="0.2">
      <c r="E1109" s="50"/>
      <c r="H1109" s="12"/>
      <c r="K1109"/>
    </row>
    <row r="1110" spans="5:11" ht="12.75" customHeight="1" x14ac:dyDescent="0.2">
      <c r="E1110" s="50"/>
      <c r="H1110" s="12"/>
      <c r="K1110"/>
    </row>
    <row r="1111" spans="5:11" ht="12.75" customHeight="1" x14ac:dyDescent="0.2">
      <c r="E1111" s="50"/>
      <c r="H1111" s="12"/>
      <c r="K1111"/>
    </row>
    <row r="1112" spans="5:11" ht="12.75" customHeight="1" x14ac:dyDescent="0.2">
      <c r="E1112" s="50"/>
      <c r="H1112" s="12"/>
      <c r="K1112"/>
    </row>
    <row r="1113" spans="5:11" ht="12.75" customHeight="1" x14ac:dyDescent="0.2">
      <c r="E1113" s="50"/>
      <c r="H1113" s="12"/>
      <c r="K1113"/>
    </row>
    <row r="1114" spans="5:11" ht="12.75" customHeight="1" x14ac:dyDescent="0.2">
      <c r="E1114" s="50"/>
      <c r="H1114" s="12"/>
      <c r="K1114"/>
    </row>
    <row r="1115" spans="5:11" ht="12.75" customHeight="1" x14ac:dyDescent="0.2">
      <c r="E1115" s="50"/>
      <c r="H1115" s="12"/>
      <c r="K1115"/>
    </row>
    <row r="1116" spans="5:11" ht="12.75" customHeight="1" x14ac:dyDescent="0.2">
      <c r="E1116" s="50"/>
      <c r="H1116" s="12"/>
      <c r="K1116"/>
    </row>
    <row r="1117" spans="5:11" ht="12.75" customHeight="1" x14ac:dyDescent="0.2">
      <c r="E1117" s="50"/>
      <c r="H1117" s="12"/>
      <c r="K1117"/>
    </row>
    <row r="1118" spans="5:11" ht="12.75" customHeight="1" x14ac:dyDescent="0.2">
      <c r="E1118" s="50"/>
      <c r="H1118" s="12"/>
      <c r="K1118"/>
    </row>
    <row r="1119" spans="5:11" ht="12.75" customHeight="1" x14ac:dyDescent="0.2">
      <c r="E1119" s="50"/>
      <c r="H1119" s="12"/>
      <c r="K1119"/>
    </row>
    <row r="1120" spans="5:11" ht="12.75" customHeight="1" x14ac:dyDescent="0.2">
      <c r="E1120" s="50"/>
      <c r="H1120" s="12"/>
      <c r="K1120"/>
    </row>
    <row r="1121" spans="5:11" ht="12.75" customHeight="1" x14ac:dyDescent="0.2">
      <c r="E1121" s="50"/>
      <c r="H1121" s="12"/>
      <c r="K1121"/>
    </row>
    <row r="1122" spans="5:11" ht="12.75" customHeight="1" x14ac:dyDescent="0.2">
      <c r="E1122" s="50"/>
      <c r="H1122" s="12"/>
      <c r="K1122"/>
    </row>
    <row r="1123" spans="5:11" ht="12.75" customHeight="1" x14ac:dyDescent="0.2">
      <c r="E1123" s="50"/>
      <c r="H1123" s="12"/>
      <c r="K1123"/>
    </row>
    <row r="1124" spans="5:11" ht="12.75" customHeight="1" x14ac:dyDescent="0.2">
      <c r="E1124" s="50"/>
      <c r="H1124" s="12"/>
      <c r="K1124"/>
    </row>
    <row r="1125" spans="5:11" ht="12.75" customHeight="1" x14ac:dyDescent="0.2">
      <c r="E1125" s="50"/>
      <c r="H1125" s="12"/>
      <c r="K1125"/>
    </row>
    <row r="1126" spans="5:11" ht="12.75" customHeight="1" x14ac:dyDescent="0.2">
      <c r="E1126" s="50"/>
      <c r="H1126" s="12"/>
      <c r="K1126"/>
    </row>
    <row r="1127" spans="5:11" ht="12.75" customHeight="1" x14ac:dyDescent="0.2">
      <c r="E1127" s="50"/>
      <c r="H1127" s="12"/>
      <c r="K1127"/>
    </row>
    <row r="1128" spans="5:11" ht="12.75" customHeight="1" x14ac:dyDescent="0.2">
      <c r="E1128" s="50"/>
      <c r="H1128" s="12"/>
      <c r="K1128"/>
    </row>
    <row r="1129" spans="5:11" ht="12.75" customHeight="1" x14ac:dyDescent="0.2">
      <c r="E1129" s="50"/>
      <c r="H1129" s="12"/>
      <c r="K1129"/>
    </row>
    <row r="1130" spans="5:11" ht="12.75" customHeight="1" x14ac:dyDescent="0.2">
      <c r="E1130" s="50"/>
      <c r="H1130" s="12"/>
      <c r="K1130"/>
    </row>
    <row r="1131" spans="5:11" ht="12.75" customHeight="1" x14ac:dyDescent="0.2">
      <c r="E1131" s="50"/>
      <c r="H1131" s="12"/>
      <c r="K1131"/>
    </row>
    <row r="1132" spans="5:11" ht="12.75" customHeight="1" x14ac:dyDescent="0.2">
      <c r="E1132" s="50"/>
      <c r="H1132" s="12"/>
      <c r="K1132"/>
    </row>
    <row r="1133" spans="5:11" ht="12.75" customHeight="1" x14ac:dyDescent="0.2">
      <c r="E1133" s="50"/>
      <c r="H1133" s="12"/>
      <c r="K1133"/>
    </row>
    <row r="1134" spans="5:11" ht="12.75" customHeight="1" x14ac:dyDescent="0.2">
      <c r="E1134" s="50"/>
      <c r="H1134" s="12"/>
      <c r="K1134"/>
    </row>
    <row r="1135" spans="5:11" ht="12.75" customHeight="1" x14ac:dyDescent="0.2">
      <c r="E1135" s="50"/>
      <c r="H1135" s="12"/>
      <c r="K1135"/>
    </row>
    <row r="1136" spans="5:11" ht="12.75" customHeight="1" x14ac:dyDescent="0.2">
      <c r="E1136" s="50"/>
      <c r="H1136" s="12"/>
      <c r="K1136"/>
    </row>
    <row r="1137" spans="5:11" ht="12.75" customHeight="1" x14ac:dyDescent="0.2">
      <c r="E1137" s="50"/>
      <c r="H1137" s="12"/>
      <c r="K1137"/>
    </row>
    <row r="1138" spans="5:11" ht="12.75" customHeight="1" x14ac:dyDescent="0.2">
      <c r="E1138" s="50"/>
      <c r="H1138" s="12"/>
      <c r="K1138"/>
    </row>
    <row r="1139" spans="5:11" ht="12.75" customHeight="1" x14ac:dyDescent="0.2">
      <c r="E1139" s="50"/>
      <c r="H1139" s="12"/>
      <c r="K1139"/>
    </row>
    <row r="1140" spans="5:11" ht="12.75" customHeight="1" x14ac:dyDescent="0.2">
      <c r="E1140" s="50"/>
      <c r="H1140" s="12"/>
      <c r="K1140"/>
    </row>
    <row r="1141" spans="5:11" ht="12.75" customHeight="1" x14ac:dyDescent="0.2">
      <c r="E1141" s="50"/>
      <c r="H1141" s="12"/>
      <c r="K1141"/>
    </row>
    <row r="1142" spans="5:11" ht="12.75" customHeight="1" x14ac:dyDescent="0.2">
      <c r="E1142" s="50"/>
      <c r="H1142" s="12"/>
      <c r="K1142"/>
    </row>
    <row r="1143" spans="5:11" ht="12.75" customHeight="1" x14ac:dyDescent="0.2">
      <c r="E1143" s="50"/>
      <c r="H1143" s="12"/>
      <c r="K1143"/>
    </row>
    <row r="1144" spans="5:11" ht="12.75" customHeight="1" x14ac:dyDescent="0.2">
      <c r="E1144" s="50"/>
      <c r="H1144" s="12"/>
      <c r="K1144"/>
    </row>
    <row r="1145" spans="5:11" ht="12.75" customHeight="1" x14ac:dyDescent="0.2">
      <c r="E1145" s="50"/>
      <c r="H1145" s="12"/>
      <c r="K1145"/>
    </row>
    <row r="1146" spans="5:11" ht="12.75" customHeight="1" x14ac:dyDescent="0.2">
      <c r="E1146" s="50"/>
      <c r="H1146" s="12"/>
      <c r="K1146"/>
    </row>
    <row r="1147" spans="5:11" ht="12.75" customHeight="1" x14ac:dyDescent="0.2">
      <c r="E1147" s="50"/>
      <c r="H1147" s="12"/>
      <c r="K1147"/>
    </row>
    <row r="1148" spans="5:11" ht="12.75" customHeight="1" x14ac:dyDescent="0.2">
      <c r="E1148" s="50"/>
      <c r="H1148" s="12"/>
      <c r="K1148"/>
    </row>
    <row r="1149" spans="5:11" ht="12.75" customHeight="1" x14ac:dyDescent="0.2">
      <c r="E1149" s="50"/>
      <c r="H1149" s="12"/>
      <c r="K1149"/>
    </row>
    <row r="1150" spans="5:11" ht="12.75" customHeight="1" x14ac:dyDescent="0.2">
      <c r="E1150" s="50"/>
      <c r="H1150" s="12"/>
      <c r="K1150"/>
    </row>
    <row r="1151" spans="5:11" ht="12.75" customHeight="1" x14ac:dyDescent="0.2">
      <c r="E1151" s="50"/>
      <c r="H1151" s="12"/>
      <c r="K1151"/>
    </row>
    <row r="1152" spans="5:11" ht="12.75" customHeight="1" x14ac:dyDescent="0.2">
      <c r="E1152" s="50"/>
      <c r="H1152" s="12"/>
      <c r="K1152"/>
    </row>
    <row r="1153" spans="5:11" ht="12.75" customHeight="1" x14ac:dyDescent="0.2">
      <c r="E1153" s="50"/>
      <c r="H1153" s="12"/>
      <c r="K1153"/>
    </row>
    <row r="1154" spans="5:11" ht="12.75" customHeight="1" x14ac:dyDescent="0.2">
      <c r="E1154" s="50"/>
      <c r="H1154" s="12"/>
      <c r="K1154"/>
    </row>
    <row r="1155" spans="5:11" ht="12.75" customHeight="1" x14ac:dyDescent="0.2">
      <c r="E1155" s="50"/>
      <c r="H1155" s="12"/>
      <c r="K1155"/>
    </row>
    <row r="1156" spans="5:11" ht="12.75" customHeight="1" x14ac:dyDescent="0.2">
      <c r="E1156" s="50"/>
      <c r="H1156" s="12"/>
      <c r="K1156"/>
    </row>
    <row r="1157" spans="5:11" ht="12.75" customHeight="1" x14ac:dyDescent="0.2">
      <c r="E1157" s="50"/>
      <c r="H1157" s="12"/>
      <c r="K1157"/>
    </row>
    <row r="1158" spans="5:11" ht="12.75" customHeight="1" x14ac:dyDescent="0.2">
      <c r="E1158" s="50"/>
      <c r="H1158" s="12"/>
      <c r="K1158"/>
    </row>
    <row r="1159" spans="5:11" ht="12.75" customHeight="1" x14ac:dyDescent="0.2">
      <c r="E1159" s="50"/>
      <c r="H1159" s="12"/>
      <c r="K1159"/>
    </row>
    <row r="1160" spans="5:11" ht="12.75" customHeight="1" x14ac:dyDescent="0.2">
      <c r="E1160" s="50"/>
      <c r="H1160" s="12"/>
      <c r="K1160"/>
    </row>
    <row r="1161" spans="5:11" ht="12.75" customHeight="1" x14ac:dyDescent="0.2">
      <c r="E1161" s="50"/>
      <c r="H1161" s="12"/>
      <c r="K1161"/>
    </row>
    <row r="1162" spans="5:11" ht="12.75" customHeight="1" x14ac:dyDescent="0.2">
      <c r="E1162" s="50"/>
      <c r="H1162" s="12"/>
      <c r="K1162"/>
    </row>
    <row r="1163" spans="5:11" ht="12.75" customHeight="1" x14ac:dyDescent="0.2">
      <c r="E1163" s="50"/>
      <c r="H1163" s="12"/>
      <c r="K1163"/>
    </row>
    <row r="1164" spans="5:11" ht="12.75" customHeight="1" x14ac:dyDescent="0.2">
      <c r="E1164" s="50"/>
      <c r="H1164" s="12"/>
      <c r="K1164"/>
    </row>
    <row r="1165" spans="5:11" ht="12.75" customHeight="1" x14ac:dyDescent="0.2">
      <c r="E1165" s="50"/>
      <c r="H1165" s="12"/>
      <c r="K1165"/>
    </row>
    <row r="1166" spans="5:11" ht="12.75" customHeight="1" x14ac:dyDescent="0.2">
      <c r="E1166" s="50"/>
      <c r="H1166" s="12"/>
      <c r="K1166"/>
    </row>
    <row r="1167" spans="5:11" ht="12.75" customHeight="1" x14ac:dyDescent="0.2">
      <c r="E1167" s="50"/>
      <c r="H1167" s="12"/>
      <c r="K1167"/>
    </row>
    <row r="1168" spans="5:11" ht="12.75" customHeight="1" x14ac:dyDescent="0.2">
      <c r="E1168" s="50"/>
      <c r="H1168" s="12"/>
      <c r="K1168"/>
    </row>
    <row r="1169" spans="5:11" ht="12.75" customHeight="1" x14ac:dyDescent="0.2">
      <c r="E1169" s="50"/>
      <c r="H1169" s="12"/>
      <c r="K1169"/>
    </row>
    <row r="1170" spans="5:11" ht="12.75" customHeight="1" x14ac:dyDescent="0.2">
      <c r="E1170" s="50"/>
      <c r="H1170" s="12"/>
      <c r="K1170"/>
    </row>
    <row r="1171" spans="5:11" ht="12.75" customHeight="1" x14ac:dyDescent="0.2">
      <c r="E1171" s="50"/>
      <c r="H1171" s="12"/>
      <c r="K1171"/>
    </row>
    <row r="1172" spans="5:11" ht="12.75" customHeight="1" x14ac:dyDescent="0.2">
      <c r="E1172" s="50"/>
      <c r="H1172" s="12"/>
      <c r="K1172"/>
    </row>
    <row r="1173" spans="5:11" ht="12.75" customHeight="1" x14ac:dyDescent="0.2">
      <c r="E1173" s="50"/>
      <c r="H1173" s="12"/>
      <c r="K1173"/>
    </row>
    <row r="1174" spans="5:11" ht="12.75" customHeight="1" x14ac:dyDescent="0.2">
      <c r="E1174" s="50"/>
      <c r="H1174" s="12"/>
      <c r="K1174"/>
    </row>
    <row r="1175" spans="5:11" ht="12.75" customHeight="1" x14ac:dyDescent="0.2">
      <c r="E1175" s="50"/>
      <c r="H1175" s="12"/>
      <c r="K1175"/>
    </row>
    <row r="1176" spans="5:11" ht="12.75" customHeight="1" x14ac:dyDescent="0.2">
      <c r="E1176" s="50"/>
      <c r="H1176" s="12"/>
      <c r="K1176"/>
    </row>
    <row r="1177" spans="5:11" ht="12.75" customHeight="1" x14ac:dyDescent="0.2">
      <c r="E1177" s="50"/>
      <c r="H1177" s="12"/>
      <c r="K1177"/>
    </row>
    <row r="1178" spans="5:11" ht="12.75" customHeight="1" x14ac:dyDescent="0.2">
      <c r="E1178" s="50"/>
      <c r="H1178" s="12"/>
      <c r="K1178"/>
    </row>
    <row r="1179" spans="5:11" ht="12.75" customHeight="1" x14ac:dyDescent="0.2">
      <c r="E1179" s="50"/>
      <c r="H1179" s="12"/>
      <c r="K1179"/>
    </row>
    <row r="1180" spans="5:11" ht="12.75" customHeight="1" x14ac:dyDescent="0.2">
      <c r="E1180" s="50"/>
      <c r="H1180" s="12"/>
      <c r="K1180"/>
    </row>
    <row r="1181" spans="5:11" ht="12.75" customHeight="1" x14ac:dyDescent="0.2">
      <c r="E1181" s="50"/>
      <c r="H1181" s="12"/>
      <c r="K1181"/>
    </row>
    <row r="1182" spans="5:11" ht="12.75" customHeight="1" x14ac:dyDescent="0.2">
      <c r="E1182" s="50"/>
      <c r="H1182" s="12"/>
      <c r="K1182"/>
    </row>
    <row r="1183" spans="5:11" ht="12.75" customHeight="1" x14ac:dyDescent="0.2">
      <c r="E1183" s="50"/>
      <c r="H1183" s="12"/>
      <c r="K1183"/>
    </row>
    <row r="1184" spans="5:11" ht="12.75" customHeight="1" x14ac:dyDescent="0.2">
      <c r="E1184" s="50"/>
      <c r="H1184" s="12"/>
      <c r="K1184"/>
    </row>
    <row r="1185" spans="5:11" ht="12.75" customHeight="1" x14ac:dyDescent="0.2">
      <c r="E1185" s="50"/>
      <c r="H1185" s="12"/>
      <c r="K1185"/>
    </row>
    <row r="1186" spans="5:11" ht="12.75" customHeight="1" x14ac:dyDescent="0.2">
      <c r="E1186" s="50"/>
      <c r="H1186" s="12"/>
      <c r="K1186"/>
    </row>
    <row r="1187" spans="5:11" ht="12.75" customHeight="1" x14ac:dyDescent="0.2">
      <c r="E1187" s="50"/>
      <c r="H1187" s="12"/>
      <c r="K1187"/>
    </row>
    <row r="1188" spans="5:11" ht="12.75" customHeight="1" x14ac:dyDescent="0.2">
      <c r="E1188" s="50"/>
      <c r="H1188" s="12"/>
      <c r="K1188"/>
    </row>
    <row r="1189" spans="5:11" ht="12.75" customHeight="1" x14ac:dyDescent="0.2">
      <c r="E1189" s="50"/>
      <c r="H1189" s="12"/>
      <c r="K1189"/>
    </row>
    <row r="1190" spans="5:11" ht="12.75" customHeight="1" x14ac:dyDescent="0.2">
      <c r="E1190" s="50"/>
      <c r="H1190" s="12"/>
      <c r="K1190"/>
    </row>
    <row r="1191" spans="5:11" ht="12.75" customHeight="1" x14ac:dyDescent="0.2">
      <c r="E1191" s="50"/>
      <c r="H1191" s="12"/>
      <c r="K1191"/>
    </row>
    <row r="1192" spans="5:11" ht="12.75" customHeight="1" x14ac:dyDescent="0.2">
      <c r="E1192" s="50"/>
      <c r="H1192" s="12"/>
      <c r="K1192"/>
    </row>
    <row r="1193" spans="5:11" ht="12.75" customHeight="1" x14ac:dyDescent="0.2">
      <c r="E1193" s="50"/>
      <c r="H1193" s="12"/>
      <c r="K1193"/>
    </row>
    <row r="1194" spans="5:11" ht="12.75" customHeight="1" x14ac:dyDescent="0.2">
      <c r="E1194" s="50"/>
      <c r="H1194" s="12"/>
      <c r="K1194"/>
    </row>
    <row r="1195" spans="5:11" ht="12.75" customHeight="1" x14ac:dyDescent="0.2">
      <c r="E1195" s="50"/>
      <c r="H1195" s="12"/>
      <c r="K1195"/>
    </row>
    <row r="1196" spans="5:11" ht="12.75" customHeight="1" x14ac:dyDescent="0.2">
      <c r="E1196" s="50"/>
      <c r="H1196" s="12"/>
      <c r="K1196"/>
    </row>
    <row r="1197" spans="5:11" ht="12.75" customHeight="1" x14ac:dyDescent="0.2">
      <c r="E1197" s="50"/>
      <c r="H1197" s="12"/>
      <c r="K1197"/>
    </row>
    <row r="1198" spans="5:11" ht="12.75" customHeight="1" x14ac:dyDescent="0.2">
      <c r="E1198" s="50"/>
      <c r="H1198" s="12"/>
      <c r="K1198"/>
    </row>
    <row r="1199" spans="5:11" ht="12.75" customHeight="1" x14ac:dyDescent="0.2">
      <c r="E1199" s="50"/>
      <c r="H1199" s="12"/>
      <c r="K1199"/>
    </row>
    <row r="1200" spans="5:11" ht="12.75" customHeight="1" x14ac:dyDescent="0.2">
      <c r="E1200" s="50"/>
      <c r="H1200" s="12"/>
      <c r="K1200"/>
    </row>
    <row r="1201" spans="5:11" ht="12.75" customHeight="1" x14ac:dyDescent="0.2">
      <c r="E1201" s="50"/>
      <c r="H1201" s="12"/>
      <c r="K1201"/>
    </row>
    <row r="1202" spans="5:11" ht="12.75" customHeight="1" x14ac:dyDescent="0.2">
      <c r="E1202" s="50"/>
      <c r="H1202" s="12"/>
      <c r="K1202"/>
    </row>
    <row r="1203" spans="5:11" ht="12.75" customHeight="1" x14ac:dyDescent="0.2">
      <c r="E1203" s="50"/>
      <c r="H1203" s="12"/>
      <c r="K1203"/>
    </row>
    <row r="1204" spans="5:11" ht="12.75" customHeight="1" x14ac:dyDescent="0.2">
      <c r="E1204" s="50"/>
      <c r="H1204" s="12"/>
      <c r="K1204"/>
    </row>
    <row r="1205" spans="5:11" ht="12.75" customHeight="1" x14ac:dyDescent="0.2">
      <c r="E1205" s="50"/>
      <c r="H1205" s="12"/>
      <c r="K1205"/>
    </row>
    <row r="1206" spans="5:11" ht="12.75" customHeight="1" x14ac:dyDescent="0.2">
      <c r="E1206" s="50"/>
      <c r="H1206" s="12"/>
      <c r="K1206"/>
    </row>
    <row r="1207" spans="5:11" ht="12.75" customHeight="1" x14ac:dyDescent="0.2">
      <c r="E1207" s="50"/>
      <c r="H1207" s="12"/>
      <c r="K1207"/>
    </row>
    <row r="1208" spans="5:11" ht="12.75" customHeight="1" x14ac:dyDescent="0.2">
      <c r="E1208" s="50"/>
      <c r="H1208" s="12"/>
      <c r="K1208"/>
    </row>
    <row r="1209" spans="5:11" ht="12.75" customHeight="1" x14ac:dyDescent="0.2">
      <c r="E1209" s="50"/>
      <c r="H1209" s="12"/>
      <c r="K1209"/>
    </row>
    <row r="1210" spans="5:11" ht="12.75" customHeight="1" x14ac:dyDescent="0.2">
      <c r="E1210" s="50"/>
      <c r="H1210" s="12"/>
      <c r="K1210"/>
    </row>
    <row r="1211" spans="5:11" ht="12.75" customHeight="1" x14ac:dyDescent="0.2">
      <c r="E1211" s="50"/>
      <c r="H1211" s="12"/>
      <c r="K1211"/>
    </row>
    <row r="1212" spans="5:11" ht="12.75" customHeight="1" x14ac:dyDescent="0.2">
      <c r="E1212" s="50"/>
      <c r="H1212" s="12"/>
      <c r="K1212"/>
    </row>
    <row r="1213" spans="5:11" ht="12.75" customHeight="1" x14ac:dyDescent="0.2">
      <c r="E1213" s="50"/>
      <c r="H1213" s="12"/>
      <c r="K1213"/>
    </row>
    <row r="1214" spans="5:11" ht="12.75" customHeight="1" x14ac:dyDescent="0.2">
      <c r="E1214" s="50"/>
      <c r="H1214" s="12"/>
      <c r="K1214"/>
    </row>
    <row r="1215" spans="5:11" ht="12.75" customHeight="1" x14ac:dyDescent="0.2">
      <c r="E1215" s="50"/>
      <c r="H1215" s="12"/>
      <c r="K1215"/>
    </row>
    <row r="1216" spans="5:11" ht="12.75" customHeight="1" x14ac:dyDescent="0.2">
      <c r="E1216" s="50"/>
      <c r="H1216" s="12"/>
      <c r="K1216"/>
    </row>
    <row r="1217" spans="5:11" ht="12.75" customHeight="1" x14ac:dyDescent="0.2">
      <c r="E1217" s="50"/>
      <c r="H1217" s="12"/>
      <c r="K1217"/>
    </row>
    <row r="1218" spans="5:11" ht="12.75" customHeight="1" x14ac:dyDescent="0.2">
      <c r="E1218" s="50"/>
      <c r="H1218" s="12"/>
      <c r="K1218"/>
    </row>
    <row r="1219" spans="5:11" ht="12.75" customHeight="1" x14ac:dyDescent="0.2">
      <c r="E1219" s="50"/>
      <c r="H1219" s="12"/>
      <c r="K1219"/>
    </row>
    <row r="1220" spans="5:11" ht="12.75" customHeight="1" x14ac:dyDescent="0.2">
      <c r="E1220" s="50"/>
      <c r="H1220" s="12"/>
      <c r="K1220"/>
    </row>
    <row r="1221" spans="5:11" ht="12.75" customHeight="1" x14ac:dyDescent="0.2">
      <c r="E1221" s="50"/>
      <c r="H1221" s="12"/>
      <c r="K1221"/>
    </row>
    <row r="1222" spans="5:11" ht="12.75" customHeight="1" x14ac:dyDescent="0.2">
      <c r="E1222" s="50"/>
      <c r="H1222" s="12"/>
      <c r="K1222"/>
    </row>
    <row r="1223" spans="5:11" ht="12.75" customHeight="1" x14ac:dyDescent="0.2">
      <c r="E1223" s="50"/>
      <c r="H1223" s="12"/>
      <c r="K1223"/>
    </row>
    <row r="1224" spans="5:11" ht="12.75" customHeight="1" x14ac:dyDescent="0.2">
      <c r="E1224" s="50"/>
      <c r="H1224" s="12"/>
      <c r="K1224"/>
    </row>
    <row r="1225" spans="5:11" ht="12.75" customHeight="1" x14ac:dyDescent="0.2">
      <c r="E1225" s="50"/>
      <c r="H1225" s="12"/>
      <c r="K1225"/>
    </row>
    <row r="1226" spans="5:11" ht="12.75" customHeight="1" x14ac:dyDescent="0.2">
      <c r="E1226" s="50"/>
      <c r="H1226" s="12"/>
      <c r="K1226"/>
    </row>
    <row r="1227" spans="5:11" ht="12.75" customHeight="1" x14ac:dyDescent="0.2">
      <c r="E1227" s="50"/>
      <c r="H1227" s="12"/>
      <c r="K1227"/>
    </row>
    <row r="1228" spans="5:11" ht="12.75" customHeight="1" x14ac:dyDescent="0.2">
      <c r="E1228" s="50"/>
      <c r="H1228" s="12"/>
      <c r="K1228"/>
    </row>
    <row r="1229" spans="5:11" ht="12.75" customHeight="1" x14ac:dyDescent="0.2">
      <c r="E1229" s="50"/>
      <c r="H1229" s="12"/>
      <c r="K1229"/>
    </row>
    <row r="1230" spans="5:11" ht="12.75" customHeight="1" x14ac:dyDescent="0.2">
      <c r="E1230" s="50"/>
      <c r="H1230" s="12"/>
      <c r="K1230"/>
    </row>
    <row r="1231" spans="5:11" ht="12.75" customHeight="1" x14ac:dyDescent="0.2">
      <c r="E1231" s="50"/>
      <c r="H1231" s="12"/>
      <c r="K1231"/>
    </row>
    <row r="1232" spans="5:11" ht="12.75" customHeight="1" x14ac:dyDescent="0.2">
      <c r="E1232" s="50"/>
      <c r="H1232" s="12"/>
      <c r="K1232"/>
    </row>
    <row r="1233" spans="5:11" ht="12.75" customHeight="1" x14ac:dyDescent="0.2">
      <c r="E1233" s="50"/>
      <c r="H1233" s="12"/>
      <c r="K1233"/>
    </row>
    <row r="1234" spans="5:11" ht="12.75" customHeight="1" x14ac:dyDescent="0.2">
      <c r="E1234" s="50"/>
      <c r="H1234" s="12"/>
      <c r="K1234"/>
    </row>
    <row r="1235" spans="5:11" ht="12.75" customHeight="1" x14ac:dyDescent="0.2">
      <c r="E1235" s="50"/>
      <c r="H1235" s="12"/>
      <c r="K1235"/>
    </row>
    <row r="1236" spans="5:11" ht="12.75" customHeight="1" x14ac:dyDescent="0.2">
      <c r="E1236" s="50"/>
      <c r="H1236" s="12"/>
      <c r="K1236"/>
    </row>
    <row r="1237" spans="5:11" ht="12.75" customHeight="1" x14ac:dyDescent="0.2">
      <c r="E1237" s="50"/>
      <c r="H1237" s="12"/>
      <c r="K1237"/>
    </row>
    <row r="1238" spans="5:11" ht="12.75" customHeight="1" x14ac:dyDescent="0.2">
      <c r="E1238" s="50"/>
      <c r="H1238" s="12"/>
      <c r="K1238"/>
    </row>
    <row r="1239" spans="5:11" ht="12.75" customHeight="1" x14ac:dyDescent="0.2">
      <c r="E1239" s="50"/>
      <c r="H1239" s="12"/>
      <c r="K1239"/>
    </row>
    <row r="1240" spans="5:11" ht="12.75" customHeight="1" x14ac:dyDescent="0.2">
      <c r="E1240" s="50"/>
      <c r="H1240" s="12"/>
      <c r="K1240"/>
    </row>
    <row r="1241" spans="5:11" ht="12.75" customHeight="1" x14ac:dyDescent="0.2">
      <c r="E1241" s="50"/>
      <c r="H1241" s="12"/>
      <c r="K1241"/>
    </row>
    <row r="1242" spans="5:11" ht="12.75" customHeight="1" x14ac:dyDescent="0.2">
      <c r="E1242" s="50"/>
      <c r="H1242" s="12"/>
      <c r="K1242"/>
    </row>
    <row r="1243" spans="5:11" ht="12.75" customHeight="1" x14ac:dyDescent="0.2">
      <c r="E1243" s="50"/>
      <c r="H1243" s="12"/>
      <c r="K1243"/>
    </row>
    <row r="1244" spans="5:11" ht="12.75" customHeight="1" x14ac:dyDescent="0.2">
      <c r="E1244" s="50"/>
      <c r="H1244" s="12"/>
      <c r="K1244"/>
    </row>
    <row r="1245" spans="5:11" ht="12.75" customHeight="1" x14ac:dyDescent="0.2">
      <c r="E1245" s="50"/>
      <c r="H1245" s="12"/>
      <c r="K1245"/>
    </row>
    <row r="1246" spans="5:11" ht="12.75" customHeight="1" x14ac:dyDescent="0.2">
      <c r="E1246" s="50"/>
      <c r="H1246" s="12"/>
      <c r="K1246"/>
    </row>
    <row r="1247" spans="5:11" ht="12.75" customHeight="1" x14ac:dyDescent="0.2">
      <c r="E1247" s="50"/>
      <c r="H1247" s="12"/>
      <c r="K1247"/>
    </row>
    <row r="1248" spans="5:11" ht="12.75" customHeight="1" x14ac:dyDescent="0.2">
      <c r="E1248" s="50"/>
      <c r="H1248" s="12"/>
      <c r="K1248"/>
    </row>
    <row r="1249" spans="5:11" ht="12.75" customHeight="1" x14ac:dyDescent="0.2">
      <c r="E1249" s="50"/>
      <c r="H1249" s="12"/>
      <c r="K1249"/>
    </row>
    <row r="1250" spans="5:11" ht="12.75" customHeight="1" x14ac:dyDescent="0.2">
      <c r="E1250" s="50"/>
      <c r="H1250" s="12"/>
      <c r="K1250"/>
    </row>
    <row r="1251" spans="5:11" ht="12.75" customHeight="1" x14ac:dyDescent="0.2">
      <c r="E1251" s="50"/>
      <c r="H1251" s="12"/>
      <c r="K1251"/>
    </row>
    <row r="1252" spans="5:11" ht="12.75" customHeight="1" x14ac:dyDescent="0.2">
      <c r="E1252" s="50"/>
      <c r="H1252" s="12"/>
      <c r="K1252"/>
    </row>
    <row r="1253" spans="5:11" ht="12.75" customHeight="1" x14ac:dyDescent="0.2">
      <c r="E1253" s="50"/>
      <c r="H1253" s="12"/>
      <c r="K1253"/>
    </row>
    <row r="1254" spans="5:11" ht="12.75" customHeight="1" x14ac:dyDescent="0.2">
      <c r="E1254" s="50"/>
      <c r="H1254" s="12"/>
      <c r="K1254"/>
    </row>
    <row r="1255" spans="5:11" ht="14.25" customHeight="1" x14ac:dyDescent="0.2">
      <c r="E1255" s="50"/>
      <c r="H1255" s="12"/>
      <c r="K1255"/>
    </row>
    <row r="1256" spans="5:11" ht="13.5" customHeight="1" x14ac:dyDescent="0.2">
      <c r="E1256" s="50"/>
      <c r="H1256" s="12"/>
      <c r="K1256"/>
    </row>
    <row r="1257" spans="5:11" ht="13.5" customHeight="1" x14ac:dyDescent="0.2">
      <c r="E1257" s="50"/>
      <c r="H1257" s="12"/>
      <c r="K1257"/>
    </row>
    <row r="1258" spans="5:11" ht="13.5" customHeight="1" x14ac:dyDescent="0.2">
      <c r="E1258" s="50"/>
      <c r="H1258" s="12"/>
      <c r="K1258"/>
    </row>
    <row r="1259" spans="5:11" ht="13.5" customHeight="1" x14ac:dyDescent="0.2">
      <c r="E1259" s="50"/>
      <c r="H1259" s="12"/>
      <c r="K1259"/>
    </row>
    <row r="1260" spans="5:11" ht="13.5" customHeight="1" x14ac:dyDescent="0.2">
      <c r="E1260" s="50"/>
      <c r="H1260" s="12"/>
      <c r="K1260"/>
    </row>
    <row r="1261" spans="5:11" ht="13.5" customHeight="1" x14ac:dyDescent="0.2">
      <c r="E1261" s="50"/>
      <c r="H1261" s="12"/>
      <c r="K1261"/>
    </row>
    <row r="1262" spans="5:11" ht="13.5" customHeight="1" x14ac:dyDescent="0.2">
      <c r="E1262" s="50"/>
      <c r="H1262" s="12"/>
      <c r="K1262"/>
    </row>
    <row r="1263" spans="5:11" ht="13.5" customHeight="1" x14ac:dyDescent="0.2">
      <c r="E1263" s="50"/>
      <c r="H1263" s="12"/>
      <c r="K1263"/>
    </row>
    <row r="1264" spans="5:11" ht="13.5" customHeight="1" x14ac:dyDescent="0.2">
      <c r="E1264" s="50"/>
      <c r="H1264" s="12"/>
      <c r="K1264"/>
    </row>
    <row r="1265" spans="5:11" ht="13.5" customHeight="1" x14ac:dyDescent="0.2">
      <c r="E1265" s="50"/>
      <c r="H1265" s="12"/>
      <c r="K1265"/>
    </row>
    <row r="1266" spans="5:11" ht="13.5" customHeight="1" x14ac:dyDescent="0.2">
      <c r="E1266" s="50"/>
      <c r="H1266" s="12"/>
      <c r="K1266"/>
    </row>
    <row r="1267" spans="5:11" ht="13.5" customHeight="1" x14ac:dyDescent="0.2">
      <c r="E1267" s="50"/>
      <c r="H1267" s="12"/>
      <c r="K1267"/>
    </row>
    <row r="1268" spans="5:11" ht="13.5" customHeight="1" x14ac:dyDescent="0.2">
      <c r="E1268" s="50"/>
      <c r="H1268" s="12"/>
      <c r="K1268"/>
    </row>
    <row r="1269" spans="5:11" ht="13.5" customHeight="1" x14ac:dyDescent="0.2">
      <c r="E1269" s="50"/>
      <c r="H1269" s="12"/>
      <c r="K1269"/>
    </row>
    <row r="1270" spans="5:11" ht="13.5" customHeight="1" x14ac:dyDescent="0.2">
      <c r="E1270" s="50"/>
      <c r="H1270" s="12"/>
      <c r="K1270"/>
    </row>
    <row r="1271" spans="5:11" ht="13.5" customHeight="1" x14ac:dyDescent="0.2">
      <c r="E1271" s="50"/>
      <c r="H1271" s="12"/>
      <c r="K1271"/>
    </row>
    <row r="1272" spans="5:11" ht="13.5" customHeight="1" x14ac:dyDescent="0.2">
      <c r="E1272" s="50"/>
      <c r="H1272" s="12"/>
      <c r="K1272"/>
    </row>
    <row r="1273" spans="5:11" ht="13.5" customHeight="1" x14ac:dyDescent="0.2">
      <c r="E1273" s="50"/>
      <c r="H1273" s="12"/>
      <c r="K1273"/>
    </row>
    <row r="1274" spans="5:11" ht="13.5" customHeight="1" x14ac:dyDescent="0.2">
      <c r="E1274" s="50"/>
      <c r="H1274" s="12"/>
      <c r="K1274"/>
    </row>
    <row r="1275" spans="5:11" ht="13.5" customHeight="1" x14ac:dyDescent="0.2">
      <c r="E1275" s="50"/>
      <c r="H1275" s="12"/>
      <c r="K1275"/>
    </row>
    <row r="1276" spans="5:11" ht="13.5" customHeight="1" x14ac:dyDescent="0.2">
      <c r="E1276" s="50"/>
      <c r="H1276" s="12"/>
      <c r="K1276"/>
    </row>
    <row r="1277" spans="5:11" ht="13.5" customHeight="1" x14ac:dyDescent="0.2">
      <c r="E1277" s="50"/>
      <c r="H1277" s="12"/>
      <c r="K1277"/>
    </row>
    <row r="1278" spans="5:11" ht="13.5" customHeight="1" x14ac:dyDescent="0.2">
      <c r="E1278" s="50"/>
      <c r="H1278" s="12"/>
      <c r="K1278"/>
    </row>
    <row r="1279" spans="5:11" ht="13.5" customHeight="1" x14ac:dyDescent="0.2">
      <c r="E1279" s="50"/>
      <c r="H1279" s="12"/>
      <c r="K1279"/>
    </row>
    <row r="1280" spans="5:11" ht="13.5" customHeight="1" x14ac:dyDescent="0.2">
      <c r="E1280" s="50"/>
      <c r="H1280" s="12"/>
      <c r="K1280"/>
    </row>
    <row r="1281" spans="5:11" ht="13.5" customHeight="1" x14ac:dyDescent="0.2">
      <c r="E1281" s="50"/>
      <c r="H1281" s="12"/>
      <c r="K1281"/>
    </row>
    <row r="1282" spans="5:11" ht="13.5" customHeight="1" x14ac:dyDescent="0.2">
      <c r="E1282" s="50"/>
      <c r="H1282" s="12"/>
      <c r="K1282"/>
    </row>
    <row r="1283" spans="5:11" ht="13.5" customHeight="1" x14ac:dyDescent="0.2">
      <c r="E1283" s="50"/>
      <c r="H1283" s="12"/>
      <c r="K1283"/>
    </row>
    <row r="1284" spans="5:11" ht="13.5" customHeight="1" x14ac:dyDescent="0.2">
      <c r="E1284" s="50"/>
      <c r="H1284" s="12"/>
      <c r="K1284"/>
    </row>
    <row r="1285" spans="5:11" ht="13.5" customHeight="1" x14ac:dyDescent="0.2">
      <c r="E1285" s="50"/>
      <c r="H1285" s="12"/>
      <c r="K1285"/>
    </row>
    <row r="1286" spans="5:11" ht="13.5" customHeight="1" x14ac:dyDescent="0.2">
      <c r="E1286" s="50"/>
      <c r="H1286" s="12"/>
      <c r="K1286"/>
    </row>
    <row r="1287" spans="5:11" ht="13.5" customHeight="1" x14ac:dyDescent="0.2">
      <c r="E1287" s="50"/>
      <c r="H1287" s="12"/>
      <c r="K1287"/>
    </row>
    <row r="1288" spans="5:11" ht="13.5" customHeight="1" x14ac:dyDescent="0.2">
      <c r="E1288" s="50"/>
      <c r="H1288" s="12"/>
      <c r="K1288"/>
    </row>
    <row r="1289" spans="5:11" ht="13.5" customHeight="1" x14ac:dyDescent="0.2">
      <c r="E1289" s="50"/>
      <c r="H1289" s="12"/>
      <c r="K1289"/>
    </row>
    <row r="1290" spans="5:11" ht="13.5" customHeight="1" x14ac:dyDescent="0.2">
      <c r="E1290" s="50"/>
      <c r="H1290" s="12"/>
      <c r="K1290"/>
    </row>
    <row r="1291" spans="5:11" ht="13.5" customHeight="1" x14ac:dyDescent="0.2">
      <c r="E1291" s="50"/>
      <c r="H1291" s="12"/>
      <c r="K1291"/>
    </row>
    <row r="1292" spans="5:11" ht="13.5" customHeight="1" x14ac:dyDescent="0.2">
      <c r="E1292" s="50"/>
      <c r="H1292" s="12"/>
      <c r="K1292"/>
    </row>
    <row r="1293" spans="5:11" ht="13.5" customHeight="1" x14ac:dyDescent="0.2">
      <c r="E1293" s="50"/>
      <c r="H1293" s="12"/>
      <c r="K1293"/>
    </row>
    <row r="1294" spans="5:11" ht="13.5" customHeight="1" x14ac:dyDescent="0.2">
      <c r="E1294" s="50"/>
      <c r="H1294" s="12"/>
      <c r="K1294"/>
    </row>
    <row r="1295" spans="5:11" ht="13.5" customHeight="1" x14ac:dyDescent="0.2">
      <c r="E1295" s="50"/>
      <c r="H1295" s="12"/>
      <c r="K1295"/>
    </row>
    <row r="1296" spans="5:11" ht="13.5" customHeight="1" x14ac:dyDescent="0.2">
      <c r="E1296" s="50"/>
      <c r="H1296" s="12"/>
      <c r="K1296"/>
    </row>
    <row r="1297" spans="5:11" ht="13.5" customHeight="1" x14ac:dyDescent="0.2">
      <c r="E1297" s="50"/>
      <c r="H1297" s="12"/>
      <c r="K1297"/>
    </row>
    <row r="1298" spans="5:11" ht="13.5" customHeight="1" x14ac:dyDescent="0.2">
      <c r="E1298" s="50"/>
      <c r="H1298" s="12"/>
      <c r="K1298"/>
    </row>
    <row r="1299" spans="5:11" ht="13.5" customHeight="1" x14ac:dyDescent="0.2">
      <c r="E1299" s="50"/>
      <c r="H1299" s="12"/>
      <c r="K1299"/>
    </row>
    <row r="1300" spans="5:11" ht="13.5" customHeight="1" x14ac:dyDescent="0.2">
      <c r="E1300" s="50"/>
      <c r="H1300" s="12"/>
      <c r="K1300"/>
    </row>
    <row r="1301" spans="5:11" ht="13.5" customHeight="1" x14ac:dyDescent="0.2">
      <c r="E1301" s="50"/>
      <c r="H1301" s="12"/>
      <c r="K1301"/>
    </row>
    <row r="1302" spans="5:11" ht="13.5" customHeight="1" x14ac:dyDescent="0.2">
      <c r="E1302" s="50"/>
      <c r="H1302" s="12"/>
      <c r="K1302"/>
    </row>
    <row r="1303" spans="5:11" ht="13.5" customHeight="1" x14ac:dyDescent="0.2">
      <c r="E1303" s="50"/>
      <c r="H1303" s="12"/>
      <c r="K1303"/>
    </row>
    <row r="1304" spans="5:11" ht="13.5" customHeight="1" x14ac:dyDescent="0.2">
      <c r="E1304" s="50"/>
      <c r="H1304" s="12"/>
      <c r="K1304"/>
    </row>
    <row r="1305" spans="5:11" ht="13.5" customHeight="1" x14ac:dyDescent="0.2">
      <c r="E1305" s="50"/>
      <c r="H1305" s="12"/>
      <c r="K1305"/>
    </row>
    <row r="1306" spans="5:11" ht="13.5" customHeight="1" x14ac:dyDescent="0.2">
      <c r="E1306" s="50"/>
      <c r="H1306" s="12"/>
      <c r="K1306"/>
    </row>
    <row r="1307" spans="5:11" ht="13.5" customHeight="1" x14ac:dyDescent="0.2">
      <c r="E1307" s="50"/>
      <c r="H1307" s="12"/>
      <c r="K1307"/>
    </row>
    <row r="1308" spans="5:11" ht="13.5" customHeight="1" x14ac:dyDescent="0.2">
      <c r="E1308" s="50"/>
      <c r="H1308" s="12"/>
      <c r="K1308"/>
    </row>
    <row r="1309" spans="5:11" ht="13.5" customHeight="1" x14ac:dyDescent="0.2">
      <c r="E1309" s="50"/>
      <c r="H1309" s="12"/>
      <c r="K1309"/>
    </row>
    <row r="1310" spans="5:11" ht="13.5" customHeight="1" x14ac:dyDescent="0.2">
      <c r="E1310" s="50"/>
      <c r="H1310" s="12"/>
      <c r="K1310"/>
    </row>
    <row r="1311" spans="5:11" ht="13.5" customHeight="1" x14ac:dyDescent="0.2">
      <c r="E1311" s="50"/>
      <c r="H1311" s="12"/>
      <c r="K1311"/>
    </row>
    <row r="1312" spans="5:11" ht="13.5" customHeight="1" x14ac:dyDescent="0.2">
      <c r="E1312" s="50"/>
      <c r="H1312" s="12"/>
      <c r="K1312"/>
    </row>
    <row r="1313" spans="5:11" x14ac:dyDescent="0.2">
      <c r="E1313" s="50"/>
      <c r="H1313" s="12"/>
      <c r="K1313"/>
    </row>
    <row r="1314" spans="5:11" x14ac:dyDescent="0.2">
      <c r="E1314" s="50"/>
      <c r="H1314" s="12"/>
      <c r="K1314"/>
    </row>
    <row r="1315" spans="5:11" x14ac:dyDescent="0.2">
      <c r="E1315" s="50"/>
      <c r="H1315" s="12"/>
      <c r="K1315"/>
    </row>
    <row r="1316" spans="5:11" x14ac:dyDescent="0.2">
      <c r="E1316" s="50"/>
      <c r="H1316" s="12"/>
      <c r="K1316"/>
    </row>
    <row r="1317" spans="5:11" x14ac:dyDescent="0.2">
      <c r="E1317" s="50"/>
      <c r="H1317" s="12"/>
      <c r="K1317"/>
    </row>
    <row r="1318" spans="5:11" x14ac:dyDescent="0.2">
      <c r="E1318" s="50"/>
      <c r="H1318" s="12"/>
      <c r="K1318"/>
    </row>
    <row r="1319" spans="5:11" x14ac:dyDescent="0.2">
      <c r="E1319" s="50"/>
      <c r="H1319" s="12"/>
      <c r="K1319"/>
    </row>
    <row r="1320" spans="5:11" x14ac:dyDescent="0.2">
      <c r="E1320" s="50"/>
      <c r="H1320" s="12"/>
      <c r="K1320"/>
    </row>
    <row r="1321" spans="5:11" x14ac:dyDescent="0.2">
      <c r="E1321" s="50"/>
      <c r="H1321" s="12"/>
      <c r="K1321"/>
    </row>
    <row r="1322" spans="5:11" x14ac:dyDescent="0.2">
      <c r="E1322" s="50"/>
      <c r="H1322" s="12"/>
      <c r="K1322"/>
    </row>
    <row r="1323" spans="5:11" x14ac:dyDescent="0.2">
      <c r="E1323" s="50"/>
      <c r="H1323" s="12"/>
      <c r="K1323"/>
    </row>
    <row r="1324" spans="5:11" x14ac:dyDescent="0.2">
      <c r="E1324" s="50"/>
      <c r="H1324" s="12"/>
      <c r="K1324"/>
    </row>
    <row r="1325" spans="5:11" x14ac:dyDescent="0.2">
      <c r="E1325" s="50"/>
      <c r="H1325" s="12"/>
      <c r="K1325"/>
    </row>
    <row r="1326" spans="5:11" x14ac:dyDescent="0.2">
      <c r="E1326" s="50"/>
      <c r="H1326" s="12"/>
      <c r="K1326"/>
    </row>
    <row r="1327" spans="5:11" x14ac:dyDescent="0.2">
      <c r="E1327" s="50"/>
      <c r="H1327" s="12"/>
      <c r="K1327"/>
    </row>
    <row r="1328" spans="5:11" x14ac:dyDescent="0.2">
      <c r="E1328" s="50"/>
      <c r="H1328" s="12"/>
      <c r="K1328"/>
    </row>
    <row r="1329" spans="5:11" x14ac:dyDescent="0.2">
      <c r="E1329" s="50"/>
      <c r="H1329" s="12"/>
      <c r="K1329"/>
    </row>
    <row r="1330" spans="5:11" x14ac:dyDescent="0.2">
      <c r="E1330" s="50"/>
      <c r="H1330" s="12"/>
      <c r="K1330"/>
    </row>
    <row r="1331" spans="5:11" x14ac:dyDescent="0.2">
      <c r="E1331" s="50"/>
      <c r="H1331" s="12"/>
      <c r="K1331"/>
    </row>
    <row r="1332" spans="5:11" x14ac:dyDescent="0.2">
      <c r="E1332" s="50"/>
      <c r="H1332" s="12"/>
      <c r="K1332"/>
    </row>
    <row r="1333" spans="5:11" x14ac:dyDescent="0.2">
      <c r="E1333" s="50"/>
      <c r="H1333" s="12"/>
      <c r="K1333"/>
    </row>
    <row r="1334" spans="5:11" x14ac:dyDescent="0.2">
      <c r="E1334" s="50"/>
      <c r="H1334" s="12"/>
      <c r="K1334"/>
    </row>
    <row r="1335" spans="5:11" x14ac:dyDescent="0.2">
      <c r="E1335" s="50"/>
      <c r="H1335" s="12"/>
      <c r="K1335"/>
    </row>
    <row r="1336" spans="5:11" x14ac:dyDescent="0.2">
      <c r="E1336" s="50"/>
      <c r="H1336" s="12"/>
      <c r="K1336"/>
    </row>
    <row r="1337" spans="5:11" x14ac:dyDescent="0.2">
      <c r="E1337" s="50"/>
      <c r="H1337" s="12"/>
      <c r="K1337"/>
    </row>
    <row r="1338" spans="5:11" x14ac:dyDescent="0.2">
      <c r="E1338" s="50"/>
      <c r="H1338" s="12"/>
      <c r="K1338"/>
    </row>
    <row r="1339" spans="5:11" x14ac:dyDescent="0.2">
      <c r="E1339" s="50"/>
      <c r="H1339" s="12"/>
      <c r="K1339"/>
    </row>
    <row r="1340" spans="5:11" x14ac:dyDescent="0.2">
      <c r="E1340" s="50"/>
      <c r="H1340" s="12"/>
      <c r="K1340"/>
    </row>
    <row r="1341" spans="5:11" x14ac:dyDescent="0.2">
      <c r="E1341" s="50"/>
      <c r="H1341" s="12"/>
      <c r="K1341"/>
    </row>
    <row r="1342" spans="5:11" x14ac:dyDescent="0.2">
      <c r="E1342" s="50"/>
      <c r="H1342" s="12"/>
      <c r="K1342"/>
    </row>
    <row r="1343" spans="5:11" x14ac:dyDescent="0.2">
      <c r="E1343" s="50"/>
      <c r="H1343" s="12"/>
      <c r="K1343"/>
    </row>
    <row r="1344" spans="5:11" x14ac:dyDescent="0.2">
      <c r="E1344" s="50"/>
      <c r="H1344" s="12"/>
      <c r="K1344"/>
    </row>
    <row r="1345" spans="5:11" x14ac:dyDescent="0.2">
      <c r="E1345" s="50"/>
      <c r="H1345" s="12"/>
      <c r="K1345"/>
    </row>
    <row r="1346" spans="5:11" x14ac:dyDescent="0.2">
      <c r="E1346" s="50"/>
      <c r="H1346" s="12"/>
      <c r="K1346"/>
    </row>
    <row r="1347" spans="5:11" x14ac:dyDescent="0.2">
      <c r="E1347" s="50"/>
      <c r="H1347" s="12"/>
      <c r="K1347"/>
    </row>
    <row r="1348" spans="5:11" x14ac:dyDescent="0.2">
      <c r="E1348" s="50"/>
      <c r="H1348" s="12"/>
      <c r="K1348"/>
    </row>
    <row r="1349" spans="5:11" x14ac:dyDescent="0.2">
      <c r="E1349" s="50"/>
      <c r="H1349" s="12"/>
      <c r="K1349"/>
    </row>
    <row r="1350" spans="5:11" x14ac:dyDescent="0.2">
      <c r="E1350" s="50"/>
      <c r="H1350" s="12"/>
      <c r="K1350"/>
    </row>
    <row r="1351" spans="5:11" x14ac:dyDescent="0.2">
      <c r="E1351" s="50"/>
      <c r="H1351" s="12"/>
      <c r="K1351"/>
    </row>
    <row r="1352" spans="5:11" x14ac:dyDescent="0.2">
      <c r="E1352" s="50"/>
      <c r="H1352" s="12"/>
      <c r="K1352"/>
    </row>
    <row r="1353" spans="5:11" x14ac:dyDescent="0.2">
      <c r="E1353" s="50"/>
      <c r="H1353" s="12"/>
      <c r="K1353"/>
    </row>
    <row r="1354" spans="5:11" x14ac:dyDescent="0.2">
      <c r="E1354" s="50"/>
      <c r="H1354" s="12"/>
      <c r="K1354"/>
    </row>
    <row r="1355" spans="5:11" x14ac:dyDescent="0.2">
      <c r="E1355" s="50"/>
      <c r="H1355" s="12"/>
      <c r="K1355"/>
    </row>
    <row r="1356" spans="5:11" x14ac:dyDescent="0.2">
      <c r="E1356" s="50"/>
      <c r="H1356" s="12"/>
      <c r="K1356"/>
    </row>
    <row r="1357" spans="5:11" x14ac:dyDescent="0.2">
      <c r="E1357" s="50"/>
      <c r="H1357" s="12"/>
      <c r="K1357"/>
    </row>
    <row r="1358" spans="5:11" x14ac:dyDescent="0.2">
      <c r="E1358" s="50"/>
      <c r="H1358" s="12"/>
      <c r="K1358"/>
    </row>
    <row r="1359" spans="5:11" x14ac:dyDescent="0.2">
      <c r="E1359" s="50"/>
      <c r="H1359" s="12"/>
      <c r="K1359"/>
    </row>
    <row r="1360" spans="5:11" x14ac:dyDescent="0.2">
      <c r="E1360" s="50"/>
      <c r="H1360" s="12"/>
      <c r="K1360"/>
    </row>
    <row r="1361" spans="5:11" x14ac:dyDescent="0.2">
      <c r="E1361" s="50"/>
      <c r="H1361" s="12"/>
      <c r="K1361"/>
    </row>
    <row r="1362" spans="5:11" x14ac:dyDescent="0.2">
      <c r="E1362" s="50"/>
      <c r="H1362" s="12"/>
      <c r="K1362"/>
    </row>
    <row r="1363" spans="5:11" x14ac:dyDescent="0.2">
      <c r="E1363" s="50"/>
      <c r="H1363" s="12"/>
      <c r="K1363"/>
    </row>
    <row r="1364" spans="5:11" x14ac:dyDescent="0.2">
      <c r="E1364" s="50"/>
      <c r="H1364" s="12"/>
      <c r="K1364"/>
    </row>
    <row r="1365" spans="5:11" x14ac:dyDescent="0.2">
      <c r="E1365" s="50"/>
      <c r="H1365" s="12"/>
      <c r="K1365"/>
    </row>
    <row r="1366" spans="5:11" x14ac:dyDescent="0.2">
      <c r="E1366" s="50"/>
      <c r="H1366" s="12"/>
      <c r="K1366"/>
    </row>
    <row r="1367" spans="5:11" x14ac:dyDescent="0.2">
      <c r="E1367" s="50"/>
      <c r="H1367" s="12"/>
      <c r="K1367"/>
    </row>
    <row r="1368" spans="5:11" x14ac:dyDescent="0.2">
      <c r="E1368" s="50"/>
      <c r="H1368" s="12"/>
      <c r="K1368"/>
    </row>
    <row r="1369" spans="5:11" x14ac:dyDescent="0.2">
      <c r="E1369" s="50"/>
      <c r="H1369" s="12"/>
      <c r="K1369"/>
    </row>
    <row r="1370" spans="5:11" x14ac:dyDescent="0.2">
      <c r="E1370" s="50"/>
      <c r="H1370" s="12"/>
      <c r="K1370"/>
    </row>
    <row r="1371" spans="5:11" x14ac:dyDescent="0.2">
      <c r="E1371" s="50"/>
      <c r="H1371" s="12"/>
      <c r="K1371"/>
    </row>
    <row r="1372" spans="5:11" x14ac:dyDescent="0.2">
      <c r="E1372" s="50"/>
      <c r="H1372" s="12"/>
      <c r="K1372"/>
    </row>
    <row r="1373" spans="5:11" x14ac:dyDescent="0.2">
      <c r="E1373" s="50"/>
      <c r="H1373" s="12"/>
      <c r="K1373"/>
    </row>
    <row r="1374" spans="5:11" x14ac:dyDescent="0.2">
      <c r="E1374" s="50"/>
      <c r="H1374" s="12"/>
      <c r="K1374"/>
    </row>
    <row r="1375" spans="5:11" x14ac:dyDescent="0.2">
      <c r="E1375" s="50"/>
      <c r="H1375" s="12"/>
      <c r="K1375"/>
    </row>
    <row r="1376" spans="5:11" x14ac:dyDescent="0.2">
      <c r="E1376" s="50"/>
      <c r="H1376" s="12"/>
      <c r="K1376"/>
    </row>
    <row r="1377" spans="5:11" x14ac:dyDescent="0.2">
      <c r="E1377" s="50"/>
      <c r="H1377" s="12"/>
      <c r="K1377"/>
    </row>
    <row r="1378" spans="5:11" x14ac:dyDescent="0.2">
      <c r="E1378" s="50"/>
      <c r="H1378" s="12"/>
      <c r="K1378"/>
    </row>
    <row r="1379" spans="5:11" x14ac:dyDescent="0.2">
      <c r="E1379" s="50"/>
      <c r="H1379" s="12"/>
      <c r="K1379"/>
    </row>
    <row r="1380" spans="5:11" x14ac:dyDescent="0.2">
      <c r="E1380" s="50"/>
      <c r="H1380" s="12"/>
      <c r="K1380"/>
    </row>
    <row r="1381" spans="5:11" x14ac:dyDescent="0.2">
      <c r="E1381" s="50"/>
      <c r="H1381" s="12"/>
      <c r="K1381"/>
    </row>
    <row r="1382" spans="5:11" x14ac:dyDescent="0.2">
      <c r="E1382" s="50"/>
      <c r="H1382" s="12"/>
      <c r="K1382"/>
    </row>
    <row r="1383" spans="5:11" x14ac:dyDescent="0.2">
      <c r="E1383" s="50"/>
      <c r="H1383" s="12"/>
      <c r="K1383"/>
    </row>
    <row r="1384" spans="5:11" x14ac:dyDescent="0.2">
      <c r="E1384" s="50"/>
      <c r="H1384" s="12"/>
      <c r="K1384"/>
    </row>
    <row r="1385" spans="5:11" x14ac:dyDescent="0.2">
      <c r="E1385" s="50"/>
      <c r="H1385" s="12"/>
      <c r="K1385"/>
    </row>
    <row r="1386" spans="5:11" x14ac:dyDescent="0.2">
      <c r="E1386" s="50"/>
      <c r="H1386" s="12"/>
      <c r="K1386"/>
    </row>
    <row r="1387" spans="5:11" x14ac:dyDescent="0.2">
      <c r="E1387" s="50"/>
      <c r="H1387" s="12"/>
      <c r="K1387"/>
    </row>
    <row r="1388" spans="5:11" x14ac:dyDescent="0.2">
      <c r="E1388" s="50"/>
      <c r="H1388" s="12"/>
      <c r="K1388"/>
    </row>
    <row r="1389" spans="5:11" x14ac:dyDescent="0.2">
      <c r="E1389" s="50"/>
      <c r="H1389" s="12"/>
      <c r="K1389"/>
    </row>
    <row r="1390" spans="5:11" x14ac:dyDescent="0.2">
      <c r="E1390" s="50"/>
      <c r="H1390" s="12"/>
      <c r="K1390"/>
    </row>
    <row r="1391" spans="5:11" x14ac:dyDescent="0.2">
      <c r="E1391" s="50"/>
      <c r="H1391" s="12"/>
      <c r="K1391"/>
    </row>
    <row r="1392" spans="5:11" x14ac:dyDescent="0.2">
      <c r="E1392" s="50"/>
      <c r="H1392" s="12"/>
      <c r="K1392"/>
    </row>
    <row r="1393" spans="5:11" x14ac:dyDescent="0.2">
      <c r="E1393" s="50"/>
      <c r="H1393" s="12"/>
      <c r="K1393"/>
    </row>
    <row r="1394" spans="5:11" x14ac:dyDescent="0.2">
      <c r="E1394" s="50"/>
      <c r="H1394" s="12"/>
      <c r="K1394"/>
    </row>
    <row r="1395" spans="5:11" x14ac:dyDescent="0.2">
      <c r="E1395" s="50"/>
      <c r="H1395" s="12"/>
      <c r="K1395"/>
    </row>
    <row r="1396" spans="5:11" x14ac:dyDescent="0.2">
      <c r="E1396" s="50"/>
      <c r="H1396" s="12"/>
      <c r="K1396"/>
    </row>
    <row r="1397" spans="5:11" x14ac:dyDescent="0.2">
      <c r="E1397" s="50"/>
      <c r="H1397" s="12"/>
      <c r="K1397"/>
    </row>
    <row r="1398" spans="5:11" x14ac:dyDescent="0.2">
      <c r="E1398" s="50"/>
      <c r="H1398" s="12"/>
      <c r="K1398"/>
    </row>
    <row r="1399" spans="5:11" x14ac:dyDescent="0.2">
      <c r="E1399" s="50"/>
      <c r="H1399" s="12"/>
      <c r="K1399"/>
    </row>
    <row r="1400" spans="5:11" x14ac:dyDescent="0.2">
      <c r="E1400" s="50"/>
      <c r="H1400" s="12"/>
      <c r="K1400"/>
    </row>
    <row r="1401" spans="5:11" x14ac:dyDescent="0.2">
      <c r="E1401" s="50"/>
      <c r="H1401" s="12"/>
      <c r="K1401"/>
    </row>
    <row r="1402" spans="5:11" x14ac:dyDescent="0.2">
      <c r="E1402" s="50"/>
      <c r="H1402" s="12"/>
      <c r="K1402"/>
    </row>
    <row r="1403" spans="5:11" x14ac:dyDescent="0.2">
      <c r="E1403" s="50"/>
      <c r="H1403" s="12"/>
      <c r="K1403"/>
    </row>
    <row r="1404" spans="5:11" x14ac:dyDescent="0.2">
      <c r="E1404" s="50"/>
      <c r="H1404" s="12"/>
      <c r="K1404"/>
    </row>
    <row r="1405" spans="5:11" x14ac:dyDescent="0.2">
      <c r="E1405" s="50"/>
      <c r="H1405" s="12"/>
      <c r="K1405"/>
    </row>
    <row r="1406" spans="5:11" x14ac:dyDescent="0.2">
      <c r="E1406" s="50"/>
      <c r="H1406" s="12"/>
      <c r="K1406"/>
    </row>
    <row r="1407" spans="5:11" x14ac:dyDescent="0.2">
      <c r="E1407" s="50"/>
      <c r="H1407" s="12"/>
      <c r="K1407"/>
    </row>
    <row r="1408" spans="5:11" x14ac:dyDescent="0.2">
      <c r="E1408" s="50"/>
      <c r="H1408" s="12"/>
      <c r="K1408"/>
    </row>
    <row r="1409" spans="5:11" x14ac:dyDescent="0.2">
      <c r="E1409" s="50"/>
      <c r="H1409" s="12"/>
      <c r="K1409"/>
    </row>
    <row r="1410" spans="5:11" x14ac:dyDescent="0.2">
      <c r="E1410" s="50"/>
      <c r="H1410" s="12"/>
      <c r="K1410"/>
    </row>
    <row r="1411" spans="5:11" x14ac:dyDescent="0.2">
      <c r="E1411" s="50"/>
      <c r="H1411" s="12"/>
      <c r="K1411"/>
    </row>
    <row r="1412" spans="5:11" x14ac:dyDescent="0.2">
      <c r="E1412" s="50"/>
      <c r="H1412" s="12"/>
      <c r="K1412"/>
    </row>
    <row r="1413" spans="5:11" x14ac:dyDescent="0.2">
      <c r="E1413" s="50"/>
      <c r="H1413" s="12"/>
      <c r="K1413"/>
    </row>
    <row r="1414" spans="5:11" x14ac:dyDescent="0.2">
      <c r="E1414" s="50"/>
      <c r="H1414" s="12"/>
      <c r="K1414"/>
    </row>
    <row r="1415" spans="5:11" x14ac:dyDescent="0.2">
      <c r="E1415" s="50"/>
      <c r="H1415" s="12"/>
      <c r="K1415"/>
    </row>
    <row r="1416" spans="5:11" x14ac:dyDescent="0.2">
      <c r="E1416" s="50"/>
      <c r="H1416" s="12"/>
      <c r="K1416"/>
    </row>
    <row r="1417" spans="5:11" x14ac:dyDescent="0.2">
      <c r="E1417" s="50"/>
      <c r="H1417" s="12"/>
      <c r="K1417"/>
    </row>
    <row r="1418" spans="5:11" x14ac:dyDescent="0.2">
      <c r="E1418" s="50"/>
      <c r="H1418" s="12"/>
      <c r="K1418"/>
    </row>
    <row r="1419" spans="5:11" x14ac:dyDescent="0.2">
      <c r="E1419" s="50"/>
      <c r="H1419" s="12"/>
      <c r="K1419"/>
    </row>
    <row r="1420" spans="5:11" x14ac:dyDescent="0.2">
      <c r="E1420" s="50"/>
      <c r="H1420" s="12"/>
      <c r="K1420"/>
    </row>
    <row r="1421" spans="5:11" x14ac:dyDescent="0.2">
      <c r="E1421" s="50"/>
      <c r="H1421" s="12"/>
      <c r="K1421"/>
    </row>
    <row r="1422" spans="5:11" x14ac:dyDescent="0.2">
      <c r="E1422" s="50"/>
      <c r="H1422" s="12"/>
      <c r="K1422"/>
    </row>
    <row r="1423" spans="5:11" x14ac:dyDescent="0.2">
      <c r="E1423" s="50"/>
      <c r="H1423" s="12"/>
      <c r="K1423"/>
    </row>
    <row r="1424" spans="5:11" x14ac:dyDescent="0.2">
      <c r="E1424" s="50"/>
      <c r="H1424" s="12"/>
      <c r="K1424"/>
    </row>
    <row r="1425" spans="5:11" x14ac:dyDescent="0.2">
      <c r="E1425" s="50"/>
      <c r="H1425" s="12"/>
      <c r="K1425"/>
    </row>
    <row r="1426" spans="5:11" x14ac:dyDescent="0.2">
      <c r="E1426" s="50"/>
      <c r="H1426" s="12"/>
      <c r="K1426"/>
    </row>
    <row r="1427" spans="5:11" x14ac:dyDescent="0.2">
      <c r="E1427" s="50"/>
      <c r="H1427" s="12"/>
      <c r="K1427"/>
    </row>
    <row r="1428" spans="5:11" x14ac:dyDescent="0.2">
      <c r="E1428" s="50"/>
      <c r="H1428" s="12"/>
      <c r="K1428"/>
    </row>
    <row r="1429" spans="5:11" x14ac:dyDescent="0.2">
      <c r="E1429" s="50"/>
      <c r="H1429" s="12"/>
      <c r="K1429"/>
    </row>
    <row r="1430" spans="5:11" x14ac:dyDescent="0.2">
      <c r="E1430" s="50"/>
      <c r="H1430" s="12"/>
      <c r="K1430"/>
    </row>
    <row r="1431" spans="5:11" x14ac:dyDescent="0.2">
      <c r="E1431" s="50"/>
      <c r="H1431" s="12"/>
      <c r="K1431"/>
    </row>
    <row r="1432" spans="5:11" x14ac:dyDescent="0.2">
      <c r="E1432" s="50"/>
      <c r="H1432" s="12"/>
      <c r="K1432"/>
    </row>
    <row r="1433" spans="5:11" x14ac:dyDescent="0.2">
      <c r="E1433" s="50"/>
      <c r="H1433" s="12"/>
      <c r="K1433"/>
    </row>
    <row r="1434" spans="5:11" x14ac:dyDescent="0.2">
      <c r="E1434" s="50"/>
      <c r="H1434" s="12"/>
      <c r="K1434"/>
    </row>
    <row r="1435" spans="5:11" x14ac:dyDescent="0.2">
      <c r="E1435" s="50"/>
      <c r="H1435" s="12"/>
      <c r="K1435"/>
    </row>
    <row r="1436" spans="5:11" x14ac:dyDescent="0.2">
      <c r="E1436" s="50"/>
      <c r="H1436" s="12"/>
      <c r="K1436"/>
    </row>
    <row r="1437" spans="5:11" x14ac:dyDescent="0.2">
      <c r="E1437" s="50"/>
      <c r="H1437" s="12"/>
      <c r="K1437"/>
    </row>
    <row r="1438" spans="5:11" x14ac:dyDescent="0.2">
      <c r="E1438" s="50"/>
      <c r="H1438" s="12"/>
      <c r="K1438"/>
    </row>
    <row r="1439" spans="5:11" x14ac:dyDescent="0.2">
      <c r="E1439" s="50"/>
      <c r="H1439" s="12"/>
      <c r="K1439"/>
    </row>
    <row r="1440" spans="5:11" x14ac:dyDescent="0.2">
      <c r="E1440" s="50"/>
      <c r="H1440" s="12"/>
      <c r="K1440"/>
    </row>
    <row r="1441" spans="5:11" x14ac:dyDescent="0.2">
      <c r="E1441" s="50"/>
      <c r="H1441" s="12"/>
      <c r="K1441"/>
    </row>
    <row r="1442" spans="5:11" x14ac:dyDescent="0.2">
      <c r="E1442" s="50"/>
      <c r="H1442" s="12"/>
      <c r="K1442"/>
    </row>
    <row r="1443" spans="5:11" x14ac:dyDescent="0.2">
      <c r="E1443" s="50"/>
      <c r="H1443" s="12"/>
      <c r="K1443"/>
    </row>
    <row r="1444" spans="5:11" x14ac:dyDescent="0.2">
      <c r="E1444" s="50"/>
      <c r="H1444" s="12"/>
      <c r="K1444"/>
    </row>
    <row r="1445" spans="5:11" x14ac:dyDescent="0.2">
      <c r="E1445" s="50"/>
      <c r="H1445" s="12"/>
      <c r="K1445"/>
    </row>
    <row r="1446" spans="5:11" x14ac:dyDescent="0.2">
      <c r="E1446" s="50"/>
      <c r="H1446" s="12"/>
      <c r="K1446"/>
    </row>
    <row r="1447" spans="5:11" x14ac:dyDescent="0.2">
      <c r="E1447" s="50"/>
      <c r="H1447" s="12"/>
      <c r="K1447"/>
    </row>
    <row r="1448" spans="5:11" x14ac:dyDescent="0.2">
      <c r="E1448" s="50"/>
      <c r="H1448" s="12"/>
      <c r="K1448"/>
    </row>
    <row r="1449" spans="5:11" x14ac:dyDescent="0.2">
      <c r="E1449" s="50"/>
      <c r="H1449" s="12"/>
      <c r="K1449"/>
    </row>
    <row r="1450" spans="5:11" x14ac:dyDescent="0.2">
      <c r="E1450" s="50"/>
      <c r="H1450" s="12"/>
      <c r="K1450"/>
    </row>
    <row r="1451" spans="5:11" x14ac:dyDescent="0.2">
      <c r="E1451" s="50"/>
      <c r="H1451" s="12"/>
      <c r="K1451"/>
    </row>
    <row r="1452" spans="5:11" x14ac:dyDescent="0.2">
      <c r="E1452" s="50"/>
      <c r="H1452" s="12"/>
      <c r="K1452"/>
    </row>
    <row r="1453" spans="5:11" x14ac:dyDescent="0.2">
      <c r="E1453" s="50"/>
      <c r="H1453" s="12"/>
      <c r="K1453"/>
    </row>
    <row r="1454" spans="5:11" x14ac:dyDescent="0.2">
      <c r="E1454" s="50"/>
      <c r="H1454" s="12"/>
      <c r="K1454"/>
    </row>
    <row r="1455" spans="5:11" x14ac:dyDescent="0.2">
      <c r="E1455" s="50"/>
      <c r="H1455" s="12"/>
      <c r="K1455"/>
    </row>
    <row r="1456" spans="5:11" x14ac:dyDescent="0.2">
      <c r="E1456" s="50"/>
      <c r="H1456" s="12"/>
      <c r="K1456"/>
    </row>
    <row r="1457" spans="5:11" x14ac:dyDescent="0.2">
      <c r="E1457" s="50"/>
      <c r="H1457" s="12"/>
      <c r="K1457"/>
    </row>
    <row r="1458" spans="5:11" x14ac:dyDescent="0.2">
      <c r="E1458" s="50"/>
      <c r="H1458" s="12"/>
      <c r="K1458"/>
    </row>
    <row r="1459" spans="5:11" x14ac:dyDescent="0.2">
      <c r="E1459" s="50"/>
      <c r="H1459" s="12"/>
      <c r="K1459"/>
    </row>
    <row r="1460" spans="5:11" x14ac:dyDescent="0.2">
      <c r="E1460" s="50"/>
      <c r="H1460" s="12"/>
      <c r="K1460"/>
    </row>
    <row r="1461" spans="5:11" x14ac:dyDescent="0.2">
      <c r="E1461" s="50"/>
      <c r="H1461" s="12"/>
      <c r="K1461"/>
    </row>
    <row r="1462" spans="5:11" x14ac:dyDescent="0.2">
      <c r="E1462" s="50"/>
      <c r="H1462" s="12"/>
      <c r="K1462"/>
    </row>
    <row r="1463" spans="5:11" x14ac:dyDescent="0.2">
      <c r="E1463" s="50"/>
      <c r="H1463" s="12"/>
      <c r="K1463"/>
    </row>
    <row r="1464" spans="5:11" x14ac:dyDescent="0.2">
      <c r="E1464" s="50"/>
      <c r="H1464" s="12"/>
      <c r="K1464"/>
    </row>
    <row r="1465" spans="5:11" x14ac:dyDescent="0.2">
      <c r="E1465" s="50"/>
      <c r="H1465" s="12"/>
      <c r="K1465"/>
    </row>
    <row r="1466" spans="5:11" x14ac:dyDescent="0.2">
      <c r="E1466" s="50"/>
      <c r="H1466" s="12"/>
      <c r="K1466"/>
    </row>
    <row r="1467" spans="5:11" x14ac:dyDescent="0.2">
      <c r="E1467" s="50"/>
      <c r="H1467" s="12"/>
      <c r="K1467"/>
    </row>
    <row r="1468" spans="5:11" x14ac:dyDescent="0.2">
      <c r="E1468" s="50"/>
      <c r="H1468" s="12"/>
      <c r="K1468"/>
    </row>
    <row r="1469" spans="5:11" x14ac:dyDescent="0.2">
      <c r="E1469" s="50"/>
      <c r="H1469" s="12"/>
      <c r="K1469"/>
    </row>
    <row r="1470" spans="5:11" x14ac:dyDescent="0.2">
      <c r="E1470" s="50"/>
      <c r="H1470" s="12"/>
      <c r="K1470"/>
    </row>
    <row r="1471" spans="5:11" x14ac:dyDescent="0.2">
      <c r="E1471" s="50"/>
      <c r="H1471" s="12"/>
      <c r="K1471"/>
    </row>
    <row r="1472" spans="5:11" x14ac:dyDescent="0.2">
      <c r="E1472" s="50"/>
      <c r="H1472" s="12"/>
      <c r="K1472"/>
    </row>
    <row r="1473" spans="5:11" x14ac:dyDescent="0.2">
      <c r="E1473" s="50"/>
      <c r="H1473" s="12"/>
      <c r="K1473"/>
    </row>
    <row r="1474" spans="5:11" x14ac:dyDescent="0.2">
      <c r="E1474" s="50"/>
      <c r="H1474" s="12"/>
      <c r="K1474"/>
    </row>
    <row r="1475" spans="5:11" x14ac:dyDescent="0.2">
      <c r="E1475" s="50"/>
      <c r="H1475" s="12"/>
      <c r="K1475"/>
    </row>
    <row r="1476" spans="5:11" x14ac:dyDescent="0.2">
      <c r="E1476" s="50"/>
      <c r="H1476" s="12"/>
      <c r="K1476"/>
    </row>
    <row r="1477" spans="5:11" x14ac:dyDescent="0.2">
      <c r="E1477" s="50"/>
      <c r="H1477" s="12"/>
      <c r="K1477"/>
    </row>
    <row r="1478" spans="5:11" x14ac:dyDescent="0.2">
      <c r="E1478" s="50"/>
      <c r="H1478" s="12"/>
      <c r="K1478"/>
    </row>
    <row r="1479" spans="5:11" x14ac:dyDescent="0.2">
      <c r="E1479" s="50"/>
      <c r="H1479" s="12"/>
      <c r="K1479"/>
    </row>
    <row r="1480" spans="5:11" x14ac:dyDescent="0.2">
      <c r="E1480" s="50"/>
      <c r="H1480" s="12"/>
      <c r="K1480"/>
    </row>
    <row r="1481" spans="5:11" x14ac:dyDescent="0.2">
      <c r="E1481" s="50"/>
      <c r="H1481" s="12"/>
      <c r="K1481"/>
    </row>
    <row r="1482" spans="5:11" x14ac:dyDescent="0.2">
      <c r="E1482" s="50"/>
      <c r="H1482" s="12"/>
      <c r="K1482"/>
    </row>
    <row r="1483" spans="5:11" x14ac:dyDescent="0.2">
      <c r="E1483" s="50"/>
      <c r="H1483" s="12"/>
      <c r="K1483"/>
    </row>
    <row r="1484" spans="5:11" x14ac:dyDescent="0.2">
      <c r="E1484" s="50"/>
      <c r="H1484" s="12"/>
      <c r="K1484"/>
    </row>
    <row r="1485" spans="5:11" x14ac:dyDescent="0.2">
      <c r="E1485" s="50"/>
      <c r="H1485" s="12"/>
      <c r="K1485"/>
    </row>
    <row r="1486" spans="5:11" x14ac:dyDescent="0.2">
      <c r="E1486" s="50"/>
      <c r="H1486" s="12"/>
      <c r="K1486"/>
    </row>
    <row r="1487" spans="5:11" x14ac:dyDescent="0.2">
      <c r="E1487" s="50"/>
      <c r="H1487" s="12"/>
      <c r="K1487"/>
    </row>
    <row r="1488" spans="5:11" x14ac:dyDescent="0.2">
      <c r="E1488" s="50"/>
      <c r="H1488" s="12"/>
      <c r="K1488"/>
    </row>
    <row r="1489" spans="5:11" x14ac:dyDescent="0.2">
      <c r="E1489" s="50"/>
      <c r="H1489" s="12"/>
      <c r="K1489"/>
    </row>
    <row r="1490" spans="5:11" x14ac:dyDescent="0.2">
      <c r="E1490" s="50"/>
      <c r="H1490" s="12"/>
      <c r="K1490"/>
    </row>
    <row r="1491" spans="5:11" x14ac:dyDescent="0.2">
      <c r="E1491" s="50"/>
      <c r="H1491" s="12"/>
      <c r="K1491"/>
    </row>
    <row r="1492" spans="5:11" x14ac:dyDescent="0.2">
      <c r="E1492" s="50"/>
      <c r="H1492" s="12"/>
      <c r="K1492"/>
    </row>
    <row r="1493" spans="5:11" x14ac:dyDescent="0.2">
      <c r="E1493" s="50"/>
      <c r="H1493" s="12"/>
      <c r="K1493"/>
    </row>
    <row r="1494" spans="5:11" x14ac:dyDescent="0.2">
      <c r="E1494" s="50"/>
      <c r="H1494" s="12"/>
      <c r="K1494"/>
    </row>
    <row r="1495" spans="5:11" x14ac:dyDescent="0.2">
      <c r="E1495" s="50"/>
      <c r="H1495" s="12"/>
      <c r="K1495"/>
    </row>
    <row r="1496" spans="5:11" x14ac:dyDescent="0.2">
      <c r="E1496" s="50"/>
      <c r="H1496" s="12"/>
      <c r="K1496"/>
    </row>
    <row r="1497" spans="5:11" x14ac:dyDescent="0.2">
      <c r="E1497" s="50"/>
      <c r="H1497" s="12"/>
      <c r="K1497"/>
    </row>
    <row r="1498" spans="5:11" x14ac:dyDescent="0.2">
      <c r="E1498" s="50"/>
      <c r="H1498" s="12"/>
      <c r="K1498"/>
    </row>
    <row r="1499" spans="5:11" x14ac:dyDescent="0.2">
      <c r="E1499" s="50"/>
      <c r="H1499" s="12"/>
      <c r="K1499"/>
    </row>
    <row r="1500" spans="5:11" x14ac:dyDescent="0.2">
      <c r="E1500" s="50"/>
      <c r="H1500" s="12"/>
      <c r="K1500"/>
    </row>
    <row r="1501" spans="5:11" x14ac:dyDescent="0.2">
      <c r="E1501" s="50"/>
      <c r="H1501" s="12"/>
      <c r="K1501"/>
    </row>
    <row r="1502" spans="5:11" x14ac:dyDescent="0.2">
      <c r="E1502" s="50"/>
      <c r="H1502" s="12"/>
      <c r="K1502"/>
    </row>
    <row r="1503" spans="5:11" x14ac:dyDescent="0.2">
      <c r="E1503" s="50"/>
      <c r="H1503" s="12"/>
      <c r="K1503"/>
    </row>
    <row r="1504" spans="5:11" x14ac:dyDescent="0.2">
      <c r="E1504" s="50"/>
      <c r="H1504" s="12"/>
      <c r="K1504"/>
    </row>
    <row r="1505" spans="5:11" x14ac:dyDescent="0.2">
      <c r="E1505" s="50"/>
      <c r="H1505" s="12"/>
      <c r="K1505"/>
    </row>
    <row r="1506" spans="5:11" x14ac:dyDescent="0.2">
      <c r="E1506" s="50"/>
      <c r="H1506" s="12"/>
      <c r="K1506"/>
    </row>
    <row r="1507" spans="5:11" x14ac:dyDescent="0.2">
      <c r="E1507" s="50"/>
      <c r="H1507" s="12"/>
      <c r="K1507"/>
    </row>
    <row r="1508" spans="5:11" x14ac:dyDescent="0.2">
      <c r="E1508" s="50"/>
      <c r="H1508" s="12"/>
      <c r="K1508"/>
    </row>
    <row r="1509" spans="5:11" x14ac:dyDescent="0.2">
      <c r="E1509" s="50"/>
      <c r="H1509" s="12"/>
      <c r="K1509"/>
    </row>
    <row r="1510" spans="5:11" x14ac:dyDescent="0.2">
      <c r="E1510" s="50"/>
      <c r="H1510" s="12"/>
      <c r="K1510"/>
    </row>
    <row r="1511" spans="5:11" x14ac:dyDescent="0.2">
      <c r="E1511" s="50"/>
      <c r="H1511" s="12"/>
      <c r="K1511"/>
    </row>
    <row r="1512" spans="5:11" x14ac:dyDescent="0.2">
      <c r="E1512" s="50"/>
      <c r="H1512" s="12"/>
      <c r="K1512"/>
    </row>
    <row r="1513" spans="5:11" x14ac:dyDescent="0.2">
      <c r="E1513" s="50"/>
      <c r="H1513" s="12"/>
      <c r="K1513"/>
    </row>
    <row r="1514" spans="5:11" x14ac:dyDescent="0.2">
      <c r="E1514" s="50"/>
      <c r="H1514" s="12"/>
      <c r="K1514"/>
    </row>
    <row r="1515" spans="5:11" x14ac:dyDescent="0.2">
      <c r="E1515" s="50"/>
      <c r="H1515" s="12"/>
      <c r="K1515"/>
    </row>
    <row r="1516" spans="5:11" x14ac:dyDescent="0.2">
      <c r="E1516" s="50"/>
      <c r="H1516" s="12"/>
      <c r="K1516"/>
    </row>
    <row r="1517" spans="5:11" x14ac:dyDescent="0.2">
      <c r="E1517" s="50"/>
      <c r="H1517" s="12"/>
      <c r="K1517"/>
    </row>
    <row r="1518" spans="5:11" x14ac:dyDescent="0.2">
      <c r="E1518" s="50"/>
      <c r="H1518" s="12"/>
      <c r="K1518"/>
    </row>
    <row r="1519" spans="5:11" x14ac:dyDescent="0.2">
      <c r="E1519" s="50"/>
      <c r="H1519" s="12"/>
      <c r="K1519"/>
    </row>
    <row r="1520" spans="5:11" x14ac:dyDescent="0.2">
      <c r="E1520" s="50"/>
      <c r="H1520" s="12"/>
      <c r="K1520"/>
    </row>
    <row r="1521" spans="5:11" x14ac:dyDescent="0.2">
      <c r="E1521" s="50"/>
      <c r="H1521" s="12"/>
      <c r="K1521"/>
    </row>
    <row r="1522" spans="5:11" x14ac:dyDescent="0.2">
      <c r="E1522" s="50"/>
      <c r="H1522" s="12"/>
      <c r="K1522"/>
    </row>
    <row r="1523" spans="5:11" x14ac:dyDescent="0.2">
      <c r="E1523" s="50"/>
      <c r="H1523" s="12"/>
      <c r="K1523"/>
    </row>
    <row r="1524" spans="5:11" x14ac:dyDescent="0.2">
      <c r="E1524" s="50"/>
      <c r="H1524" s="12"/>
      <c r="K1524"/>
    </row>
    <row r="1525" spans="5:11" x14ac:dyDescent="0.2">
      <c r="E1525" s="50"/>
      <c r="H1525" s="12"/>
      <c r="K1525"/>
    </row>
    <row r="1526" spans="5:11" x14ac:dyDescent="0.2">
      <c r="E1526" s="50"/>
      <c r="H1526" s="12"/>
      <c r="K1526"/>
    </row>
    <row r="1527" spans="5:11" x14ac:dyDescent="0.2">
      <c r="E1527" s="50"/>
      <c r="H1527" s="12"/>
      <c r="K1527"/>
    </row>
    <row r="1528" spans="5:11" x14ac:dyDescent="0.2">
      <c r="E1528" s="50"/>
      <c r="H1528" s="12"/>
      <c r="K1528"/>
    </row>
    <row r="1529" spans="5:11" x14ac:dyDescent="0.2">
      <c r="E1529" s="50"/>
      <c r="H1529" s="12"/>
      <c r="K1529"/>
    </row>
    <row r="1530" spans="5:11" x14ac:dyDescent="0.2">
      <c r="E1530" s="50"/>
      <c r="H1530" s="12"/>
      <c r="K1530"/>
    </row>
    <row r="1531" spans="5:11" x14ac:dyDescent="0.2">
      <c r="E1531" s="50"/>
      <c r="H1531" s="12"/>
      <c r="K1531"/>
    </row>
    <row r="1532" spans="5:11" x14ac:dyDescent="0.2">
      <c r="E1532" s="50"/>
      <c r="H1532" s="12"/>
      <c r="K1532"/>
    </row>
    <row r="1533" spans="5:11" x14ac:dyDescent="0.2">
      <c r="E1533" s="50"/>
      <c r="H1533" s="12"/>
      <c r="K1533"/>
    </row>
    <row r="1534" spans="5:11" x14ac:dyDescent="0.2">
      <c r="E1534" s="50"/>
      <c r="H1534" s="12"/>
      <c r="K1534"/>
    </row>
    <row r="1535" spans="5:11" x14ac:dyDescent="0.2">
      <c r="E1535" s="50"/>
      <c r="H1535" s="12"/>
      <c r="K1535"/>
    </row>
    <row r="1536" spans="5:11" x14ac:dyDescent="0.2">
      <c r="E1536" s="50"/>
      <c r="H1536" s="12"/>
      <c r="K1536"/>
    </row>
    <row r="1537" spans="5:11" x14ac:dyDescent="0.2">
      <c r="E1537" s="50"/>
      <c r="H1537" s="12"/>
      <c r="K1537"/>
    </row>
    <row r="1538" spans="5:11" x14ac:dyDescent="0.2">
      <c r="E1538" s="50"/>
      <c r="H1538" s="12"/>
      <c r="K1538"/>
    </row>
    <row r="1539" spans="5:11" x14ac:dyDescent="0.2">
      <c r="E1539" s="50"/>
      <c r="H1539" s="12"/>
      <c r="K1539"/>
    </row>
    <row r="1540" spans="5:11" x14ac:dyDescent="0.2">
      <c r="E1540" s="50"/>
      <c r="H1540" s="12"/>
      <c r="K1540"/>
    </row>
    <row r="1541" spans="5:11" x14ac:dyDescent="0.2">
      <c r="E1541" s="50"/>
      <c r="H1541" s="12"/>
      <c r="K1541"/>
    </row>
    <row r="1542" spans="5:11" x14ac:dyDescent="0.2">
      <c r="E1542" s="50"/>
      <c r="H1542" s="12"/>
      <c r="K1542"/>
    </row>
    <row r="1543" spans="5:11" x14ac:dyDescent="0.2">
      <c r="E1543" s="50"/>
      <c r="H1543" s="12"/>
      <c r="K1543"/>
    </row>
    <row r="1544" spans="5:11" x14ac:dyDescent="0.2">
      <c r="E1544" s="50"/>
      <c r="H1544" s="12"/>
      <c r="K1544"/>
    </row>
    <row r="1545" spans="5:11" x14ac:dyDescent="0.2">
      <c r="E1545" s="50"/>
      <c r="H1545" s="12"/>
      <c r="K1545"/>
    </row>
    <row r="1546" spans="5:11" x14ac:dyDescent="0.2">
      <c r="E1546" s="50"/>
      <c r="H1546" s="12"/>
      <c r="K1546"/>
    </row>
    <row r="1547" spans="5:11" x14ac:dyDescent="0.2">
      <c r="E1547" s="50"/>
      <c r="H1547" s="12"/>
      <c r="K1547"/>
    </row>
    <row r="1548" spans="5:11" x14ac:dyDescent="0.2">
      <c r="E1548" s="50"/>
      <c r="H1548" s="12"/>
      <c r="K1548"/>
    </row>
    <row r="1549" spans="5:11" x14ac:dyDescent="0.2">
      <c r="E1549" s="50"/>
      <c r="H1549" s="12"/>
      <c r="K1549"/>
    </row>
    <row r="1550" spans="5:11" x14ac:dyDescent="0.2">
      <c r="E1550" s="50"/>
      <c r="H1550" s="12"/>
      <c r="K1550"/>
    </row>
    <row r="1551" spans="5:11" x14ac:dyDescent="0.2">
      <c r="E1551" s="50"/>
      <c r="H1551" s="12"/>
      <c r="K1551"/>
    </row>
    <row r="1552" spans="5:11" x14ac:dyDescent="0.2">
      <c r="E1552" s="50"/>
      <c r="H1552" s="12"/>
      <c r="K1552"/>
    </row>
    <row r="1553" spans="5:11" x14ac:dyDescent="0.2">
      <c r="E1553" s="50"/>
      <c r="H1553" s="12"/>
      <c r="K1553"/>
    </row>
    <row r="1554" spans="5:11" x14ac:dyDescent="0.2">
      <c r="E1554" s="50"/>
      <c r="H1554" s="12"/>
      <c r="K1554"/>
    </row>
    <row r="1555" spans="5:11" x14ac:dyDescent="0.2">
      <c r="E1555" s="50"/>
      <c r="H1555" s="12"/>
      <c r="K1555"/>
    </row>
    <row r="1556" spans="5:11" x14ac:dyDescent="0.2">
      <c r="E1556" s="50"/>
      <c r="H1556" s="12"/>
      <c r="K1556"/>
    </row>
    <row r="1557" spans="5:11" x14ac:dyDescent="0.2">
      <c r="E1557" s="50"/>
      <c r="H1557" s="12"/>
      <c r="K1557"/>
    </row>
    <row r="1558" spans="5:11" x14ac:dyDescent="0.2">
      <c r="E1558" s="50"/>
      <c r="H1558" s="12"/>
      <c r="K1558"/>
    </row>
    <row r="1559" spans="5:11" x14ac:dyDescent="0.2">
      <c r="E1559" s="50"/>
      <c r="H1559" s="12"/>
      <c r="K1559"/>
    </row>
    <row r="1560" spans="5:11" x14ac:dyDescent="0.2">
      <c r="E1560" s="50"/>
      <c r="H1560" s="12"/>
      <c r="K1560"/>
    </row>
    <row r="1561" spans="5:11" x14ac:dyDescent="0.2">
      <c r="E1561" s="50"/>
      <c r="H1561" s="12"/>
      <c r="K1561"/>
    </row>
    <row r="1562" spans="5:11" x14ac:dyDescent="0.2">
      <c r="E1562" s="50"/>
      <c r="H1562" s="12"/>
      <c r="K1562"/>
    </row>
    <row r="1563" spans="5:11" x14ac:dyDescent="0.2">
      <c r="E1563" s="50"/>
      <c r="H1563" s="12"/>
      <c r="K1563"/>
    </row>
    <row r="1564" spans="5:11" x14ac:dyDescent="0.2">
      <c r="E1564" s="50"/>
      <c r="H1564" s="12"/>
      <c r="K1564"/>
    </row>
    <row r="1565" spans="5:11" x14ac:dyDescent="0.2">
      <c r="E1565" s="50"/>
      <c r="H1565" s="12"/>
      <c r="K1565"/>
    </row>
    <row r="1566" spans="5:11" x14ac:dyDescent="0.2">
      <c r="E1566" s="50"/>
      <c r="H1566" s="12"/>
      <c r="K1566"/>
    </row>
    <row r="1567" spans="5:11" x14ac:dyDescent="0.2">
      <c r="E1567" s="50"/>
      <c r="H1567" s="12"/>
      <c r="K1567"/>
    </row>
    <row r="1568" spans="5:11" x14ac:dyDescent="0.2">
      <c r="E1568" s="50"/>
      <c r="H1568" s="12"/>
      <c r="K1568"/>
    </row>
    <row r="1569" spans="5:11" x14ac:dyDescent="0.2">
      <c r="E1569" s="50"/>
      <c r="H1569" s="12"/>
      <c r="K1569"/>
    </row>
    <row r="1570" spans="5:11" x14ac:dyDescent="0.2">
      <c r="E1570" s="50"/>
      <c r="H1570" s="12"/>
      <c r="K1570"/>
    </row>
    <row r="1571" spans="5:11" x14ac:dyDescent="0.2">
      <c r="E1571" s="50"/>
      <c r="H1571" s="12"/>
      <c r="K1571"/>
    </row>
    <row r="1572" spans="5:11" x14ac:dyDescent="0.2">
      <c r="E1572" s="50"/>
      <c r="H1572" s="12"/>
      <c r="K1572"/>
    </row>
    <row r="1573" spans="5:11" x14ac:dyDescent="0.2">
      <c r="E1573" s="50"/>
      <c r="H1573" s="12"/>
      <c r="K1573"/>
    </row>
    <row r="1574" spans="5:11" x14ac:dyDescent="0.2">
      <c r="E1574" s="50"/>
      <c r="H1574" s="12"/>
      <c r="K1574"/>
    </row>
    <row r="1575" spans="5:11" x14ac:dyDescent="0.2">
      <c r="E1575" s="50"/>
      <c r="H1575" s="12"/>
      <c r="K1575"/>
    </row>
    <row r="1576" spans="5:11" x14ac:dyDescent="0.2">
      <c r="E1576" s="50"/>
      <c r="H1576" s="12"/>
      <c r="K1576"/>
    </row>
    <row r="1577" spans="5:11" x14ac:dyDescent="0.2">
      <c r="E1577" s="50"/>
      <c r="H1577" s="12"/>
      <c r="K1577"/>
    </row>
    <row r="1578" spans="5:11" x14ac:dyDescent="0.2">
      <c r="E1578" s="50"/>
      <c r="H1578" s="12"/>
      <c r="K1578"/>
    </row>
    <row r="1579" spans="5:11" x14ac:dyDescent="0.2">
      <c r="E1579" s="50"/>
      <c r="H1579" s="12"/>
      <c r="K1579"/>
    </row>
    <row r="1580" spans="5:11" x14ac:dyDescent="0.2">
      <c r="E1580" s="50"/>
      <c r="H1580" s="12"/>
      <c r="K1580"/>
    </row>
    <row r="1581" spans="5:11" x14ac:dyDescent="0.2">
      <c r="E1581" s="50"/>
      <c r="H1581" s="12"/>
      <c r="K1581"/>
    </row>
    <row r="1582" spans="5:11" x14ac:dyDescent="0.2">
      <c r="E1582" s="50"/>
      <c r="H1582" s="12"/>
      <c r="K1582"/>
    </row>
    <row r="1583" spans="5:11" x14ac:dyDescent="0.2">
      <c r="E1583" s="50"/>
      <c r="H1583" s="12"/>
      <c r="K1583"/>
    </row>
    <row r="1584" spans="5:11" x14ac:dyDescent="0.2">
      <c r="E1584" s="50"/>
      <c r="H1584" s="12"/>
      <c r="K1584"/>
    </row>
    <row r="1585" spans="5:11" x14ac:dyDescent="0.2">
      <c r="E1585" s="50"/>
      <c r="H1585" s="12"/>
      <c r="K1585"/>
    </row>
    <row r="1586" spans="5:11" x14ac:dyDescent="0.2">
      <c r="E1586" s="50"/>
      <c r="H1586" s="12"/>
      <c r="K1586"/>
    </row>
    <row r="1587" spans="5:11" x14ac:dyDescent="0.2">
      <c r="E1587" s="50"/>
      <c r="H1587" s="12"/>
      <c r="K1587"/>
    </row>
    <row r="1588" spans="5:11" x14ac:dyDescent="0.2">
      <c r="E1588" s="50"/>
      <c r="H1588" s="12"/>
      <c r="K1588"/>
    </row>
    <row r="1589" spans="5:11" x14ac:dyDescent="0.2">
      <c r="E1589" s="50"/>
      <c r="H1589" s="12"/>
      <c r="K1589"/>
    </row>
    <row r="1590" spans="5:11" x14ac:dyDescent="0.2">
      <c r="E1590" s="50"/>
      <c r="H1590" s="12"/>
      <c r="K1590"/>
    </row>
    <row r="1591" spans="5:11" x14ac:dyDescent="0.2">
      <c r="E1591" s="50"/>
      <c r="H1591" s="12"/>
      <c r="K1591"/>
    </row>
    <row r="1592" spans="5:11" x14ac:dyDescent="0.2">
      <c r="E1592" s="50"/>
      <c r="H1592" s="12"/>
      <c r="K1592"/>
    </row>
    <row r="1593" spans="5:11" x14ac:dyDescent="0.2">
      <c r="E1593" s="50"/>
      <c r="H1593" s="12"/>
      <c r="K1593"/>
    </row>
    <row r="1594" spans="5:11" x14ac:dyDescent="0.2">
      <c r="E1594" s="50"/>
      <c r="H1594" s="12"/>
      <c r="K1594"/>
    </row>
    <row r="1595" spans="5:11" x14ac:dyDescent="0.2">
      <c r="E1595" s="50"/>
      <c r="H1595" s="12"/>
      <c r="K1595"/>
    </row>
    <row r="1596" spans="5:11" x14ac:dyDescent="0.2">
      <c r="E1596" s="50"/>
      <c r="H1596" s="12"/>
      <c r="K1596"/>
    </row>
    <row r="1597" spans="5:11" x14ac:dyDescent="0.2">
      <c r="E1597" s="50"/>
      <c r="H1597" s="12"/>
      <c r="K1597"/>
    </row>
    <row r="1598" spans="5:11" x14ac:dyDescent="0.2">
      <c r="E1598" s="50"/>
      <c r="H1598" s="12"/>
      <c r="K1598"/>
    </row>
    <row r="1599" spans="5:11" x14ac:dyDescent="0.2">
      <c r="E1599" s="50"/>
      <c r="H1599" s="12"/>
      <c r="K1599"/>
    </row>
    <row r="1600" spans="5:11" x14ac:dyDescent="0.2">
      <c r="E1600" s="50"/>
      <c r="H1600" s="12"/>
      <c r="K1600"/>
    </row>
    <row r="1601" spans="5:11" x14ac:dyDescent="0.2">
      <c r="E1601" s="50"/>
      <c r="H1601" s="12"/>
      <c r="K1601"/>
    </row>
    <row r="1602" spans="5:11" x14ac:dyDescent="0.2">
      <c r="E1602" s="50"/>
      <c r="H1602" s="12"/>
      <c r="K1602"/>
    </row>
    <row r="1603" spans="5:11" x14ac:dyDescent="0.2">
      <c r="E1603" s="50"/>
      <c r="H1603" s="12"/>
      <c r="K1603"/>
    </row>
    <row r="1604" spans="5:11" x14ac:dyDescent="0.2">
      <c r="E1604" s="50"/>
      <c r="H1604" s="12"/>
      <c r="K1604"/>
    </row>
    <row r="1605" spans="5:11" x14ac:dyDescent="0.2">
      <c r="E1605" s="50"/>
      <c r="H1605" s="12"/>
      <c r="K1605"/>
    </row>
    <row r="1606" spans="5:11" x14ac:dyDescent="0.2">
      <c r="E1606" s="50"/>
      <c r="H1606" s="12"/>
      <c r="K1606"/>
    </row>
    <row r="1607" spans="5:11" x14ac:dyDescent="0.2">
      <c r="E1607" s="50"/>
      <c r="H1607" s="12"/>
      <c r="K1607"/>
    </row>
    <row r="1608" spans="5:11" x14ac:dyDescent="0.2">
      <c r="E1608" s="50"/>
      <c r="H1608" s="12"/>
      <c r="K1608"/>
    </row>
    <row r="1609" spans="5:11" x14ac:dyDescent="0.2">
      <c r="E1609" s="50"/>
      <c r="H1609" s="12"/>
      <c r="K1609"/>
    </row>
    <row r="1610" spans="5:11" x14ac:dyDescent="0.2">
      <c r="E1610" s="50"/>
      <c r="H1610" s="12"/>
      <c r="K1610"/>
    </row>
    <row r="1611" spans="5:11" x14ac:dyDescent="0.2">
      <c r="E1611" s="50"/>
      <c r="H1611" s="12"/>
      <c r="K1611"/>
    </row>
    <row r="1612" spans="5:11" x14ac:dyDescent="0.2">
      <c r="E1612" s="50"/>
      <c r="H1612" s="12"/>
      <c r="K1612"/>
    </row>
    <row r="1613" spans="5:11" x14ac:dyDescent="0.2">
      <c r="E1613" s="50"/>
      <c r="H1613" s="12"/>
      <c r="K1613"/>
    </row>
    <row r="1614" spans="5:11" x14ac:dyDescent="0.2">
      <c r="E1614" s="50"/>
      <c r="H1614" s="12"/>
      <c r="K1614"/>
    </row>
    <row r="1615" spans="5:11" x14ac:dyDescent="0.2">
      <c r="E1615" s="50"/>
      <c r="H1615" s="12"/>
      <c r="K1615"/>
    </row>
    <row r="1616" spans="5:11" x14ac:dyDescent="0.2">
      <c r="E1616" s="50"/>
      <c r="H1616" s="12"/>
      <c r="K1616"/>
    </row>
    <row r="1617" spans="5:11" x14ac:dyDescent="0.2">
      <c r="E1617" s="50"/>
      <c r="H1617" s="12"/>
      <c r="K1617"/>
    </row>
    <row r="1618" spans="5:11" x14ac:dyDescent="0.2">
      <c r="E1618" s="50"/>
      <c r="H1618" s="12"/>
      <c r="K1618"/>
    </row>
    <row r="1619" spans="5:11" x14ac:dyDescent="0.2">
      <c r="E1619" s="50"/>
      <c r="H1619" s="12"/>
      <c r="K1619"/>
    </row>
    <row r="1620" spans="5:11" x14ac:dyDescent="0.2">
      <c r="E1620" s="50"/>
      <c r="H1620" s="12"/>
      <c r="K1620"/>
    </row>
    <row r="1621" spans="5:11" x14ac:dyDescent="0.2">
      <c r="E1621" s="50"/>
      <c r="H1621" s="12"/>
      <c r="K1621"/>
    </row>
    <row r="1622" spans="5:11" x14ac:dyDescent="0.2">
      <c r="E1622" s="50"/>
      <c r="H1622" s="12"/>
      <c r="K1622"/>
    </row>
    <row r="1623" spans="5:11" x14ac:dyDescent="0.2">
      <c r="E1623" s="50"/>
      <c r="H1623" s="12"/>
      <c r="K1623"/>
    </row>
    <row r="1624" spans="5:11" x14ac:dyDescent="0.2">
      <c r="E1624" s="50"/>
      <c r="H1624" s="12"/>
      <c r="K1624"/>
    </row>
    <row r="1625" spans="5:11" x14ac:dyDescent="0.2">
      <c r="E1625" s="50"/>
      <c r="H1625" s="12"/>
      <c r="K1625"/>
    </row>
    <row r="1626" spans="5:11" x14ac:dyDescent="0.2">
      <c r="E1626" s="50"/>
      <c r="H1626" s="12"/>
      <c r="K1626"/>
    </row>
    <row r="1627" spans="5:11" x14ac:dyDescent="0.2">
      <c r="E1627" s="50"/>
      <c r="H1627" s="12"/>
      <c r="K1627"/>
    </row>
    <row r="1628" spans="5:11" x14ac:dyDescent="0.2">
      <c r="E1628" s="50"/>
      <c r="H1628" s="12"/>
      <c r="K1628"/>
    </row>
    <row r="1629" spans="5:11" x14ac:dyDescent="0.2">
      <c r="E1629" s="50"/>
      <c r="H1629" s="12"/>
      <c r="K1629"/>
    </row>
    <row r="1630" spans="5:11" x14ac:dyDescent="0.2">
      <c r="E1630" s="50"/>
      <c r="H1630" s="12"/>
      <c r="K1630"/>
    </row>
    <row r="1631" spans="5:11" x14ac:dyDescent="0.2">
      <c r="E1631" s="50"/>
      <c r="H1631" s="12"/>
      <c r="K1631"/>
    </row>
    <row r="1632" spans="5:11" x14ac:dyDescent="0.2">
      <c r="E1632" s="50"/>
      <c r="H1632" s="12"/>
      <c r="K1632"/>
    </row>
    <row r="1633" spans="5:11" x14ac:dyDescent="0.2">
      <c r="E1633" s="50"/>
      <c r="H1633" s="12"/>
      <c r="K1633"/>
    </row>
    <row r="1634" spans="5:11" x14ac:dyDescent="0.2">
      <c r="E1634" s="50"/>
      <c r="H1634" s="12"/>
      <c r="K1634"/>
    </row>
    <row r="1635" spans="5:11" x14ac:dyDescent="0.2">
      <c r="E1635" s="50"/>
      <c r="H1635" s="12"/>
      <c r="K1635"/>
    </row>
    <row r="1636" spans="5:11" x14ac:dyDescent="0.2">
      <c r="E1636" s="50"/>
      <c r="H1636" s="12"/>
      <c r="K1636"/>
    </row>
    <row r="1637" spans="5:11" x14ac:dyDescent="0.2">
      <c r="E1637" s="50"/>
      <c r="H1637" s="12"/>
      <c r="K1637"/>
    </row>
    <row r="1638" spans="5:11" x14ac:dyDescent="0.2">
      <c r="E1638" s="50"/>
      <c r="H1638" s="12"/>
      <c r="K1638"/>
    </row>
    <row r="1639" spans="5:11" x14ac:dyDescent="0.2">
      <c r="E1639" s="50"/>
      <c r="H1639" s="12"/>
      <c r="K1639"/>
    </row>
    <row r="1640" spans="5:11" x14ac:dyDescent="0.2">
      <c r="E1640" s="50"/>
      <c r="H1640" s="12"/>
      <c r="K1640"/>
    </row>
    <row r="1641" spans="5:11" x14ac:dyDescent="0.2">
      <c r="E1641" s="50"/>
      <c r="H1641" s="12"/>
      <c r="K1641"/>
    </row>
    <row r="1642" spans="5:11" x14ac:dyDescent="0.2">
      <c r="E1642" s="50"/>
      <c r="H1642" s="12"/>
      <c r="K1642"/>
    </row>
    <row r="1643" spans="5:11" x14ac:dyDescent="0.2">
      <c r="E1643" s="50"/>
      <c r="H1643" s="12"/>
      <c r="K1643"/>
    </row>
    <row r="1644" spans="5:11" x14ac:dyDescent="0.2">
      <c r="E1644" s="50"/>
      <c r="H1644" s="12"/>
      <c r="K1644"/>
    </row>
    <row r="1645" spans="5:11" x14ac:dyDescent="0.2">
      <c r="E1645" s="50"/>
      <c r="H1645" s="12"/>
      <c r="K1645"/>
    </row>
    <row r="1646" spans="5:11" x14ac:dyDescent="0.2">
      <c r="E1646" s="50"/>
      <c r="H1646" s="12"/>
      <c r="K1646"/>
    </row>
    <row r="1647" spans="5:11" x14ac:dyDescent="0.2">
      <c r="E1647" s="50"/>
      <c r="H1647" s="12"/>
      <c r="K1647"/>
    </row>
    <row r="1648" spans="5:11" x14ac:dyDescent="0.2">
      <c r="E1648" s="50"/>
      <c r="H1648" s="12"/>
      <c r="K1648"/>
    </row>
    <row r="1649" spans="5:11" x14ac:dyDescent="0.2">
      <c r="E1649" s="50"/>
      <c r="H1649" s="12"/>
      <c r="K1649"/>
    </row>
    <row r="1650" spans="5:11" x14ac:dyDescent="0.2">
      <c r="E1650" s="50"/>
      <c r="H1650" s="12"/>
      <c r="K1650"/>
    </row>
    <row r="1651" spans="5:11" x14ac:dyDescent="0.2">
      <c r="E1651" s="50"/>
      <c r="H1651" s="12"/>
      <c r="K1651"/>
    </row>
    <row r="1652" spans="5:11" x14ac:dyDescent="0.2">
      <c r="E1652" s="50"/>
      <c r="H1652" s="12"/>
      <c r="K1652"/>
    </row>
    <row r="1653" spans="5:11" x14ac:dyDescent="0.2">
      <c r="E1653" s="50"/>
      <c r="H1653" s="12"/>
      <c r="K1653"/>
    </row>
    <row r="1654" spans="5:11" x14ac:dyDescent="0.2">
      <c r="E1654" s="50"/>
      <c r="H1654" s="12"/>
      <c r="K1654"/>
    </row>
    <row r="1655" spans="5:11" x14ac:dyDescent="0.2">
      <c r="E1655" s="50"/>
      <c r="H1655" s="12"/>
      <c r="K1655"/>
    </row>
    <row r="1656" spans="5:11" x14ac:dyDescent="0.2">
      <c r="E1656" s="50"/>
      <c r="H1656" s="12"/>
      <c r="K1656"/>
    </row>
    <row r="1657" spans="5:11" x14ac:dyDescent="0.2">
      <c r="E1657" s="50"/>
      <c r="H1657" s="12"/>
      <c r="K1657"/>
    </row>
    <row r="1658" spans="5:11" x14ac:dyDescent="0.2">
      <c r="E1658" s="50"/>
      <c r="H1658" s="12"/>
      <c r="K1658"/>
    </row>
    <row r="1659" spans="5:11" x14ac:dyDescent="0.2">
      <c r="E1659" s="50"/>
      <c r="H1659" s="12"/>
      <c r="K1659"/>
    </row>
    <row r="1660" spans="5:11" x14ac:dyDescent="0.2">
      <c r="E1660" s="50"/>
      <c r="H1660" s="12"/>
      <c r="K1660"/>
    </row>
    <row r="1661" spans="5:11" x14ac:dyDescent="0.2">
      <c r="E1661" s="50"/>
      <c r="H1661" s="12"/>
      <c r="K1661"/>
    </row>
    <row r="1662" spans="5:11" x14ac:dyDescent="0.2">
      <c r="E1662" s="50"/>
      <c r="H1662" s="12"/>
      <c r="K1662"/>
    </row>
    <row r="1663" spans="5:11" x14ac:dyDescent="0.2">
      <c r="E1663" s="50"/>
      <c r="H1663" s="12"/>
      <c r="K1663"/>
    </row>
    <row r="1664" spans="5:11" x14ac:dyDescent="0.2">
      <c r="E1664" s="50"/>
      <c r="H1664" s="12"/>
      <c r="K1664"/>
    </row>
    <row r="1665" spans="5:11" x14ac:dyDescent="0.2">
      <c r="E1665" s="50"/>
      <c r="H1665" s="12"/>
      <c r="K1665"/>
    </row>
    <row r="1666" spans="5:11" x14ac:dyDescent="0.2">
      <c r="E1666" s="50"/>
      <c r="H1666" s="12"/>
      <c r="K1666"/>
    </row>
    <row r="1667" spans="5:11" x14ac:dyDescent="0.2">
      <c r="E1667" s="50"/>
      <c r="H1667" s="12"/>
      <c r="K1667"/>
    </row>
    <row r="1668" spans="5:11" x14ac:dyDescent="0.2">
      <c r="E1668" s="50"/>
      <c r="H1668" s="12"/>
      <c r="K1668"/>
    </row>
    <row r="1669" spans="5:11" x14ac:dyDescent="0.2">
      <c r="E1669" s="50"/>
      <c r="H1669" s="12"/>
      <c r="K1669"/>
    </row>
    <row r="1670" spans="5:11" x14ac:dyDescent="0.2">
      <c r="E1670" s="50"/>
      <c r="H1670" s="12"/>
      <c r="K1670"/>
    </row>
    <row r="1671" spans="5:11" x14ac:dyDescent="0.2">
      <c r="E1671" s="50"/>
      <c r="H1671" s="12"/>
      <c r="K1671"/>
    </row>
    <row r="1672" spans="5:11" x14ac:dyDescent="0.2">
      <c r="E1672" s="50"/>
      <c r="H1672" s="12"/>
      <c r="K1672"/>
    </row>
    <row r="1673" spans="5:11" x14ac:dyDescent="0.2">
      <c r="E1673" s="50"/>
      <c r="H1673" s="12"/>
      <c r="K1673"/>
    </row>
    <row r="1674" spans="5:11" x14ac:dyDescent="0.2">
      <c r="E1674" s="50"/>
      <c r="H1674" s="12"/>
      <c r="K1674"/>
    </row>
    <row r="1675" spans="5:11" x14ac:dyDescent="0.2">
      <c r="E1675" s="50"/>
      <c r="H1675" s="12"/>
      <c r="K1675"/>
    </row>
    <row r="1676" spans="5:11" x14ac:dyDescent="0.2">
      <c r="E1676" s="50"/>
      <c r="H1676" s="12"/>
      <c r="K1676"/>
    </row>
    <row r="1677" spans="5:11" x14ac:dyDescent="0.2">
      <c r="E1677" s="50"/>
      <c r="H1677" s="12"/>
      <c r="K1677"/>
    </row>
    <row r="1678" spans="5:11" x14ac:dyDescent="0.2">
      <c r="E1678" s="50"/>
      <c r="H1678" s="12"/>
      <c r="K1678"/>
    </row>
    <row r="1679" spans="5:11" x14ac:dyDescent="0.2">
      <c r="E1679" s="50"/>
      <c r="H1679" s="12"/>
      <c r="K1679"/>
    </row>
    <row r="1680" spans="5:11" x14ac:dyDescent="0.2">
      <c r="E1680" s="50"/>
      <c r="H1680" s="12"/>
      <c r="K1680"/>
    </row>
    <row r="1681" spans="5:11" x14ac:dyDescent="0.2">
      <c r="E1681" s="50"/>
      <c r="H1681" s="12"/>
      <c r="K1681"/>
    </row>
    <row r="1682" spans="5:11" x14ac:dyDescent="0.2">
      <c r="E1682" s="50"/>
      <c r="H1682" s="12"/>
      <c r="K1682"/>
    </row>
    <row r="1683" spans="5:11" x14ac:dyDescent="0.2">
      <c r="E1683" s="50"/>
      <c r="H1683" s="12"/>
      <c r="K1683"/>
    </row>
    <row r="1684" spans="5:11" x14ac:dyDescent="0.2">
      <c r="E1684" s="50"/>
      <c r="H1684" s="12"/>
      <c r="K1684"/>
    </row>
    <row r="1685" spans="5:11" x14ac:dyDescent="0.2">
      <c r="E1685" s="50"/>
      <c r="H1685" s="12"/>
      <c r="K1685"/>
    </row>
    <row r="1686" spans="5:11" x14ac:dyDescent="0.2">
      <c r="E1686" s="50"/>
      <c r="H1686" s="12"/>
      <c r="K1686"/>
    </row>
    <row r="1687" spans="5:11" x14ac:dyDescent="0.2">
      <c r="E1687" s="50"/>
      <c r="H1687" s="12"/>
      <c r="K1687"/>
    </row>
    <row r="1688" spans="5:11" x14ac:dyDescent="0.2">
      <c r="E1688" s="50"/>
      <c r="H1688" s="12"/>
      <c r="K1688"/>
    </row>
    <row r="1689" spans="5:11" x14ac:dyDescent="0.2">
      <c r="E1689" s="50"/>
      <c r="H1689" s="12"/>
      <c r="K1689"/>
    </row>
    <row r="1690" spans="5:11" x14ac:dyDescent="0.2">
      <c r="E1690" s="50"/>
      <c r="H1690" s="12"/>
      <c r="K1690"/>
    </row>
    <row r="1691" spans="5:11" x14ac:dyDescent="0.2">
      <c r="E1691" s="50"/>
      <c r="H1691" s="12"/>
      <c r="K1691"/>
    </row>
    <row r="1692" spans="5:11" x14ac:dyDescent="0.2">
      <c r="E1692" s="50"/>
      <c r="H1692" s="12"/>
      <c r="K1692"/>
    </row>
    <row r="1693" spans="5:11" x14ac:dyDescent="0.2">
      <c r="E1693" s="50"/>
      <c r="H1693" s="12"/>
      <c r="K1693"/>
    </row>
    <row r="1694" spans="5:11" x14ac:dyDescent="0.2">
      <c r="E1694" s="50"/>
      <c r="H1694" s="12"/>
      <c r="K1694"/>
    </row>
    <row r="1695" spans="5:11" x14ac:dyDescent="0.2">
      <c r="E1695" s="50"/>
      <c r="H1695" s="12"/>
      <c r="K1695"/>
    </row>
    <row r="1696" spans="5:11" x14ac:dyDescent="0.2">
      <c r="E1696" s="50"/>
      <c r="H1696" s="12"/>
      <c r="K1696"/>
    </row>
    <row r="1697" spans="5:11" x14ac:dyDescent="0.2">
      <c r="E1697" s="50"/>
      <c r="H1697" s="12"/>
      <c r="K1697"/>
    </row>
    <row r="1698" spans="5:11" x14ac:dyDescent="0.2">
      <c r="E1698" s="50"/>
      <c r="H1698" s="12"/>
      <c r="K1698"/>
    </row>
    <row r="1699" spans="5:11" x14ac:dyDescent="0.2">
      <c r="E1699" s="50"/>
      <c r="H1699" s="12"/>
      <c r="K1699"/>
    </row>
    <row r="1700" spans="5:11" x14ac:dyDescent="0.2">
      <c r="E1700" s="50"/>
      <c r="H1700" s="12"/>
      <c r="K1700"/>
    </row>
    <row r="1701" spans="5:11" x14ac:dyDescent="0.2">
      <c r="E1701" s="50"/>
      <c r="H1701" s="12"/>
      <c r="K1701"/>
    </row>
    <row r="1702" spans="5:11" x14ac:dyDescent="0.2">
      <c r="E1702" s="50"/>
      <c r="H1702" s="12"/>
      <c r="K1702"/>
    </row>
    <row r="1703" spans="5:11" x14ac:dyDescent="0.2">
      <c r="E1703" s="50"/>
      <c r="H1703" s="12"/>
      <c r="K1703"/>
    </row>
    <row r="1704" spans="5:11" x14ac:dyDescent="0.2">
      <c r="E1704" s="50"/>
      <c r="H1704" s="12"/>
      <c r="K1704"/>
    </row>
    <row r="1705" spans="5:11" x14ac:dyDescent="0.2">
      <c r="E1705" s="50"/>
      <c r="H1705" s="12"/>
      <c r="K1705"/>
    </row>
    <row r="1706" spans="5:11" x14ac:dyDescent="0.2">
      <c r="E1706" s="50"/>
      <c r="H1706" s="12"/>
      <c r="K1706"/>
    </row>
    <row r="1707" spans="5:11" x14ac:dyDescent="0.2">
      <c r="E1707" s="50"/>
      <c r="H1707" s="12"/>
      <c r="K1707"/>
    </row>
    <row r="1708" spans="5:11" x14ac:dyDescent="0.2">
      <c r="E1708" s="50"/>
      <c r="H1708" s="12"/>
      <c r="K1708"/>
    </row>
    <row r="1709" spans="5:11" x14ac:dyDescent="0.2">
      <c r="E1709" s="50"/>
      <c r="H1709" s="12"/>
      <c r="K1709"/>
    </row>
    <row r="1710" spans="5:11" x14ac:dyDescent="0.2">
      <c r="E1710" s="50"/>
      <c r="H1710" s="12"/>
      <c r="K1710"/>
    </row>
    <row r="1711" spans="5:11" x14ac:dyDescent="0.2">
      <c r="E1711" s="50"/>
      <c r="H1711" s="12"/>
      <c r="K1711"/>
    </row>
    <row r="1712" spans="5:11" x14ac:dyDescent="0.2">
      <c r="E1712" s="50"/>
      <c r="H1712" s="12"/>
      <c r="K1712"/>
    </row>
    <row r="1713" spans="5:11" x14ac:dyDescent="0.2">
      <c r="E1713" s="50"/>
      <c r="H1713" s="12"/>
      <c r="K1713"/>
    </row>
    <row r="1714" spans="5:11" x14ac:dyDescent="0.2">
      <c r="E1714" s="50"/>
      <c r="H1714" s="12"/>
      <c r="K1714"/>
    </row>
    <row r="1715" spans="5:11" x14ac:dyDescent="0.2">
      <c r="E1715" s="50"/>
      <c r="H1715" s="12"/>
      <c r="K1715"/>
    </row>
    <row r="1716" spans="5:11" x14ac:dyDescent="0.2">
      <c r="E1716" s="50"/>
      <c r="H1716" s="12"/>
      <c r="K1716"/>
    </row>
    <row r="1717" spans="5:11" x14ac:dyDescent="0.2">
      <c r="E1717" s="50"/>
      <c r="H1717" s="12"/>
      <c r="K1717"/>
    </row>
    <row r="1718" spans="5:11" x14ac:dyDescent="0.2">
      <c r="E1718" s="50"/>
      <c r="H1718" s="12"/>
      <c r="K1718"/>
    </row>
    <row r="1719" spans="5:11" x14ac:dyDescent="0.2">
      <c r="E1719" s="50"/>
      <c r="H1719" s="12"/>
      <c r="K1719"/>
    </row>
    <row r="1720" spans="5:11" x14ac:dyDescent="0.2">
      <c r="E1720" s="50"/>
      <c r="H1720" s="12"/>
      <c r="K1720"/>
    </row>
    <row r="1721" spans="5:11" x14ac:dyDescent="0.2">
      <c r="E1721" s="50"/>
      <c r="H1721" s="12"/>
      <c r="K1721"/>
    </row>
    <row r="1722" spans="5:11" x14ac:dyDescent="0.2">
      <c r="E1722" s="50"/>
      <c r="H1722" s="12"/>
      <c r="K1722"/>
    </row>
    <row r="1723" spans="5:11" x14ac:dyDescent="0.2">
      <c r="E1723" s="50"/>
      <c r="H1723" s="12"/>
      <c r="K1723"/>
    </row>
    <row r="1724" spans="5:11" x14ac:dyDescent="0.2">
      <c r="E1724" s="50"/>
      <c r="H1724" s="12"/>
      <c r="K1724"/>
    </row>
    <row r="1725" spans="5:11" x14ac:dyDescent="0.2">
      <c r="E1725" s="50"/>
      <c r="H1725" s="12"/>
      <c r="K1725"/>
    </row>
    <row r="1726" spans="5:11" x14ac:dyDescent="0.2">
      <c r="E1726" s="50"/>
      <c r="H1726" s="12"/>
      <c r="K1726"/>
    </row>
    <row r="1727" spans="5:11" x14ac:dyDescent="0.2">
      <c r="E1727" s="50"/>
      <c r="H1727" s="12"/>
      <c r="K1727"/>
    </row>
    <row r="1728" spans="5:11" x14ac:dyDescent="0.2">
      <c r="E1728" s="50"/>
      <c r="H1728" s="12"/>
      <c r="K1728"/>
    </row>
    <row r="1729" spans="5:11" x14ac:dyDescent="0.2">
      <c r="E1729" s="50"/>
      <c r="H1729" s="12"/>
      <c r="K1729"/>
    </row>
    <row r="1730" spans="5:11" x14ac:dyDescent="0.2">
      <c r="E1730" s="50"/>
      <c r="H1730" s="12"/>
      <c r="K1730"/>
    </row>
    <row r="1731" spans="5:11" x14ac:dyDescent="0.2">
      <c r="E1731" s="50"/>
      <c r="H1731" s="12"/>
      <c r="K1731"/>
    </row>
    <row r="1732" spans="5:11" x14ac:dyDescent="0.2">
      <c r="E1732" s="50"/>
      <c r="H1732" s="12"/>
      <c r="K1732"/>
    </row>
    <row r="1733" spans="5:11" x14ac:dyDescent="0.2">
      <c r="E1733" s="50"/>
      <c r="H1733" s="12"/>
      <c r="K1733"/>
    </row>
    <row r="1734" spans="5:11" x14ac:dyDescent="0.2">
      <c r="E1734" s="50"/>
      <c r="H1734" s="12"/>
      <c r="K1734"/>
    </row>
    <row r="1735" spans="5:11" x14ac:dyDescent="0.2">
      <c r="E1735" s="50"/>
      <c r="H1735" s="12"/>
      <c r="K1735"/>
    </row>
    <row r="1736" spans="5:11" x14ac:dyDescent="0.2">
      <c r="E1736" s="50"/>
      <c r="H1736" s="12"/>
      <c r="K1736"/>
    </row>
    <row r="1737" spans="5:11" x14ac:dyDescent="0.2">
      <c r="E1737" s="50"/>
      <c r="H1737" s="12"/>
      <c r="K1737"/>
    </row>
    <row r="1738" spans="5:11" x14ac:dyDescent="0.2">
      <c r="E1738" s="50"/>
      <c r="H1738" s="12"/>
      <c r="K1738"/>
    </row>
    <row r="1739" spans="5:11" x14ac:dyDescent="0.2">
      <c r="E1739" s="50"/>
      <c r="H1739" s="12"/>
      <c r="K1739"/>
    </row>
    <row r="1740" spans="5:11" x14ac:dyDescent="0.2">
      <c r="E1740" s="50"/>
      <c r="H1740" s="12"/>
      <c r="K1740"/>
    </row>
    <row r="1741" spans="5:11" x14ac:dyDescent="0.2">
      <c r="E1741" s="50"/>
      <c r="H1741" s="12"/>
      <c r="K1741"/>
    </row>
    <row r="1742" spans="5:11" x14ac:dyDescent="0.2">
      <c r="E1742" s="50"/>
      <c r="H1742" s="12"/>
      <c r="K1742"/>
    </row>
    <row r="1743" spans="5:11" x14ac:dyDescent="0.2">
      <c r="E1743" s="50"/>
      <c r="H1743" s="12"/>
      <c r="K1743"/>
    </row>
    <row r="1744" spans="5:11" x14ac:dyDescent="0.2">
      <c r="E1744" s="50"/>
      <c r="H1744" s="12"/>
      <c r="K1744"/>
    </row>
    <row r="1745" spans="5:11" x14ac:dyDescent="0.2">
      <c r="E1745" s="50"/>
      <c r="H1745" s="12"/>
      <c r="K1745"/>
    </row>
    <row r="1746" spans="5:11" x14ac:dyDescent="0.2">
      <c r="E1746" s="50"/>
      <c r="H1746" s="12"/>
      <c r="K1746"/>
    </row>
    <row r="1747" spans="5:11" x14ac:dyDescent="0.2">
      <c r="E1747" s="50"/>
      <c r="H1747" s="12"/>
      <c r="K1747"/>
    </row>
    <row r="1748" spans="5:11" x14ac:dyDescent="0.2">
      <c r="E1748" s="50"/>
      <c r="H1748" s="12"/>
      <c r="K1748"/>
    </row>
    <row r="1749" spans="5:11" x14ac:dyDescent="0.2">
      <c r="E1749" s="50"/>
      <c r="H1749" s="12"/>
      <c r="K1749"/>
    </row>
    <row r="1750" spans="5:11" x14ac:dyDescent="0.2">
      <c r="E1750" s="50"/>
      <c r="H1750" s="12"/>
      <c r="K1750"/>
    </row>
    <row r="1751" spans="5:11" x14ac:dyDescent="0.2">
      <c r="E1751" s="50"/>
      <c r="H1751" s="12"/>
      <c r="K1751"/>
    </row>
    <row r="1752" spans="5:11" x14ac:dyDescent="0.2">
      <c r="E1752" s="50"/>
      <c r="H1752" s="12"/>
      <c r="K1752"/>
    </row>
    <row r="1753" spans="5:11" x14ac:dyDescent="0.2">
      <c r="E1753" s="50"/>
      <c r="H1753" s="12"/>
      <c r="K1753"/>
    </row>
    <row r="1754" spans="5:11" x14ac:dyDescent="0.2">
      <c r="E1754" s="50"/>
      <c r="H1754" s="12"/>
      <c r="K1754"/>
    </row>
    <row r="1755" spans="5:11" x14ac:dyDescent="0.2">
      <c r="E1755" s="50"/>
      <c r="H1755" s="12"/>
      <c r="K1755"/>
    </row>
    <row r="1756" spans="5:11" x14ac:dyDescent="0.2">
      <c r="E1756" s="50"/>
      <c r="H1756" s="12"/>
      <c r="K1756"/>
    </row>
    <row r="1757" spans="5:11" x14ac:dyDescent="0.2">
      <c r="E1757" s="50"/>
      <c r="H1757" s="12"/>
      <c r="K1757"/>
    </row>
    <row r="1758" spans="5:11" x14ac:dyDescent="0.2">
      <c r="E1758" s="50"/>
      <c r="H1758" s="12"/>
      <c r="K1758"/>
    </row>
    <row r="1759" spans="5:11" x14ac:dyDescent="0.2">
      <c r="E1759" s="50"/>
      <c r="H1759" s="12"/>
      <c r="K1759"/>
    </row>
    <row r="1760" spans="5:11" x14ac:dyDescent="0.2">
      <c r="E1760" s="50"/>
      <c r="H1760" s="12"/>
      <c r="K1760"/>
    </row>
    <row r="1761" spans="5:11" x14ac:dyDescent="0.2">
      <c r="E1761" s="50"/>
      <c r="H1761" s="12"/>
      <c r="K1761"/>
    </row>
    <row r="1762" spans="5:11" x14ac:dyDescent="0.2">
      <c r="E1762" s="50"/>
      <c r="H1762" s="12"/>
      <c r="K1762"/>
    </row>
    <row r="1763" spans="5:11" x14ac:dyDescent="0.2">
      <c r="E1763" s="50"/>
      <c r="H1763" s="12"/>
      <c r="K1763"/>
    </row>
    <row r="1764" spans="5:11" x14ac:dyDescent="0.2">
      <c r="E1764" s="50"/>
      <c r="H1764" s="12"/>
      <c r="K1764"/>
    </row>
    <row r="1765" spans="5:11" x14ac:dyDescent="0.2">
      <c r="E1765" s="50"/>
      <c r="H1765" s="12"/>
      <c r="K1765"/>
    </row>
    <row r="1766" spans="5:11" x14ac:dyDescent="0.2">
      <c r="E1766" s="50"/>
      <c r="H1766" s="12"/>
      <c r="K1766"/>
    </row>
    <row r="1767" spans="5:11" x14ac:dyDescent="0.2">
      <c r="E1767" s="50"/>
      <c r="H1767" s="12"/>
      <c r="K1767"/>
    </row>
    <row r="1768" spans="5:11" x14ac:dyDescent="0.2">
      <c r="E1768" s="50"/>
      <c r="H1768" s="12"/>
      <c r="K1768"/>
    </row>
    <row r="1769" spans="5:11" x14ac:dyDescent="0.2">
      <c r="E1769" s="50"/>
      <c r="H1769" s="12"/>
      <c r="K1769"/>
    </row>
    <row r="1770" spans="5:11" x14ac:dyDescent="0.2">
      <c r="E1770" s="50"/>
      <c r="H1770" s="12"/>
      <c r="K1770"/>
    </row>
    <row r="1771" spans="5:11" x14ac:dyDescent="0.2">
      <c r="E1771" s="50"/>
      <c r="H1771" s="12"/>
      <c r="K1771"/>
    </row>
    <row r="1772" spans="5:11" x14ac:dyDescent="0.2">
      <c r="E1772" s="50"/>
      <c r="H1772" s="12"/>
      <c r="K1772"/>
    </row>
    <row r="1773" spans="5:11" x14ac:dyDescent="0.2">
      <c r="E1773" s="50"/>
      <c r="H1773" s="12"/>
      <c r="K1773"/>
    </row>
    <row r="1774" spans="5:11" x14ac:dyDescent="0.2">
      <c r="E1774" s="50"/>
      <c r="H1774" s="12"/>
      <c r="K1774"/>
    </row>
    <row r="1775" spans="5:11" x14ac:dyDescent="0.2">
      <c r="E1775" s="50"/>
      <c r="H1775" s="12"/>
      <c r="K1775"/>
    </row>
    <row r="1776" spans="5:11" x14ac:dyDescent="0.2">
      <c r="E1776" s="50"/>
      <c r="H1776" s="12"/>
      <c r="K1776"/>
    </row>
    <row r="1777" spans="5:11" x14ac:dyDescent="0.2">
      <c r="E1777" s="50"/>
      <c r="H1777" s="12"/>
      <c r="K1777"/>
    </row>
    <row r="1778" spans="5:11" x14ac:dyDescent="0.2">
      <c r="E1778" s="50"/>
      <c r="H1778" s="12"/>
      <c r="K1778"/>
    </row>
    <row r="1779" spans="5:11" x14ac:dyDescent="0.2">
      <c r="E1779" s="50"/>
      <c r="H1779" s="12"/>
      <c r="K1779"/>
    </row>
    <row r="1780" spans="5:11" x14ac:dyDescent="0.2">
      <c r="E1780" s="50"/>
      <c r="H1780" s="12"/>
      <c r="K1780"/>
    </row>
    <row r="1781" spans="5:11" x14ac:dyDescent="0.2">
      <c r="E1781" s="50"/>
      <c r="H1781" s="12"/>
      <c r="K1781"/>
    </row>
    <row r="1782" spans="5:11" x14ac:dyDescent="0.2">
      <c r="E1782" s="50"/>
      <c r="H1782" s="12"/>
      <c r="K1782"/>
    </row>
    <row r="1783" spans="5:11" x14ac:dyDescent="0.2">
      <c r="E1783" s="50"/>
      <c r="H1783" s="12"/>
      <c r="K1783"/>
    </row>
    <row r="1784" spans="5:11" x14ac:dyDescent="0.2">
      <c r="E1784" s="50"/>
      <c r="H1784" s="12"/>
      <c r="K1784"/>
    </row>
    <row r="1785" spans="5:11" x14ac:dyDescent="0.2">
      <c r="E1785" s="50"/>
      <c r="H1785" s="12"/>
      <c r="K1785"/>
    </row>
    <row r="1786" spans="5:11" x14ac:dyDescent="0.2">
      <c r="E1786" s="50"/>
      <c r="H1786" s="12"/>
      <c r="K1786"/>
    </row>
    <row r="1787" spans="5:11" x14ac:dyDescent="0.2">
      <c r="E1787" s="50"/>
      <c r="H1787" s="12"/>
      <c r="K1787"/>
    </row>
    <row r="1788" spans="5:11" x14ac:dyDescent="0.2">
      <c r="E1788" s="50"/>
      <c r="H1788" s="12"/>
      <c r="K1788"/>
    </row>
    <row r="1789" spans="5:11" x14ac:dyDescent="0.2">
      <c r="E1789" s="50"/>
      <c r="H1789" s="12"/>
      <c r="K1789"/>
    </row>
    <row r="1790" spans="5:11" x14ac:dyDescent="0.2">
      <c r="E1790" s="50"/>
      <c r="H1790" s="12"/>
      <c r="K1790"/>
    </row>
    <row r="1791" spans="5:11" x14ac:dyDescent="0.2">
      <c r="E1791" s="50"/>
      <c r="H1791" s="12"/>
      <c r="K1791"/>
    </row>
    <row r="1792" spans="5:11" x14ac:dyDescent="0.2">
      <c r="E1792" s="50"/>
      <c r="H1792" s="12"/>
      <c r="K1792"/>
    </row>
    <row r="1793" spans="5:11" x14ac:dyDescent="0.2">
      <c r="E1793" s="50"/>
      <c r="H1793" s="12"/>
      <c r="K1793"/>
    </row>
    <row r="1794" spans="5:11" x14ac:dyDescent="0.2">
      <c r="E1794" s="50"/>
      <c r="H1794" s="12"/>
      <c r="K1794"/>
    </row>
    <row r="1795" spans="5:11" x14ac:dyDescent="0.2">
      <c r="E1795" s="50"/>
      <c r="H1795" s="12"/>
      <c r="K1795"/>
    </row>
    <row r="1796" spans="5:11" x14ac:dyDescent="0.2">
      <c r="E1796" s="50"/>
      <c r="H1796" s="12"/>
      <c r="K1796"/>
    </row>
    <row r="1797" spans="5:11" x14ac:dyDescent="0.2">
      <c r="E1797" s="50"/>
      <c r="H1797" s="12"/>
      <c r="K1797"/>
    </row>
    <row r="1798" spans="5:11" x14ac:dyDescent="0.2">
      <c r="E1798" s="50"/>
      <c r="H1798" s="12"/>
      <c r="K1798"/>
    </row>
    <row r="1799" spans="5:11" x14ac:dyDescent="0.2">
      <c r="E1799" s="50"/>
      <c r="H1799" s="12"/>
      <c r="K1799"/>
    </row>
    <row r="1800" spans="5:11" x14ac:dyDescent="0.2">
      <c r="E1800" s="50"/>
      <c r="H1800" s="12"/>
      <c r="K1800"/>
    </row>
    <row r="1801" spans="5:11" x14ac:dyDescent="0.2">
      <c r="E1801" s="50"/>
      <c r="H1801" s="12"/>
      <c r="K1801"/>
    </row>
    <row r="1802" spans="5:11" x14ac:dyDescent="0.2">
      <c r="E1802" s="50"/>
      <c r="H1802" s="12"/>
      <c r="K1802"/>
    </row>
    <row r="1803" spans="5:11" x14ac:dyDescent="0.2">
      <c r="E1803" s="50"/>
      <c r="H1803" s="12"/>
      <c r="K1803"/>
    </row>
    <row r="1804" spans="5:11" x14ac:dyDescent="0.2">
      <c r="E1804" s="50"/>
      <c r="H1804" s="12"/>
      <c r="K1804"/>
    </row>
    <row r="1805" spans="5:11" x14ac:dyDescent="0.2">
      <c r="E1805" s="50"/>
      <c r="H1805" s="12"/>
      <c r="K1805"/>
    </row>
    <row r="1806" spans="5:11" x14ac:dyDescent="0.2">
      <c r="E1806" s="50"/>
      <c r="H1806" s="12"/>
      <c r="K1806"/>
    </row>
    <row r="1807" spans="5:11" x14ac:dyDescent="0.2">
      <c r="E1807" s="50"/>
      <c r="H1807" s="12"/>
      <c r="K1807"/>
    </row>
    <row r="1808" spans="5:11" x14ac:dyDescent="0.2">
      <c r="E1808" s="50"/>
      <c r="H1808" s="12"/>
      <c r="K1808"/>
    </row>
    <row r="1809" spans="5:11" x14ac:dyDescent="0.2">
      <c r="E1809" s="50"/>
      <c r="H1809" s="12"/>
      <c r="K1809"/>
    </row>
    <row r="1810" spans="5:11" x14ac:dyDescent="0.2">
      <c r="E1810" s="50"/>
      <c r="H1810" s="12"/>
      <c r="K1810"/>
    </row>
    <row r="1811" spans="5:11" x14ac:dyDescent="0.2">
      <c r="E1811" s="50"/>
      <c r="H1811" s="12"/>
      <c r="K1811"/>
    </row>
    <row r="1812" spans="5:11" x14ac:dyDescent="0.2">
      <c r="E1812" s="50"/>
      <c r="H1812" s="12"/>
      <c r="K1812"/>
    </row>
    <row r="1813" spans="5:11" x14ac:dyDescent="0.2">
      <c r="E1813" s="50"/>
      <c r="H1813" s="12"/>
      <c r="K1813"/>
    </row>
    <row r="1814" spans="5:11" x14ac:dyDescent="0.2">
      <c r="E1814" s="50"/>
      <c r="H1814" s="12"/>
      <c r="K1814"/>
    </row>
    <row r="1815" spans="5:11" x14ac:dyDescent="0.2">
      <c r="E1815" s="50"/>
      <c r="H1815" s="12"/>
      <c r="K1815"/>
    </row>
    <row r="1816" spans="5:11" x14ac:dyDescent="0.2">
      <c r="E1816" s="50"/>
      <c r="H1816" s="12"/>
      <c r="K1816"/>
    </row>
    <row r="1817" spans="5:11" x14ac:dyDescent="0.2">
      <c r="E1817" s="50"/>
      <c r="H1817" s="12"/>
      <c r="K1817"/>
    </row>
    <row r="1818" spans="5:11" x14ac:dyDescent="0.2">
      <c r="E1818" s="50"/>
      <c r="H1818" s="12"/>
      <c r="K1818"/>
    </row>
    <row r="1819" spans="5:11" x14ac:dyDescent="0.2">
      <c r="E1819" s="50"/>
      <c r="H1819" s="12"/>
      <c r="K1819"/>
    </row>
    <row r="1820" spans="5:11" x14ac:dyDescent="0.2">
      <c r="E1820" s="50"/>
      <c r="H1820" s="12"/>
      <c r="K1820"/>
    </row>
    <row r="1821" spans="5:11" x14ac:dyDescent="0.2">
      <c r="E1821" s="50"/>
      <c r="H1821" s="12"/>
      <c r="K1821"/>
    </row>
    <row r="1822" spans="5:11" x14ac:dyDescent="0.2">
      <c r="E1822" s="50"/>
      <c r="H1822" s="12"/>
      <c r="K1822"/>
    </row>
    <row r="1823" spans="5:11" x14ac:dyDescent="0.2">
      <c r="E1823" s="50"/>
      <c r="H1823" s="12"/>
      <c r="K1823"/>
    </row>
    <row r="1824" spans="5:11" x14ac:dyDescent="0.2">
      <c r="E1824" s="50"/>
      <c r="H1824" s="12"/>
      <c r="K1824"/>
    </row>
    <row r="1825" spans="5:11" x14ac:dyDescent="0.2">
      <c r="E1825" s="50"/>
      <c r="H1825" s="12"/>
      <c r="K1825"/>
    </row>
    <row r="1826" spans="5:11" x14ac:dyDescent="0.2">
      <c r="E1826" s="50"/>
      <c r="H1826" s="12"/>
      <c r="K1826"/>
    </row>
    <row r="1827" spans="5:11" x14ac:dyDescent="0.2">
      <c r="E1827" s="50"/>
      <c r="H1827" s="12"/>
      <c r="K1827"/>
    </row>
    <row r="1828" spans="5:11" x14ac:dyDescent="0.2">
      <c r="E1828" s="50"/>
      <c r="H1828" s="12"/>
      <c r="K1828"/>
    </row>
    <row r="1829" spans="5:11" x14ac:dyDescent="0.2">
      <c r="E1829" s="50"/>
      <c r="H1829" s="12"/>
      <c r="K1829"/>
    </row>
    <row r="1830" spans="5:11" x14ac:dyDescent="0.2">
      <c r="E1830" s="50"/>
      <c r="H1830" s="12"/>
      <c r="K1830"/>
    </row>
    <row r="1831" spans="5:11" x14ac:dyDescent="0.2">
      <c r="E1831" s="50"/>
      <c r="H1831" s="12"/>
      <c r="K1831"/>
    </row>
    <row r="1832" spans="5:11" x14ac:dyDescent="0.2">
      <c r="E1832" s="50"/>
      <c r="H1832" s="12"/>
      <c r="K1832"/>
    </row>
    <row r="1833" spans="5:11" x14ac:dyDescent="0.2">
      <c r="E1833" s="50"/>
      <c r="H1833" s="12"/>
      <c r="K1833"/>
    </row>
    <row r="1834" spans="5:11" x14ac:dyDescent="0.2">
      <c r="E1834" s="50"/>
      <c r="H1834" s="12"/>
      <c r="K1834"/>
    </row>
    <row r="1835" spans="5:11" x14ac:dyDescent="0.2">
      <c r="E1835" s="50"/>
      <c r="H1835" s="12"/>
      <c r="K1835"/>
    </row>
    <row r="1836" spans="5:11" x14ac:dyDescent="0.2">
      <c r="E1836" s="50"/>
      <c r="H1836" s="12"/>
      <c r="K1836"/>
    </row>
    <row r="1837" spans="5:11" x14ac:dyDescent="0.2">
      <c r="E1837" s="50"/>
      <c r="H1837" s="12"/>
      <c r="K1837"/>
    </row>
    <row r="1838" spans="5:11" x14ac:dyDescent="0.2">
      <c r="E1838" s="50"/>
      <c r="H1838" s="12"/>
      <c r="K1838"/>
    </row>
    <row r="1839" spans="5:11" x14ac:dyDescent="0.2">
      <c r="E1839" s="50"/>
      <c r="H1839" s="12"/>
      <c r="K1839"/>
    </row>
    <row r="1840" spans="5:11" x14ac:dyDescent="0.2">
      <c r="E1840" s="50"/>
      <c r="H1840" s="12"/>
      <c r="K1840"/>
    </row>
    <row r="1841" spans="5:11" x14ac:dyDescent="0.2">
      <c r="E1841" s="50"/>
      <c r="H1841" s="12"/>
      <c r="K1841"/>
    </row>
    <row r="1842" spans="5:11" x14ac:dyDescent="0.2">
      <c r="E1842" s="50"/>
      <c r="H1842" s="12"/>
      <c r="K1842"/>
    </row>
    <row r="1843" spans="5:11" x14ac:dyDescent="0.2">
      <c r="E1843" s="50"/>
      <c r="H1843" s="12"/>
      <c r="K1843"/>
    </row>
    <row r="1844" spans="5:11" x14ac:dyDescent="0.2">
      <c r="E1844" s="50"/>
      <c r="H1844" s="12"/>
      <c r="K1844"/>
    </row>
    <row r="1845" spans="5:11" x14ac:dyDescent="0.2">
      <c r="E1845" s="50"/>
      <c r="H1845" s="12"/>
      <c r="K1845"/>
    </row>
    <row r="1846" spans="5:11" x14ac:dyDescent="0.2">
      <c r="E1846" s="50"/>
      <c r="H1846" s="12"/>
      <c r="K1846"/>
    </row>
    <row r="1847" spans="5:11" x14ac:dyDescent="0.2">
      <c r="E1847" s="50"/>
      <c r="H1847" s="12"/>
      <c r="K1847"/>
    </row>
    <row r="1848" spans="5:11" x14ac:dyDescent="0.2">
      <c r="E1848" s="50"/>
      <c r="H1848" s="12"/>
      <c r="K1848"/>
    </row>
    <row r="1849" spans="5:11" x14ac:dyDescent="0.2">
      <c r="E1849" s="50"/>
      <c r="H1849" s="12"/>
      <c r="K1849"/>
    </row>
    <row r="1850" spans="5:11" x14ac:dyDescent="0.2">
      <c r="E1850" s="50"/>
      <c r="H1850" s="12"/>
      <c r="K1850"/>
    </row>
    <row r="1851" spans="5:11" x14ac:dyDescent="0.2">
      <c r="E1851" s="50"/>
      <c r="H1851" s="12"/>
      <c r="K1851"/>
    </row>
    <row r="1852" spans="5:11" x14ac:dyDescent="0.2">
      <c r="E1852" s="50"/>
      <c r="H1852" s="12"/>
      <c r="K1852"/>
    </row>
    <row r="1853" spans="5:11" x14ac:dyDescent="0.2">
      <c r="E1853" s="50"/>
      <c r="H1853" s="12"/>
      <c r="K1853"/>
    </row>
    <row r="1854" spans="5:11" x14ac:dyDescent="0.2">
      <c r="E1854" s="50"/>
      <c r="H1854" s="12"/>
      <c r="K1854"/>
    </row>
    <row r="1855" spans="5:11" x14ac:dyDescent="0.2">
      <c r="E1855" s="50"/>
      <c r="H1855" s="12"/>
      <c r="K1855"/>
    </row>
    <row r="1856" spans="5:11" x14ac:dyDescent="0.2">
      <c r="E1856" s="50"/>
      <c r="H1856" s="12"/>
      <c r="K1856"/>
    </row>
    <row r="1857" spans="5:11" x14ac:dyDescent="0.2">
      <c r="E1857" s="50"/>
      <c r="H1857" s="12"/>
      <c r="K1857"/>
    </row>
    <row r="1858" spans="5:11" x14ac:dyDescent="0.2">
      <c r="E1858" s="50"/>
      <c r="H1858" s="12"/>
      <c r="K1858"/>
    </row>
    <row r="1859" spans="5:11" x14ac:dyDescent="0.2">
      <c r="E1859" s="50"/>
      <c r="H1859" s="12"/>
      <c r="K1859"/>
    </row>
    <row r="1860" spans="5:11" x14ac:dyDescent="0.2">
      <c r="E1860" s="50"/>
      <c r="H1860" s="12"/>
      <c r="K1860"/>
    </row>
    <row r="1861" spans="5:11" x14ac:dyDescent="0.2">
      <c r="E1861" s="50"/>
      <c r="H1861" s="12"/>
      <c r="K1861"/>
    </row>
    <row r="1862" spans="5:11" x14ac:dyDescent="0.2">
      <c r="E1862" s="50"/>
      <c r="H1862" s="12"/>
      <c r="K1862"/>
    </row>
    <row r="1863" spans="5:11" x14ac:dyDescent="0.2">
      <c r="E1863" s="50"/>
      <c r="H1863" s="12"/>
      <c r="K1863"/>
    </row>
    <row r="1864" spans="5:11" x14ac:dyDescent="0.2">
      <c r="E1864" s="50"/>
      <c r="H1864" s="12"/>
      <c r="K1864"/>
    </row>
    <row r="1865" spans="5:11" x14ac:dyDescent="0.2">
      <c r="E1865" s="50"/>
      <c r="H1865" s="12"/>
      <c r="K1865"/>
    </row>
    <row r="1866" spans="5:11" x14ac:dyDescent="0.2">
      <c r="E1866" s="50"/>
      <c r="H1866" s="12"/>
      <c r="K1866"/>
    </row>
    <row r="1867" spans="5:11" x14ac:dyDescent="0.2">
      <c r="E1867" s="50"/>
      <c r="H1867" s="12"/>
      <c r="K1867"/>
    </row>
    <row r="1868" spans="5:11" x14ac:dyDescent="0.2">
      <c r="E1868" s="50"/>
      <c r="H1868" s="12"/>
      <c r="K1868"/>
    </row>
    <row r="1869" spans="5:11" x14ac:dyDescent="0.2">
      <c r="E1869" s="50"/>
      <c r="H1869" s="12"/>
      <c r="K1869"/>
    </row>
    <row r="1870" spans="5:11" x14ac:dyDescent="0.2">
      <c r="E1870" s="50"/>
      <c r="H1870" s="12"/>
      <c r="K1870"/>
    </row>
    <row r="1871" spans="5:11" x14ac:dyDescent="0.2">
      <c r="E1871" s="50"/>
      <c r="H1871" s="12"/>
      <c r="K1871"/>
    </row>
    <row r="1872" spans="5:11" x14ac:dyDescent="0.2">
      <c r="E1872" s="50"/>
      <c r="H1872" s="12"/>
      <c r="K1872"/>
    </row>
    <row r="1873" spans="5:11" x14ac:dyDescent="0.2">
      <c r="E1873" s="50"/>
      <c r="H1873" s="12"/>
      <c r="K1873"/>
    </row>
    <row r="1874" spans="5:11" x14ac:dyDescent="0.2">
      <c r="E1874" s="50"/>
      <c r="H1874" s="12"/>
      <c r="K1874"/>
    </row>
    <row r="1875" spans="5:11" x14ac:dyDescent="0.2">
      <c r="E1875" s="50"/>
      <c r="H1875" s="12"/>
      <c r="K1875"/>
    </row>
    <row r="1876" spans="5:11" x14ac:dyDescent="0.2">
      <c r="E1876" s="50"/>
      <c r="H1876" s="12"/>
      <c r="K1876"/>
    </row>
    <row r="1877" spans="5:11" x14ac:dyDescent="0.2">
      <c r="E1877" s="50"/>
      <c r="H1877" s="12"/>
      <c r="K1877"/>
    </row>
    <row r="1878" spans="5:11" x14ac:dyDescent="0.2">
      <c r="E1878" s="50"/>
      <c r="H1878" s="12"/>
      <c r="K1878"/>
    </row>
    <row r="1879" spans="5:11" x14ac:dyDescent="0.2">
      <c r="E1879" s="50"/>
      <c r="H1879" s="12"/>
      <c r="K1879"/>
    </row>
    <row r="1880" spans="5:11" x14ac:dyDescent="0.2">
      <c r="E1880" s="50"/>
      <c r="H1880" s="12"/>
      <c r="K1880"/>
    </row>
    <row r="1881" spans="5:11" x14ac:dyDescent="0.2">
      <c r="E1881" s="50"/>
      <c r="H1881" s="12"/>
      <c r="K1881"/>
    </row>
    <row r="1882" spans="5:11" x14ac:dyDescent="0.2">
      <c r="E1882" s="50"/>
      <c r="H1882" s="12"/>
      <c r="K1882"/>
    </row>
    <row r="1883" spans="5:11" x14ac:dyDescent="0.2">
      <c r="E1883" s="50"/>
      <c r="H1883" s="12"/>
      <c r="K1883"/>
    </row>
    <row r="1884" spans="5:11" x14ac:dyDescent="0.2">
      <c r="E1884" s="50"/>
      <c r="H1884" s="12"/>
      <c r="K1884"/>
    </row>
    <row r="1885" spans="5:11" x14ac:dyDescent="0.2">
      <c r="E1885" s="50"/>
      <c r="H1885" s="12"/>
      <c r="K1885"/>
    </row>
    <row r="1886" spans="5:11" x14ac:dyDescent="0.2">
      <c r="E1886" s="50"/>
      <c r="H1886" s="12"/>
      <c r="K1886"/>
    </row>
    <row r="1887" spans="5:11" x14ac:dyDescent="0.2">
      <c r="E1887" s="50"/>
      <c r="H1887" s="12"/>
      <c r="K1887"/>
    </row>
    <row r="1888" spans="5:11" x14ac:dyDescent="0.2">
      <c r="E1888" s="50"/>
      <c r="H1888" s="12"/>
      <c r="K1888"/>
    </row>
    <row r="1889" spans="5:11" x14ac:dyDescent="0.2">
      <c r="E1889" s="50"/>
      <c r="H1889" s="12"/>
      <c r="K1889"/>
    </row>
    <row r="1890" spans="5:11" x14ac:dyDescent="0.2">
      <c r="E1890" s="50"/>
      <c r="H1890" s="12"/>
      <c r="K1890"/>
    </row>
    <row r="1891" spans="5:11" x14ac:dyDescent="0.2">
      <c r="E1891" s="50"/>
      <c r="H1891" s="12"/>
      <c r="K1891"/>
    </row>
    <row r="1892" spans="5:11" x14ac:dyDescent="0.2">
      <c r="E1892" s="50"/>
      <c r="H1892" s="12"/>
      <c r="K1892"/>
    </row>
    <row r="1893" spans="5:11" x14ac:dyDescent="0.2">
      <c r="E1893" s="50"/>
      <c r="H1893" s="12"/>
      <c r="K1893"/>
    </row>
    <row r="1894" spans="5:11" x14ac:dyDescent="0.2">
      <c r="E1894" s="50"/>
      <c r="H1894" s="12"/>
      <c r="K1894"/>
    </row>
    <row r="1895" spans="5:11" x14ac:dyDescent="0.2">
      <c r="E1895" s="50"/>
      <c r="H1895" s="12"/>
      <c r="K1895"/>
    </row>
    <row r="1896" spans="5:11" x14ac:dyDescent="0.2">
      <c r="E1896" s="50"/>
      <c r="H1896" s="12"/>
      <c r="K1896"/>
    </row>
    <row r="1897" spans="5:11" x14ac:dyDescent="0.2">
      <c r="E1897" s="50"/>
      <c r="H1897" s="12"/>
      <c r="K1897"/>
    </row>
    <row r="1898" spans="5:11" x14ac:dyDescent="0.2">
      <c r="E1898" s="50"/>
      <c r="H1898" s="12"/>
      <c r="K1898"/>
    </row>
    <row r="1899" spans="5:11" x14ac:dyDescent="0.2">
      <c r="E1899" s="50"/>
      <c r="H1899" s="12"/>
      <c r="K1899"/>
    </row>
    <row r="1900" spans="5:11" x14ac:dyDescent="0.2">
      <c r="E1900" s="50"/>
      <c r="H1900" s="12"/>
      <c r="K1900"/>
    </row>
    <row r="1901" spans="5:11" x14ac:dyDescent="0.2">
      <c r="E1901" s="50"/>
      <c r="H1901" s="12"/>
      <c r="K1901"/>
    </row>
    <row r="1902" spans="5:11" x14ac:dyDescent="0.2">
      <c r="E1902" s="50"/>
      <c r="H1902" s="12"/>
      <c r="K1902"/>
    </row>
    <row r="1903" spans="5:11" x14ac:dyDescent="0.2">
      <c r="E1903" s="50"/>
      <c r="H1903" s="12"/>
      <c r="K1903"/>
    </row>
    <row r="1904" spans="5:11" x14ac:dyDescent="0.2">
      <c r="E1904" s="50"/>
      <c r="H1904" s="12"/>
      <c r="K1904"/>
    </row>
    <row r="1905" spans="5:11" x14ac:dyDescent="0.2">
      <c r="E1905" s="50"/>
      <c r="H1905" s="12"/>
      <c r="K1905"/>
    </row>
    <row r="1906" spans="5:11" x14ac:dyDescent="0.2">
      <c r="E1906" s="50"/>
      <c r="H1906" s="12"/>
      <c r="K1906"/>
    </row>
    <row r="1907" spans="5:11" x14ac:dyDescent="0.2">
      <c r="E1907" s="50"/>
      <c r="H1907" s="12"/>
      <c r="K1907"/>
    </row>
    <row r="1908" spans="5:11" x14ac:dyDescent="0.2">
      <c r="E1908" s="50"/>
      <c r="H1908" s="12"/>
      <c r="K1908"/>
    </row>
    <row r="1909" spans="5:11" x14ac:dyDescent="0.2">
      <c r="E1909" s="50"/>
      <c r="H1909" s="12"/>
      <c r="K1909"/>
    </row>
    <row r="1910" spans="5:11" x14ac:dyDescent="0.2">
      <c r="E1910" s="50"/>
      <c r="H1910" s="12"/>
      <c r="K1910"/>
    </row>
    <row r="1911" spans="5:11" x14ac:dyDescent="0.2">
      <c r="E1911" s="50"/>
      <c r="H1911" s="12"/>
      <c r="K1911"/>
    </row>
    <row r="1912" spans="5:11" x14ac:dyDescent="0.2">
      <c r="E1912" s="50"/>
      <c r="H1912" s="12"/>
      <c r="K1912"/>
    </row>
    <row r="1913" spans="5:11" x14ac:dyDescent="0.2">
      <c r="E1913" s="50"/>
      <c r="H1913" s="12"/>
      <c r="K1913"/>
    </row>
    <row r="1914" spans="5:11" x14ac:dyDescent="0.2">
      <c r="E1914" s="50"/>
      <c r="H1914" s="12"/>
      <c r="K1914"/>
    </row>
    <row r="1915" spans="5:11" x14ac:dyDescent="0.2">
      <c r="E1915" s="50"/>
      <c r="H1915" s="12"/>
      <c r="K1915"/>
    </row>
    <row r="1916" spans="5:11" x14ac:dyDescent="0.2">
      <c r="E1916" s="50"/>
      <c r="H1916" s="12"/>
      <c r="K1916"/>
    </row>
    <row r="1917" spans="5:11" x14ac:dyDescent="0.2">
      <c r="E1917" s="50"/>
      <c r="H1917" s="12"/>
      <c r="K1917"/>
    </row>
    <row r="1918" spans="5:11" x14ac:dyDescent="0.2">
      <c r="E1918" s="50"/>
      <c r="H1918" s="12"/>
      <c r="K1918"/>
    </row>
    <row r="1919" spans="5:11" x14ac:dyDescent="0.2">
      <c r="E1919" s="50"/>
      <c r="H1919" s="12"/>
      <c r="K1919"/>
    </row>
    <row r="1920" spans="5:11" x14ac:dyDescent="0.2">
      <c r="E1920" s="50"/>
      <c r="H1920" s="12"/>
      <c r="K1920"/>
    </row>
    <row r="1921" spans="5:11" x14ac:dyDescent="0.2">
      <c r="E1921" s="50"/>
      <c r="H1921" s="12"/>
      <c r="K1921"/>
    </row>
    <row r="1922" spans="5:11" x14ac:dyDescent="0.2">
      <c r="E1922" s="50"/>
      <c r="H1922" s="12"/>
      <c r="K1922"/>
    </row>
    <row r="1923" spans="5:11" x14ac:dyDescent="0.2">
      <c r="E1923" s="50"/>
      <c r="H1923" s="12"/>
      <c r="K1923"/>
    </row>
    <row r="1924" spans="5:11" x14ac:dyDescent="0.2">
      <c r="E1924" s="50"/>
      <c r="H1924" s="12"/>
      <c r="K1924"/>
    </row>
    <row r="1925" spans="5:11" x14ac:dyDescent="0.2">
      <c r="E1925" s="50"/>
      <c r="H1925" s="12"/>
      <c r="K1925"/>
    </row>
    <row r="1926" spans="5:11" x14ac:dyDescent="0.2">
      <c r="E1926" s="50"/>
      <c r="H1926" s="12"/>
      <c r="K1926"/>
    </row>
    <row r="1927" spans="5:11" x14ac:dyDescent="0.2">
      <c r="E1927" s="50"/>
      <c r="H1927" s="12"/>
      <c r="K1927"/>
    </row>
    <row r="1928" spans="5:11" x14ac:dyDescent="0.2">
      <c r="E1928" s="50"/>
      <c r="H1928" s="12"/>
      <c r="K1928"/>
    </row>
    <row r="1929" spans="5:11" x14ac:dyDescent="0.2">
      <c r="E1929" s="50"/>
      <c r="H1929" s="12"/>
      <c r="K1929"/>
    </row>
    <row r="1930" spans="5:11" x14ac:dyDescent="0.2">
      <c r="E1930" s="50"/>
      <c r="H1930" s="12"/>
      <c r="K1930"/>
    </row>
    <row r="1931" spans="5:11" x14ac:dyDescent="0.2">
      <c r="E1931" s="50"/>
      <c r="H1931" s="12"/>
      <c r="K1931"/>
    </row>
    <row r="1932" spans="5:11" x14ac:dyDescent="0.2">
      <c r="E1932" s="50"/>
      <c r="H1932" s="12"/>
      <c r="K1932"/>
    </row>
    <row r="1933" spans="5:11" x14ac:dyDescent="0.2">
      <c r="E1933" s="50"/>
      <c r="H1933" s="12"/>
      <c r="K1933"/>
    </row>
    <row r="1934" spans="5:11" x14ac:dyDescent="0.2">
      <c r="E1934" s="50"/>
      <c r="H1934" s="12"/>
      <c r="K1934"/>
    </row>
    <row r="1935" spans="5:11" x14ac:dyDescent="0.2">
      <c r="E1935" s="50"/>
      <c r="H1935" s="12"/>
      <c r="K1935"/>
    </row>
    <row r="1936" spans="5:11" x14ac:dyDescent="0.2">
      <c r="E1936" s="50"/>
      <c r="H1936" s="12"/>
      <c r="K1936"/>
    </row>
    <row r="1937" spans="5:11" x14ac:dyDescent="0.2">
      <c r="E1937" s="50"/>
      <c r="H1937" s="12"/>
      <c r="K1937"/>
    </row>
    <row r="1938" spans="5:11" x14ac:dyDescent="0.2">
      <c r="E1938" s="50"/>
      <c r="H1938" s="12"/>
      <c r="K1938"/>
    </row>
    <row r="1939" spans="5:11" x14ac:dyDescent="0.2">
      <c r="E1939" s="50"/>
      <c r="H1939" s="12"/>
      <c r="K1939"/>
    </row>
    <row r="1940" spans="5:11" x14ac:dyDescent="0.2">
      <c r="E1940" s="50"/>
      <c r="H1940" s="12"/>
      <c r="K1940"/>
    </row>
    <row r="1941" spans="5:11" x14ac:dyDescent="0.2">
      <c r="E1941" s="50"/>
      <c r="H1941" s="12"/>
      <c r="K1941"/>
    </row>
    <row r="1942" spans="5:11" x14ac:dyDescent="0.2">
      <c r="E1942" s="50"/>
      <c r="H1942" s="12"/>
      <c r="K1942"/>
    </row>
    <row r="1943" spans="5:11" x14ac:dyDescent="0.2">
      <c r="E1943" s="50"/>
      <c r="H1943" s="12"/>
      <c r="K1943"/>
    </row>
    <row r="1944" spans="5:11" x14ac:dyDescent="0.2">
      <c r="E1944" s="50"/>
      <c r="H1944" s="12"/>
      <c r="K1944"/>
    </row>
    <row r="1945" spans="5:11" x14ac:dyDescent="0.2">
      <c r="E1945" s="50"/>
      <c r="H1945" s="12"/>
      <c r="K1945"/>
    </row>
    <row r="1946" spans="5:11" x14ac:dyDescent="0.2">
      <c r="E1946" s="50"/>
      <c r="H1946" s="12"/>
      <c r="K1946"/>
    </row>
    <row r="1947" spans="5:11" x14ac:dyDescent="0.2">
      <c r="E1947" s="50"/>
      <c r="H1947" s="12"/>
      <c r="K1947"/>
    </row>
    <row r="1948" spans="5:11" x14ac:dyDescent="0.2">
      <c r="E1948" s="50"/>
      <c r="H1948" s="12"/>
      <c r="K1948"/>
    </row>
    <row r="1949" spans="5:11" x14ac:dyDescent="0.2">
      <c r="E1949" s="50"/>
      <c r="H1949" s="12"/>
      <c r="K1949"/>
    </row>
    <row r="1950" spans="5:11" x14ac:dyDescent="0.2">
      <c r="E1950" s="50"/>
      <c r="H1950" s="12"/>
      <c r="K1950"/>
    </row>
    <row r="1951" spans="5:11" x14ac:dyDescent="0.2">
      <c r="E1951" s="50"/>
      <c r="H1951" s="12"/>
      <c r="K1951"/>
    </row>
    <row r="1952" spans="5:11" x14ac:dyDescent="0.2">
      <c r="E1952" s="50"/>
      <c r="H1952" s="12"/>
      <c r="K1952"/>
    </row>
    <row r="1953" spans="5:11" x14ac:dyDescent="0.2">
      <c r="E1953" s="50"/>
      <c r="H1953" s="12"/>
      <c r="K1953"/>
    </row>
    <row r="1954" spans="5:11" x14ac:dyDescent="0.2">
      <c r="E1954" s="50"/>
      <c r="H1954" s="12"/>
      <c r="K1954"/>
    </row>
    <row r="1955" spans="5:11" x14ac:dyDescent="0.2">
      <c r="E1955" s="50"/>
      <c r="H1955" s="12"/>
      <c r="K1955"/>
    </row>
    <row r="1956" spans="5:11" x14ac:dyDescent="0.2">
      <c r="E1956" s="50"/>
      <c r="H1956" s="12"/>
      <c r="K1956"/>
    </row>
    <row r="1957" spans="5:11" x14ac:dyDescent="0.2">
      <c r="E1957" s="50"/>
      <c r="H1957" s="12"/>
      <c r="K1957"/>
    </row>
    <row r="1958" spans="5:11" x14ac:dyDescent="0.2">
      <c r="E1958" s="50"/>
      <c r="H1958" s="12"/>
      <c r="K1958"/>
    </row>
    <row r="1959" spans="5:11" x14ac:dyDescent="0.2">
      <c r="E1959" s="50"/>
      <c r="H1959" s="12"/>
      <c r="K1959"/>
    </row>
    <row r="1960" spans="5:11" x14ac:dyDescent="0.2">
      <c r="E1960" s="50"/>
      <c r="H1960" s="12"/>
      <c r="K1960"/>
    </row>
    <row r="1961" spans="5:11" x14ac:dyDescent="0.2">
      <c r="E1961" s="50"/>
      <c r="H1961" s="12"/>
      <c r="K1961"/>
    </row>
    <row r="1962" spans="5:11" x14ac:dyDescent="0.2">
      <c r="E1962" s="50"/>
      <c r="H1962" s="12"/>
      <c r="K1962"/>
    </row>
    <row r="1963" spans="5:11" x14ac:dyDescent="0.2">
      <c r="E1963" s="50"/>
      <c r="H1963" s="12"/>
      <c r="K1963"/>
    </row>
    <row r="1964" spans="5:11" x14ac:dyDescent="0.2">
      <c r="E1964" s="50"/>
      <c r="H1964" s="12"/>
      <c r="K1964"/>
    </row>
    <row r="1965" spans="5:11" x14ac:dyDescent="0.2">
      <c r="E1965" s="50"/>
      <c r="H1965" s="12"/>
      <c r="K1965"/>
    </row>
    <row r="1966" spans="5:11" x14ac:dyDescent="0.2">
      <c r="E1966" s="50"/>
      <c r="H1966" s="12"/>
      <c r="K1966"/>
    </row>
    <row r="1967" spans="5:11" x14ac:dyDescent="0.2">
      <c r="E1967" s="50"/>
      <c r="H1967" s="12"/>
      <c r="K1967"/>
    </row>
    <row r="1968" spans="5:11" x14ac:dyDescent="0.2">
      <c r="E1968" s="50"/>
      <c r="H1968" s="12"/>
      <c r="K1968"/>
    </row>
    <row r="1969" spans="5:11" x14ac:dyDescent="0.2">
      <c r="E1969" s="50"/>
      <c r="H1969" s="12"/>
      <c r="K1969"/>
    </row>
    <row r="1970" spans="5:11" x14ac:dyDescent="0.2">
      <c r="E1970" s="50"/>
      <c r="H1970" s="12"/>
      <c r="K1970"/>
    </row>
    <row r="1971" spans="5:11" x14ac:dyDescent="0.2">
      <c r="E1971" s="50"/>
      <c r="H1971" s="12"/>
      <c r="K1971"/>
    </row>
    <row r="1972" spans="5:11" x14ac:dyDescent="0.2">
      <c r="E1972" s="50"/>
      <c r="H1972" s="12"/>
      <c r="K1972"/>
    </row>
    <row r="1973" spans="5:11" x14ac:dyDescent="0.2">
      <c r="E1973" s="50"/>
      <c r="H1973" s="12"/>
      <c r="K1973"/>
    </row>
    <row r="1974" spans="5:11" x14ac:dyDescent="0.2">
      <c r="E1974" s="50"/>
      <c r="H1974" s="12"/>
      <c r="K1974"/>
    </row>
    <row r="1975" spans="5:11" x14ac:dyDescent="0.2">
      <c r="E1975" s="50"/>
      <c r="H1975" s="12"/>
      <c r="K1975"/>
    </row>
    <row r="1976" spans="5:11" x14ac:dyDescent="0.2">
      <c r="E1976" s="50"/>
      <c r="H1976" s="12"/>
      <c r="K1976"/>
    </row>
    <row r="1977" spans="5:11" x14ac:dyDescent="0.2">
      <c r="E1977" s="50"/>
      <c r="H1977" s="12"/>
      <c r="K1977"/>
    </row>
    <row r="1978" spans="5:11" x14ac:dyDescent="0.2">
      <c r="E1978" s="50"/>
      <c r="H1978" s="12"/>
      <c r="K1978"/>
    </row>
    <row r="1979" spans="5:11" x14ac:dyDescent="0.2">
      <c r="E1979" s="50"/>
      <c r="H1979" s="12"/>
      <c r="K1979"/>
    </row>
    <row r="1980" spans="5:11" x14ac:dyDescent="0.2">
      <c r="E1980" s="50"/>
      <c r="H1980" s="12"/>
      <c r="K1980"/>
    </row>
    <row r="1981" spans="5:11" x14ac:dyDescent="0.2">
      <c r="E1981" s="50"/>
      <c r="H1981" s="12"/>
      <c r="K1981"/>
    </row>
    <row r="1982" spans="5:11" x14ac:dyDescent="0.2">
      <c r="E1982" s="50"/>
      <c r="H1982" s="12"/>
      <c r="K1982"/>
    </row>
    <row r="1983" spans="5:11" x14ac:dyDescent="0.2">
      <c r="E1983" s="50"/>
      <c r="H1983" s="12"/>
      <c r="K1983"/>
    </row>
    <row r="1984" spans="5:11" x14ac:dyDescent="0.2">
      <c r="E1984" s="50"/>
      <c r="H1984" s="12"/>
      <c r="K1984"/>
    </row>
    <row r="1985" spans="5:11" x14ac:dyDescent="0.2">
      <c r="E1985" s="50"/>
      <c r="H1985" s="12"/>
      <c r="K1985"/>
    </row>
    <row r="1986" spans="5:11" x14ac:dyDescent="0.2">
      <c r="E1986" s="50"/>
      <c r="H1986" s="12"/>
      <c r="K1986"/>
    </row>
    <row r="1987" spans="5:11" x14ac:dyDescent="0.2">
      <c r="E1987" s="50"/>
      <c r="H1987" s="12"/>
      <c r="K1987"/>
    </row>
    <row r="1988" spans="5:11" x14ac:dyDescent="0.2">
      <c r="E1988" s="50"/>
      <c r="H1988" s="12"/>
      <c r="K1988"/>
    </row>
    <row r="1989" spans="5:11" x14ac:dyDescent="0.2">
      <c r="E1989" s="50"/>
      <c r="H1989" s="12"/>
      <c r="K1989"/>
    </row>
    <row r="1990" spans="5:11" x14ac:dyDescent="0.2">
      <c r="E1990" s="50"/>
      <c r="H1990" s="12"/>
      <c r="K1990"/>
    </row>
    <row r="1991" spans="5:11" x14ac:dyDescent="0.2">
      <c r="E1991" s="50"/>
      <c r="H1991" s="12"/>
      <c r="K1991"/>
    </row>
    <row r="1992" spans="5:11" x14ac:dyDescent="0.2">
      <c r="E1992" s="50"/>
      <c r="H1992" s="12"/>
      <c r="K1992"/>
    </row>
    <row r="1993" spans="5:11" x14ac:dyDescent="0.2">
      <c r="E1993" s="50"/>
      <c r="H1993" s="12"/>
      <c r="K1993"/>
    </row>
    <row r="1994" spans="5:11" x14ac:dyDescent="0.2">
      <c r="E1994" s="50"/>
      <c r="H1994" s="12"/>
      <c r="K1994"/>
    </row>
    <row r="1995" spans="5:11" x14ac:dyDescent="0.2">
      <c r="E1995" s="50"/>
      <c r="H1995" s="12"/>
      <c r="K1995"/>
    </row>
    <row r="1996" spans="5:11" x14ac:dyDescent="0.2">
      <c r="E1996" s="50"/>
      <c r="H1996" s="12"/>
      <c r="K1996"/>
    </row>
    <row r="1997" spans="5:11" x14ac:dyDescent="0.2">
      <c r="E1997" s="50"/>
      <c r="H1997" s="12"/>
      <c r="K1997"/>
    </row>
    <row r="1998" spans="5:11" x14ac:dyDescent="0.2">
      <c r="E1998" s="50"/>
      <c r="H1998" s="12"/>
      <c r="K1998"/>
    </row>
    <row r="1999" spans="5:11" x14ac:dyDescent="0.2">
      <c r="E1999" s="50"/>
      <c r="H1999" s="12"/>
      <c r="K1999"/>
    </row>
    <row r="2000" spans="5:11" x14ac:dyDescent="0.2">
      <c r="E2000" s="50"/>
      <c r="H2000" s="12"/>
      <c r="K2000"/>
    </row>
    <row r="2001" spans="5:11" x14ac:dyDescent="0.2">
      <c r="E2001" s="50"/>
      <c r="H2001" s="12"/>
      <c r="K2001"/>
    </row>
    <row r="2002" spans="5:11" x14ac:dyDescent="0.2">
      <c r="E2002" s="50"/>
      <c r="H2002" s="12"/>
      <c r="K2002"/>
    </row>
    <row r="2003" spans="5:11" x14ac:dyDescent="0.2">
      <c r="E2003" s="50"/>
      <c r="H2003" s="12"/>
      <c r="K2003"/>
    </row>
    <row r="2004" spans="5:11" x14ac:dyDescent="0.2">
      <c r="E2004" s="50"/>
      <c r="H2004" s="12"/>
      <c r="K2004"/>
    </row>
    <row r="2005" spans="5:11" x14ac:dyDescent="0.2">
      <c r="E2005" s="50"/>
      <c r="H2005" s="12"/>
      <c r="K2005"/>
    </row>
    <row r="2006" spans="5:11" x14ac:dyDescent="0.2">
      <c r="E2006" s="50"/>
      <c r="H2006" s="12"/>
      <c r="K2006"/>
    </row>
    <row r="2007" spans="5:11" x14ac:dyDescent="0.2">
      <c r="E2007" s="50"/>
      <c r="H2007" s="12"/>
      <c r="K2007"/>
    </row>
    <row r="2008" spans="5:11" x14ac:dyDescent="0.2">
      <c r="E2008" s="50"/>
      <c r="H2008" s="12"/>
      <c r="K2008"/>
    </row>
    <row r="2009" spans="5:11" x14ac:dyDescent="0.2">
      <c r="E2009" s="50"/>
      <c r="H2009" s="12"/>
      <c r="K2009"/>
    </row>
    <row r="2010" spans="5:11" x14ac:dyDescent="0.2">
      <c r="E2010" s="50"/>
      <c r="H2010" s="12"/>
      <c r="K2010"/>
    </row>
    <row r="2011" spans="5:11" x14ac:dyDescent="0.2">
      <c r="E2011" s="50"/>
      <c r="H2011" s="12"/>
      <c r="K2011"/>
    </row>
    <row r="2012" spans="5:11" x14ac:dyDescent="0.2">
      <c r="E2012" s="50"/>
      <c r="H2012" s="12"/>
      <c r="K2012"/>
    </row>
    <row r="2013" spans="5:11" x14ac:dyDescent="0.2">
      <c r="E2013" s="50"/>
      <c r="H2013" s="12"/>
      <c r="K2013"/>
    </row>
    <row r="2014" spans="5:11" x14ac:dyDescent="0.2">
      <c r="E2014" s="50"/>
      <c r="H2014" s="12"/>
      <c r="K2014"/>
    </row>
    <row r="2015" spans="5:11" x14ac:dyDescent="0.2">
      <c r="E2015" s="50"/>
      <c r="H2015" s="12"/>
      <c r="K2015"/>
    </row>
    <row r="2016" spans="5:11" x14ac:dyDescent="0.2">
      <c r="E2016" s="50"/>
      <c r="H2016" s="12"/>
      <c r="K2016"/>
    </row>
    <row r="2017" spans="5:11" x14ac:dyDescent="0.2">
      <c r="E2017" s="50"/>
      <c r="H2017" s="12"/>
      <c r="K2017"/>
    </row>
    <row r="2018" spans="5:11" x14ac:dyDescent="0.2">
      <c r="E2018" s="50"/>
      <c r="H2018" s="12"/>
      <c r="K2018"/>
    </row>
    <row r="2019" spans="5:11" x14ac:dyDescent="0.2">
      <c r="E2019" s="50"/>
      <c r="H2019" s="12"/>
      <c r="K2019"/>
    </row>
    <row r="2020" spans="5:11" x14ac:dyDescent="0.2">
      <c r="E2020" s="50"/>
      <c r="H2020" s="12"/>
      <c r="K2020"/>
    </row>
    <row r="2021" spans="5:11" x14ac:dyDescent="0.2">
      <c r="E2021" s="50"/>
      <c r="H2021" s="12"/>
      <c r="K2021"/>
    </row>
    <row r="2022" spans="5:11" x14ac:dyDescent="0.2">
      <c r="E2022" s="50"/>
      <c r="H2022" s="12"/>
      <c r="K2022"/>
    </row>
    <row r="2023" spans="5:11" x14ac:dyDescent="0.2">
      <c r="E2023" s="50"/>
      <c r="H2023" s="12"/>
      <c r="K2023"/>
    </row>
    <row r="2024" spans="5:11" x14ac:dyDescent="0.2">
      <c r="E2024" s="50"/>
      <c r="H2024" s="12"/>
      <c r="K2024"/>
    </row>
    <row r="2025" spans="5:11" x14ac:dyDescent="0.2">
      <c r="E2025" s="50"/>
      <c r="H2025" s="12"/>
      <c r="K2025"/>
    </row>
    <row r="2026" spans="5:11" x14ac:dyDescent="0.2">
      <c r="E2026" s="50"/>
      <c r="H2026" s="12"/>
      <c r="K2026"/>
    </row>
    <row r="2027" spans="5:11" x14ac:dyDescent="0.2">
      <c r="E2027" s="50"/>
      <c r="H2027" s="12"/>
      <c r="K2027"/>
    </row>
    <row r="2028" spans="5:11" x14ac:dyDescent="0.2">
      <c r="E2028" s="50"/>
      <c r="H2028" s="12"/>
      <c r="K2028"/>
    </row>
    <row r="2029" spans="5:11" x14ac:dyDescent="0.2">
      <c r="E2029" s="50"/>
      <c r="H2029" s="12"/>
      <c r="K2029"/>
    </row>
    <row r="2030" spans="5:11" x14ac:dyDescent="0.2">
      <c r="E2030" s="50"/>
      <c r="H2030" s="12"/>
      <c r="K2030"/>
    </row>
    <row r="2031" spans="5:11" x14ac:dyDescent="0.2">
      <c r="E2031" s="50"/>
      <c r="H2031" s="12"/>
      <c r="K2031"/>
    </row>
    <row r="2032" spans="5:11" x14ac:dyDescent="0.2">
      <c r="E2032" s="50"/>
      <c r="H2032" s="12"/>
      <c r="K2032"/>
    </row>
    <row r="2033" spans="5:11" x14ac:dyDescent="0.2">
      <c r="E2033" s="50"/>
      <c r="H2033" s="12"/>
      <c r="K2033"/>
    </row>
    <row r="2034" spans="5:11" x14ac:dyDescent="0.2">
      <c r="E2034" s="50"/>
      <c r="H2034" s="12"/>
      <c r="K2034"/>
    </row>
    <row r="2035" spans="5:11" x14ac:dyDescent="0.2">
      <c r="E2035" s="50"/>
      <c r="H2035" s="12"/>
      <c r="K2035"/>
    </row>
    <row r="2036" spans="5:11" x14ac:dyDescent="0.2">
      <c r="E2036" s="50"/>
      <c r="H2036" s="12"/>
      <c r="K2036"/>
    </row>
    <row r="2037" spans="5:11" x14ac:dyDescent="0.2">
      <c r="E2037" s="50"/>
      <c r="H2037" s="12"/>
      <c r="K2037"/>
    </row>
    <row r="2038" spans="5:11" x14ac:dyDescent="0.2">
      <c r="E2038" s="50"/>
      <c r="H2038" s="12"/>
      <c r="K2038"/>
    </row>
    <row r="2039" spans="5:11" x14ac:dyDescent="0.2">
      <c r="E2039" s="50"/>
      <c r="H2039" s="12"/>
      <c r="K2039"/>
    </row>
    <row r="2040" spans="5:11" x14ac:dyDescent="0.2">
      <c r="E2040" s="50"/>
      <c r="H2040" s="12"/>
      <c r="K2040"/>
    </row>
    <row r="2041" spans="5:11" x14ac:dyDescent="0.2">
      <c r="E2041" s="50"/>
      <c r="H2041" s="12"/>
      <c r="K2041"/>
    </row>
    <row r="2042" spans="5:11" x14ac:dyDescent="0.2">
      <c r="E2042" s="50"/>
      <c r="H2042" s="12"/>
      <c r="K2042"/>
    </row>
    <row r="2043" spans="5:11" x14ac:dyDescent="0.2">
      <c r="E2043" s="50"/>
      <c r="H2043" s="12"/>
      <c r="K2043"/>
    </row>
    <row r="2044" spans="5:11" x14ac:dyDescent="0.2">
      <c r="E2044" s="50"/>
      <c r="H2044" s="12"/>
      <c r="K2044"/>
    </row>
    <row r="2045" spans="5:11" x14ac:dyDescent="0.2">
      <c r="E2045" s="50"/>
      <c r="H2045" s="12"/>
      <c r="K2045"/>
    </row>
    <row r="2046" spans="5:11" x14ac:dyDescent="0.2">
      <c r="E2046" s="50"/>
      <c r="H2046" s="12"/>
      <c r="K2046"/>
    </row>
    <row r="2047" spans="5:11" x14ac:dyDescent="0.2">
      <c r="E2047" s="50"/>
      <c r="H2047" s="12"/>
      <c r="K2047"/>
    </row>
    <row r="2048" spans="5:11" x14ac:dyDescent="0.2">
      <c r="E2048" s="50"/>
      <c r="H2048" s="12"/>
      <c r="K2048"/>
    </row>
    <row r="2049" spans="5:11" x14ac:dyDescent="0.2">
      <c r="E2049" s="50"/>
      <c r="H2049" s="12"/>
      <c r="K2049"/>
    </row>
    <row r="2050" spans="5:11" x14ac:dyDescent="0.2">
      <c r="E2050" s="50"/>
      <c r="H2050" s="12"/>
      <c r="K2050"/>
    </row>
    <row r="2051" spans="5:11" x14ac:dyDescent="0.2">
      <c r="E2051" s="50"/>
      <c r="H2051" s="12"/>
      <c r="K2051"/>
    </row>
    <row r="2052" spans="5:11" x14ac:dyDescent="0.2">
      <c r="E2052" s="50"/>
      <c r="H2052" s="12"/>
      <c r="K2052"/>
    </row>
    <row r="2053" spans="5:11" x14ac:dyDescent="0.2">
      <c r="E2053" s="50"/>
      <c r="H2053" s="12"/>
      <c r="K2053"/>
    </row>
    <row r="2054" spans="5:11" x14ac:dyDescent="0.2">
      <c r="E2054" s="50"/>
      <c r="H2054" s="12"/>
      <c r="K2054"/>
    </row>
    <row r="2055" spans="5:11" x14ac:dyDescent="0.2">
      <c r="E2055" s="50"/>
      <c r="H2055" s="12"/>
      <c r="K2055"/>
    </row>
    <row r="2056" spans="5:11" x14ac:dyDescent="0.2">
      <c r="E2056" s="50"/>
      <c r="H2056" s="12"/>
      <c r="K2056"/>
    </row>
    <row r="2057" spans="5:11" x14ac:dyDescent="0.2">
      <c r="E2057" s="50"/>
      <c r="H2057" s="12"/>
      <c r="K2057"/>
    </row>
    <row r="2058" spans="5:11" x14ac:dyDescent="0.2">
      <c r="E2058" s="50"/>
      <c r="H2058" s="12"/>
      <c r="K2058"/>
    </row>
    <row r="2059" spans="5:11" x14ac:dyDescent="0.2">
      <c r="E2059" s="50"/>
      <c r="H2059" s="12"/>
      <c r="K2059"/>
    </row>
    <row r="2060" spans="5:11" x14ac:dyDescent="0.2">
      <c r="E2060" s="50"/>
      <c r="H2060" s="12"/>
      <c r="K2060"/>
    </row>
    <row r="2061" spans="5:11" x14ac:dyDescent="0.2">
      <c r="E2061" s="50"/>
      <c r="H2061" s="12"/>
      <c r="K2061"/>
    </row>
    <row r="2062" spans="5:11" x14ac:dyDescent="0.2">
      <c r="E2062" s="50"/>
      <c r="H2062" s="12"/>
      <c r="K2062"/>
    </row>
    <row r="2063" spans="5:11" x14ac:dyDescent="0.2">
      <c r="E2063" s="50"/>
      <c r="H2063" s="12"/>
      <c r="K2063"/>
    </row>
    <row r="2064" spans="5:11" x14ac:dyDescent="0.2">
      <c r="E2064" s="50"/>
      <c r="H2064" s="12"/>
      <c r="K2064"/>
    </row>
    <row r="2065" spans="5:11" x14ac:dyDescent="0.2">
      <c r="E2065" s="50"/>
      <c r="H2065" s="12"/>
      <c r="K2065"/>
    </row>
    <row r="2066" spans="5:11" x14ac:dyDescent="0.2">
      <c r="E2066" s="50"/>
      <c r="H2066" s="12"/>
      <c r="K2066"/>
    </row>
    <row r="2067" spans="5:11" x14ac:dyDescent="0.2">
      <c r="E2067" s="50"/>
      <c r="H2067" s="12"/>
      <c r="K2067"/>
    </row>
    <row r="2068" spans="5:11" x14ac:dyDescent="0.2">
      <c r="E2068" s="50"/>
      <c r="H2068" s="12"/>
      <c r="K2068"/>
    </row>
    <row r="2069" spans="5:11" x14ac:dyDescent="0.2">
      <c r="E2069" s="50"/>
      <c r="H2069" s="12"/>
      <c r="K2069"/>
    </row>
    <row r="2070" spans="5:11" x14ac:dyDescent="0.2">
      <c r="E2070" s="50"/>
      <c r="H2070" s="12"/>
      <c r="K2070"/>
    </row>
    <row r="2071" spans="5:11" x14ac:dyDescent="0.2">
      <c r="E2071" s="50"/>
      <c r="H2071" s="12"/>
      <c r="K2071"/>
    </row>
    <row r="2072" spans="5:11" x14ac:dyDescent="0.2">
      <c r="E2072" s="50"/>
      <c r="H2072" s="12"/>
      <c r="K2072"/>
    </row>
    <row r="2073" spans="5:11" x14ac:dyDescent="0.2">
      <c r="E2073" s="50"/>
      <c r="H2073" s="12"/>
      <c r="K2073"/>
    </row>
    <row r="2074" spans="5:11" x14ac:dyDescent="0.2">
      <c r="E2074" s="50"/>
      <c r="H2074" s="12"/>
      <c r="K2074"/>
    </row>
    <row r="2075" spans="5:11" x14ac:dyDescent="0.2">
      <c r="E2075" s="50"/>
      <c r="H2075" s="12"/>
      <c r="K2075"/>
    </row>
    <row r="2076" spans="5:11" x14ac:dyDescent="0.2">
      <c r="E2076" s="50"/>
      <c r="H2076" s="12"/>
      <c r="K2076"/>
    </row>
    <row r="2077" spans="5:11" x14ac:dyDescent="0.2">
      <c r="E2077" s="50"/>
      <c r="H2077" s="12"/>
      <c r="K2077"/>
    </row>
    <row r="2078" spans="5:11" x14ac:dyDescent="0.2">
      <c r="E2078" s="50"/>
      <c r="H2078" s="12"/>
      <c r="K2078"/>
    </row>
    <row r="2079" spans="5:11" x14ac:dyDescent="0.2">
      <c r="E2079" s="50"/>
      <c r="H2079" s="12"/>
      <c r="K2079"/>
    </row>
    <row r="2080" spans="5:11" x14ac:dyDescent="0.2">
      <c r="E2080" s="50"/>
      <c r="H2080" s="12"/>
      <c r="K2080"/>
    </row>
    <row r="2081" spans="5:11" x14ac:dyDescent="0.2">
      <c r="E2081" s="50"/>
      <c r="H2081" s="12"/>
      <c r="K2081"/>
    </row>
    <row r="2082" spans="5:11" x14ac:dyDescent="0.2">
      <c r="E2082" s="50"/>
      <c r="H2082" s="12"/>
      <c r="K2082"/>
    </row>
    <row r="2083" spans="5:11" x14ac:dyDescent="0.2">
      <c r="E2083" s="50"/>
      <c r="H2083" s="12"/>
      <c r="K2083"/>
    </row>
    <row r="2084" spans="5:11" x14ac:dyDescent="0.2">
      <c r="E2084" s="50"/>
      <c r="H2084" s="12"/>
      <c r="K2084"/>
    </row>
    <row r="2085" spans="5:11" x14ac:dyDescent="0.2">
      <c r="E2085" s="50"/>
      <c r="H2085" s="12"/>
      <c r="K2085"/>
    </row>
    <row r="2086" spans="5:11" x14ac:dyDescent="0.2">
      <c r="E2086" s="50"/>
      <c r="H2086" s="12"/>
      <c r="K2086"/>
    </row>
    <row r="2087" spans="5:11" x14ac:dyDescent="0.2">
      <c r="E2087" s="50"/>
      <c r="H2087" s="12"/>
      <c r="K2087"/>
    </row>
    <row r="2088" spans="5:11" x14ac:dyDescent="0.2">
      <c r="E2088" s="50"/>
      <c r="H2088" s="12"/>
      <c r="K2088"/>
    </row>
    <row r="2089" spans="5:11" x14ac:dyDescent="0.2">
      <c r="E2089" s="50"/>
      <c r="H2089" s="12"/>
      <c r="K2089"/>
    </row>
    <row r="2090" spans="5:11" x14ac:dyDescent="0.2">
      <c r="E2090" s="50"/>
      <c r="H2090" s="12"/>
      <c r="K2090"/>
    </row>
    <row r="2091" spans="5:11" x14ac:dyDescent="0.2">
      <c r="E2091" s="50"/>
      <c r="H2091" s="12"/>
      <c r="K2091"/>
    </row>
    <row r="2092" spans="5:11" x14ac:dyDescent="0.2">
      <c r="E2092" s="50"/>
      <c r="H2092" s="12"/>
      <c r="K2092"/>
    </row>
    <row r="2093" spans="5:11" x14ac:dyDescent="0.2">
      <c r="E2093" s="50"/>
      <c r="H2093" s="12"/>
      <c r="K2093"/>
    </row>
    <row r="2094" spans="5:11" x14ac:dyDescent="0.2">
      <c r="E2094" s="50"/>
      <c r="H2094" s="12"/>
      <c r="K2094"/>
    </row>
    <row r="2095" spans="5:11" x14ac:dyDescent="0.2">
      <c r="E2095" s="50"/>
      <c r="H2095" s="12"/>
      <c r="K2095"/>
    </row>
    <row r="2096" spans="5:11" x14ac:dyDescent="0.2">
      <c r="E2096" s="50"/>
      <c r="H2096" s="12"/>
      <c r="K2096"/>
    </row>
    <row r="2097" spans="5:11" x14ac:dyDescent="0.2">
      <c r="E2097" s="50"/>
      <c r="H2097" s="12"/>
      <c r="K2097"/>
    </row>
    <row r="2098" spans="5:11" x14ac:dyDescent="0.2">
      <c r="E2098" s="50"/>
      <c r="H2098" s="12"/>
      <c r="K2098"/>
    </row>
    <row r="2099" spans="5:11" x14ac:dyDescent="0.2">
      <c r="E2099" s="50"/>
      <c r="H2099" s="12"/>
      <c r="K2099"/>
    </row>
    <row r="2100" spans="5:11" x14ac:dyDescent="0.2">
      <c r="E2100" s="50"/>
      <c r="H2100" s="12"/>
      <c r="K2100"/>
    </row>
    <row r="2101" spans="5:11" x14ac:dyDescent="0.2">
      <c r="E2101" s="50"/>
      <c r="H2101" s="12"/>
      <c r="K2101"/>
    </row>
    <row r="2102" spans="5:11" x14ac:dyDescent="0.2">
      <c r="E2102" s="50"/>
      <c r="H2102" s="12"/>
      <c r="K2102"/>
    </row>
    <row r="2103" spans="5:11" x14ac:dyDescent="0.2">
      <c r="E2103" s="50"/>
      <c r="H2103" s="12"/>
      <c r="K2103"/>
    </row>
    <row r="2104" spans="5:11" x14ac:dyDescent="0.2">
      <c r="E2104" s="50"/>
      <c r="H2104" s="12"/>
      <c r="K2104"/>
    </row>
    <row r="2105" spans="5:11" x14ac:dyDescent="0.2">
      <c r="E2105" s="50"/>
      <c r="H2105" s="12"/>
      <c r="K2105"/>
    </row>
    <row r="2106" spans="5:11" x14ac:dyDescent="0.2">
      <c r="E2106" s="50"/>
      <c r="H2106" s="12"/>
      <c r="K2106"/>
    </row>
    <row r="2107" spans="5:11" x14ac:dyDescent="0.2">
      <c r="E2107" s="50"/>
      <c r="H2107" s="12"/>
      <c r="K2107"/>
    </row>
    <row r="2108" spans="5:11" x14ac:dyDescent="0.2">
      <c r="E2108" s="50"/>
      <c r="H2108" s="12"/>
      <c r="K2108"/>
    </row>
    <row r="2109" spans="5:11" x14ac:dyDescent="0.2">
      <c r="E2109" s="50"/>
      <c r="H2109" s="12"/>
      <c r="K2109"/>
    </row>
    <row r="2110" spans="5:11" x14ac:dyDescent="0.2">
      <c r="E2110" s="50"/>
      <c r="H2110" s="12"/>
      <c r="K2110"/>
    </row>
    <row r="2111" spans="5:11" x14ac:dyDescent="0.2">
      <c r="E2111" s="50"/>
      <c r="H2111" s="12"/>
      <c r="K2111"/>
    </row>
    <row r="2112" spans="5:11" x14ac:dyDescent="0.2">
      <c r="E2112" s="50"/>
      <c r="H2112" s="12"/>
      <c r="K2112"/>
    </row>
    <row r="2113" spans="5:11" x14ac:dyDescent="0.2">
      <c r="E2113" s="50"/>
      <c r="H2113" s="12"/>
      <c r="K2113"/>
    </row>
    <row r="2114" spans="5:11" x14ac:dyDescent="0.2">
      <c r="E2114" s="50"/>
      <c r="H2114" s="12"/>
      <c r="K2114"/>
    </row>
    <row r="2115" spans="5:11" x14ac:dyDescent="0.2">
      <c r="E2115" s="50"/>
      <c r="H2115" s="12"/>
      <c r="K2115"/>
    </row>
    <row r="2116" spans="5:11" x14ac:dyDescent="0.2">
      <c r="E2116" s="50"/>
      <c r="H2116" s="12"/>
      <c r="K2116"/>
    </row>
    <row r="2117" spans="5:11" x14ac:dyDescent="0.2">
      <c r="E2117" s="50"/>
      <c r="H2117" s="12"/>
      <c r="K2117"/>
    </row>
    <row r="2118" spans="5:11" x14ac:dyDescent="0.2">
      <c r="E2118" s="50"/>
      <c r="H2118" s="12"/>
      <c r="K2118"/>
    </row>
    <row r="2119" spans="5:11" x14ac:dyDescent="0.2">
      <c r="E2119" s="50"/>
      <c r="H2119" s="12"/>
      <c r="K2119"/>
    </row>
    <row r="2120" spans="5:11" x14ac:dyDescent="0.2">
      <c r="E2120" s="50"/>
      <c r="H2120" s="12"/>
      <c r="K2120"/>
    </row>
    <row r="2121" spans="5:11" x14ac:dyDescent="0.2">
      <c r="E2121" s="50"/>
      <c r="H2121" s="12"/>
      <c r="K2121"/>
    </row>
    <row r="2122" spans="5:11" x14ac:dyDescent="0.2">
      <c r="E2122" s="50"/>
      <c r="H2122" s="12"/>
      <c r="K2122"/>
    </row>
    <row r="2123" spans="5:11" x14ac:dyDescent="0.2">
      <c r="E2123" s="50"/>
      <c r="H2123" s="12"/>
      <c r="K2123"/>
    </row>
    <row r="2124" spans="5:11" x14ac:dyDescent="0.2">
      <c r="E2124" s="50"/>
      <c r="H2124" s="12"/>
      <c r="K2124"/>
    </row>
    <row r="2125" spans="5:11" x14ac:dyDescent="0.2">
      <c r="E2125" s="50"/>
      <c r="H2125" s="12"/>
      <c r="K2125"/>
    </row>
    <row r="2126" spans="5:11" x14ac:dyDescent="0.2">
      <c r="E2126" s="50"/>
      <c r="H2126" s="12"/>
      <c r="K2126"/>
    </row>
    <row r="2127" spans="5:11" x14ac:dyDescent="0.2">
      <c r="E2127" s="50"/>
      <c r="H2127" s="12"/>
      <c r="K2127"/>
    </row>
    <row r="2128" spans="5:11" x14ac:dyDescent="0.2">
      <c r="E2128" s="50"/>
      <c r="H2128" s="12"/>
      <c r="K2128"/>
    </row>
    <row r="2129" spans="5:11" x14ac:dyDescent="0.2">
      <c r="E2129" s="50"/>
      <c r="H2129" s="12"/>
      <c r="K2129"/>
    </row>
    <row r="2130" spans="5:11" x14ac:dyDescent="0.2">
      <c r="E2130" s="50"/>
      <c r="H2130" s="12"/>
      <c r="K2130"/>
    </row>
    <row r="2131" spans="5:11" x14ac:dyDescent="0.2">
      <c r="E2131" s="50"/>
      <c r="H2131" s="12"/>
      <c r="K2131"/>
    </row>
    <row r="2132" spans="5:11" x14ac:dyDescent="0.2">
      <c r="E2132" s="50"/>
      <c r="H2132" s="12"/>
      <c r="K2132"/>
    </row>
    <row r="2133" spans="5:11" x14ac:dyDescent="0.2">
      <c r="E2133" s="50"/>
      <c r="H2133" s="12"/>
      <c r="K2133"/>
    </row>
    <row r="2134" spans="5:11" x14ac:dyDescent="0.2">
      <c r="E2134" s="50"/>
      <c r="H2134" s="12"/>
      <c r="K2134"/>
    </row>
    <row r="2135" spans="5:11" x14ac:dyDescent="0.2">
      <c r="E2135" s="50"/>
      <c r="H2135" s="12"/>
      <c r="K2135"/>
    </row>
    <row r="2136" spans="5:11" x14ac:dyDescent="0.2">
      <c r="E2136" s="50"/>
      <c r="H2136" s="12"/>
      <c r="K2136"/>
    </row>
    <row r="2137" spans="5:11" x14ac:dyDescent="0.2">
      <c r="E2137" s="50"/>
      <c r="H2137" s="12"/>
      <c r="K2137"/>
    </row>
    <row r="2138" spans="5:11" x14ac:dyDescent="0.2">
      <c r="E2138" s="50"/>
      <c r="H2138" s="12"/>
      <c r="K2138"/>
    </row>
    <row r="2139" spans="5:11" x14ac:dyDescent="0.2">
      <c r="E2139" s="50"/>
      <c r="H2139" s="12"/>
      <c r="K2139"/>
    </row>
    <row r="2140" spans="5:11" x14ac:dyDescent="0.2">
      <c r="E2140" s="50"/>
      <c r="H2140" s="12"/>
      <c r="K2140"/>
    </row>
    <row r="2141" spans="5:11" x14ac:dyDescent="0.2">
      <c r="E2141" s="50"/>
      <c r="H2141" s="12"/>
      <c r="K2141"/>
    </row>
    <row r="2142" spans="5:11" x14ac:dyDescent="0.2">
      <c r="E2142" s="50"/>
      <c r="H2142" s="12"/>
      <c r="K2142"/>
    </row>
    <row r="2143" spans="5:11" x14ac:dyDescent="0.2">
      <c r="E2143" s="50"/>
      <c r="H2143" s="12"/>
      <c r="K2143"/>
    </row>
    <row r="2144" spans="5:11" x14ac:dyDescent="0.2">
      <c r="E2144" s="50"/>
      <c r="H2144" s="12"/>
      <c r="K2144"/>
    </row>
    <row r="2145" spans="5:11" x14ac:dyDescent="0.2">
      <c r="E2145" s="50"/>
      <c r="H2145" s="12"/>
      <c r="K2145"/>
    </row>
    <row r="2146" spans="5:11" x14ac:dyDescent="0.2">
      <c r="E2146" s="50"/>
      <c r="H2146" s="12"/>
      <c r="K2146"/>
    </row>
    <row r="2147" spans="5:11" x14ac:dyDescent="0.2">
      <c r="E2147" s="50"/>
      <c r="H2147" s="12"/>
      <c r="K2147"/>
    </row>
    <row r="2148" spans="5:11" x14ac:dyDescent="0.2">
      <c r="E2148" s="50"/>
      <c r="H2148" s="12"/>
      <c r="K2148"/>
    </row>
    <row r="2149" spans="5:11" x14ac:dyDescent="0.2">
      <c r="E2149" s="50"/>
      <c r="H2149" s="12"/>
      <c r="K2149"/>
    </row>
    <row r="2150" spans="5:11" x14ac:dyDescent="0.2">
      <c r="E2150" s="50"/>
      <c r="H2150" s="12"/>
      <c r="K2150"/>
    </row>
    <row r="2151" spans="5:11" x14ac:dyDescent="0.2">
      <c r="E2151" s="50"/>
      <c r="H2151" s="12"/>
      <c r="K2151"/>
    </row>
    <row r="2152" spans="5:11" x14ac:dyDescent="0.2">
      <c r="E2152" s="50"/>
      <c r="H2152" s="12"/>
      <c r="K2152"/>
    </row>
    <row r="2153" spans="5:11" x14ac:dyDescent="0.2">
      <c r="E2153" s="50"/>
      <c r="H2153" s="12"/>
      <c r="K2153"/>
    </row>
    <row r="2154" spans="5:11" x14ac:dyDescent="0.2">
      <c r="E2154" s="50"/>
      <c r="H2154" s="12"/>
      <c r="K2154"/>
    </row>
    <row r="2155" spans="5:11" x14ac:dyDescent="0.2">
      <c r="E2155" s="50"/>
      <c r="H2155" s="12"/>
      <c r="K2155"/>
    </row>
    <row r="2156" spans="5:11" x14ac:dyDescent="0.2">
      <c r="E2156" s="50"/>
      <c r="H2156" s="12"/>
      <c r="K2156"/>
    </row>
    <row r="2157" spans="5:11" x14ac:dyDescent="0.2">
      <c r="E2157" s="50"/>
      <c r="H2157" s="12"/>
      <c r="K2157"/>
    </row>
    <row r="2158" spans="5:11" x14ac:dyDescent="0.2">
      <c r="E2158" s="50"/>
      <c r="H2158" s="12"/>
      <c r="K2158"/>
    </row>
    <row r="2159" spans="5:11" x14ac:dyDescent="0.2">
      <c r="E2159" s="50"/>
      <c r="H2159" s="12"/>
      <c r="K2159"/>
    </row>
    <row r="2160" spans="5:11" x14ac:dyDescent="0.2">
      <c r="E2160" s="50"/>
      <c r="H2160" s="12"/>
      <c r="K2160"/>
    </row>
    <row r="2161" spans="5:11" x14ac:dyDescent="0.2">
      <c r="E2161" s="50"/>
      <c r="H2161" s="12"/>
      <c r="K2161"/>
    </row>
    <row r="2162" spans="5:11" x14ac:dyDescent="0.2">
      <c r="E2162" s="50"/>
      <c r="H2162" s="12"/>
      <c r="K2162"/>
    </row>
    <row r="2163" spans="5:11" x14ac:dyDescent="0.2">
      <c r="E2163" s="50"/>
      <c r="H2163" s="12"/>
      <c r="K2163"/>
    </row>
    <row r="2164" spans="5:11" x14ac:dyDescent="0.2">
      <c r="E2164" s="50"/>
      <c r="H2164" s="12"/>
      <c r="K2164"/>
    </row>
    <row r="2165" spans="5:11" x14ac:dyDescent="0.2">
      <c r="E2165" s="50"/>
      <c r="H2165" s="12"/>
      <c r="K2165"/>
    </row>
    <row r="2166" spans="5:11" x14ac:dyDescent="0.2">
      <c r="E2166" s="50"/>
      <c r="H2166" s="12"/>
      <c r="K2166"/>
    </row>
    <row r="2167" spans="5:11" x14ac:dyDescent="0.2">
      <c r="E2167" s="50"/>
      <c r="H2167" s="12"/>
      <c r="K2167"/>
    </row>
    <row r="2168" spans="5:11" x14ac:dyDescent="0.2">
      <c r="E2168" s="50"/>
      <c r="H2168" s="12"/>
      <c r="K2168"/>
    </row>
    <row r="2169" spans="5:11" x14ac:dyDescent="0.2">
      <c r="E2169" s="50"/>
      <c r="H2169" s="12"/>
      <c r="K2169"/>
    </row>
    <row r="2170" spans="5:11" x14ac:dyDescent="0.2">
      <c r="E2170" s="50"/>
      <c r="H2170" s="12"/>
      <c r="K2170"/>
    </row>
    <row r="2171" spans="5:11" x14ac:dyDescent="0.2">
      <c r="E2171" s="50"/>
      <c r="H2171" s="12"/>
      <c r="K2171"/>
    </row>
    <row r="2172" spans="5:11" x14ac:dyDescent="0.2">
      <c r="E2172" s="50"/>
      <c r="H2172" s="12"/>
      <c r="K2172"/>
    </row>
    <row r="2173" spans="5:11" x14ac:dyDescent="0.2">
      <c r="E2173" s="50"/>
      <c r="H2173" s="12"/>
      <c r="K2173"/>
    </row>
    <row r="2174" spans="5:11" x14ac:dyDescent="0.2">
      <c r="E2174" s="50"/>
      <c r="H2174" s="12"/>
      <c r="K2174"/>
    </row>
    <row r="2175" spans="5:11" x14ac:dyDescent="0.2">
      <c r="E2175" s="50"/>
      <c r="H2175" s="12"/>
      <c r="K2175"/>
    </row>
    <row r="2176" spans="5:11" x14ac:dyDescent="0.2">
      <c r="E2176" s="50"/>
      <c r="H2176" s="12"/>
      <c r="K2176"/>
    </row>
    <row r="2177" spans="5:11" x14ac:dyDescent="0.2">
      <c r="E2177" s="50"/>
      <c r="H2177" s="12"/>
      <c r="K2177"/>
    </row>
    <row r="2178" spans="5:11" x14ac:dyDescent="0.2">
      <c r="E2178" s="50"/>
      <c r="H2178" s="12"/>
      <c r="K2178"/>
    </row>
    <row r="2179" spans="5:11" x14ac:dyDescent="0.2">
      <c r="E2179" s="50"/>
      <c r="H2179" s="12"/>
      <c r="K2179"/>
    </row>
    <row r="2180" spans="5:11" x14ac:dyDescent="0.2">
      <c r="E2180" s="50"/>
      <c r="H2180" s="12"/>
      <c r="K2180"/>
    </row>
    <row r="2181" spans="5:11" x14ac:dyDescent="0.2">
      <c r="E2181" s="50"/>
      <c r="H2181" s="12"/>
      <c r="K2181"/>
    </row>
    <row r="2182" spans="5:11" x14ac:dyDescent="0.2">
      <c r="E2182" s="50"/>
      <c r="H2182" s="12"/>
      <c r="K2182"/>
    </row>
    <row r="2183" spans="5:11" x14ac:dyDescent="0.2">
      <c r="E2183" s="50"/>
      <c r="H2183" s="12"/>
      <c r="K2183"/>
    </row>
    <row r="2184" spans="5:11" x14ac:dyDescent="0.2">
      <c r="E2184" s="50"/>
      <c r="H2184" s="12"/>
      <c r="K2184"/>
    </row>
    <row r="2185" spans="5:11" x14ac:dyDescent="0.2">
      <c r="E2185" s="50"/>
      <c r="H2185" s="12"/>
      <c r="K2185"/>
    </row>
    <row r="2186" spans="5:11" x14ac:dyDescent="0.2">
      <c r="E2186" s="50"/>
      <c r="H2186" s="12"/>
      <c r="K2186"/>
    </row>
    <row r="2187" spans="5:11" x14ac:dyDescent="0.2">
      <c r="E2187" s="50"/>
      <c r="H2187" s="12"/>
      <c r="K2187"/>
    </row>
    <row r="2188" spans="5:11" x14ac:dyDescent="0.2">
      <c r="E2188" s="50"/>
      <c r="H2188" s="12"/>
      <c r="K2188"/>
    </row>
    <row r="2189" spans="5:11" x14ac:dyDescent="0.2">
      <c r="E2189" s="50"/>
      <c r="H2189" s="12"/>
      <c r="K2189"/>
    </row>
    <row r="2190" spans="5:11" x14ac:dyDescent="0.2">
      <c r="E2190" s="50"/>
      <c r="H2190" s="12"/>
      <c r="K2190"/>
    </row>
    <row r="2191" spans="5:11" x14ac:dyDescent="0.2">
      <c r="E2191" s="50"/>
      <c r="H2191" s="12"/>
      <c r="K2191"/>
    </row>
    <row r="2192" spans="5:11" x14ac:dyDescent="0.2">
      <c r="E2192" s="50"/>
      <c r="H2192" s="12"/>
      <c r="K2192"/>
    </row>
    <row r="2193" spans="5:11" x14ac:dyDescent="0.2">
      <c r="E2193" s="50"/>
      <c r="H2193" s="12"/>
      <c r="K2193"/>
    </row>
    <row r="2194" spans="5:11" x14ac:dyDescent="0.2">
      <c r="E2194" s="50"/>
      <c r="H2194" s="12"/>
      <c r="K2194"/>
    </row>
    <row r="2195" spans="5:11" x14ac:dyDescent="0.2">
      <c r="E2195" s="50"/>
      <c r="H2195" s="12"/>
      <c r="K2195"/>
    </row>
    <row r="2196" spans="5:11" x14ac:dyDescent="0.2">
      <c r="E2196" s="50"/>
      <c r="H2196" s="12"/>
      <c r="K2196"/>
    </row>
    <row r="2197" spans="5:11" x14ac:dyDescent="0.2">
      <c r="E2197" s="50"/>
      <c r="H2197" s="12"/>
      <c r="K2197"/>
    </row>
    <row r="2198" spans="5:11" x14ac:dyDescent="0.2">
      <c r="E2198" s="50"/>
      <c r="H2198" s="12"/>
      <c r="K2198"/>
    </row>
    <row r="2199" spans="5:11" x14ac:dyDescent="0.2">
      <c r="E2199" s="50"/>
      <c r="H2199" s="12"/>
      <c r="K2199"/>
    </row>
    <row r="2200" spans="5:11" x14ac:dyDescent="0.2">
      <c r="E2200" s="50"/>
      <c r="H2200" s="12"/>
      <c r="K2200"/>
    </row>
    <row r="2201" spans="5:11" x14ac:dyDescent="0.2">
      <c r="E2201" s="50"/>
      <c r="H2201" s="12"/>
      <c r="K2201"/>
    </row>
    <row r="2202" spans="5:11" x14ac:dyDescent="0.2">
      <c r="E2202" s="50"/>
      <c r="H2202" s="12"/>
      <c r="K2202"/>
    </row>
    <row r="2203" spans="5:11" x14ac:dyDescent="0.2">
      <c r="E2203" s="50"/>
      <c r="H2203" s="12"/>
      <c r="K2203"/>
    </row>
    <row r="2204" spans="5:11" x14ac:dyDescent="0.2">
      <c r="E2204" s="50"/>
      <c r="H2204" s="12"/>
      <c r="K2204"/>
    </row>
    <row r="2205" spans="5:11" x14ac:dyDescent="0.2">
      <c r="E2205" s="50"/>
      <c r="H2205" s="12"/>
      <c r="K2205"/>
    </row>
    <row r="2206" spans="5:11" x14ac:dyDescent="0.2">
      <c r="E2206" s="50"/>
      <c r="H2206" s="12"/>
      <c r="K2206"/>
    </row>
    <row r="2207" spans="5:11" x14ac:dyDescent="0.2">
      <c r="E2207" s="50"/>
      <c r="H2207" s="12"/>
      <c r="K2207"/>
    </row>
    <row r="2208" spans="5:11" x14ac:dyDescent="0.2">
      <c r="E2208" s="50"/>
      <c r="H2208" s="12"/>
      <c r="K2208"/>
    </row>
    <row r="2209" spans="5:11" x14ac:dyDescent="0.2">
      <c r="E2209" s="50"/>
      <c r="H2209" s="12"/>
      <c r="K2209"/>
    </row>
    <row r="2210" spans="5:11" x14ac:dyDescent="0.2">
      <c r="E2210" s="50"/>
      <c r="H2210" s="12"/>
      <c r="K2210"/>
    </row>
    <row r="2211" spans="5:11" x14ac:dyDescent="0.2">
      <c r="E2211" s="50"/>
      <c r="H2211" s="12"/>
      <c r="K2211"/>
    </row>
    <row r="2212" spans="5:11" x14ac:dyDescent="0.2">
      <c r="E2212" s="50"/>
      <c r="H2212" s="12"/>
      <c r="K2212"/>
    </row>
    <row r="2213" spans="5:11" x14ac:dyDescent="0.2">
      <c r="E2213" s="50"/>
      <c r="H2213" s="12"/>
      <c r="K2213"/>
    </row>
    <row r="2214" spans="5:11" x14ac:dyDescent="0.2">
      <c r="E2214" s="50"/>
      <c r="H2214" s="12"/>
      <c r="K2214"/>
    </row>
    <row r="2215" spans="5:11" x14ac:dyDescent="0.2">
      <c r="E2215" s="50"/>
      <c r="H2215" s="12"/>
      <c r="K2215"/>
    </row>
    <row r="2216" spans="5:11" x14ac:dyDescent="0.2">
      <c r="E2216" s="50"/>
      <c r="H2216" s="12"/>
      <c r="K2216"/>
    </row>
    <row r="2217" spans="5:11" x14ac:dyDescent="0.2">
      <c r="E2217" s="50"/>
      <c r="H2217" s="12"/>
      <c r="K2217"/>
    </row>
    <row r="2218" spans="5:11" x14ac:dyDescent="0.2">
      <c r="E2218" s="50"/>
      <c r="H2218" s="12"/>
      <c r="K2218"/>
    </row>
    <row r="2219" spans="5:11" x14ac:dyDescent="0.2">
      <c r="E2219" s="50"/>
      <c r="H2219" s="12"/>
      <c r="K2219"/>
    </row>
    <row r="2220" spans="5:11" x14ac:dyDescent="0.2">
      <c r="E2220" s="50"/>
      <c r="H2220" s="12"/>
      <c r="K2220"/>
    </row>
    <row r="2221" spans="5:11" x14ac:dyDescent="0.2">
      <c r="E2221" s="50"/>
      <c r="H2221" s="12"/>
      <c r="K2221"/>
    </row>
    <row r="2222" spans="5:11" x14ac:dyDescent="0.2">
      <c r="E2222" s="50"/>
      <c r="H2222" s="12"/>
      <c r="K2222"/>
    </row>
    <row r="2223" spans="5:11" x14ac:dyDescent="0.2">
      <c r="E2223" s="50"/>
      <c r="H2223" s="12"/>
      <c r="K2223"/>
    </row>
    <row r="2224" spans="5:11" x14ac:dyDescent="0.2">
      <c r="E2224" s="50"/>
      <c r="H2224" s="12"/>
      <c r="K2224"/>
    </row>
    <row r="2225" spans="5:11" x14ac:dyDescent="0.2">
      <c r="E2225" s="50"/>
      <c r="H2225" s="12"/>
      <c r="K2225"/>
    </row>
    <row r="2226" spans="5:11" x14ac:dyDescent="0.2">
      <c r="E2226" s="50"/>
      <c r="H2226" s="12"/>
      <c r="K2226"/>
    </row>
    <row r="2227" spans="5:11" x14ac:dyDescent="0.2">
      <c r="E2227" s="50"/>
      <c r="H2227" s="12"/>
      <c r="K2227"/>
    </row>
    <row r="2228" spans="5:11" x14ac:dyDescent="0.2">
      <c r="E2228" s="50"/>
      <c r="H2228" s="12"/>
      <c r="K2228"/>
    </row>
    <row r="2229" spans="5:11" x14ac:dyDescent="0.2">
      <c r="E2229" s="50"/>
      <c r="H2229" s="12"/>
      <c r="K2229"/>
    </row>
    <row r="2230" spans="5:11" x14ac:dyDescent="0.2">
      <c r="E2230" s="50"/>
      <c r="H2230" s="12"/>
      <c r="K2230"/>
    </row>
    <row r="2231" spans="5:11" x14ac:dyDescent="0.2">
      <c r="E2231" s="50"/>
      <c r="H2231" s="12"/>
      <c r="K2231"/>
    </row>
    <row r="2232" spans="5:11" x14ac:dyDescent="0.2">
      <c r="E2232" s="50"/>
      <c r="H2232" s="12"/>
      <c r="K2232"/>
    </row>
    <row r="2233" spans="5:11" x14ac:dyDescent="0.2">
      <c r="E2233" s="50"/>
      <c r="H2233" s="12"/>
      <c r="K2233"/>
    </row>
    <row r="2234" spans="5:11" x14ac:dyDescent="0.2">
      <c r="E2234" s="50"/>
      <c r="H2234" s="12"/>
      <c r="K2234"/>
    </row>
    <row r="2235" spans="5:11" x14ac:dyDescent="0.2">
      <c r="E2235" s="50"/>
      <c r="H2235" s="12"/>
      <c r="K2235"/>
    </row>
    <row r="2236" spans="5:11" x14ac:dyDescent="0.2">
      <c r="E2236" s="50"/>
      <c r="H2236" s="12"/>
      <c r="K2236"/>
    </row>
    <row r="2237" spans="5:11" x14ac:dyDescent="0.2">
      <c r="E2237" s="50"/>
      <c r="H2237" s="12"/>
      <c r="K2237"/>
    </row>
    <row r="2238" spans="5:11" x14ac:dyDescent="0.2">
      <c r="E2238" s="50"/>
      <c r="H2238" s="12"/>
      <c r="K2238"/>
    </row>
    <row r="2239" spans="5:11" x14ac:dyDescent="0.2">
      <c r="E2239" s="50"/>
      <c r="H2239" s="12"/>
      <c r="K2239"/>
    </row>
    <row r="2240" spans="5:11" x14ac:dyDescent="0.2">
      <c r="E2240" s="50"/>
      <c r="H2240" s="12"/>
      <c r="K2240"/>
    </row>
    <row r="2241" spans="5:11" x14ac:dyDescent="0.2">
      <c r="E2241" s="50"/>
      <c r="H2241" s="12"/>
      <c r="K2241"/>
    </row>
    <row r="2242" spans="5:11" x14ac:dyDescent="0.2">
      <c r="E2242" s="50"/>
      <c r="H2242" s="12"/>
      <c r="K2242"/>
    </row>
    <row r="2243" spans="5:11" x14ac:dyDescent="0.2">
      <c r="E2243" s="50"/>
      <c r="H2243" s="12"/>
      <c r="K2243"/>
    </row>
    <row r="2244" spans="5:11" x14ac:dyDescent="0.2">
      <c r="E2244" s="50"/>
      <c r="H2244" s="12"/>
      <c r="K2244"/>
    </row>
    <row r="2245" spans="5:11" x14ac:dyDescent="0.2">
      <c r="E2245" s="50"/>
      <c r="H2245" s="12"/>
      <c r="K2245"/>
    </row>
    <row r="2246" spans="5:11" x14ac:dyDescent="0.2">
      <c r="E2246" s="50"/>
      <c r="H2246" s="12"/>
      <c r="K2246"/>
    </row>
    <row r="2247" spans="5:11" x14ac:dyDescent="0.2">
      <c r="E2247" s="50"/>
      <c r="H2247" s="12"/>
      <c r="K2247"/>
    </row>
    <row r="2248" spans="5:11" x14ac:dyDescent="0.2">
      <c r="E2248" s="50"/>
      <c r="H2248" s="12"/>
      <c r="K2248"/>
    </row>
    <row r="2249" spans="5:11" x14ac:dyDescent="0.2">
      <c r="E2249" s="50"/>
      <c r="H2249" s="12"/>
      <c r="K2249"/>
    </row>
    <row r="2250" spans="5:11" x14ac:dyDescent="0.2">
      <c r="E2250" s="50"/>
      <c r="H2250" s="12"/>
      <c r="K2250"/>
    </row>
    <row r="2251" spans="5:11" x14ac:dyDescent="0.2">
      <c r="E2251" s="50"/>
      <c r="H2251" s="12"/>
      <c r="K2251"/>
    </row>
    <row r="2252" spans="5:11" x14ac:dyDescent="0.2">
      <c r="E2252" s="50"/>
      <c r="H2252" s="12"/>
      <c r="K2252"/>
    </row>
    <row r="2253" spans="5:11" x14ac:dyDescent="0.2">
      <c r="E2253" s="50"/>
      <c r="H2253" s="12"/>
      <c r="K2253"/>
    </row>
    <row r="2254" spans="5:11" x14ac:dyDescent="0.2">
      <c r="E2254" s="50"/>
      <c r="H2254" s="12"/>
      <c r="K2254"/>
    </row>
    <row r="2255" spans="5:11" x14ac:dyDescent="0.2">
      <c r="E2255" s="50"/>
      <c r="H2255" s="12"/>
      <c r="K2255"/>
    </row>
    <row r="2256" spans="5:11" x14ac:dyDescent="0.2">
      <c r="E2256" s="50"/>
      <c r="H2256" s="12"/>
      <c r="K2256"/>
    </row>
    <row r="2257" spans="5:11" x14ac:dyDescent="0.2">
      <c r="E2257" s="50"/>
      <c r="H2257" s="12"/>
      <c r="K2257"/>
    </row>
    <row r="2258" spans="5:11" x14ac:dyDescent="0.2">
      <c r="E2258" s="50"/>
      <c r="H2258" s="12"/>
      <c r="K2258"/>
    </row>
    <row r="2259" spans="5:11" x14ac:dyDescent="0.2">
      <c r="E2259" s="50"/>
      <c r="H2259" s="12"/>
      <c r="K2259"/>
    </row>
    <row r="2260" spans="5:11" x14ac:dyDescent="0.2">
      <c r="E2260" s="50"/>
      <c r="H2260" s="12"/>
      <c r="K2260"/>
    </row>
    <row r="2261" spans="5:11" x14ac:dyDescent="0.2">
      <c r="E2261" s="50"/>
      <c r="H2261" s="12"/>
      <c r="K2261"/>
    </row>
    <row r="2262" spans="5:11" x14ac:dyDescent="0.2">
      <c r="E2262" s="50"/>
      <c r="H2262" s="12"/>
      <c r="K2262"/>
    </row>
    <row r="2263" spans="5:11" x14ac:dyDescent="0.2">
      <c r="E2263" s="50"/>
      <c r="H2263" s="12"/>
      <c r="K2263"/>
    </row>
    <row r="2264" spans="5:11" x14ac:dyDescent="0.2">
      <c r="E2264" s="50"/>
      <c r="H2264" s="12"/>
      <c r="K2264"/>
    </row>
    <row r="2265" spans="5:11" x14ac:dyDescent="0.2">
      <c r="E2265" s="50"/>
      <c r="H2265" s="12"/>
      <c r="K2265"/>
    </row>
    <row r="2266" spans="5:11" x14ac:dyDescent="0.2">
      <c r="E2266" s="50"/>
      <c r="H2266" s="12"/>
      <c r="K2266"/>
    </row>
    <row r="2267" spans="5:11" x14ac:dyDescent="0.2">
      <c r="E2267" s="50"/>
      <c r="H2267" s="12"/>
      <c r="K2267"/>
    </row>
    <row r="2268" spans="5:11" x14ac:dyDescent="0.2">
      <c r="E2268" s="50"/>
      <c r="H2268" s="12"/>
      <c r="K2268"/>
    </row>
    <row r="2269" spans="5:11" x14ac:dyDescent="0.2">
      <c r="E2269" s="50"/>
      <c r="H2269" s="12"/>
      <c r="K2269"/>
    </row>
    <row r="2270" spans="5:11" x14ac:dyDescent="0.2">
      <c r="E2270" s="50"/>
      <c r="H2270" s="12"/>
      <c r="K2270"/>
    </row>
    <row r="2271" spans="5:11" x14ac:dyDescent="0.2">
      <c r="E2271" s="50"/>
      <c r="H2271" s="12"/>
      <c r="K2271"/>
    </row>
    <row r="2272" spans="5:11" x14ac:dyDescent="0.2">
      <c r="E2272" s="50"/>
      <c r="H2272" s="12"/>
      <c r="K2272"/>
    </row>
    <row r="2273" spans="5:11" x14ac:dyDescent="0.2">
      <c r="E2273" s="50"/>
      <c r="H2273" s="12"/>
      <c r="K2273"/>
    </row>
    <row r="2274" spans="5:11" x14ac:dyDescent="0.2">
      <c r="E2274" s="50"/>
      <c r="H2274" s="12"/>
      <c r="K2274"/>
    </row>
    <row r="2275" spans="5:11" x14ac:dyDescent="0.2">
      <c r="E2275" s="50"/>
      <c r="H2275" s="12"/>
      <c r="K2275"/>
    </row>
    <row r="2276" spans="5:11" x14ac:dyDescent="0.2">
      <c r="E2276" s="50"/>
      <c r="H2276" s="12"/>
      <c r="K2276"/>
    </row>
    <row r="2277" spans="5:11" x14ac:dyDescent="0.2">
      <c r="E2277" s="50"/>
      <c r="H2277" s="12"/>
      <c r="K2277"/>
    </row>
    <row r="2278" spans="5:11" x14ac:dyDescent="0.2">
      <c r="E2278" s="50"/>
      <c r="H2278" s="12"/>
      <c r="K2278"/>
    </row>
    <row r="2279" spans="5:11" x14ac:dyDescent="0.2">
      <c r="E2279" s="50"/>
      <c r="H2279" s="12"/>
      <c r="K2279"/>
    </row>
    <row r="2280" spans="5:11" x14ac:dyDescent="0.2">
      <c r="E2280" s="50"/>
      <c r="H2280" s="12"/>
      <c r="K2280"/>
    </row>
    <row r="2281" spans="5:11" x14ac:dyDescent="0.2">
      <c r="E2281" s="50"/>
      <c r="H2281" s="12"/>
      <c r="K2281"/>
    </row>
    <row r="2282" spans="5:11" x14ac:dyDescent="0.2">
      <c r="E2282" s="50"/>
      <c r="H2282" s="12"/>
      <c r="K2282"/>
    </row>
    <row r="2283" spans="5:11" x14ac:dyDescent="0.2">
      <c r="E2283" s="50"/>
      <c r="H2283" s="12"/>
      <c r="K2283"/>
    </row>
    <row r="2284" spans="5:11" x14ac:dyDescent="0.2">
      <c r="E2284" s="50"/>
      <c r="H2284" s="12"/>
      <c r="K2284"/>
    </row>
    <row r="2285" spans="5:11" x14ac:dyDescent="0.2">
      <c r="E2285" s="50"/>
      <c r="H2285" s="12"/>
      <c r="K2285"/>
    </row>
    <row r="2286" spans="5:11" x14ac:dyDescent="0.2">
      <c r="E2286" s="50"/>
      <c r="H2286" s="12"/>
      <c r="K2286"/>
    </row>
    <row r="2287" spans="5:11" x14ac:dyDescent="0.2">
      <c r="E2287" s="50"/>
      <c r="H2287" s="12"/>
      <c r="K2287"/>
    </row>
    <row r="2288" spans="5:11" x14ac:dyDescent="0.2">
      <c r="E2288" s="50"/>
      <c r="H2288" s="12"/>
      <c r="K2288"/>
    </row>
    <row r="2289" spans="5:11" x14ac:dyDescent="0.2">
      <c r="E2289" s="50"/>
      <c r="H2289" s="12"/>
      <c r="K2289"/>
    </row>
    <row r="2290" spans="5:11" x14ac:dyDescent="0.2">
      <c r="E2290" s="50"/>
      <c r="H2290" s="12"/>
      <c r="K2290"/>
    </row>
    <row r="2291" spans="5:11" x14ac:dyDescent="0.2">
      <c r="E2291" s="50"/>
      <c r="H2291" s="12"/>
      <c r="K2291"/>
    </row>
    <row r="2292" spans="5:11" x14ac:dyDescent="0.2">
      <c r="E2292" s="50"/>
      <c r="H2292" s="12"/>
      <c r="K2292"/>
    </row>
    <row r="2293" spans="5:11" x14ac:dyDescent="0.2">
      <c r="E2293" s="50"/>
      <c r="H2293" s="12"/>
      <c r="K2293"/>
    </row>
    <row r="2294" spans="5:11" x14ac:dyDescent="0.2">
      <c r="E2294" s="50"/>
      <c r="H2294" s="12"/>
      <c r="K2294"/>
    </row>
    <row r="2295" spans="5:11" x14ac:dyDescent="0.2">
      <c r="E2295" s="50"/>
      <c r="H2295" s="12"/>
      <c r="K2295"/>
    </row>
    <row r="2296" spans="5:11" x14ac:dyDescent="0.2">
      <c r="E2296" s="50"/>
      <c r="H2296" s="12"/>
      <c r="K2296"/>
    </row>
    <row r="2297" spans="5:11" x14ac:dyDescent="0.2">
      <c r="E2297" s="50"/>
      <c r="H2297" s="12"/>
      <c r="K2297"/>
    </row>
    <row r="2298" spans="5:11" x14ac:dyDescent="0.2">
      <c r="E2298" s="50"/>
      <c r="H2298" s="12"/>
      <c r="K2298"/>
    </row>
    <row r="2299" spans="5:11" x14ac:dyDescent="0.2">
      <c r="E2299" s="50"/>
      <c r="H2299" s="12"/>
      <c r="K2299"/>
    </row>
    <row r="2300" spans="5:11" x14ac:dyDescent="0.2">
      <c r="E2300" s="50"/>
      <c r="H2300" s="12"/>
      <c r="K2300"/>
    </row>
    <row r="2301" spans="5:11" x14ac:dyDescent="0.2">
      <c r="E2301" s="50"/>
      <c r="H2301" s="12"/>
      <c r="K2301"/>
    </row>
    <row r="2302" spans="5:11" x14ac:dyDescent="0.2">
      <c r="E2302" s="50"/>
      <c r="H2302" s="12"/>
      <c r="K2302"/>
    </row>
    <row r="2303" spans="5:11" x14ac:dyDescent="0.2">
      <c r="E2303" s="50"/>
      <c r="H2303" s="12"/>
      <c r="K2303"/>
    </row>
    <row r="2304" spans="5:11" x14ac:dyDescent="0.2">
      <c r="E2304" s="50"/>
      <c r="H2304" s="12"/>
      <c r="K2304"/>
    </row>
    <row r="2305" spans="5:11" x14ac:dyDescent="0.2">
      <c r="E2305" s="50"/>
      <c r="H2305" s="12"/>
      <c r="K2305"/>
    </row>
    <row r="2306" spans="5:11" x14ac:dyDescent="0.2">
      <c r="E2306" s="50"/>
      <c r="H2306" s="12"/>
      <c r="K2306"/>
    </row>
    <row r="2307" spans="5:11" x14ac:dyDescent="0.2">
      <c r="E2307" s="50"/>
      <c r="H2307" s="12"/>
      <c r="K2307"/>
    </row>
    <row r="2308" spans="5:11" x14ac:dyDescent="0.2">
      <c r="E2308" s="50"/>
      <c r="H2308" s="12"/>
      <c r="K2308"/>
    </row>
    <row r="2309" spans="5:11" x14ac:dyDescent="0.2">
      <c r="E2309" s="50"/>
      <c r="H2309" s="12"/>
      <c r="K2309"/>
    </row>
    <row r="2310" spans="5:11" x14ac:dyDescent="0.2">
      <c r="E2310" s="50"/>
      <c r="H2310" s="12"/>
      <c r="K2310"/>
    </row>
    <row r="2311" spans="5:11" x14ac:dyDescent="0.2">
      <c r="E2311" s="50"/>
      <c r="H2311" s="12"/>
      <c r="K2311"/>
    </row>
    <row r="2312" spans="5:11" x14ac:dyDescent="0.2">
      <c r="E2312" s="50"/>
      <c r="H2312" s="12"/>
      <c r="K2312"/>
    </row>
    <row r="2313" spans="5:11" x14ac:dyDescent="0.2">
      <c r="E2313" s="50"/>
      <c r="H2313" s="12"/>
      <c r="K2313"/>
    </row>
    <row r="2314" spans="5:11" x14ac:dyDescent="0.2">
      <c r="E2314" s="50"/>
      <c r="H2314" s="12"/>
      <c r="K2314"/>
    </row>
    <row r="2315" spans="5:11" x14ac:dyDescent="0.2">
      <c r="E2315" s="50"/>
      <c r="H2315" s="12"/>
      <c r="K2315"/>
    </row>
    <row r="2316" spans="5:11" x14ac:dyDescent="0.2">
      <c r="E2316" s="50"/>
      <c r="H2316" s="12"/>
      <c r="K2316"/>
    </row>
    <row r="2317" spans="5:11" x14ac:dyDescent="0.2">
      <c r="E2317" s="50"/>
      <c r="H2317" s="12"/>
      <c r="K2317"/>
    </row>
    <row r="2318" spans="5:11" x14ac:dyDescent="0.2">
      <c r="E2318" s="50"/>
      <c r="H2318" s="12"/>
      <c r="K2318"/>
    </row>
    <row r="2319" spans="5:11" x14ac:dyDescent="0.2">
      <c r="E2319" s="50"/>
      <c r="H2319" s="12"/>
      <c r="K2319"/>
    </row>
    <row r="2320" spans="5:11" x14ac:dyDescent="0.2">
      <c r="E2320" s="50"/>
      <c r="H2320" s="12"/>
      <c r="K2320"/>
    </row>
    <row r="2321" spans="5:11" x14ac:dyDescent="0.2">
      <c r="E2321" s="50"/>
      <c r="H2321" s="12"/>
      <c r="K2321"/>
    </row>
    <row r="2322" spans="5:11" x14ac:dyDescent="0.2">
      <c r="E2322" s="50"/>
      <c r="H2322" s="12"/>
      <c r="K2322"/>
    </row>
    <row r="2323" spans="5:11" x14ac:dyDescent="0.2">
      <c r="E2323" s="50"/>
      <c r="H2323" s="12"/>
      <c r="K2323"/>
    </row>
    <row r="2324" spans="5:11" x14ac:dyDescent="0.2">
      <c r="E2324" s="50"/>
      <c r="H2324" s="12"/>
      <c r="K2324"/>
    </row>
    <row r="2325" spans="5:11" x14ac:dyDescent="0.2">
      <c r="E2325" s="50"/>
      <c r="H2325" s="12"/>
      <c r="K2325"/>
    </row>
    <row r="2326" spans="5:11" x14ac:dyDescent="0.2">
      <c r="E2326" s="50"/>
      <c r="H2326" s="12"/>
      <c r="K2326"/>
    </row>
    <row r="2327" spans="5:11" x14ac:dyDescent="0.2">
      <c r="E2327" s="50"/>
      <c r="H2327" s="12"/>
      <c r="K2327"/>
    </row>
    <row r="2328" spans="5:11" x14ac:dyDescent="0.2">
      <c r="E2328" s="50"/>
      <c r="H2328" s="12"/>
      <c r="K2328"/>
    </row>
    <row r="2329" spans="5:11" x14ac:dyDescent="0.2">
      <c r="E2329" s="50"/>
      <c r="H2329" s="12"/>
      <c r="K2329"/>
    </row>
    <row r="2330" spans="5:11" x14ac:dyDescent="0.2">
      <c r="E2330" s="50"/>
      <c r="H2330" s="12"/>
      <c r="K2330"/>
    </row>
    <row r="2331" spans="5:11" x14ac:dyDescent="0.2">
      <c r="E2331" s="50"/>
      <c r="H2331" s="12"/>
      <c r="K2331"/>
    </row>
    <row r="2332" spans="5:11" x14ac:dyDescent="0.2">
      <c r="E2332" s="50"/>
      <c r="H2332" s="12"/>
      <c r="K2332"/>
    </row>
    <row r="2333" spans="5:11" x14ac:dyDescent="0.2">
      <c r="E2333" s="50"/>
      <c r="H2333" s="12"/>
      <c r="K2333"/>
    </row>
    <row r="2334" spans="5:11" x14ac:dyDescent="0.2">
      <c r="E2334" s="50"/>
      <c r="H2334" s="12"/>
      <c r="K2334"/>
    </row>
    <row r="2335" spans="5:11" x14ac:dyDescent="0.2">
      <c r="E2335" s="50"/>
      <c r="H2335" s="12"/>
      <c r="K2335"/>
    </row>
    <row r="2336" spans="5:11" x14ac:dyDescent="0.2">
      <c r="E2336" s="50"/>
      <c r="H2336" s="12"/>
      <c r="K2336"/>
    </row>
    <row r="2337" spans="5:11" x14ac:dyDescent="0.2">
      <c r="E2337" s="50"/>
      <c r="H2337" s="12"/>
      <c r="K2337"/>
    </row>
    <row r="2338" spans="5:11" x14ac:dyDescent="0.2">
      <c r="E2338" s="50"/>
      <c r="H2338" s="12"/>
      <c r="K2338"/>
    </row>
    <row r="2339" spans="5:11" x14ac:dyDescent="0.2">
      <c r="E2339" s="50"/>
      <c r="H2339" s="12"/>
      <c r="K2339"/>
    </row>
    <row r="2340" spans="5:11" x14ac:dyDescent="0.2">
      <c r="E2340" s="50"/>
      <c r="H2340" s="12"/>
      <c r="K2340"/>
    </row>
    <row r="2341" spans="5:11" x14ac:dyDescent="0.2">
      <c r="E2341" s="50"/>
      <c r="H2341" s="12"/>
      <c r="K2341"/>
    </row>
    <row r="2342" spans="5:11" x14ac:dyDescent="0.2">
      <c r="E2342" s="50"/>
      <c r="H2342" s="12"/>
      <c r="K2342"/>
    </row>
    <row r="2343" spans="5:11" x14ac:dyDescent="0.2">
      <c r="E2343" s="50"/>
      <c r="H2343" s="12"/>
      <c r="K2343"/>
    </row>
    <row r="2344" spans="5:11" x14ac:dyDescent="0.2">
      <c r="E2344" s="50"/>
      <c r="H2344" s="12"/>
      <c r="K2344"/>
    </row>
    <row r="2345" spans="5:11" x14ac:dyDescent="0.2">
      <c r="E2345" s="50"/>
      <c r="H2345" s="12"/>
      <c r="K2345"/>
    </row>
    <row r="2346" spans="5:11" x14ac:dyDescent="0.2">
      <c r="E2346" s="50"/>
      <c r="H2346" s="12"/>
      <c r="K2346"/>
    </row>
    <row r="2347" spans="5:11" x14ac:dyDescent="0.2">
      <c r="E2347" s="50"/>
      <c r="H2347" s="12"/>
      <c r="K2347"/>
    </row>
    <row r="2348" spans="5:11" x14ac:dyDescent="0.2">
      <c r="E2348" s="50"/>
      <c r="H2348" s="12"/>
      <c r="K2348"/>
    </row>
    <row r="2349" spans="5:11" x14ac:dyDescent="0.2">
      <c r="E2349" s="50"/>
      <c r="H2349" s="12"/>
      <c r="K2349"/>
    </row>
    <row r="2350" spans="5:11" x14ac:dyDescent="0.2">
      <c r="E2350" s="50"/>
      <c r="H2350" s="12"/>
      <c r="K2350"/>
    </row>
    <row r="2351" spans="5:11" x14ac:dyDescent="0.2">
      <c r="E2351" s="50"/>
      <c r="H2351" s="12"/>
      <c r="K2351"/>
    </row>
    <row r="2352" spans="5:11" x14ac:dyDescent="0.2">
      <c r="E2352" s="50"/>
      <c r="H2352" s="12"/>
      <c r="K2352"/>
    </row>
    <row r="2353" spans="5:11" x14ac:dyDescent="0.2">
      <c r="E2353" s="50"/>
      <c r="H2353" s="12"/>
      <c r="K2353"/>
    </row>
    <row r="2354" spans="5:11" x14ac:dyDescent="0.2">
      <c r="E2354" s="50"/>
      <c r="H2354" s="12"/>
      <c r="K2354"/>
    </row>
    <row r="2355" spans="5:11" x14ac:dyDescent="0.2">
      <c r="E2355" s="50"/>
      <c r="H2355" s="12"/>
      <c r="K2355"/>
    </row>
    <row r="2356" spans="5:11" x14ac:dyDescent="0.2">
      <c r="E2356" s="50"/>
      <c r="H2356" s="12"/>
      <c r="K2356"/>
    </row>
    <row r="2357" spans="5:11" x14ac:dyDescent="0.2">
      <c r="E2357" s="50"/>
      <c r="H2357" s="12"/>
      <c r="K2357"/>
    </row>
    <row r="2358" spans="5:11" x14ac:dyDescent="0.2">
      <c r="E2358" s="50"/>
      <c r="H2358" s="12"/>
      <c r="K2358"/>
    </row>
    <row r="2359" spans="5:11" x14ac:dyDescent="0.2">
      <c r="E2359" s="50"/>
      <c r="H2359" s="12"/>
      <c r="K2359"/>
    </row>
    <row r="2360" spans="5:11" x14ac:dyDescent="0.2">
      <c r="E2360" s="50"/>
      <c r="H2360" s="12"/>
      <c r="K2360"/>
    </row>
    <row r="2361" spans="5:11" x14ac:dyDescent="0.2">
      <c r="E2361" s="50"/>
      <c r="H2361" s="12"/>
      <c r="K2361"/>
    </row>
    <row r="2362" spans="5:11" x14ac:dyDescent="0.2">
      <c r="E2362" s="50"/>
      <c r="H2362" s="12"/>
      <c r="K2362"/>
    </row>
    <row r="2363" spans="5:11" x14ac:dyDescent="0.2">
      <c r="E2363" s="50"/>
      <c r="H2363" s="12"/>
      <c r="K2363"/>
    </row>
    <row r="2364" spans="5:11" x14ac:dyDescent="0.2">
      <c r="E2364" s="50"/>
      <c r="H2364" s="12"/>
      <c r="K2364"/>
    </row>
    <row r="2365" spans="5:11" x14ac:dyDescent="0.2">
      <c r="E2365" s="50"/>
      <c r="H2365" s="12"/>
      <c r="K2365"/>
    </row>
    <row r="2366" spans="5:11" x14ac:dyDescent="0.2">
      <c r="E2366" s="50"/>
      <c r="H2366" s="12"/>
      <c r="K2366"/>
    </row>
    <row r="2367" spans="5:11" x14ac:dyDescent="0.2">
      <c r="E2367" s="50"/>
      <c r="H2367" s="12"/>
      <c r="K2367"/>
    </row>
    <row r="2368" spans="5:11" x14ac:dyDescent="0.2">
      <c r="E2368" s="50"/>
      <c r="H2368" s="12"/>
      <c r="K2368"/>
    </row>
    <row r="2369" spans="5:11" x14ac:dyDescent="0.2">
      <c r="E2369" s="50"/>
      <c r="H2369" s="12"/>
      <c r="K2369"/>
    </row>
    <row r="2370" spans="5:11" x14ac:dyDescent="0.2">
      <c r="E2370" s="50"/>
      <c r="H2370" s="12"/>
      <c r="K2370"/>
    </row>
    <row r="2371" spans="5:11" x14ac:dyDescent="0.2">
      <c r="E2371" s="50"/>
      <c r="H2371" s="12"/>
      <c r="K2371"/>
    </row>
    <row r="2372" spans="5:11" x14ac:dyDescent="0.2">
      <c r="E2372" s="50"/>
      <c r="H2372" s="12"/>
      <c r="K2372"/>
    </row>
    <row r="2373" spans="5:11" x14ac:dyDescent="0.2">
      <c r="E2373" s="50"/>
      <c r="H2373" s="12"/>
      <c r="K2373"/>
    </row>
    <row r="2374" spans="5:11" x14ac:dyDescent="0.2">
      <c r="E2374" s="50"/>
      <c r="H2374" s="12"/>
      <c r="K2374"/>
    </row>
    <row r="2375" spans="5:11" x14ac:dyDescent="0.2">
      <c r="E2375" s="50"/>
      <c r="H2375" s="12"/>
      <c r="K2375"/>
    </row>
    <row r="2376" spans="5:11" x14ac:dyDescent="0.2">
      <c r="E2376" s="50"/>
      <c r="H2376" s="12"/>
      <c r="K2376"/>
    </row>
    <row r="2377" spans="5:11" x14ac:dyDescent="0.2">
      <c r="E2377" s="50"/>
      <c r="H2377" s="12"/>
      <c r="K2377"/>
    </row>
    <row r="2378" spans="5:11" x14ac:dyDescent="0.2">
      <c r="E2378" s="50"/>
      <c r="H2378" s="12"/>
      <c r="K2378"/>
    </row>
    <row r="2379" spans="5:11" x14ac:dyDescent="0.2">
      <c r="E2379" s="50"/>
      <c r="H2379" s="12"/>
      <c r="K2379"/>
    </row>
    <row r="2380" spans="5:11" x14ac:dyDescent="0.2">
      <c r="E2380" s="50"/>
      <c r="H2380" s="12"/>
      <c r="K2380"/>
    </row>
    <row r="2381" spans="5:11" x14ac:dyDescent="0.2">
      <c r="E2381" s="50"/>
      <c r="H2381" s="12"/>
      <c r="K2381"/>
    </row>
    <row r="2382" spans="5:11" x14ac:dyDescent="0.2">
      <c r="E2382" s="50"/>
      <c r="H2382" s="12"/>
      <c r="K2382"/>
    </row>
    <row r="2383" spans="5:11" x14ac:dyDescent="0.2">
      <c r="E2383" s="50"/>
      <c r="H2383" s="12"/>
      <c r="K2383"/>
    </row>
    <row r="2384" spans="5:11" x14ac:dyDescent="0.2">
      <c r="E2384" s="50"/>
      <c r="H2384" s="12"/>
      <c r="K2384"/>
    </row>
    <row r="2385" spans="5:11" x14ac:dyDescent="0.2">
      <c r="E2385" s="50"/>
      <c r="H2385" s="12"/>
      <c r="K2385"/>
    </row>
    <row r="2386" spans="5:11" x14ac:dyDescent="0.2">
      <c r="E2386" s="50"/>
      <c r="H2386" s="12"/>
      <c r="K2386"/>
    </row>
    <row r="2387" spans="5:11" x14ac:dyDescent="0.2">
      <c r="E2387" s="50"/>
      <c r="H2387" s="12"/>
      <c r="K2387"/>
    </row>
    <row r="2388" spans="5:11" x14ac:dyDescent="0.2">
      <c r="E2388" s="50"/>
      <c r="H2388" s="12"/>
      <c r="K2388"/>
    </row>
    <row r="2389" spans="5:11" x14ac:dyDescent="0.2">
      <c r="E2389" s="50"/>
      <c r="H2389" s="12"/>
      <c r="K2389"/>
    </row>
    <row r="2390" spans="5:11" x14ac:dyDescent="0.2">
      <c r="E2390" s="50"/>
      <c r="H2390" s="12"/>
      <c r="K2390"/>
    </row>
    <row r="2391" spans="5:11" x14ac:dyDescent="0.2">
      <c r="E2391" s="50"/>
      <c r="H2391" s="12"/>
      <c r="K2391"/>
    </row>
    <row r="2392" spans="5:11" x14ac:dyDescent="0.2">
      <c r="E2392" s="50"/>
      <c r="H2392" s="12"/>
      <c r="K2392"/>
    </row>
    <row r="2393" spans="5:11" x14ac:dyDescent="0.2">
      <c r="E2393" s="50"/>
      <c r="H2393" s="12"/>
      <c r="K2393"/>
    </row>
    <row r="2394" spans="5:11" x14ac:dyDescent="0.2">
      <c r="E2394" s="50"/>
      <c r="H2394" s="12"/>
      <c r="K2394"/>
    </row>
    <row r="2395" spans="5:11" x14ac:dyDescent="0.2">
      <c r="E2395" s="50"/>
      <c r="H2395" s="12"/>
      <c r="K2395"/>
    </row>
    <row r="2396" spans="5:11" x14ac:dyDescent="0.2">
      <c r="E2396" s="50"/>
      <c r="H2396" s="12"/>
      <c r="K2396"/>
    </row>
    <row r="2397" spans="5:11" x14ac:dyDescent="0.2">
      <c r="E2397" s="50"/>
      <c r="H2397" s="12"/>
      <c r="K2397"/>
    </row>
    <row r="2398" spans="5:11" x14ac:dyDescent="0.2">
      <c r="E2398" s="50"/>
      <c r="H2398" s="12"/>
      <c r="K2398"/>
    </row>
    <row r="2399" spans="5:11" x14ac:dyDescent="0.2">
      <c r="E2399" s="50"/>
      <c r="H2399" s="12"/>
      <c r="K2399"/>
    </row>
    <row r="2400" spans="5:11" x14ac:dyDescent="0.2">
      <c r="E2400" s="50"/>
      <c r="H2400" s="12"/>
      <c r="K2400"/>
    </row>
    <row r="2401" spans="5:11" x14ac:dyDescent="0.2">
      <c r="E2401" s="50"/>
      <c r="H2401" s="12"/>
      <c r="K2401"/>
    </row>
    <row r="2402" spans="5:11" x14ac:dyDescent="0.2">
      <c r="E2402" s="50"/>
      <c r="H2402" s="12"/>
      <c r="K2402"/>
    </row>
    <row r="2403" spans="5:11" x14ac:dyDescent="0.2">
      <c r="E2403" s="50"/>
      <c r="H2403" s="12"/>
      <c r="K2403"/>
    </row>
    <row r="2404" spans="5:11" x14ac:dyDescent="0.2">
      <c r="E2404" s="50"/>
      <c r="H2404" s="12"/>
      <c r="K2404"/>
    </row>
    <row r="2405" spans="5:11" x14ac:dyDescent="0.2">
      <c r="E2405" s="50"/>
      <c r="H2405" s="12"/>
      <c r="K2405"/>
    </row>
    <row r="2406" spans="5:11" x14ac:dyDescent="0.2">
      <c r="E2406" s="50"/>
      <c r="H2406" s="12"/>
      <c r="K2406"/>
    </row>
    <row r="2407" spans="5:11" x14ac:dyDescent="0.2">
      <c r="E2407" s="50"/>
      <c r="H2407" s="12"/>
      <c r="K2407"/>
    </row>
    <row r="2408" spans="5:11" x14ac:dyDescent="0.2">
      <c r="E2408" s="50"/>
      <c r="H2408" s="12"/>
      <c r="K2408"/>
    </row>
    <row r="2409" spans="5:11" x14ac:dyDescent="0.2">
      <c r="E2409" s="50"/>
      <c r="H2409" s="12"/>
      <c r="K2409"/>
    </row>
    <row r="2410" spans="5:11" x14ac:dyDescent="0.2">
      <c r="E2410" s="50"/>
      <c r="H2410" s="12"/>
      <c r="K2410"/>
    </row>
    <row r="2411" spans="5:11" x14ac:dyDescent="0.2">
      <c r="E2411" s="50"/>
      <c r="H2411" s="12"/>
      <c r="K2411"/>
    </row>
    <row r="2412" spans="5:11" x14ac:dyDescent="0.2">
      <c r="E2412" s="50"/>
      <c r="H2412" s="12"/>
      <c r="K2412"/>
    </row>
    <row r="2413" spans="5:11" x14ac:dyDescent="0.2">
      <c r="E2413" s="50"/>
      <c r="H2413" s="12"/>
      <c r="K2413"/>
    </row>
    <row r="2414" spans="5:11" x14ac:dyDescent="0.2">
      <c r="E2414" s="50"/>
      <c r="H2414" s="12"/>
      <c r="K2414"/>
    </row>
    <row r="2415" spans="5:11" x14ac:dyDescent="0.2">
      <c r="E2415" s="50"/>
      <c r="H2415" s="12"/>
      <c r="K2415"/>
    </row>
    <row r="2416" spans="5:11" x14ac:dyDescent="0.2">
      <c r="E2416" s="50"/>
      <c r="H2416" s="12"/>
      <c r="K2416"/>
    </row>
    <row r="2417" spans="5:11" x14ac:dyDescent="0.2">
      <c r="E2417" s="50"/>
      <c r="H2417" s="12"/>
      <c r="K2417"/>
    </row>
    <row r="2418" spans="5:11" x14ac:dyDescent="0.2">
      <c r="E2418" s="50"/>
      <c r="H2418" s="12"/>
      <c r="K2418"/>
    </row>
    <row r="2419" spans="5:11" x14ac:dyDescent="0.2">
      <c r="E2419" s="50"/>
      <c r="H2419" s="12"/>
      <c r="K2419"/>
    </row>
    <row r="2420" spans="5:11" x14ac:dyDescent="0.2">
      <c r="E2420" s="50"/>
      <c r="H2420" s="12"/>
      <c r="K2420"/>
    </row>
    <row r="2421" spans="5:11" x14ac:dyDescent="0.2">
      <c r="E2421" s="50"/>
      <c r="H2421" s="12"/>
      <c r="K2421"/>
    </row>
    <row r="2422" spans="5:11" x14ac:dyDescent="0.2">
      <c r="E2422" s="50"/>
      <c r="H2422" s="12"/>
      <c r="K2422"/>
    </row>
    <row r="2423" spans="5:11" x14ac:dyDescent="0.2">
      <c r="E2423" s="50"/>
      <c r="H2423" s="12"/>
      <c r="K2423"/>
    </row>
    <row r="2424" spans="5:11" x14ac:dyDescent="0.2">
      <c r="E2424" s="50"/>
      <c r="H2424" s="12"/>
      <c r="K2424"/>
    </row>
    <row r="2425" spans="5:11" x14ac:dyDescent="0.2">
      <c r="E2425" s="50"/>
      <c r="H2425" s="12"/>
      <c r="K2425"/>
    </row>
    <row r="2426" spans="5:11" x14ac:dyDescent="0.2">
      <c r="E2426" s="50"/>
      <c r="H2426" s="12"/>
      <c r="K2426"/>
    </row>
    <row r="2427" spans="5:11" x14ac:dyDescent="0.2">
      <c r="E2427" s="50"/>
      <c r="H2427" s="12"/>
      <c r="K2427"/>
    </row>
    <row r="2428" spans="5:11" x14ac:dyDescent="0.2">
      <c r="E2428" s="50"/>
      <c r="H2428" s="12"/>
      <c r="K2428"/>
    </row>
    <row r="2429" spans="5:11" x14ac:dyDescent="0.2">
      <c r="E2429" s="50"/>
      <c r="H2429" s="12"/>
      <c r="K2429"/>
    </row>
    <row r="2430" spans="5:11" x14ac:dyDescent="0.2">
      <c r="E2430" s="50"/>
      <c r="H2430" s="12"/>
      <c r="K2430"/>
    </row>
    <row r="2431" spans="5:11" x14ac:dyDescent="0.2">
      <c r="E2431" s="50"/>
      <c r="H2431" s="12"/>
      <c r="K2431"/>
    </row>
    <row r="2432" spans="5:11" x14ac:dyDescent="0.2">
      <c r="E2432" s="50"/>
      <c r="H2432" s="12"/>
      <c r="K2432"/>
    </row>
    <row r="2433" spans="5:11" x14ac:dyDescent="0.2">
      <c r="E2433" s="50"/>
      <c r="H2433" s="12"/>
      <c r="K2433"/>
    </row>
    <row r="2434" spans="5:11" x14ac:dyDescent="0.2">
      <c r="E2434" s="50"/>
      <c r="H2434" s="12"/>
      <c r="K2434"/>
    </row>
    <row r="2435" spans="5:11" x14ac:dyDescent="0.2">
      <c r="E2435" s="50"/>
      <c r="H2435" s="12"/>
      <c r="K2435"/>
    </row>
    <row r="2436" spans="5:11" x14ac:dyDescent="0.2">
      <c r="E2436" s="50"/>
      <c r="H2436" s="12"/>
      <c r="K2436"/>
    </row>
    <row r="2437" spans="5:11" x14ac:dyDescent="0.2">
      <c r="E2437" s="50"/>
      <c r="H2437" s="12"/>
      <c r="K2437"/>
    </row>
    <row r="2438" spans="5:11" x14ac:dyDescent="0.2">
      <c r="E2438" s="50"/>
      <c r="H2438" s="12"/>
      <c r="K2438"/>
    </row>
    <row r="2439" spans="5:11" x14ac:dyDescent="0.2">
      <c r="E2439" s="50"/>
      <c r="H2439" s="12"/>
      <c r="K2439"/>
    </row>
    <row r="2440" spans="5:11" x14ac:dyDescent="0.2">
      <c r="E2440" s="50"/>
      <c r="H2440" s="12"/>
      <c r="K2440"/>
    </row>
    <row r="2441" spans="5:11" x14ac:dyDescent="0.2">
      <c r="E2441" s="50"/>
      <c r="H2441" s="12"/>
      <c r="K2441"/>
    </row>
    <row r="2442" spans="5:11" x14ac:dyDescent="0.2">
      <c r="E2442" s="50"/>
      <c r="H2442" s="12"/>
      <c r="K2442"/>
    </row>
    <row r="2443" spans="5:11" x14ac:dyDescent="0.2">
      <c r="E2443" s="50"/>
      <c r="H2443" s="12"/>
      <c r="K2443"/>
    </row>
    <row r="2444" spans="5:11" x14ac:dyDescent="0.2">
      <c r="E2444" s="50"/>
      <c r="H2444" s="12"/>
      <c r="K2444"/>
    </row>
    <row r="2445" spans="5:11" x14ac:dyDescent="0.2">
      <c r="E2445" s="50"/>
      <c r="H2445" s="12"/>
      <c r="K2445"/>
    </row>
    <row r="2446" spans="5:11" x14ac:dyDescent="0.2">
      <c r="E2446" s="50"/>
      <c r="H2446" s="12"/>
      <c r="K2446"/>
    </row>
    <row r="2447" spans="5:11" x14ac:dyDescent="0.2">
      <c r="E2447" s="50"/>
      <c r="H2447" s="12"/>
      <c r="K2447"/>
    </row>
    <row r="2448" spans="5:11" x14ac:dyDescent="0.2">
      <c r="E2448" s="50"/>
      <c r="H2448" s="12"/>
      <c r="K2448"/>
    </row>
    <row r="2449" spans="5:11" x14ac:dyDescent="0.2">
      <c r="E2449" s="50"/>
      <c r="H2449" s="12"/>
      <c r="K2449"/>
    </row>
    <row r="2450" spans="5:11" x14ac:dyDescent="0.2">
      <c r="E2450" s="50"/>
      <c r="H2450" s="12"/>
      <c r="K2450"/>
    </row>
    <row r="2451" spans="5:11" x14ac:dyDescent="0.2">
      <c r="E2451" s="50"/>
      <c r="H2451" s="12"/>
      <c r="K2451"/>
    </row>
    <row r="2452" spans="5:11" x14ac:dyDescent="0.2">
      <c r="E2452" s="50"/>
      <c r="H2452" s="12"/>
      <c r="K2452"/>
    </row>
    <row r="2453" spans="5:11" x14ac:dyDescent="0.2">
      <c r="E2453" s="50"/>
      <c r="H2453" s="12"/>
      <c r="K2453"/>
    </row>
    <row r="2454" spans="5:11" x14ac:dyDescent="0.2">
      <c r="E2454" s="50"/>
      <c r="H2454" s="12"/>
      <c r="K2454"/>
    </row>
    <row r="2455" spans="5:11" x14ac:dyDescent="0.2">
      <c r="E2455" s="50"/>
      <c r="H2455" s="12"/>
      <c r="K2455"/>
    </row>
    <row r="2456" spans="5:11" x14ac:dyDescent="0.2">
      <c r="E2456" s="50"/>
      <c r="H2456" s="12"/>
      <c r="K2456"/>
    </row>
    <row r="2457" spans="5:11" x14ac:dyDescent="0.2">
      <c r="E2457" s="50"/>
      <c r="H2457" s="12"/>
      <c r="K2457"/>
    </row>
    <row r="2458" spans="5:11" x14ac:dyDescent="0.2">
      <c r="E2458" s="50"/>
      <c r="H2458" s="12"/>
      <c r="K2458"/>
    </row>
    <row r="2459" spans="5:11" x14ac:dyDescent="0.2">
      <c r="E2459" s="50"/>
      <c r="H2459" s="12"/>
      <c r="K2459"/>
    </row>
    <row r="2460" spans="5:11" x14ac:dyDescent="0.2">
      <c r="E2460" s="50"/>
      <c r="H2460" s="12"/>
      <c r="K2460"/>
    </row>
    <row r="2461" spans="5:11" x14ac:dyDescent="0.2">
      <c r="E2461" s="50"/>
      <c r="H2461" s="12"/>
      <c r="K2461"/>
    </row>
    <row r="2462" spans="5:11" x14ac:dyDescent="0.2">
      <c r="E2462" s="50"/>
      <c r="H2462" s="12"/>
      <c r="K2462"/>
    </row>
    <row r="2463" spans="5:11" x14ac:dyDescent="0.2">
      <c r="E2463" s="50"/>
      <c r="H2463" s="12"/>
      <c r="K2463"/>
    </row>
    <row r="2464" spans="5:11" x14ac:dyDescent="0.2">
      <c r="E2464" s="50"/>
      <c r="H2464" s="12"/>
      <c r="K2464"/>
    </row>
    <row r="2465" spans="5:11" x14ac:dyDescent="0.2">
      <c r="E2465" s="50"/>
      <c r="H2465" s="12"/>
      <c r="K2465"/>
    </row>
    <row r="2466" spans="5:11" x14ac:dyDescent="0.2">
      <c r="E2466" s="50"/>
      <c r="H2466" s="12"/>
      <c r="K2466"/>
    </row>
    <row r="2467" spans="5:11" x14ac:dyDescent="0.2">
      <c r="E2467" s="50"/>
      <c r="H2467" s="12"/>
      <c r="K2467"/>
    </row>
    <row r="2468" spans="5:11" x14ac:dyDescent="0.2">
      <c r="E2468" s="50"/>
      <c r="H2468" s="12"/>
      <c r="K2468"/>
    </row>
    <row r="2469" spans="5:11" x14ac:dyDescent="0.2">
      <c r="E2469" s="50"/>
      <c r="H2469" s="12"/>
      <c r="K2469"/>
    </row>
    <row r="2470" spans="5:11" x14ac:dyDescent="0.2">
      <c r="E2470" s="50"/>
      <c r="H2470" s="12"/>
      <c r="K2470"/>
    </row>
    <row r="2471" spans="5:11" x14ac:dyDescent="0.2">
      <c r="E2471" s="50"/>
      <c r="H2471" s="12"/>
      <c r="K2471"/>
    </row>
    <row r="2472" spans="5:11" x14ac:dyDescent="0.2">
      <c r="E2472" s="50"/>
      <c r="H2472" s="12"/>
      <c r="K2472"/>
    </row>
    <row r="2473" spans="5:11" x14ac:dyDescent="0.2">
      <c r="E2473" s="50"/>
      <c r="H2473" s="12"/>
      <c r="K2473"/>
    </row>
    <row r="2474" spans="5:11" x14ac:dyDescent="0.2">
      <c r="E2474" s="50"/>
      <c r="H2474" s="12"/>
      <c r="K2474"/>
    </row>
    <row r="2475" spans="5:11" x14ac:dyDescent="0.2">
      <c r="E2475" s="50"/>
      <c r="H2475" s="12"/>
      <c r="K2475"/>
    </row>
    <row r="2476" spans="5:11" x14ac:dyDescent="0.2">
      <c r="E2476" s="50"/>
      <c r="H2476" s="12"/>
      <c r="K2476"/>
    </row>
    <row r="2477" spans="5:11" x14ac:dyDescent="0.2">
      <c r="E2477" s="50"/>
      <c r="H2477" s="12"/>
      <c r="K2477"/>
    </row>
    <row r="2478" spans="5:11" x14ac:dyDescent="0.2">
      <c r="E2478" s="50"/>
      <c r="H2478" s="12"/>
      <c r="K2478"/>
    </row>
    <row r="2479" spans="5:11" x14ac:dyDescent="0.2">
      <c r="E2479" s="50"/>
      <c r="H2479" s="12"/>
      <c r="K2479"/>
    </row>
    <row r="2480" spans="5:11" x14ac:dyDescent="0.2">
      <c r="E2480" s="50"/>
      <c r="H2480" s="12"/>
      <c r="K2480"/>
    </row>
    <row r="2481" spans="5:11" x14ac:dyDescent="0.2">
      <c r="E2481" s="50"/>
      <c r="H2481" s="12"/>
      <c r="K2481"/>
    </row>
    <row r="2482" spans="5:11" x14ac:dyDescent="0.2">
      <c r="E2482" s="50"/>
      <c r="H2482" s="12"/>
      <c r="K2482"/>
    </row>
    <row r="2483" spans="5:11" x14ac:dyDescent="0.2">
      <c r="E2483" s="50"/>
      <c r="H2483" s="12"/>
      <c r="K2483"/>
    </row>
    <row r="2484" spans="5:11" x14ac:dyDescent="0.2">
      <c r="E2484" s="50"/>
      <c r="H2484" s="12"/>
      <c r="K2484"/>
    </row>
    <row r="2485" spans="5:11" x14ac:dyDescent="0.2">
      <c r="E2485" s="50"/>
      <c r="H2485" s="12"/>
      <c r="K2485"/>
    </row>
    <row r="2486" spans="5:11" x14ac:dyDescent="0.2">
      <c r="E2486" s="50"/>
      <c r="H2486" s="12"/>
      <c r="K2486"/>
    </row>
    <row r="2487" spans="5:11" x14ac:dyDescent="0.2">
      <c r="E2487" s="50"/>
      <c r="H2487" s="12"/>
      <c r="K2487"/>
    </row>
    <row r="2488" spans="5:11" x14ac:dyDescent="0.2">
      <c r="E2488" s="50"/>
      <c r="H2488" s="12"/>
      <c r="K2488"/>
    </row>
    <row r="2489" spans="5:11" x14ac:dyDescent="0.2">
      <c r="E2489" s="50"/>
      <c r="H2489" s="12"/>
      <c r="K2489"/>
    </row>
    <row r="2490" spans="5:11" x14ac:dyDescent="0.2">
      <c r="E2490" s="50"/>
      <c r="H2490" s="12"/>
      <c r="K2490"/>
    </row>
    <row r="2491" spans="5:11" x14ac:dyDescent="0.2">
      <c r="E2491" s="50"/>
      <c r="H2491" s="12"/>
      <c r="K2491"/>
    </row>
    <row r="2492" spans="5:11" x14ac:dyDescent="0.2">
      <c r="E2492" s="50"/>
      <c r="H2492" s="12"/>
      <c r="K2492"/>
    </row>
    <row r="2493" spans="5:11" x14ac:dyDescent="0.2">
      <c r="E2493" s="50"/>
      <c r="H2493" s="12"/>
      <c r="K2493"/>
    </row>
    <row r="2494" spans="5:11" x14ac:dyDescent="0.2">
      <c r="E2494" s="50"/>
      <c r="H2494" s="12"/>
      <c r="K2494"/>
    </row>
    <row r="2495" spans="5:11" x14ac:dyDescent="0.2">
      <c r="E2495" s="50"/>
      <c r="H2495" s="12"/>
      <c r="K2495"/>
    </row>
    <row r="2496" spans="5:11" x14ac:dyDescent="0.2">
      <c r="E2496" s="50"/>
      <c r="H2496" s="12"/>
      <c r="K2496"/>
    </row>
    <row r="2497" spans="5:11" x14ac:dyDescent="0.2">
      <c r="E2497" s="50"/>
      <c r="H2497" s="12"/>
      <c r="K2497"/>
    </row>
    <row r="2498" spans="5:11" x14ac:dyDescent="0.2">
      <c r="E2498" s="50"/>
      <c r="H2498" s="12"/>
      <c r="K2498"/>
    </row>
    <row r="2499" spans="5:11" x14ac:dyDescent="0.2">
      <c r="E2499" s="50"/>
      <c r="H2499" s="12"/>
      <c r="K2499"/>
    </row>
    <row r="2500" spans="5:11" x14ac:dyDescent="0.2">
      <c r="E2500" s="50"/>
      <c r="H2500" s="12"/>
      <c r="K2500"/>
    </row>
    <row r="2501" spans="5:11" x14ac:dyDescent="0.2">
      <c r="E2501" s="50"/>
      <c r="H2501" s="12"/>
      <c r="K2501"/>
    </row>
    <row r="2502" spans="5:11" x14ac:dyDescent="0.2">
      <c r="E2502" s="50"/>
      <c r="H2502" s="12"/>
      <c r="K2502"/>
    </row>
    <row r="2503" spans="5:11" x14ac:dyDescent="0.2">
      <c r="E2503" s="50"/>
      <c r="H2503" s="12"/>
      <c r="K2503"/>
    </row>
    <row r="2504" spans="5:11" x14ac:dyDescent="0.2">
      <c r="E2504" s="50"/>
      <c r="H2504" s="12"/>
      <c r="K2504"/>
    </row>
    <row r="2505" spans="5:11" x14ac:dyDescent="0.2">
      <c r="E2505" s="50"/>
      <c r="H2505" s="12"/>
      <c r="K2505"/>
    </row>
    <row r="2506" spans="5:11" x14ac:dyDescent="0.2">
      <c r="E2506" s="50"/>
      <c r="H2506" s="12"/>
      <c r="K2506"/>
    </row>
    <row r="2507" spans="5:11" x14ac:dyDescent="0.2">
      <c r="E2507" s="50"/>
      <c r="H2507" s="12"/>
      <c r="K2507"/>
    </row>
    <row r="2508" spans="5:11" x14ac:dyDescent="0.2">
      <c r="E2508" s="50"/>
      <c r="H2508" s="12"/>
      <c r="K2508"/>
    </row>
    <row r="2509" spans="5:11" x14ac:dyDescent="0.2">
      <c r="E2509" s="50"/>
      <c r="H2509" s="12"/>
      <c r="K2509"/>
    </row>
    <row r="2510" spans="5:11" x14ac:dyDescent="0.2">
      <c r="E2510" s="50"/>
      <c r="H2510" s="12"/>
      <c r="K2510"/>
    </row>
    <row r="2511" spans="5:11" x14ac:dyDescent="0.2">
      <c r="E2511" s="50"/>
      <c r="H2511" s="12"/>
      <c r="K2511"/>
    </row>
    <row r="2512" spans="5:11" x14ac:dyDescent="0.2">
      <c r="E2512" s="50"/>
      <c r="H2512" s="12"/>
      <c r="K2512"/>
    </row>
    <row r="2513" spans="5:11" x14ac:dyDescent="0.2">
      <c r="E2513" s="50"/>
      <c r="H2513" s="12"/>
      <c r="K2513"/>
    </row>
    <row r="2514" spans="5:11" x14ac:dyDescent="0.2">
      <c r="E2514" s="50"/>
      <c r="H2514" s="12"/>
      <c r="K2514"/>
    </row>
    <row r="2515" spans="5:11" x14ac:dyDescent="0.2">
      <c r="E2515" s="50"/>
      <c r="H2515" s="12"/>
      <c r="K2515"/>
    </row>
    <row r="2516" spans="5:11" x14ac:dyDescent="0.2">
      <c r="E2516" s="50"/>
      <c r="H2516" s="12"/>
      <c r="K2516"/>
    </row>
    <row r="2517" spans="5:11" x14ac:dyDescent="0.2">
      <c r="E2517" s="50"/>
      <c r="H2517" s="12"/>
      <c r="K2517"/>
    </row>
    <row r="2518" spans="5:11" x14ac:dyDescent="0.2">
      <c r="E2518" s="50"/>
      <c r="H2518" s="12"/>
      <c r="K2518"/>
    </row>
    <row r="2519" spans="5:11" x14ac:dyDescent="0.2">
      <c r="E2519" s="50"/>
      <c r="H2519" s="12"/>
      <c r="K2519"/>
    </row>
    <row r="2520" spans="5:11" x14ac:dyDescent="0.2">
      <c r="E2520" s="50"/>
      <c r="H2520" s="12"/>
      <c r="K2520"/>
    </row>
    <row r="2521" spans="5:11" x14ac:dyDescent="0.2">
      <c r="E2521" s="50"/>
      <c r="H2521" s="12"/>
      <c r="K2521"/>
    </row>
    <row r="2522" spans="5:11" x14ac:dyDescent="0.2">
      <c r="E2522" s="50"/>
      <c r="H2522" s="12"/>
      <c r="K2522"/>
    </row>
    <row r="2523" spans="5:11" x14ac:dyDescent="0.2">
      <c r="E2523" s="50"/>
      <c r="H2523" s="12"/>
      <c r="K2523"/>
    </row>
    <row r="2524" spans="5:11" x14ac:dyDescent="0.2">
      <c r="E2524" s="50"/>
      <c r="H2524" s="12"/>
      <c r="K2524"/>
    </row>
    <row r="2525" spans="5:11" x14ac:dyDescent="0.2">
      <c r="E2525" s="50"/>
      <c r="H2525" s="12"/>
      <c r="K2525"/>
    </row>
    <row r="2526" spans="5:11" x14ac:dyDescent="0.2">
      <c r="E2526" s="50"/>
      <c r="H2526" s="12"/>
      <c r="K2526"/>
    </row>
    <row r="2527" spans="5:11" x14ac:dyDescent="0.2">
      <c r="E2527" s="50"/>
      <c r="H2527" s="12"/>
      <c r="K2527"/>
    </row>
    <row r="2528" spans="5:11" x14ac:dyDescent="0.2">
      <c r="E2528" s="50"/>
      <c r="H2528" s="12"/>
      <c r="K2528"/>
    </row>
    <row r="2529" spans="5:11" x14ac:dyDescent="0.2">
      <c r="E2529" s="50"/>
      <c r="H2529" s="12"/>
      <c r="K2529"/>
    </row>
    <row r="2530" spans="5:11" x14ac:dyDescent="0.2">
      <c r="E2530" s="50"/>
      <c r="H2530" s="12"/>
      <c r="K2530"/>
    </row>
    <row r="2531" spans="5:11" x14ac:dyDescent="0.2">
      <c r="E2531" s="50"/>
      <c r="H2531" s="12"/>
      <c r="K2531"/>
    </row>
    <row r="2532" spans="5:11" x14ac:dyDescent="0.2">
      <c r="E2532" s="50"/>
      <c r="H2532" s="12"/>
      <c r="K2532"/>
    </row>
    <row r="2533" spans="5:11" x14ac:dyDescent="0.2">
      <c r="E2533" s="50"/>
      <c r="H2533" s="12"/>
      <c r="K2533"/>
    </row>
    <row r="2534" spans="5:11" x14ac:dyDescent="0.2">
      <c r="E2534" s="50"/>
      <c r="H2534" s="12"/>
      <c r="K2534"/>
    </row>
    <row r="2535" spans="5:11" x14ac:dyDescent="0.2">
      <c r="E2535" s="50"/>
      <c r="H2535" s="12"/>
      <c r="K2535"/>
    </row>
    <row r="2536" spans="5:11" x14ac:dyDescent="0.2">
      <c r="E2536" s="50"/>
      <c r="H2536" s="12"/>
      <c r="K2536"/>
    </row>
    <row r="2537" spans="5:11" x14ac:dyDescent="0.2">
      <c r="E2537" s="50"/>
      <c r="H2537" s="12"/>
      <c r="K2537"/>
    </row>
    <row r="2538" spans="5:11" x14ac:dyDescent="0.2">
      <c r="E2538" s="50"/>
      <c r="H2538" s="12"/>
      <c r="K2538"/>
    </row>
    <row r="2539" spans="5:11" x14ac:dyDescent="0.2">
      <c r="E2539" s="50"/>
      <c r="H2539" s="12"/>
      <c r="K2539"/>
    </row>
    <row r="2540" spans="5:11" x14ac:dyDescent="0.2">
      <c r="E2540" s="50"/>
      <c r="H2540" s="12"/>
      <c r="K2540"/>
    </row>
    <row r="2541" spans="5:11" x14ac:dyDescent="0.2">
      <c r="E2541" s="50"/>
      <c r="H2541" s="12"/>
      <c r="K2541"/>
    </row>
    <row r="2542" spans="5:11" x14ac:dyDescent="0.2">
      <c r="E2542" s="50"/>
      <c r="H2542" s="12"/>
      <c r="K2542"/>
    </row>
    <row r="2543" spans="5:11" x14ac:dyDescent="0.2">
      <c r="E2543" s="50"/>
      <c r="H2543" s="12"/>
      <c r="K2543"/>
    </row>
    <row r="2544" spans="5:11" x14ac:dyDescent="0.2">
      <c r="E2544" s="50"/>
      <c r="H2544" s="12"/>
      <c r="K2544"/>
    </row>
    <row r="2545" spans="5:11" x14ac:dyDescent="0.2">
      <c r="E2545" s="50"/>
      <c r="H2545" s="12"/>
      <c r="K2545"/>
    </row>
    <row r="2546" spans="5:11" x14ac:dyDescent="0.2">
      <c r="E2546" s="50"/>
      <c r="H2546" s="12"/>
      <c r="K2546"/>
    </row>
    <row r="2547" spans="5:11" x14ac:dyDescent="0.2">
      <c r="E2547" s="50"/>
      <c r="H2547" s="12"/>
      <c r="K2547"/>
    </row>
    <row r="2548" spans="5:11" x14ac:dyDescent="0.2">
      <c r="E2548" s="50"/>
      <c r="H2548" s="12"/>
      <c r="K2548"/>
    </row>
    <row r="2549" spans="5:11" x14ac:dyDescent="0.2">
      <c r="E2549" s="50"/>
      <c r="H2549" s="12"/>
      <c r="K2549"/>
    </row>
    <row r="2550" spans="5:11" x14ac:dyDescent="0.2">
      <c r="E2550" s="50"/>
      <c r="H2550" s="12"/>
      <c r="K2550"/>
    </row>
    <row r="2551" spans="5:11" x14ac:dyDescent="0.2">
      <c r="E2551" s="50"/>
      <c r="H2551" s="12"/>
      <c r="K2551"/>
    </row>
    <row r="2552" spans="5:11" x14ac:dyDescent="0.2">
      <c r="E2552" s="50"/>
      <c r="H2552" s="12"/>
      <c r="K2552"/>
    </row>
    <row r="2553" spans="5:11" x14ac:dyDescent="0.2">
      <c r="E2553" s="50"/>
      <c r="H2553" s="12"/>
      <c r="K2553"/>
    </row>
    <row r="2554" spans="5:11" x14ac:dyDescent="0.2">
      <c r="E2554" s="50"/>
      <c r="H2554" s="12"/>
      <c r="K2554"/>
    </row>
    <row r="2555" spans="5:11" x14ac:dyDescent="0.2">
      <c r="E2555" s="50"/>
      <c r="H2555" s="12"/>
      <c r="K2555"/>
    </row>
    <row r="2556" spans="5:11" x14ac:dyDescent="0.2">
      <c r="E2556" s="50"/>
      <c r="H2556" s="12"/>
      <c r="K2556"/>
    </row>
    <row r="2557" spans="5:11" x14ac:dyDescent="0.2">
      <c r="E2557" s="50"/>
      <c r="H2557" s="12"/>
      <c r="K2557"/>
    </row>
    <row r="2558" spans="5:11" x14ac:dyDescent="0.2">
      <c r="E2558" s="50"/>
      <c r="H2558" s="12"/>
      <c r="K2558"/>
    </row>
    <row r="2559" spans="5:11" x14ac:dyDescent="0.2">
      <c r="E2559" s="50"/>
      <c r="H2559" s="12"/>
      <c r="K2559"/>
    </row>
    <row r="2560" spans="5:11" x14ac:dyDescent="0.2">
      <c r="E2560" s="50"/>
      <c r="H2560" s="12"/>
      <c r="K2560"/>
    </row>
    <row r="2561" spans="5:11" x14ac:dyDescent="0.2">
      <c r="E2561" s="50"/>
      <c r="H2561" s="12"/>
      <c r="K2561"/>
    </row>
    <row r="2562" spans="5:11" x14ac:dyDescent="0.2">
      <c r="E2562" s="50"/>
      <c r="H2562" s="12"/>
      <c r="K2562"/>
    </row>
    <row r="2563" spans="5:11" x14ac:dyDescent="0.2">
      <c r="E2563" s="50"/>
      <c r="H2563" s="12"/>
      <c r="K2563"/>
    </row>
    <row r="2564" spans="5:11" x14ac:dyDescent="0.2">
      <c r="E2564" s="50"/>
      <c r="H2564" s="12"/>
      <c r="K2564"/>
    </row>
    <row r="2565" spans="5:11" x14ac:dyDescent="0.2">
      <c r="E2565" s="50"/>
      <c r="H2565" s="12"/>
      <c r="K2565"/>
    </row>
    <row r="2566" spans="5:11" x14ac:dyDescent="0.2">
      <c r="E2566" s="50"/>
      <c r="H2566" s="12"/>
      <c r="K2566"/>
    </row>
    <row r="2567" spans="5:11" x14ac:dyDescent="0.2">
      <c r="E2567" s="50"/>
      <c r="H2567" s="12"/>
      <c r="K2567"/>
    </row>
    <row r="2568" spans="5:11" x14ac:dyDescent="0.2">
      <c r="E2568" s="50"/>
      <c r="H2568" s="12"/>
      <c r="K2568"/>
    </row>
    <row r="2569" spans="5:11" x14ac:dyDescent="0.2">
      <c r="E2569" s="50"/>
      <c r="H2569" s="12"/>
      <c r="K2569"/>
    </row>
    <row r="2570" spans="5:11" x14ac:dyDescent="0.2">
      <c r="E2570" s="50"/>
      <c r="H2570" s="12"/>
      <c r="K2570"/>
    </row>
    <row r="2571" spans="5:11" x14ac:dyDescent="0.2">
      <c r="E2571" s="50"/>
      <c r="H2571" s="12"/>
      <c r="K2571"/>
    </row>
    <row r="2572" spans="5:11" x14ac:dyDescent="0.2">
      <c r="E2572" s="50"/>
      <c r="H2572" s="12"/>
      <c r="K2572"/>
    </row>
    <row r="2573" spans="5:11" x14ac:dyDescent="0.2">
      <c r="E2573" s="50"/>
      <c r="H2573" s="12"/>
      <c r="K2573"/>
    </row>
    <row r="2574" spans="5:11" x14ac:dyDescent="0.2">
      <c r="E2574" s="50"/>
      <c r="H2574" s="12"/>
      <c r="K2574"/>
    </row>
    <row r="2575" spans="5:11" x14ac:dyDescent="0.2">
      <c r="E2575" s="50"/>
      <c r="H2575" s="12"/>
      <c r="K2575"/>
    </row>
    <row r="2576" spans="5:11" x14ac:dyDescent="0.2">
      <c r="E2576" s="50"/>
      <c r="H2576" s="12"/>
      <c r="K2576"/>
    </row>
    <row r="2577" spans="5:11" x14ac:dyDescent="0.2">
      <c r="E2577" s="50"/>
      <c r="H2577" s="12"/>
      <c r="K2577"/>
    </row>
    <row r="2578" spans="5:11" x14ac:dyDescent="0.2">
      <c r="E2578" s="50"/>
      <c r="H2578" s="12"/>
      <c r="K2578"/>
    </row>
    <row r="2579" spans="5:11" x14ac:dyDescent="0.2">
      <c r="E2579" s="50"/>
      <c r="H2579" s="12"/>
      <c r="K2579"/>
    </row>
    <row r="2580" spans="5:11" x14ac:dyDescent="0.2">
      <c r="E2580" s="50"/>
      <c r="H2580" s="12"/>
      <c r="K2580"/>
    </row>
    <row r="2581" spans="5:11" x14ac:dyDescent="0.2">
      <c r="E2581" s="50"/>
      <c r="H2581" s="12"/>
      <c r="K2581"/>
    </row>
    <row r="2582" spans="5:11" x14ac:dyDescent="0.2">
      <c r="E2582" s="50"/>
      <c r="H2582" s="12"/>
      <c r="K2582"/>
    </row>
    <row r="2583" spans="5:11" x14ac:dyDescent="0.2">
      <c r="E2583" s="50"/>
      <c r="H2583" s="12"/>
      <c r="K2583"/>
    </row>
    <row r="2584" spans="5:11" x14ac:dyDescent="0.2">
      <c r="E2584" s="50"/>
      <c r="H2584" s="12"/>
      <c r="K2584"/>
    </row>
    <row r="2585" spans="5:11" x14ac:dyDescent="0.2">
      <c r="E2585" s="50"/>
      <c r="H2585" s="12"/>
      <c r="K2585"/>
    </row>
    <row r="2586" spans="5:11" x14ac:dyDescent="0.2">
      <c r="E2586" s="50"/>
      <c r="H2586" s="12"/>
      <c r="K2586"/>
    </row>
    <row r="2587" spans="5:11" x14ac:dyDescent="0.2">
      <c r="E2587" s="50"/>
      <c r="H2587" s="12"/>
      <c r="K2587"/>
    </row>
    <row r="2588" spans="5:11" x14ac:dyDescent="0.2">
      <c r="E2588" s="50"/>
      <c r="H2588" s="12"/>
      <c r="K2588"/>
    </row>
    <row r="2589" spans="5:11" x14ac:dyDescent="0.2">
      <c r="E2589" s="50"/>
      <c r="H2589" s="12"/>
      <c r="K2589"/>
    </row>
    <row r="2590" spans="5:11" x14ac:dyDescent="0.2">
      <c r="E2590" s="50"/>
      <c r="H2590" s="12"/>
      <c r="K2590"/>
    </row>
    <row r="2591" spans="5:11" x14ac:dyDescent="0.2">
      <c r="E2591" s="50"/>
      <c r="H2591" s="12"/>
      <c r="K2591"/>
    </row>
    <row r="2592" spans="5:11" x14ac:dyDescent="0.2">
      <c r="E2592" s="50"/>
      <c r="H2592" s="12"/>
      <c r="K2592"/>
    </row>
    <row r="2593" spans="5:11" x14ac:dyDescent="0.2">
      <c r="E2593" s="50"/>
      <c r="H2593" s="12"/>
      <c r="K2593"/>
    </row>
    <row r="2594" spans="5:11" x14ac:dyDescent="0.2">
      <c r="E2594" s="50"/>
      <c r="H2594" s="12"/>
      <c r="K2594"/>
    </row>
    <row r="2595" spans="5:11" x14ac:dyDescent="0.2">
      <c r="E2595" s="50"/>
      <c r="H2595" s="12"/>
      <c r="K2595"/>
    </row>
    <row r="2596" spans="5:11" x14ac:dyDescent="0.2">
      <c r="E2596" s="50"/>
      <c r="H2596" s="12"/>
      <c r="K2596"/>
    </row>
    <row r="2597" spans="5:11" x14ac:dyDescent="0.2">
      <c r="E2597" s="50"/>
      <c r="H2597" s="12"/>
      <c r="K2597"/>
    </row>
    <row r="2598" spans="5:11" x14ac:dyDescent="0.2">
      <c r="E2598" s="50"/>
      <c r="H2598" s="12"/>
      <c r="K2598"/>
    </row>
    <row r="2599" spans="5:11" x14ac:dyDescent="0.2">
      <c r="E2599" s="50"/>
      <c r="H2599" s="12"/>
      <c r="K2599"/>
    </row>
    <row r="2600" spans="5:11" x14ac:dyDescent="0.2">
      <c r="E2600" s="50"/>
      <c r="H2600" s="12"/>
      <c r="K2600"/>
    </row>
    <row r="2601" spans="5:11" x14ac:dyDescent="0.2">
      <c r="E2601" s="50"/>
      <c r="H2601" s="12"/>
      <c r="K2601"/>
    </row>
    <row r="2602" spans="5:11" x14ac:dyDescent="0.2">
      <c r="E2602" s="50"/>
      <c r="H2602" s="12"/>
      <c r="K2602"/>
    </row>
    <row r="2603" spans="5:11" x14ac:dyDescent="0.2">
      <c r="E2603" s="50"/>
      <c r="H2603" s="12"/>
      <c r="K2603"/>
    </row>
    <row r="2604" spans="5:11" x14ac:dyDescent="0.2">
      <c r="E2604" s="50"/>
      <c r="H2604" s="12"/>
      <c r="K2604"/>
    </row>
    <row r="2605" spans="5:11" x14ac:dyDescent="0.2">
      <c r="E2605" s="50"/>
      <c r="H2605" s="12"/>
      <c r="K2605"/>
    </row>
    <row r="2606" spans="5:11" x14ac:dyDescent="0.2">
      <c r="E2606" s="50"/>
      <c r="H2606" s="12"/>
      <c r="K2606"/>
    </row>
    <row r="2607" spans="5:11" x14ac:dyDescent="0.2">
      <c r="E2607" s="50"/>
      <c r="H2607" s="12"/>
      <c r="K2607"/>
    </row>
    <row r="2608" spans="5:11" x14ac:dyDescent="0.2">
      <c r="E2608" s="50"/>
      <c r="H2608" s="12"/>
      <c r="K2608"/>
    </row>
    <row r="2609" spans="5:11" x14ac:dyDescent="0.2">
      <c r="E2609" s="50"/>
      <c r="H2609" s="12"/>
      <c r="K2609"/>
    </row>
    <row r="2610" spans="5:11" x14ac:dyDescent="0.2">
      <c r="E2610" s="50"/>
      <c r="H2610" s="12"/>
      <c r="K2610"/>
    </row>
    <row r="2611" spans="5:11" x14ac:dyDescent="0.2">
      <c r="E2611" s="50"/>
      <c r="H2611" s="12"/>
      <c r="K2611"/>
    </row>
    <row r="2612" spans="5:11" x14ac:dyDescent="0.2">
      <c r="E2612" s="50"/>
      <c r="H2612" s="12"/>
      <c r="K2612"/>
    </row>
    <row r="2613" spans="5:11" x14ac:dyDescent="0.2">
      <c r="E2613" s="50"/>
      <c r="H2613" s="12"/>
      <c r="K2613"/>
    </row>
    <row r="2614" spans="5:11" x14ac:dyDescent="0.2">
      <c r="E2614" s="50"/>
      <c r="H2614" s="12"/>
      <c r="K2614"/>
    </row>
    <row r="2615" spans="5:11" x14ac:dyDescent="0.2">
      <c r="E2615" s="50"/>
      <c r="H2615" s="12"/>
      <c r="K2615"/>
    </row>
    <row r="2616" spans="5:11" x14ac:dyDescent="0.2">
      <c r="E2616" s="50"/>
      <c r="H2616" s="12"/>
      <c r="K2616"/>
    </row>
    <row r="2617" spans="5:11" x14ac:dyDescent="0.2">
      <c r="E2617" s="50"/>
      <c r="H2617" s="12"/>
      <c r="K2617"/>
    </row>
    <row r="2618" spans="5:11" x14ac:dyDescent="0.2">
      <c r="E2618" s="50"/>
      <c r="H2618" s="12"/>
      <c r="K2618"/>
    </row>
    <row r="2619" spans="5:11" x14ac:dyDescent="0.2">
      <c r="E2619" s="50"/>
      <c r="H2619" s="12"/>
      <c r="K2619"/>
    </row>
    <row r="2620" spans="5:11" x14ac:dyDescent="0.2">
      <c r="E2620" s="50"/>
      <c r="H2620" s="12"/>
      <c r="K2620"/>
    </row>
    <row r="2621" spans="5:11" x14ac:dyDescent="0.2">
      <c r="E2621" s="50"/>
      <c r="H2621" s="12"/>
      <c r="K2621"/>
    </row>
    <row r="2622" spans="5:11" x14ac:dyDescent="0.2">
      <c r="E2622" s="50"/>
      <c r="H2622" s="12"/>
      <c r="K2622"/>
    </row>
    <row r="2623" spans="5:11" x14ac:dyDescent="0.2">
      <c r="E2623" s="50"/>
      <c r="H2623" s="12"/>
      <c r="K2623"/>
    </row>
    <row r="2624" spans="5:11" x14ac:dyDescent="0.2">
      <c r="E2624" s="50"/>
      <c r="H2624" s="12"/>
      <c r="K2624"/>
    </row>
    <row r="2625" spans="5:11" x14ac:dyDescent="0.2">
      <c r="E2625" s="50"/>
      <c r="H2625" s="12"/>
      <c r="K2625"/>
    </row>
    <row r="2626" spans="5:11" x14ac:dyDescent="0.2">
      <c r="E2626" s="50"/>
      <c r="H2626" s="12"/>
      <c r="K2626"/>
    </row>
    <row r="2627" spans="5:11" x14ac:dyDescent="0.2">
      <c r="E2627" s="50"/>
      <c r="H2627" s="12"/>
      <c r="K2627"/>
    </row>
    <row r="2628" spans="5:11" x14ac:dyDescent="0.2">
      <c r="E2628" s="50"/>
      <c r="H2628" s="12"/>
      <c r="K2628"/>
    </row>
    <row r="2629" spans="5:11" x14ac:dyDescent="0.2">
      <c r="E2629" s="50"/>
      <c r="H2629" s="12"/>
      <c r="K2629"/>
    </row>
    <row r="2630" spans="5:11" x14ac:dyDescent="0.2">
      <c r="E2630" s="50"/>
      <c r="H2630" s="12"/>
      <c r="K2630"/>
    </row>
    <row r="2631" spans="5:11" x14ac:dyDescent="0.2">
      <c r="E2631" s="50"/>
      <c r="H2631" s="12"/>
      <c r="K2631"/>
    </row>
    <row r="2632" spans="5:11" x14ac:dyDescent="0.2">
      <c r="E2632" s="50"/>
      <c r="H2632" s="12"/>
      <c r="K2632"/>
    </row>
    <row r="2633" spans="5:11" x14ac:dyDescent="0.2">
      <c r="E2633" s="50"/>
      <c r="H2633" s="12"/>
      <c r="K2633"/>
    </row>
    <row r="2634" spans="5:11" x14ac:dyDescent="0.2">
      <c r="E2634" s="50"/>
      <c r="H2634" s="12"/>
      <c r="K2634"/>
    </row>
    <row r="2635" spans="5:11" x14ac:dyDescent="0.2">
      <c r="E2635" s="50"/>
      <c r="H2635" s="12"/>
      <c r="K2635"/>
    </row>
    <row r="2636" spans="5:11" x14ac:dyDescent="0.2">
      <c r="E2636" s="50"/>
      <c r="H2636" s="12"/>
      <c r="K2636"/>
    </row>
    <row r="2637" spans="5:11" x14ac:dyDescent="0.2">
      <c r="E2637" s="50"/>
      <c r="H2637" s="12"/>
      <c r="K2637"/>
    </row>
    <row r="2638" spans="5:11" x14ac:dyDescent="0.2">
      <c r="E2638" s="50"/>
      <c r="H2638" s="12"/>
      <c r="K2638"/>
    </row>
    <row r="2639" spans="5:11" x14ac:dyDescent="0.2">
      <c r="E2639" s="50"/>
      <c r="H2639" s="12"/>
      <c r="K2639"/>
    </row>
    <row r="2640" spans="5:11" x14ac:dyDescent="0.2">
      <c r="E2640" s="50"/>
      <c r="H2640" s="12"/>
      <c r="K2640"/>
    </row>
    <row r="2641" spans="5:11" x14ac:dyDescent="0.2">
      <c r="E2641" s="50"/>
      <c r="H2641" s="12"/>
      <c r="K2641"/>
    </row>
    <row r="2642" spans="5:11" x14ac:dyDescent="0.2">
      <c r="E2642" s="50"/>
      <c r="H2642" s="12"/>
      <c r="K2642"/>
    </row>
    <row r="2643" spans="5:11" x14ac:dyDescent="0.2">
      <c r="E2643" s="50"/>
      <c r="H2643" s="12"/>
      <c r="K2643"/>
    </row>
    <row r="2644" spans="5:11" x14ac:dyDescent="0.2">
      <c r="E2644" s="50"/>
      <c r="H2644" s="12"/>
      <c r="K2644"/>
    </row>
    <row r="2645" spans="5:11" x14ac:dyDescent="0.2">
      <c r="E2645" s="50"/>
      <c r="H2645" s="12"/>
      <c r="K2645"/>
    </row>
    <row r="2646" spans="5:11" x14ac:dyDescent="0.2">
      <c r="E2646" s="50"/>
      <c r="H2646" s="12"/>
      <c r="K2646"/>
    </row>
    <row r="2647" spans="5:11" x14ac:dyDescent="0.2">
      <c r="E2647" s="50"/>
      <c r="H2647" s="12"/>
      <c r="K2647"/>
    </row>
    <row r="2648" spans="5:11" x14ac:dyDescent="0.2">
      <c r="E2648" s="50"/>
      <c r="H2648" s="12"/>
      <c r="K2648"/>
    </row>
    <row r="2649" spans="5:11" x14ac:dyDescent="0.2">
      <c r="E2649" s="50"/>
      <c r="H2649" s="12"/>
      <c r="K2649"/>
    </row>
    <row r="2650" spans="5:11" x14ac:dyDescent="0.2">
      <c r="E2650" s="50"/>
      <c r="H2650" s="12"/>
      <c r="K2650"/>
    </row>
    <row r="2651" spans="5:11" x14ac:dyDescent="0.2">
      <c r="E2651" s="50"/>
      <c r="H2651" s="12"/>
      <c r="K2651"/>
    </row>
    <row r="2652" spans="5:11" x14ac:dyDescent="0.2">
      <c r="E2652" s="50"/>
      <c r="H2652" s="12"/>
      <c r="K2652"/>
    </row>
    <row r="2653" spans="5:11" x14ac:dyDescent="0.2">
      <c r="E2653" s="50"/>
      <c r="H2653" s="12"/>
      <c r="K2653"/>
    </row>
    <row r="2654" spans="5:11" x14ac:dyDescent="0.2">
      <c r="E2654" s="50"/>
      <c r="H2654" s="12"/>
      <c r="K2654"/>
    </row>
    <row r="2655" spans="5:11" x14ac:dyDescent="0.2">
      <c r="E2655" s="50"/>
      <c r="H2655" s="12"/>
      <c r="K2655"/>
    </row>
    <row r="2656" spans="5:11" x14ac:dyDescent="0.2">
      <c r="E2656" s="50"/>
      <c r="H2656" s="12"/>
      <c r="K2656"/>
    </row>
    <row r="2657" spans="5:11" x14ac:dyDescent="0.2">
      <c r="E2657" s="50"/>
      <c r="H2657" s="12"/>
      <c r="K2657"/>
    </row>
    <row r="2658" spans="5:11" x14ac:dyDescent="0.2">
      <c r="E2658" s="50"/>
      <c r="H2658" s="12"/>
      <c r="K2658"/>
    </row>
    <row r="2659" spans="5:11" x14ac:dyDescent="0.2">
      <c r="E2659" s="50"/>
      <c r="H2659" s="12"/>
      <c r="K2659"/>
    </row>
    <row r="2660" spans="5:11" x14ac:dyDescent="0.2">
      <c r="E2660" s="50"/>
      <c r="H2660" s="12"/>
      <c r="K2660"/>
    </row>
    <row r="2661" spans="5:11" x14ac:dyDescent="0.2">
      <c r="E2661" s="50"/>
      <c r="H2661" s="12"/>
      <c r="K2661"/>
    </row>
    <row r="2662" spans="5:11" x14ac:dyDescent="0.2">
      <c r="E2662" s="50"/>
      <c r="H2662" s="12"/>
      <c r="K2662"/>
    </row>
    <row r="2663" spans="5:11" x14ac:dyDescent="0.2">
      <c r="E2663" s="50"/>
      <c r="H2663" s="12"/>
      <c r="K2663"/>
    </row>
    <row r="2664" spans="5:11" x14ac:dyDescent="0.2">
      <c r="E2664" s="50"/>
      <c r="H2664" s="12"/>
      <c r="K2664"/>
    </row>
    <row r="2665" spans="5:11" x14ac:dyDescent="0.2">
      <c r="E2665" s="50"/>
      <c r="H2665" s="12"/>
      <c r="K2665"/>
    </row>
    <row r="2666" spans="5:11" x14ac:dyDescent="0.2">
      <c r="E2666" s="50"/>
      <c r="H2666" s="12"/>
      <c r="K2666"/>
    </row>
    <row r="2667" spans="5:11" x14ac:dyDescent="0.2">
      <c r="E2667" s="50"/>
      <c r="H2667" s="12"/>
      <c r="K2667"/>
    </row>
    <row r="2668" spans="5:11" x14ac:dyDescent="0.2">
      <c r="E2668" s="50"/>
      <c r="H2668" s="12"/>
      <c r="K2668"/>
    </row>
    <row r="2669" spans="5:11" x14ac:dyDescent="0.2">
      <c r="E2669" s="50"/>
      <c r="H2669" s="12"/>
      <c r="K2669"/>
    </row>
    <row r="2670" spans="5:11" x14ac:dyDescent="0.2">
      <c r="E2670" s="50"/>
      <c r="H2670" s="12"/>
      <c r="K2670"/>
    </row>
    <row r="2671" spans="5:11" x14ac:dyDescent="0.2">
      <c r="E2671" s="50"/>
      <c r="H2671" s="12"/>
      <c r="K2671"/>
    </row>
    <row r="2672" spans="5:11" x14ac:dyDescent="0.2">
      <c r="E2672" s="50"/>
      <c r="H2672" s="12"/>
      <c r="K2672"/>
    </row>
    <row r="2673" spans="5:11" x14ac:dyDescent="0.2">
      <c r="E2673" s="50"/>
      <c r="H2673" s="12"/>
      <c r="K2673"/>
    </row>
    <row r="2674" spans="5:11" x14ac:dyDescent="0.2">
      <c r="E2674" s="50"/>
      <c r="H2674" s="12"/>
      <c r="K2674"/>
    </row>
    <row r="2675" spans="5:11" x14ac:dyDescent="0.2">
      <c r="E2675" s="50"/>
      <c r="H2675" s="12"/>
      <c r="K2675"/>
    </row>
    <row r="2676" spans="5:11" x14ac:dyDescent="0.2">
      <c r="E2676" s="50"/>
      <c r="H2676" s="12"/>
      <c r="K2676"/>
    </row>
    <row r="2677" spans="5:11" x14ac:dyDescent="0.2">
      <c r="E2677" s="50"/>
      <c r="H2677" s="12"/>
      <c r="K2677"/>
    </row>
    <row r="2678" spans="5:11" x14ac:dyDescent="0.2">
      <c r="E2678" s="50"/>
      <c r="H2678" s="12"/>
      <c r="K2678"/>
    </row>
    <row r="2679" spans="5:11" x14ac:dyDescent="0.2">
      <c r="E2679" s="50"/>
      <c r="H2679" s="12"/>
      <c r="K2679"/>
    </row>
    <row r="2680" spans="5:11" x14ac:dyDescent="0.2">
      <c r="E2680" s="50"/>
      <c r="H2680" s="12"/>
      <c r="K2680"/>
    </row>
    <row r="2681" spans="5:11" x14ac:dyDescent="0.2">
      <c r="E2681" s="50"/>
      <c r="H2681" s="12"/>
      <c r="K2681"/>
    </row>
    <row r="2682" spans="5:11" x14ac:dyDescent="0.2">
      <c r="E2682" s="50"/>
      <c r="H2682" s="12"/>
      <c r="K2682"/>
    </row>
    <row r="2683" spans="5:11" x14ac:dyDescent="0.2">
      <c r="E2683" s="50"/>
      <c r="H2683" s="12"/>
      <c r="K2683"/>
    </row>
    <row r="2684" spans="5:11" x14ac:dyDescent="0.2">
      <c r="E2684" s="50"/>
      <c r="H2684" s="12"/>
      <c r="K2684"/>
    </row>
    <row r="2685" spans="5:11" x14ac:dyDescent="0.2">
      <c r="E2685" s="50"/>
      <c r="H2685" s="12"/>
      <c r="K2685"/>
    </row>
    <row r="2686" spans="5:11" x14ac:dyDescent="0.2">
      <c r="E2686" s="50"/>
      <c r="H2686" s="12"/>
      <c r="K2686"/>
    </row>
    <row r="2687" spans="5:11" x14ac:dyDescent="0.2">
      <c r="E2687" s="50"/>
      <c r="H2687" s="12"/>
      <c r="K2687"/>
    </row>
    <row r="2688" spans="5:11" x14ac:dyDescent="0.2">
      <c r="E2688" s="50"/>
      <c r="H2688" s="12"/>
      <c r="K2688"/>
    </row>
    <row r="2689" spans="5:11" x14ac:dyDescent="0.2">
      <c r="E2689" s="50"/>
      <c r="H2689" s="12"/>
      <c r="K2689"/>
    </row>
    <row r="2690" spans="5:11" x14ac:dyDescent="0.2">
      <c r="E2690" s="50"/>
      <c r="H2690" s="12"/>
      <c r="K2690"/>
    </row>
    <row r="2691" spans="5:11" x14ac:dyDescent="0.2">
      <c r="E2691" s="50"/>
      <c r="H2691" s="12"/>
      <c r="K2691"/>
    </row>
    <row r="2692" spans="5:11" x14ac:dyDescent="0.2">
      <c r="E2692" s="50"/>
      <c r="H2692" s="12"/>
      <c r="K2692"/>
    </row>
    <row r="2693" spans="5:11" x14ac:dyDescent="0.2">
      <c r="E2693" s="50"/>
      <c r="H2693" s="12"/>
      <c r="K2693"/>
    </row>
    <row r="2694" spans="5:11" x14ac:dyDescent="0.2">
      <c r="E2694" s="50"/>
      <c r="H2694" s="12"/>
      <c r="K2694"/>
    </row>
    <row r="2695" spans="5:11" x14ac:dyDescent="0.2">
      <c r="E2695" s="50"/>
      <c r="H2695" s="12"/>
      <c r="K2695"/>
    </row>
    <row r="2696" spans="5:11" x14ac:dyDescent="0.2">
      <c r="E2696" s="50"/>
      <c r="H2696" s="12"/>
      <c r="K2696"/>
    </row>
    <row r="2697" spans="5:11" x14ac:dyDescent="0.2">
      <c r="E2697" s="50"/>
      <c r="H2697" s="12"/>
      <c r="K2697"/>
    </row>
    <row r="2698" spans="5:11" x14ac:dyDescent="0.2">
      <c r="E2698" s="50"/>
      <c r="H2698" s="12"/>
      <c r="K2698"/>
    </row>
    <row r="2699" spans="5:11" x14ac:dyDescent="0.2">
      <c r="E2699" s="50"/>
      <c r="H2699" s="12"/>
      <c r="K2699"/>
    </row>
    <row r="2700" spans="5:11" x14ac:dyDescent="0.2">
      <c r="E2700" s="50"/>
      <c r="H2700" s="12"/>
      <c r="K2700"/>
    </row>
    <row r="2701" spans="5:11" x14ac:dyDescent="0.2">
      <c r="E2701" s="50"/>
      <c r="H2701" s="12"/>
      <c r="K2701"/>
    </row>
    <row r="2702" spans="5:11" x14ac:dyDescent="0.2">
      <c r="E2702" s="50"/>
      <c r="H2702" s="12"/>
      <c r="K2702"/>
    </row>
    <row r="2703" spans="5:11" x14ac:dyDescent="0.2">
      <c r="E2703" s="50"/>
      <c r="H2703" s="12"/>
      <c r="K2703"/>
    </row>
    <row r="2704" spans="5:11" x14ac:dyDescent="0.2">
      <c r="E2704" s="50"/>
      <c r="H2704" s="12"/>
      <c r="K2704"/>
    </row>
    <row r="2705" spans="5:11" x14ac:dyDescent="0.2">
      <c r="E2705" s="50"/>
      <c r="H2705" s="12"/>
      <c r="K2705"/>
    </row>
    <row r="2706" spans="5:11" x14ac:dyDescent="0.2">
      <c r="E2706" s="50"/>
      <c r="H2706" s="12"/>
      <c r="K2706"/>
    </row>
    <row r="2707" spans="5:11" x14ac:dyDescent="0.2">
      <c r="E2707" s="50"/>
      <c r="H2707" s="12"/>
      <c r="K2707"/>
    </row>
    <row r="2708" spans="5:11" x14ac:dyDescent="0.2">
      <c r="E2708" s="50"/>
      <c r="H2708" s="12"/>
      <c r="K2708"/>
    </row>
    <row r="2709" spans="5:11" x14ac:dyDescent="0.2">
      <c r="E2709" s="50"/>
      <c r="H2709" s="12"/>
      <c r="K2709"/>
    </row>
    <row r="2710" spans="5:11" x14ac:dyDescent="0.2">
      <c r="E2710" s="50"/>
      <c r="H2710" s="12"/>
      <c r="K2710"/>
    </row>
    <row r="2711" spans="5:11" x14ac:dyDescent="0.2">
      <c r="E2711" s="50"/>
      <c r="H2711" s="12"/>
      <c r="K2711"/>
    </row>
    <row r="2712" spans="5:11" x14ac:dyDescent="0.2">
      <c r="E2712" s="50"/>
      <c r="H2712" s="12"/>
      <c r="K2712"/>
    </row>
    <row r="2713" spans="5:11" x14ac:dyDescent="0.2">
      <c r="E2713" s="50"/>
      <c r="H2713" s="12"/>
      <c r="K2713"/>
    </row>
    <row r="2714" spans="5:11" x14ac:dyDescent="0.2">
      <c r="E2714" s="50"/>
      <c r="H2714" s="12"/>
      <c r="K2714"/>
    </row>
    <row r="2715" spans="5:11" x14ac:dyDescent="0.2">
      <c r="E2715" s="50"/>
      <c r="H2715" s="12"/>
      <c r="K2715"/>
    </row>
    <row r="2716" spans="5:11" x14ac:dyDescent="0.2">
      <c r="E2716" s="50"/>
      <c r="H2716" s="12"/>
      <c r="K2716"/>
    </row>
    <row r="2717" spans="5:11" x14ac:dyDescent="0.2">
      <c r="E2717" s="50"/>
      <c r="H2717" s="12"/>
      <c r="K2717"/>
    </row>
    <row r="2718" spans="5:11" x14ac:dyDescent="0.2">
      <c r="E2718" s="50"/>
      <c r="H2718" s="12"/>
      <c r="K2718"/>
    </row>
    <row r="2719" spans="5:11" x14ac:dyDescent="0.2">
      <c r="E2719" s="50"/>
      <c r="H2719" s="12"/>
      <c r="K2719"/>
    </row>
    <row r="2720" spans="5:11" x14ac:dyDescent="0.2">
      <c r="E2720" s="50"/>
      <c r="H2720" s="12"/>
      <c r="K2720"/>
    </row>
    <row r="2721" spans="5:11" x14ac:dyDescent="0.2">
      <c r="E2721" s="50"/>
      <c r="H2721" s="12"/>
      <c r="K2721"/>
    </row>
    <row r="2722" spans="5:11" x14ac:dyDescent="0.2">
      <c r="E2722" s="50"/>
      <c r="H2722" s="12"/>
      <c r="K2722"/>
    </row>
    <row r="2723" spans="5:11" x14ac:dyDescent="0.2">
      <c r="E2723" s="50"/>
      <c r="H2723" s="12"/>
      <c r="K2723"/>
    </row>
    <row r="2724" spans="5:11" x14ac:dyDescent="0.2">
      <c r="E2724" s="50"/>
      <c r="H2724" s="12"/>
      <c r="K2724"/>
    </row>
    <row r="2725" spans="5:11" x14ac:dyDescent="0.2">
      <c r="E2725" s="50"/>
      <c r="H2725" s="12"/>
      <c r="K2725"/>
    </row>
    <row r="2726" spans="5:11" x14ac:dyDescent="0.2">
      <c r="E2726" s="50"/>
      <c r="H2726" s="12"/>
      <c r="K2726"/>
    </row>
    <row r="2727" spans="5:11" x14ac:dyDescent="0.2">
      <c r="E2727" s="50"/>
      <c r="H2727" s="12"/>
      <c r="K2727"/>
    </row>
    <row r="2728" spans="5:11" x14ac:dyDescent="0.2">
      <c r="E2728" s="50"/>
      <c r="H2728" s="12"/>
      <c r="K2728"/>
    </row>
    <row r="2729" spans="5:11" x14ac:dyDescent="0.2">
      <c r="E2729" s="50"/>
      <c r="H2729" s="12"/>
      <c r="K2729"/>
    </row>
    <row r="2730" spans="5:11" x14ac:dyDescent="0.2">
      <c r="E2730" s="50"/>
      <c r="H2730" s="12"/>
      <c r="K2730"/>
    </row>
    <row r="2731" spans="5:11" x14ac:dyDescent="0.2">
      <c r="E2731" s="50"/>
      <c r="H2731" s="12"/>
      <c r="K2731"/>
    </row>
    <row r="2732" spans="5:11" x14ac:dyDescent="0.2">
      <c r="E2732" s="50"/>
      <c r="H2732" s="12"/>
      <c r="K2732"/>
    </row>
    <row r="2733" spans="5:11" x14ac:dyDescent="0.2">
      <c r="E2733" s="50"/>
      <c r="H2733" s="12"/>
      <c r="K2733"/>
    </row>
    <row r="2734" spans="5:11" x14ac:dyDescent="0.2">
      <c r="E2734" s="50"/>
      <c r="H2734" s="12"/>
      <c r="K2734"/>
    </row>
    <row r="2735" spans="5:11" x14ac:dyDescent="0.2">
      <c r="E2735" s="50"/>
      <c r="H2735" s="12"/>
      <c r="K2735"/>
    </row>
    <row r="2736" spans="5:11" x14ac:dyDescent="0.2">
      <c r="E2736" s="50"/>
      <c r="H2736" s="12"/>
      <c r="K2736"/>
    </row>
    <row r="2737" spans="5:11" x14ac:dyDescent="0.2">
      <c r="E2737" s="50"/>
      <c r="H2737" s="12"/>
      <c r="K2737"/>
    </row>
    <row r="2738" spans="5:11" x14ac:dyDescent="0.2">
      <c r="E2738" s="50"/>
      <c r="H2738" s="12"/>
      <c r="K2738"/>
    </row>
    <row r="2739" spans="5:11" x14ac:dyDescent="0.2">
      <c r="E2739" s="50"/>
      <c r="H2739" s="12"/>
      <c r="K2739"/>
    </row>
    <row r="2740" spans="5:11" x14ac:dyDescent="0.2">
      <c r="E2740" s="50"/>
      <c r="H2740" s="12"/>
      <c r="K2740"/>
    </row>
    <row r="2741" spans="5:11" x14ac:dyDescent="0.2">
      <c r="E2741" s="50"/>
      <c r="H2741" s="12"/>
      <c r="K2741"/>
    </row>
    <row r="2742" spans="5:11" x14ac:dyDescent="0.2">
      <c r="E2742" s="50"/>
      <c r="H2742" s="12"/>
      <c r="K2742"/>
    </row>
    <row r="2743" spans="5:11" x14ac:dyDescent="0.2">
      <c r="E2743" s="50"/>
      <c r="H2743" s="12"/>
      <c r="K2743"/>
    </row>
    <row r="2744" spans="5:11" x14ac:dyDescent="0.2">
      <c r="E2744" s="50"/>
      <c r="H2744" s="12"/>
      <c r="K2744"/>
    </row>
    <row r="2745" spans="5:11" x14ac:dyDescent="0.2">
      <c r="E2745" s="50"/>
      <c r="H2745" s="12"/>
      <c r="K2745"/>
    </row>
    <row r="2746" spans="5:11" x14ac:dyDescent="0.2">
      <c r="E2746" s="50"/>
      <c r="H2746" s="12"/>
      <c r="K2746"/>
    </row>
    <row r="2747" spans="5:11" x14ac:dyDescent="0.2">
      <c r="E2747" s="50"/>
      <c r="H2747" s="12"/>
      <c r="K2747"/>
    </row>
    <row r="2748" spans="5:11" x14ac:dyDescent="0.2">
      <c r="E2748" s="50"/>
      <c r="H2748" s="12"/>
      <c r="K2748"/>
    </row>
    <row r="2749" spans="5:11" x14ac:dyDescent="0.2">
      <c r="E2749" s="50"/>
      <c r="H2749" s="12"/>
      <c r="K2749"/>
    </row>
    <row r="2750" spans="5:11" x14ac:dyDescent="0.2">
      <c r="E2750" s="50"/>
      <c r="H2750" s="12"/>
      <c r="K2750"/>
    </row>
    <row r="2751" spans="5:11" x14ac:dyDescent="0.2">
      <c r="E2751" s="50"/>
      <c r="H2751" s="12"/>
      <c r="K2751"/>
    </row>
    <row r="2752" spans="5:11" x14ac:dyDescent="0.2">
      <c r="E2752" s="50"/>
      <c r="H2752" s="12"/>
      <c r="K2752"/>
    </row>
    <row r="2753" spans="5:11" x14ac:dyDescent="0.2">
      <c r="E2753" s="50"/>
      <c r="H2753" s="12"/>
      <c r="K2753"/>
    </row>
    <row r="2754" spans="5:11" x14ac:dyDescent="0.2">
      <c r="E2754" s="50"/>
      <c r="H2754" s="12"/>
      <c r="K2754"/>
    </row>
    <row r="2755" spans="5:11" x14ac:dyDescent="0.2">
      <c r="E2755" s="50"/>
      <c r="H2755" s="12"/>
      <c r="K2755"/>
    </row>
    <row r="2756" spans="5:11" x14ac:dyDescent="0.2">
      <c r="E2756" s="50"/>
      <c r="H2756" s="12"/>
      <c r="K2756"/>
    </row>
    <row r="2757" spans="5:11" x14ac:dyDescent="0.2">
      <c r="E2757" s="50"/>
      <c r="H2757" s="12"/>
      <c r="K2757"/>
    </row>
    <row r="2758" spans="5:11" x14ac:dyDescent="0.2">
      <c r="E2758" s="50"/>
      <c r="H2758" s="12"/>
      <c r="K2758"/>
    </row>
    <row r="2759" spans="5:11" x14ac:dyDescent="0.2">
      <c r="E2759" s="50"/>
      <c r="H2759" s="12"/>
      <c r="K2759"/>
    </row>
    <row r="2760" spans="5:11" x14ac:dyDescent="0.2">
      <c r="E2760" s="50"/>
      <c r="H2760" s="12"/>
      <c r="K2760"/>
    </row>
    <row r="2761" spans="5:11" x14ac:dyDescent="0.2">
      <c r="E2761" s="50"/>
      <c r="H2761" s="12"/>
      <c r="K2761"/>
    </row>
    <row r="2762" spans="5:11" x14ac:dyDescent="0.2">
      <c r="E2762" s="50"/>
      <c r="H2762" s="12"/>
      <c r="K2762"/>
    </row>
    <row r="2763" spans="5:11" x14ac:dyDescent="0.2">
      <c r="E2763" s="50"/>
      <c r="H2763" s="12"/>
      <c r="K2763"/>
    </row>
    <row r="2764" spans="5:11" x14ac:dyDescent="0.2">
      <c r="E2764" s="50"/>
      <c r="H2764" s="12"/>
      <c r="K2764"/>
    </row>
    <row r="2765" spans="5:11" x14ac:dyDescent="0.2">
      <c r="E2765" s="50"/>
      <c r="H2765" s="12"/>
      <c r="K2765"/>
    </row>
    <row r="2766" spans="5:11" x14ac:dyDescent="0.2">
      <c r="E2766" s="50"/>
      <c r="H2766" s="12"/>
      <c r="K2766"/>
    </row>
    <row r="2767" spans="5:11" x14ac:dyDescent="0.2">
      <c r="E2767" s="50"/>
      <c r="H2767" s="12"/>
      <c r="K2767"/>
    </row>
    <row r="2768" spans="5:11" x14ac:dyDescent="0.2">
      <c r="E2768" s="50"/>
      <c r="H2768" s="12"/>
      <c r="K2768"/>
    </row>
    <row r="2769" spans="5:11" x14ac:dyDescent="0.2">
      <c r="E2769" s="50"/>
      <c r="H2769" s="12"/>
      <c r="K2769"/>
    </row>
    <row r="2770" spans="5:11" x14ac:dyDescent="0.2">
      <c r="E2770" s="50"/>
      <c r="H2770" s="12"/>
      <c r="K2770"/>
    </row>
    <row r="2771" spans="5:11" x14ac:dyDescent="0.2">
      <c r="E2771" s="50"/>
      <c r="H2771" s="12"/>
      <c r="K2771"/>
    </row>
    <row r="2772" spans="5:11" x14ac:dyDescent="0.2">
      <c r="E2772" s="50"/>
      <c r="H2772" s="12"/>
      <c r="K2772"/>
    </row>
    <row r="2773" spans="5:11" x14ac:dyDescent="0.2">
      <c r="E2773" s="50"/>
      <c r="H2773" s="12"/>
      <c r="K2773"/>
    </row>
    <row r="2774" spans="5:11" x14ac:dyDescent="0.2">
      <c r="E2774" s="50"/>
      <c r="H2774" s="12"/>
      <c r="K2774"/>
    </row>
    <row r="2775" spans="5:11" x14ac:dyDescent="0.2">
      <c r="E2775" s="50"/>
      <c r="H2775" s="12"/>
      <c r="K2775"/>
    </row>
    <row r="2776" spans="5:11" x14ac:dyDescent="0.2">
      <c r="E2776" s="50"/>
      <c r="H2776" s="12"/>
      <c r="K2776"/>
    </row>
    <row r="2777" spans="5:11" x14ac:dyDescent="0.2">
      <c r="E2777" s="50"/>
      <c r="H2777" s="12"/>
      <c r="K2777"/>
    </row>
    <row r="2778" spans="5:11" x14ac:dyDescent="0.2">
      <c r="E2778" s="50"/>
      <c r="H2778" s="12"/>
      <c r="K2778"/>
    </row>
    <row r="2779" spans="5:11" x14ac:dyDescent="0.2">
      <c r="E2779" s="50"/>
      <c r="H2779" s="12"/>
      <c r="K2779"/>
    </row>
    <row r="2780" spans="5:11" x14ac:dyDescent="0.2">
      <c r="E2780" s="50"/>
      <c r="H2780" s="12"/>
      <c r="K2780"/>
    </row>
    <row r="2781" spans="5:11" x14ac:dyDescent="0.2">
      <c r="E2781" s="50"/>
      <c r="H2781" s="12"/>
      <c r="K2781"/>
    </row>
    <row r="2782" spans="5:11" x14ac:dyDescent="0.2">
      <c r="E2782" s="50"/>
      <c r="H2782" s="12"/>
      <c r="K2782"/>
    </row>
    <row r="2783" spans="5:11" x14ac:dyDescent="0.2">
      <c r="E2783" s="50"/>
      <c r="H2783" s="12"/>
      <c r="K2783"/>
    </row>
    <row r="2784" spans="5:11" x14ac:dyDescent="0.2">
      <c r="E2784" s="50"/>
      <c r="H2784" s="12"/>
      <c r="K2784"/>
    </row>
    <row r="2785" spans="5:11" x14ac:dyDescent="0.2">
      <c r="E2785" s="50"/>
      <c r="H2785" s="12"/>
      <c r="K2785"/>
    </row>
    <row r="2786" spans="5:11" x14ac:dyDescent="0.2">
      <c r="E2786" s="50"/>
      <c r="H2786" s="12"/>
      <c r="K2786"/>
    </row>
    <row r="2787" spans="5:11" x14ac:dyDescent="0.2">
      <c r="E2787" s="50"/>
      <c r="H2787" s="12"/>
      <c r="K2787"/>
    </row>
    <row r="2788" spans="5:11" x14ac:dyDescent="0.2">
      <c r="E2788" s="50"/>
      <c r="H2788" s="12"/>
      <c r="K2788"/>
    </row>
    <row r="2789" spans="5:11" x14ac:dyDescent="0.2">
      <c r="E2789" s="50"/>
      <c r="H2789" s="12"/>
      <c r="K2789"/>
    </row>
    <row r="2790" spans="5:11" x14ac:dyDescent="0.2">
      <c r="E2790" s="50"/>
      <c r="H2790" s="12"/>
      <c r="K2790"/>
    </row>
    <row r="2791" spans="5:11" x14ac:dyDescent="0.2">
      <c r="E2791" s="50"/>
      <c r="H2791" s="12"/>
      <c r="K2791"/>
    </row>
    <row r="2792" spans="5:11" x14ac:dyDescent="0.2">
      <c r="E2792" s="50"/>
      <c r="H2792" s="12"/>
      <c r="K2792"/>
    </row>
    <row r="2793" spans="5:11" x14ac:dyDescent="0.2">
      <c r="E2793" s="50"/>
      <c r="H2793" s="12"/>
      <c r="K2793"/>
    </row>
    <row r="2794" spans="5:11" x14ac:dyDescent="0.2">
      <c r="E2794" s="50"/>
      <c r="H2794" s="12"/>
      <c r="K2794"/>
    </row>
    <row r="2795" spans="5:11" x14ac:dyDescent="0.2">
      <c r="E2795" s="50"/>
      <c r="F2795" s="41"/>
      <c r="H2795" s="12"/>
      <c r="K2795"/>
    </row>
    <row r="2796" spans="5:11" x14ac:dyDescent="0.2">
      <c r="E2796" s="50"/>
      <c r="H2796" s="12"/>
      <c r="K2796"/>
    </row>
    <row r="2797" spans="5:11" x14ac:dyDescent="0.2">
      <c r="E2797" s="50"/>
      <c r="H2797" s="12"/>
      <c r="K2797"/>
    </row>
    <row r="2798" spans="5:11" x14ac:dyDescent="0.2">
      <c r="E2798" s="50"/>
      <c r="H2798" s="12"/>
      <c r="K2798"/>
    </row>
    <row r="2799" spans="5:11" x14ac:dyDescent="0.2">
      <c r="E2799" s="50"/>
      <c r="H2799" s="12"/>
      <c r="K2799"/>
    </row>
    <row r="2800" spans="5:11" x14ac:dyDescent="0.2">
      <c r="E2800" s="50"/>
      <c r="H2800" s="12"/>
      <c r="K2800"/>
    </row>
    <row r="2801" spans="5:11" x14ac:dyDescent="0.2">
      <c r="E2801" s="50"/>
      <c r="H2801" s="12"/>
      <c r="K2801"/>
    </row>
    <row r="2802" spans="5:11" x14ac:dyDescent="0.2">
      <c r="E2802" s="50"/>
      <c r="H2802" s="12"/>
      <c r="K2802"/>
    </row>
    <row r="2803" spans="5:11" x14ac:dyDescent="0.2">
      <c r="E2803" s="50"/>
      <c r="H2803" s="12"/>
      <c r="K2803"/>
    </row>
    <row r="2804" spans="5:11" x14ac:dyDescent="0.2">
      <c r="E2804" s="50"/>
      <c r="H2804" s="12"/>
      <c r="K2804"/>
    </row>
    <row r="2805" spans="5:11" x14ac:dyDescent="0.2">
      <c r="E2805" s="50"/>
      <c r="H2805" s="12"/>
      <c r="K2805"/>
    </row>
    <row r="2806" spans="5:11" x14ac:dyDescent="0.2">
      <c r="E2806" s="50"/>
      <c r="H2806" s="12"/>
      <c r="K2806"/>
    </row>
    <row r="2807" spans="5:11" x14ac:dyDescent="0.2">
      <c r="E2807" s="50"/>
      <c r="H2807" s="12"/>
      <c r="K2807"/>
    </row>
    <row r="2808" spans="5:11" x14ac:dyDescent="0.2">
      <c r="E2808" s="50"/>
      <c r="H2808" s="12"/>
      <c r="K2808"/>
    </row>
    <row r="2809" spans="5:11" x14ac:dyDescent="0.2">
      <c r="E2809" s="50"/>
      <c r="H2809" s="12"/>
      <c r="K2809"/>
    </row>
    <row r="2810" spans="5:11" x14ac:dyDescent="0.2">
      <c r="E2810" s="50"/>
      <c r="H2810" s="12"/>
      <c r="K2810"/>
    </row>
    <row r="2811" spans="5:11" x14ac:dyDescent="0.2">
      <c r="E2811" s="50"/>
      <c r="H2811" s="12"/>
      <c r="K2811"/>
    </row>
    <row r="2812" spans="5:11" x14ac:dyDescent="0.2">
      <c r="E2812" s="50"/>
      <c r="H2812" s="12"/>
      <c r="K2812"/>
    </row>
    <row r="2813" spans="5:11" x14ac:dyDescent="0.2">
      <c r="E2813" s="50"/>
      <c r="H2813" s="12"/>
      <c r="K2813"/>
    </row>
    <row r="2814" spans="5:11" x14ac:dyDescent="0.2">
      <c r="E2814" s="50"/>
      <c r="H2814" s="12"/>
      <c r="K2814"/>
    </row>
    <row r="2815" spans="5:11" x14ac:dyDescent="0.2">
      <c r="E2815" s="50"/>
      <c r="H2815" s="12"/>
      <c r="K2815"/>
    </row>
    <row r="2816" spans="5:11" x14ac:dyDescent="0.2">
      <c r="E2816" s="50"/>
      <c r="H2816" s="12"/>
      <c r="K2816"/>
    </row>
    <row r="2817" spans="1:11" x14ac:dyDescent="0.2">
      <c r="E2817" s="50"/>
      <c r="H2817" s="12"/>
      <c r="K2817"/>
    </row>
    <row r="2818" spans="1:11" x14ac:dyDescent="0.2">
      <c r="E2818" s="50"/>
      <c r="H2818" s="12"/>
      <c r="K2818"/>
    </row>
    <row r="2819" spans="1:11" x14ac:dyDescent="0.2">
      <c r="E2819" s="50"/>
      <c r="H2819" s="12"/>
      <c r="K2819"/>
    </row>
    <row r="2820" spans="1:11" x14ac:dyDescent="0.2">
      <c r="A2820" s="43"/>
      <c r="B2820" s="43"/>
      <c r="C2820" s="43"/>
      <c r="D2820" s="28" t="s">
        <v>55</v>
      </c>
      <c r="E2820" s="53" t="s">
        <v>43</v>
      </c>
      <c r="G2820" s="29"/>
      <c r="H2820" s="12"/>
    </row>
    <row r="2821" spans="1:11" ht="12" customHeight="1" x14ac:dyDescent="0.2">
      <c r="A2821" s="45" t="s">
        <v>0</v>
      </c>
      <c r="D2821" s="27" t="s">
        <v>17</v>
      </c>
      <c r="E2821" s="50">
        <v>44197</v>
      </c>
      <c r="G2821" s="26" t="s">
        <v>12</v>
      </c>
      <c r="H2821" s="31">
        <v>44197</v>
      </c>
      <c r="I2821" s="12" t="s">
        <v>53</v>
      </c>
    </row>
    <row r="2822" spans="1:11" x14ac:dyDescent="0.2">
      <c r="A2822" s="46" t="s">
        <v>41</v>
      </c>
      <c r="D2822" s="27" t="s">
        <v>17</v>
      </c>
      <c r="E2822" s="50">
        <v>44198</v>
      </c>
      <c r="G2822" s="26" t="s">
        <v>20</v>
      </c>
      <c r="H2822" s="31">
        <v>44200</v>
      </c>
      <c r="I2822" s="12" t="s">
        <v>53</v>
      </c>
    </row>
    <row r="2823" spans="1:11" x14ac:dyDescent="0.2">
      <c r="D2823" s="27" t="s">
        <v>17</v>
      </c>
      <c r="E2823" s="50">
        <v>44199</v>
      </c>
      <c r="G2823" s="26" t="s">
        <v>21</v>
      </c>
      <c r="H2823" s="31">
        <v>44200</v>
      </c>
      <c r="I2823" s="12" t="s">
        <v>53</v>
      </c>
    </row>
    <row r="2824" spans="1:11" x14ac:dyDescent="0.2">
      <c r="D2824" s="27" t="s">
        <v>17</v>
      </c>
      <c r="E2824" s="50">
        <v>44200</v>
      </c>
      <c r="G2824" s="26" t="s">
        <v>19</v>
      </c>
      <c r="H2824" s="31">
        <v>44200</v>
      </c>
      <c r="I2824" s="12" t="s">
        <v>53</v>
      </c>
    </row>
    <row r="2825" spans="1:11" x14ac:dyDescent="0.2">
      <c r="D2825" s="27" t="s">
        <v>17</v>
      </c>
      <c r="E2825" s="50">
        <v>44201</v>
      </c>
      <c r="G2825" s="26" t="s">
        <v>14</v>
      </c>
      <c r="H2825" s="31">
        <v>44201</v>
      </c>
      <c r="I2825" s="12" t="s">
        <v>53</v>
      </c>
    </row>
    <row r="2826" spans="1:11" x14ac:dyDescent="0.2">
      <c r="D2826" s="27" t="s">
        <v>17</v>
      </c>
      <c r="E2826" s="50">
        <v>44202</v>
      </c>
      <c r="G2826" s="26" t="s">
        <v>15</v>
      </c>
      <c r="H2826" s="31">
        <v>44202</v>
      </c>
      <c r="I2826" s="12" t="s">
        <v>53</v>
      </c>
    </row>
    <row r="2827" spans="1:11" x14ac:dyDescent="0.2">
      <c r="D2827" s="27" t="s">
        <v>17</v>
      </c>
      <c r="E2827" s="50">
        <v>44203</v>
      </c>
      <c r="G2827" s="26" t="s">
        <v>16</v>
      </c>
      <c r="H2827" s="31">
        <v>44203</v>
      </c>
      <c r="I2827" s="12" t="s">
        <v>53</v>
      </c>
    </row>
    <row r="2828" spans="1:11" x14ac:dyDescent="0.2">
      <c r="D2828" s="27" t="s">
        <v>17</v>
      </c>
      <c r="E2828" s="50">
        <v>44204</v>
      </c>
      <c r="G2828" s="26" t="s">
        <v>25</v>
      </c>
      <c r="H2828" s="31">
        <v>44204</v>
      </c>
      <c r="I2828" s="12" t="s">
        <v>53</v>
      </c>
      <c r="K2828"/>
    </row>
    <row r="2829" spans="1:11" x14ac:dyDescent="0.2">
      <c r="D2829" s="27" t="s">
        <v>17</v>
      </c>
      <c r="E2829" s="50">
        <v>44205</v>
      </c>
      <c r="G2829" s="26" t="s">
        <v>26</v>
      </c>
      <c r="H2829" s="31">
        <v>44207</v>
      </c>
      <c r="I2829" s="12" t="s">
        <v>53</v>
      </c>
      <c r="K2829"/>
    </row>
    <row r="2830" spans="1:11" x14ac:dyDescent="0.2">
      <c r="D2830" s="27" t="s">
        <v>17</v>
      </c>
      <c r="E2830" s="50">
        <v>44206</v>
      </c>
      <c r="G2830" s="26" t="s">
        <v>36</v>
      </c>
      <c r="H2830" s="31">
        <v>44207</v>
      </c>
      <c r="I2830" s="12" t="s">
        <v>53</v>
      </c>
      <c r="K2830"/>
    </row>
    <row r="2831" spans="1:11" x14ac:dyDescent="0.2">
      <c r="D2831" s="27" t="s">
        <v>17</v>
      </c>
      <c r="E2831" s="50">
        <v>44207</v>
      </c>
      <c r="G2831" s="26" t="s">
        <v>31</v>
      </c>
      <c r="H2831" s="31">
        <v>44207</v>
      </c>
      <c r="I2831" s="12" t="s">
        <v>53</v>
      </c>
      <c r="K2831"/>
    </row>
    <row r="2832" spans="1:11" x14ac:dyDescent="0.2">
      <c r="D2832" s="27" t="s">
        <v>17</v>
      </c>
      <c r="E2832" s="50">
        <v>44208</v>
      </c>
      <c r="G2832" s="26" t="s">
        <v>29</v>
      </c>
      <c r="H2832" s="31">
        <v>44208</v>
      </c>
      <c r="I2832" s="12" t="s">
        <v>53</v>
      </c>
      <c r="K2832"/>
    </row>
    <row r="2833" spans="4:11" x14ac:dyDescent="0.2">
      <c r="D2833" s="27" t="s">
        <v>17</v>
      </c>
      <c r="E2833" s="50">
        <v>44209</v>
      </c>
      <c r="G2833" s="26" t="s">
        <v>32</v>
      </c>
      <c r="H2833" s="31">
        <v>44209</v>
      </c>
      <c r="I2833" s="12" t="s">
        <v>53</v>
      </c>
      <c r="K2833"/>
    </row>
    <row r="2834" spans="4:11" x14ac:dyDescent="0.2">
      <c r="D2834" s="27" t="s">
        <v>17</v>
      </c>
      <c r="E2834" s="50">
        <v>44210</v>
      </c>
      <c r="G2834" s="26" t="s">
        <v>33</v>
      </c>
      <c r="H2834" s="31">
        <v>44210</v>
      </c>
      <c r="I2834" s="12" t="s">
        <v>53</v>
      </c>
      <c r="K2834"/>
    </row>
    <row r="2835" spans="4:11" x14ac:dyDescent="0.2">
      <c r="D2835" s="27" t="s">
        <v>17</v>
      </c>
      <c r="E2835" s="50">
        <v>44211</v>
      </c>
      <c r="G2835" s="26" t="s">
        <v>34</v>
      </c>
      <c r="H2835" s="31">
        <v>44211</v>
      </c>
      <c r="I2835" s="12" t="s">
        <v>53</v>
      </c>
      <c r="K2835"/>
    </row>
    <row r="2836" spans="4:11" x14ac:dyDescent="0.2">
      <c r="D2836" s="27" t="s">
        <v>17</v>
      </c>
      <c r="E2836" s="50">
        <v>44212</v>
      </c>
      <c r="G2836" s="26" t="s">
        <v>7</v>
      </c>
      <c r="H2836" s="31">
        <v>44214</v>
      </c>
      <c r="I2836" s="12" t="s">
        <v>53</v>
      </c>
      <c r="K2836"/>
    </row>
    <row r="2837" spans="4:11" x14ac:dyDescent="0.2">
      <c r="D2837" s="27" t="s">
        <v>17</v>
      </c>
      <c r="E2837" s="50">
        <v>44213</v>
      </c>
      <c r="G2837" s="26" t="s">
        <v>8</v>
      </c>
      <c r="H2837" s="31">
        <v>44214</v>
      </c>
      <c r="I2837" s="12" t="s">
        <v>53</v>
      </c>
      <c r="K2837"/>
    </row>
    <row r="2838" spans="4:11" x14ac:dyDescent="0.2">
      <c r="D2838" s="27" t="s">
        <v>17</v>
      </c>
      <c r="E2838" s="50">
        <v>44214</v>
      </c>
      <c r="G2838" s="26" t="s">
        <v>9</v>
      </c>
      <c r="H2838" s="31">
        <v>44214</v>
      </c>
      <c r="I2838" s="12" t="s">
        <v>53</v>
      </c>
      <c r="K2838"/>
    </row>
    <row r="2839" spans="4:11" x14ac:dyDescent="0.2">
      <c r="D2839" s="27" t="s">
        <v>17</v>
      </c>
      <c r="E2839" s="50">
        <v>44215</v>
      </c>
      <c r="G2839" s="26" t="s">
        <v>52</v>
      </c>
      <c r="H2839" s="31">
        <v>44215</v>
      </c>
      <c r="I2839" s="12" t="s">
        <v>53</v>
      </c>
      <c r="K2839"/>
    </row>
    <row r="2840" spans="4:11" x14ac:dyDescent="0.2">
      <c r="D2840" s="27" t="s">
        <v>17</v>
      </c>
      <c r="E2840" s="50">
        <v>44216</v>
      </c>
      <c r="G2840" s="26" t="s">
        <v>30</v>
      </c>
      <c r="H2840" s="31">
        <v>44216</v>
      </c>
      <c r="I2840" s="12" t="s">
        <v>53</v>
      </c>
      <c r="K2840"/>
    </row>
    <row r="2841" spans="4:11" x14ac:dyDescent="0.2">
      <c r="D2841" s="27" t="s">
        <v>17</v>
      </c>
      <c r="E2841" s="50">
        <v>44217</v>
      </c>
      <c r="G2841" s="26" t="s">
        <v>51</v>
      </c>
      <c r="H2841" s="31">
        <v>44217</v>
      </c>
      <c r="I2841" s="12" t="s">
        <v>53</v>
      </c>
      <c r="K2841"/>
    </row>
    <row r="2842" spans="4:11" x14ac:dyDescent="0.2">
      <c r="D2842" s="27" t="s">
        <v>17</v>
      </c>
      <c r="E2842" s="50">
        <v>44218</v>
      </c>
      <c r="G2842" s="26" t="s">
        <v>38</v>
      </c>
      <c r="H2842" s="31">
        <v>44218</v>
      </c>
      <c r="I2842" s="12" t="s">
        <v>53</v>
      </c>
      <c r="K2842"/>
    </row>
    <row r="2843" spans="4:11" x14ac:dyDescent="0.2">
      <c r="D2843" s="27" t="s">
        <v>17</v>
      </c>
      <c r="E2843" s="50">
        <v>44219</v>
      </c>
      <c r="G2843" s="26" t="s">
        <v>39</v>
      </c>
      <c r="H2843" s="31">
        <v>44221</v>
      </c>
      <c r="I2843" s="12" t="s">
        <v>53</v>
      </c>
      <c r="K2843"/>
    </row>
    <row r="2844" spans="4:11" x14ac:dyDescent="0.2">
      <c r="D2844" s="27" t="s">
        <v>17</v>
      </c>
      <c r="E2844" s="50">
        <v>44220</v>
      </c>
      <c r="G2844" s="26" t="s">
        <v>27</v>
      </c>
      <c r="H2844" s="31">
        <v>44221</v>
      </c>
      <c r="I2844" s="12" t="s">
        <v>53</v>
      </c>
      <c r="K2844"/>
    </row>
    <row r="2845" spans="4:11" x14ac:dyDescent="0.2">
      <c r="D2845" s="27" t="s">
        <v>17</v>
      </c>
      <c r="E2845" s="50">
        <v>44221</v>
      </c>
      <c r="G2845" s="26" t="s">
        <v>28</v>
      </c>
      <c r="H2845" s="31">
        <v>44221</v>
      </c>
      <c r="I2845" s="12" t="s">
        <v>53</v>
      </c>
      <c r="K2845"/>
    </row>
    <row r="2846" spans="4:11" x14ac:dyDescent="0.2">
      <c r="D2846" s="27" t="s">
        <v>17</v>
      </c>
      <c r="E2846" s="50">
        <v>44222</v>
      </c>
      <c r="G2846" s="26" t="s">
        <v>18</v>
      </c>
      <c r="H2846" s="31">
        <v>44222</v>
      </c>
      <c r="I2846" s="12" t="s">
        <v>53</v>
      </c>
      <c r="K2846"/>
    </row>
    <row r="2847" spans="4:11" x14ac:dyDescent="0.2">
      <c r="D2847" s="27" t="s">
        <v>17</v>
      </c>
      <c r="E2847" s="50">
        <v>44223</v>
      </c>
      <c r="G2847" s="26" t="s">
        <v>6</v>
      </c>
      <c r="H2847" s="31">
        <v>44223</v>
      </c>
      <c r="I2847" s="12" t="s">
        <v>53</v>
      </c>
      <c r="K2847"/>
    </row>
    <row r="2848" spans="4:11" x14ac:dyDescent="0.2">
      <c r="D2848" s="27" t="s">
        <v>17</v>
      </c>
      <c r="E2848" s="50">
        <v>44224</v>
      </c>
      <c r="G2848" s="26" t="s">
        <v>22</v>
      </c>
      <c r="H2848" s="31">
        <v>44224</v>
      </c>
      <c r="I2848" s="12" t="s">
        <v>53</v>
      </c>
      <c r="K2848"/>
    </row>
    <row r="2849" spans="4:11" x14ac:dyDescent="0.2">
      <c r="D2849" s="27" t="s">
        <v>17</v>
      </c>
      <c r="E2849" s="50">
        <v>44225</v>
      </c>
      <c r="G2849" s="26" t="s">
        <v>45</v>
      </c>
      <c r="H2849" s="31">
        <v>44225</v>
      </c>
      <c r="I2849" s="12" t="s">
        <v>53</v>
      </c>
      <c r="K2849"/>
    </row>
    <row r="2850" spans="4:11" x14ac:dyDescent="0.2">
      <c r="D2850" s="27" t="s">
        <v>17</v>
      </c>
      <c r="E2850" s="50"/>
      <c r="G2850" s="26" t="s">
        <v>13</v>
      </c>
      <c r="H2850" s="31"/>
      <c r="I2850" s="12" t="s">
        <v>53</v>
      </c>
      <c r="K2850"/>
    </row>
    <row r="2851" spans="4:11" x14ac:dyDescent="0.2">
      <c r="D2851" s="27" t="s">
        <v>17</v>
      </c>
      <c r="E2851" s="50"/>
      <c r="G2851" s="26"/>
      <c r="H2851" s="31"/>
      <c r="I2851" s="12" t="s">
        <v>53</v>
      </c>
      <c r="K2851"/>
    </row>
    <row r="2852" spans="4:11" x14ac:dyDescent="0.2">
      <c r="D2852" s="27" t="s">
        <v>44</v>
      </c>
      <c r="E2852" s="76">
        <v>44198</v>
      </c>
      <c r="G2852" s="26" t="s">
        <v>1</v>
      </c>
      <c r="H2852" s="76">
        <v>44198</v>
      </c>
      <c r="I2852" s="12"/>
      <c r="K2852"/>
    </row>
    <row r="2853" spans="4:11" x14ac:dyDescent="0.2">
      <c r="D2853" s="27" t="s">
        <v>44</v>
      </c>
      <c r="E2853" s="76">
        <v>44199</v>
      </c>
      <c r="G2853" s="26" t="s">
        <v>10</v>
      </c>
      <c r="H2853" s="76">
        <v>44199</v>
      </c>
      <c r="K2853"/>
    </row>
    <row r="2854" spans="4:11" x14ac:dyDescent="0.2">
      <c r="D2854" s="27" t="s">
        <v>44</v>
      </c>
      <c r="E2854" s="76">
        <v>44205</v>
      </c>
      <c r="G2854" s="26" t="s">
        <v>11</v>
      </c>
      <c r="H2854" s="76">
        <v>44205</v>
      </c>
      <c r="K2854"/>
    </row>
    <row r="2855" spans="4:11" x14ac:dyDescent="0.2">
      <c r="D2855" s="27" t="s">
        <v>44</v>
      </c>
      <c r="E2855" s="76">
        <v>44206</v>
      </c>
      <c r="G2855" s="26" t="s">
        <v>23</v>
      </c>
      <c r="H2855" s="76">
        <v>44206</v>
      </c>
      <c r="K2855"/>
    </row>
    <row r="2856" spans="4:11" x14ac:dyDescent="0.2">
      <c r="D2856" s="27" t="s">
        <v>44</v>
      </c>
      <c r="E2856" s="76">
        <v>44212</v>
      </c>
      <c r="G2856" s="26" t="s">
        <v>4</v>
      </c>
      <c r="H2856" s="76">
        <v>44212</v>
      </c>
      <c r="K2856"/>
    </row>
    <row r="2857" spans="4:11" x14ac:dyDescent="0.2">
      <c r="D2857" s="27" t="s">
        <v>44</v>
      </c>
      <c r="E2857" s="76">
        <v>44213</v>
      </c>
      <c r="G2857" s="26" t="s">
        <v>24</v>
      </c>
      <c r="H2857" s="76">
        <v>44213</v>
      </c>
      <c r="K2857"/>
    </row>
    <row r="2858" spans="4:11" x14ac:dyDescent="0.2">
      <c r="D2858" s="27" t="s">
        <v>44</v>
      </c>
      <c r="E2858" s="76">
        <v>44219</v>
      </c>
      <c r="G2858" s="26" t="s">
        <v>37</v>
      </c>
      <c r="H2858" s="76">
        <v>44219</v>
      </c>
      <c r="K2858"/>
    </row>
    <row r="2859" spans="4:11" x14ac:dyDescent="0.2">
      <c r="D2859" s="27" t="s">
        <v>44</v>
      </c>
      <c r="E2859" s="76">
        <v>44220</v>
      </c>
      <c r="H2859" s="76">
        <v>44220</v>
      </c>
      <c r="K2859"/>
    </row>
    <row r="2860" spans="4:11" x14ac:dyDescent="0.2">
      <c r="D2860" s="27" t="s">
        <v>44</v>
      </c>
      <c r="E2860" s="76"/>
      <c r="H2860" s="76"/>
      <c r="K2860"/>
    </row>
    <row r="2861" spans="4:11" x14ac:dyDescent="0.2">
      <c r="D2861" s="27"/>
      <c r="E2861" s="50"/>
      <c r="H2861" s="3"/>
      <c r="K2861"/>
    </row>
    <row r="2862" spans="4:11" x14ac:dyDescent="0.2">
      <c r="D2862" s="27"/>
      <c r="H2862" s="35"/>
      <c r="K2862"/>
    </row>
    <row r="2864" spans="4:11" x14ac:dyDescent="0.2">
      <c r="E2864" s="3"/>
    </row>
    <row r="2865" spans="5:11" x14ac:dyDescent="0.2">
      <c r="E2865" s="3"/>
    </row>
    <row r="2866" spans="5:11" x14ac:dyDescent="0.2">
      <c r="E2866" s="3"/>
    </row>
    <row r="2867" spans="5:11" x14ac:dyDescent="0.2">
      <c r="I2867" s="30"/>
      <c r="K2867"/>
    </row>
    <row r="2868" spans="5:11" x14ac:dyDescent="0.2">
      <c r="I2868" s="30"/>
      <c r="K2868"/>
    </row>
    <row r="2869" spans="5:11" x14ac:dyDescent="0.2">
      <c r="I2869" s="30"/>
      <c r="K2869"/>
    </row>
    <row r="2870" spans="5:11" x14ac:dyDescent="0.2">
      <c r="I2870" s="30"/>
      <c r="K2870"/>
    </row>
    <row r="2871" spans="5:11" x14ac:dyDescent="0.2">
      <c r="I2871" s="30"/>
      <c r="K2871"/>
    </row>
    <row r="2872" spans="5:11" x14ac:dyDescent="0.2">
      <c r="I2872" s="30"/>
      <c r="K2872"/>
    </row>
    <row r="2873" spans="5:11" x14ac:dyDescent="0.2">
      <c r="I2873" s="30"/>
      <c r="K2873"/>
    </row>
    <row r="2874" spans="5:11" x14ac:dyDescent="0.2">
      <c r="I2874" s="30"/>
      <c r="K2874"/>
    </row>
    <row r="2875" spans="5:11" x14ac:dyDescent="0.2">
      <c r="I2875" s="30"/>
      <c r="K2875"/>
    </row>
    <row r="2876" spans="5:11" x14ac:dyDescent="0.2">
      <c r="E2876"/>
      <c r="F2876"/>
      <c r="H2876" s="12"/>
      <c r="I2876" s="30"/>
      <c r="K2876"/>
    </row>
    <row r="2877" spans="5:11" x14ac:dyDescent="0.2">
      <c r="E2877"/>
      <c r="F2877"/>
      <c r="H2877" s="12"/>
      <c r="I2877" s="30"/>
      <c r="K2877"/>
    </row>
    <row r="2878" spans="5:11" x14ac:dyDescent="0.2">
      <c r="E2878"/>
      <c r="F2878"/>
      <c r="H2878" s="12"/>
      <c r="I2878" s="30"/>
      <c r="K2878"/>
    </row>
    <row r="2879" spans="5:11" x14ac:dyDescent="0.2">
      <c r="E2879"/>
      <c r="F2879"/>
      <c r="H2879" s="12"/>
      <c r="I2879" s="30"/>
      <c r="K2879"/>
    </row>
    <row r="2880" spans="5:11" x14ac:dyDescent="0.2">
      <c r="E2880"/>
      <c r="F2880"/>
      <c r="H2880" s="12"/>
      <c r="I2880" s="30"/>
      <c r="K2880"/>
    </row>
    <row r="2881" spans="5:11" x14ac:dyDescent="0.2">
      <c r="E2881"/>
      <c r="F2881"/>
      <c r="H2881" s="12"/>
      <c r="I2881" s="30"/>
      <c r="K2881"/>
    </row>
    <row r="2882" spans="5:11" x14ac:dyDescent="0.2">
      <c r="E2882"/>
      <c r="F2882"/>
      <c r="H2882" s="12"/>
      <c r="I2882" s="30"/>
      <c r="K2882"/>
    </row>
    <row r="2883" spans="5:11" x14ac:dyDescent="0.2">
      <c r="E2883"/>
      <c r="F2883"/>
      <c r="H2883" s="12"/>
      <c r="I2883" s="30"/>
      <c r="K2883"/>
    </row>
    <row r="2884" spans="5:11" x14ac:dyDescent="0.2">
      <c r="E2884"/>
      <c r="F2884"/>
      <c r="H2884" s="12"/>
      <c r="I2884" s="30"/>
      <c r="K2884"/>
    </row>
    <row r="2885" spans="5:11" x14ac:dyDescent="0.2">
      <c r="E2885"/>
      <c r="F2885"/>
      <c r="H2885" s="12"/>
      <c r="I2885" s="30"/>
      <c r="K2885"/>
    </row>
    <row r="2886" spans="5:11" x14ac:dyDescent="0.2">
      <c r="E2886"/>
      <c r="F2886"/>
      <c r="H2886" s="12"/>
      <c r="I2886" s="30"/>
      <c r="K2886"/>
    </row>
    <row r="2887" spans="5:11" x14ac:dyDescent="0.2">
      <c r="E2887"/>
      <c r="F2887"/>
      <c r="H2887" s="12"/>
      <c r="I2887" s="30"/>
      <c r="K2887"/>
    </row>
    <row r="2888" spans="5:11" x14ac:dyDescent="0.2">
      <c r="E2888"/>
      <c r="F2888"/>
      <c r="H2888" s="12"/>
      <c r="I2888" s="30"/>
      <c r="K2888"/>
    </row>
    <row r="2889" spans="5:11" x14ac:dyDescent="0.2">
      <c r="E2889"/>
      <c r="F2889"/>
      <c r="H2889" s="12"/>
      <c r="I2889" s="30"/>
      <c r="K2889"/>
    </row>
    <row r="2890" spans="5:11" x14ac:dyDescent="0.2">
      <c r="E2890"/>
      <c r="F2890"/>
      <c r="H2890" s="12"/>
      <c r="I2890" s="30"/>
      <c r="K2890"/>
    </row>
    <row r="2891" spans="5:11" x14ac:dyDescent="0.2">
      <c r="E2891"/>
      <c r="F2891"/>
      <c r="H2891" s="12"/>
      <c r="I2891" s="30"/>
      <c r="K2891"/>
    </row>
    <row r="2892" spans="5:11" x14ac:dyDescent="0.2">
      <c r="E2892"/>
      <c r="F2892"/>
      <c r="H2892" s="12"/>
      <c r="I2892" s="30"/>
      <c r="K2892"/>
    </row>
    <row r="2893" spans="5:11" x14ac:dyDescent="0.2">
      <c r="E2893"/>
      <c r="F2893"/>
      <c r="H2893" s="12"/>
      <c r="I2893" s="30"/>
      <c r="K2893"/>
    </row>
    <row r="2894" spans="5:11" x14ac:dyDescent="0.2">
      <c r="E2894"/>
      <c r="F2894"/>
      <c r="H2894" s="12"/>
      <c r="I2894" s="30"/>
      <c r="K2894"/>
    </row>
    <row r="2895" spans="5:11" x14ac:dyDescent="0.2">
      <c r="E2895"/>
      <c r="F2895"/>
      <c r="H2895" s="12"/>
      <c r="I2895" s="30"/>
      <c r="K2895"/>
    </row>
    <row r="2896" spans="5:11" x14ac:dyDescent="0.2">
      <c r="E2896"/>
      <c r="F2896"/>
      <c r="H2896" s="12"/>
      <c r="I2896" s="30"/>
      <c r="K2896"/>
    </row>
    <row r="2897" spans="5:11" x14ac:dyDescent="0.2">
      <c r="E2897"/>
      <c r="F2897"/>
      <c r="H2897" s="12"/>
      <c r="I2897" s="30"/>
      <c r="K2897"/>
    </row>
  </sheetData>
  <autoFilter ref="A1:H147" xr:uid="{00000000-0009-0000-0000-000016000000}"/>
  <pageMargins left="0.19685039370078741" right="0.19685039370078741" top="0.98425196850393704" bottom="0.98425196850393704" header="0.51181102362204722" footer="0.51181102362204722"/>
  <pageSetup paperSize="9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030A0"/>
    <pageSetUpPr fitToPage="1"/>
  </sheetPr>
  <dimension ref="A1:AE47"/>
  <sheetViews>
    <sheetView zoomScale="75" zoomScaleNormal="75" workbookViewId="0">
      <pane xSplit="1" ySplit="4" topLeftCell="B5" activePane="bottomRight" state="frozen"/>
      <selection activeCell="J19" sqref="J19"/>
      <selection pane="topRight" activeCell="J19" sqref="J19"/>
      <selection pane="bottomLeft" activeCell="J19" sqref="J19"/>
      <selection pane="bottomRight" activeCell="G17" sqref="G17"/>
    </sheetView>
  </sheetViews>
  <sheetFormatPr defaultColWidth="15.7109375" defaultRowHeight="15" customHeight="1" x14ac:dyDescent="0.2"/>
  <cols>
    <col min="1" max="1" width="15.7109375" customWidth="1"/>
    <col min="2" max="12" width="15.7109375" style="1" customWidth="1"/>
    <col min="13" max="24" width="15.7109375" customWidth="1"/>
  </cols>
  <sheetData>
    <row r="1" spans="1:23" s="2" customFormat="1" ht="15" customHeight="1" x14ac:dyDescent="0.2">
      <c r="B1" s="2" t="str">
        <f>IF(B5=1,"Domingo",IF(B5=2,"Segunda",IF(B5=3,"Terça",IF(B5=4,"Quarta",IF(B5=5,"Quinta",IF(B5=6,"Sexta",IF(B5=7,"Sábado",0)))))))</f>
        <v>Sexta</v>
      </c>
      <c r="C1" s="2" t="str">
        <f t="shared" ref="C1:T1" si="0">IF(C5=1,"Domingo",IF(C5=2,"Segunda",IF(C5=3,"Terça",IF(C5=4,"Quarta",IF(C5=5,"Quinta",IF(C5=6,"Sexta",IF(C5=7,"Sábado",0)))))))</f>
        <v>Segunda</v>
      </c>
      <c r="D1" s="2" t="str">
        <f t="shared" si="0"/>
        <v>Terça</v>
      </c>
      <c r="E1" s="2" t="str">
        <f t="shared" si="0"/>
        <v>Quarta</v>
      </c>
      <c r="F1" s="2" t="str">
        <f t="shared" si="0"/>
        <v>Quinta</v>
      </c>
      <c r="G1" s="2" t="str">
        <f t="shared" si="0"/>
        <v>Sexta</v>
      </c>
      <c r="H1" s="2" t="str">
        <f t="shared" si="0"/>
        <v>Segunda</v>
      </c>
      <c r="I1" s="2" t="str">
        <f t="shared" si="0"/>
        <v>Terça</v>
      </c>
      <c r="J1" s="2" t="str">
        <f t="shared" si="0"/>
        <v>Quarta</v>
      </c>
      <c r="K1" s="2" t="str">
        <f t="shared" si="0"/>
        <v>Quinta</v>
      </c>
      <c r="L1" s="2">
        <f t="shared" si="0"/>
        <v>0</v>
      </c>
      <c r="M1" s="2" t="str">
        <f t="shared" si="0"/>
        <v>Segunda</v>
      </c>
      <c r="N1" s="2" t="str">
        <f t="shared" si="0"/>
        <v>Terça</v>
      </c>
      <c r="O1" s="2" t="str">
        <f t="shared" si="0"/>
        <v>Quarta</v>
      </c>
      <c r="P1" s="2" t="str">
        <f t="shared" si="0"/>
        <v>Quinta</v>
      </c>
      <c r="Q1" s="2" t="str">
        <f t="shared" si="0"/>
        <v>Sexta</v>
      </c>
      <c r="R1" s="2" t="str">
        <f t="shared" si="0"/>
        <v>Segunda</v>
      </c>
      <c r="S1" s="2" t="str">
        <f t="shared" si="0"/>
        <v>Terça</v>
      </c>
      <c r="T1" s="2" t="str">
        <f t="shared" si="0"/>
        <v>Quarta</v>
      </c>
      <c r="U1" s="2" t="str">
        <f>IF(U5=1,"Domingo",IF(U5=2,"Segunda",IF(U5=3,"Terça",IF(U5=4,"Quarta",IF(U5=5,"Quinta",IF(U5=6,"Sexta",IF(U5=7,"Sábado",0)))))))</f>
        <v>Quinta</v>
      </c>
      <c r="V1" s="2" t="str">
        <f>IF(V5=1,"Domingo",IF(V5=2,"Segunda",IF(V5=3,"Terça",IF(V5=4,"Quarta",IF(V5=5,"Quinta",IF(V5=6,"Sexta",IF(V5=7,"Sábado",0)))))))</f>
        <v>Sexta</v>
      </c>
      <c r="W1" s="2" t="e">
        <f>IF(W5=1,"Domingo",IF(W5=2,"Segunda",IF(W5=3,"Terça",IF(W5=4,"Quarta",IF(W5=5,"Quinta",IF(W5=6,"Sexta",IF(W5=7,"Sábado",0)))))))</f>
        <v>#VALUE!</v>
      </c>
    </row>
    <row r="2" spans="1:23" s="3" customFormat="1" ht="15" customHeight="1" x14ac:dyDescent="0.2">
      <c r="A2" s="4" t="s">
        <v>2</v>
      </c>
      <c r="B2" s="3">
        <f t="shared" ref="B2:T2" si="1">B26</f>
        <v>44197</v>
      </c>
      <c r="C2" s="3">
        <f t="shared" si="1"/>
        <v>44200</v>
      </c>
      <c r="D2" s="3">
        <f t="shared" si="1"/>
        <v>44201</v>
      </c>
      <c r="E2" s="3">
        <f t="shared" si="1"/>
        <v>44202</v>
      </c>
      <c r="F2" s="3">
        <f t="shared" si="1"/>
        <v>44203</v>
      </c>
      <c r="G2" s="3">
        <f t="shared" si="1"/>
        <v>44204</v>
      </c>
      <c r="H2" s="3">
        <f t="shared" si="1"/>
        <v>44207</v>
      </c>
      <c r="I2" s="3">
        <f t="shared" si="1"/>
        <v>44208</v>
      </c>
      <c r="J2" s="3">
        <f t="shared" si="1"/>
        <v>44209</v>
      </c>
      <c r="K2" s="3">
        <f t="shared" si="1"/>
        <v>44210</v>
      </c>
      <c r="L2" s="3">
        <f t="shared" si="1"/>
        <v>44211</v>
      </c>
      <c r="M2" s="3">
        <f t="shared" si="1"/>
        <v>44214</v>
      </c>
      <c r="N2" s="3">
        <f t="shared" si="1"/>
        <v>44215</v>
      </c>
      <c r="O2" s="3">
        <f t="shared" si="1"/>
        <v>44216</v>
      </c>
      <c r="P2" s="3">
        <f t="shared" si="1"/>
        <v>44217</v>
      </c>
      <c r="Q2" s="3">
        <f t="shared" si="1"/>
        <v>44218</v>
      </c>
      <c r="R2" s="3">
        <f t="shared" si="1"/>
        <v>44221</v>
      </c>
      <c r="S2" s="3">
        <f t="shared" si="1"/>
        <v>44222</v>
      </c>
      <c r="T2" s="3">
        <f t="shared" si="1"/>
        <v>44223</v>
      </c>
      <c r="U2" s="3">
        <f>U26</f>
        <v>44224</v>
      </c>
      <c r="V2" s="3">
        <f>V26</f>
        <v>44225</v>
      </c>
      <c r="W2" s="3" t="str">
        <f>W26</f>
        <v>Total Geral</v>
      </c>
    </row>
    <row r="3" spans="1:23" ht="15" customHeight="1" thickBo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23" ht="15" customHeight="1" thickTop="1" thickBot="1" x14ac:dyDescent="0.25">
      <c r="A4" s="7" t="s">
        <v>40</v>
      </c>
      <c r="B4" s="102">
        <v>16453</v>
      </c>
      <c r="C4" s="103">
        <f>B35</f>
        <v>15728</v>
      </c>
      <c r="D4" s="103">
        <f>C35</f>
        <v>38623.21</v>
      </c>
      <c r="E4" s="103">
        <f>D35</f>
        <v>29577.86</v>
      </c>
      <c r="F4" s="8">
        <f>E35</f>
        <v>-10991.299999999996</v>
      </c>
      <c r="G4" s="8">
        <f>F35</f>
        <v>-10887.669999999991</v>
      </c>
      <c r="H4" s="8">
        <f t="shared" ref="H4:U4" si="2">G35</f>
        <v>-8699.4499999999916</v>
      </c>
      <c r="I4" s="8">
        <f t="shared" si="2"/>
        <v>22749.470000000008</v>
      </c>
      <c r="J4" s="8">
        <f t="shared" si="2"/>
        <v>12884.48000000001</v>
      </c>
      <c r="K4" s="8">
        <f t="shared" si="2"/>
        <v>36801.380000000005</v>
      </c>
      <c r="L4" s="8">
        <f t="shared" si="2"/>
        <v>42621.86</v>
      </c>
      <c r="M4" s="8">
        <f t="shared" si="2"/>
        <v>23148.020000000004</v>
      </c>
      <c r="N4" s="8">
        <f t="shared" si="2"/>
        <v>18158.890000000003</v>
      </c>
      <c r="O4" s="8">
        <f t="shared" si="2"/>
        <v>9653.4900000000034</v>
      </c>
      <c r="P4" s="8">
        <f t="shared" si="2"/>
        <v>-4110.3699999999972</v>
      </c>
      <c r="Q4" s="8">
        <f t="shared" si="2"/>
        <v>1703.9800000000032</v>
      </c>
      <c r="R4" s="8">
        <f t="shared" si="2"/>
        <v>25264.900000000009</v>
      </c>
      <c r="S4" s="8">
        <f t="shared" si="2"/>
        <v>17568.53000000001</v>
      </c>
      <c r="T4" s="8">
        <f t="shared" si="2"/>
        <v>1234.9700000000103</v>
      </c>
      <c r="U4" s="8">
        <f t="shared" si="2"/>
        <v>4484.5500000000093</v>
      </c>
      <c r="V4" s="8">
        <f>U35</f>
        <v>-6563.2799999999907</v>
      </c>
      <c r="W4" s="8">
        <f>V35</f>
        <v>-10571.35999999999</v>
      </c>
    </row>
    <row r="5" spans="1:23" ht="15" customHeight="1" thickTop="1" x14ac:dyDescent="0.2">
      <c r="A5" s="9"/>
      <c r="B5" s="10">
        <f t="shared" ref="B5:T5" si="3">WEEKDAY(B2)</f>
        <v>6</v>
      </c>
      <c r="C5" s="10">
        <f t="shared" si="3"/>
        <v>2</v>
      </c>
      <c r="D5" s="10">
        <f t="shared" si="3"/>
        <v>3</v>
      </c>
      <c r="E5" s="10">
        <f t="shared" si="3"/>
        <v>4</v>
      </c>
      <c r="F5" s="10">
        <f t="shared" si="3"/>
        <v>5</v>
      </c>
      <c r="G5" s="10">
        <f t="shared" si="3"/>
        <v>6</v>
      </c>
      <c r="H5" s="10">
        <f t="shared" si="3"/>
        <v>2</v>
      </c>
      <c r="I5" s="10">
        <f t="shared" si="3"/>
        <v>3</v>
      </c>
      <c r="J5" s="10">
        <f t="shared" si="3"/>
        <v>4</v>
      </c>
      <c r="K5" s="10">
        <f t="shared" si="3"/>
        <v>5</v>
      </c>
      <c r="L5" s="10">
        <v>0</v>
      </c>
      <c r="M5" s="10">
        <f t="shared" si="3"/>
        <v>2</v>
      </c>
      <c r="N5" s="10">
        <f t="shared" si="3"/>
        <v>3</v>
      </c>
      <c r="O5" s="10">
        <f t="shared" si="3"/>
        <v>4</v>
      </c>
      <c r="P5" s="10">
        <f t="shared" si="3"/>
        <v>5</v>
      </c>
      <c r="Q5" s="10">
        <f t="shared" si="3"/>
        <v>6</v>
      </c>
      <c r="R5" s="10">
        <f t="shared" si="3"/>
        <v>2</v>
      </c>
      <c r="S5" s="10">
        <f t="shared" si="3"/>
        <v>3</v>
      </c>
      <c r="T5" s="10">
        <f t="shared" si="3"/>
        <v>4</v>
      </c>
      <c r="U5" s="10">
        <f>WEEKDAY(U2)</f>
        <v>5</v>
      </c>
      <c r="V5" s="10">
        <f>WEEKDAY(V2)</f>
        <v>6</v>
      </c>
      <c r="W5" s="10" t="e">
        <f>WEEKDAY(W2)</f>
        <v>#VALUE!</v>
      </c>
    </row>
    <row r="6" spans="1:23" ht="15" customHeight="1" x14ac:dyDescent="0.2">
      <c r="A6" s="20" t="s">
        <v>3</v>
      </c>
      <c r="B6" s="23">
        <f t="shared" ref="B6:T6" si="4">SUM(B7:B23)</f>
        <v>0</v>
      </c>
      <c r="C6" s="23">
        <f t="shared" si="4"/>
        <v>34448.339999999997</v>
      </c>
      <c r="D6" s="23">
        <f t="shared" si="4"/>
        <v>0</v>
      </c>
      <c r="E6" s="23">
        <f t="shared" si="4"/>
        <v>0</v>
      </c>
      <c r="F6" s="23">
        <f t="shared" si="4"/>
        <v>41438.080000000002</v>
      </c>
      <c r="G6" s="23">
        <f t="shared" si="4"/>
        <v>2710.22</v>
      </c>
      <c r="H6" s="23">
        <f t="shared" si="4"/>
        <v>33642.639999999999</v>
      </c>
      <c r="I6" s="23">
        <f t="shared" si="4"/>
        <v>39530.420000000006</v>
      </c>
      <c r="J6" s="23">
        <f t="shared" si="4"/>
        <v>35061.599999999999</v>
      </c>
      <c r="K6" s="23">
        <f t="shared" si="4"/>
        <v>12032</v>
      </c>
      <c r="L6" s="23">
        <f t="shared" si="4"/>
        <v>5068.8</v>
      </c>
      <c r="M6" s="23">
        <f t="shared" si="4"/>
        <v>0</v>
      </c>
      <c r="N6" s="23">
        <f t="shared" si="4"/>
        <v>0</v>
      </c>
      <c r="O6" s="23">
        <f t="shared" si="4"/>
        <v>0</v>
      </c>
      <c r="P6" s="23">
        <f t="shared" si="4"/>
        <v>9137</v>
      </c>
      <c r="Q6" s="23">
        <f t="shared" si="4"/>
        <v>49055.740000000005</v>
      </c>
      <c r="R6" s="23">
        <f t="shared" si="4"/>
        <v>0</v>
      </c>
      <c r="S6" s="23">
        <f t="shared" si="4"/>
        <v>0</v>
      </c>
      <c r="T6" s="23">
        <f t="shared" si="4"/>
        <v>7556.11</v>
      </c>
      <c r="U6" s="23">
        <f>SUM(U7:U23)</f>
        <v>0</v>
      </c>
      <c r="V6" s="23">
        <f>SUM(V7:V23)</f>
        <v>1377</v>
      </c>
      <c r="W6" s="23">
        <f>SUM(W7:W23)</f>
        <v>0</v>
      </c>
    </row>
    <row r="7" spans="1:23" ht="15" customHeight="1" x14ac:dyDescent="0.2">
      <c r="A7" t="s">
        <v>1806</v>
      </c>
      <c r="C7" s="104">
        <f>12636+11747.84+2376+1200+6488.5</f>
        <v>34448.339999999997</v>
      </c>
      <c r="D7" s="93"/>
      <c r="E7" s="15"/>
      <c r="F7" s="15"/>
      <c r="G7" s="15"/>
      <c r="H7" s="74">
        <f>12270</f>
        <v>12270</v>
      </c>
      <c r="I7" s="74">
        <f>5068.8+33416-404.38</f>
        <v>38080.420000000006</v>
      </c>
      <c r="J7" s="15"/>
      <c r="K7" s="74">
        <v>8000</v>
      </c>
      <c r="L7" s="74">
        <f>5068.8</f>
        <v>5068.8</v>
      </c>
      <c r="M7" s="15"/>
      <c r="N7" s="15"/>
      <c r="O7" s="15"/>
      <c r="P7" s="74">
        <f>2400+2400</f>
        <v>4800</v>
      </c>
      <c r="Q7" s="106">
        <v>28869.74</v>
      </c>
      <c r="R7" s="15"/>
      <c r="S7" s="15"/>
      <c r="T7" s="15"/>
    </row>
    <row r="8" spans="1:23" ht="15" customHeight="1" x14ac:dyDescent="0.2">
      <c r="A8" t="s">
        <v>1807</v>
      </c>
      <c r="E8" s="15"/>
      <c r="F8" s="15"/>
      <c r="G8" s="15"/>
      <c r="H8" s="104"/>
      <c r="I8" s="74"/>
      <c r="J8" s="15"/>
      <c r="N8" s="1"/>
      <c r="O8" s="15"/>
      <c r="P8" s="1"/>
      <c r="Q8" s="1"/>
      <c r="R8" s="94"/>
      <c r="S8" s="15"/>
      <c r="T8" s="15"/>
      <c r="U8" s="1"/>
    </row>
    <row r="9" spans="1:23" ht="15" customHeight="1" x14ac:dyDescent="0.2">
      <c r="A9" t="s">
        <v>1808</v>
      </c>
      <c r="C9"/>
      <c r="F9" s="104">
        <f>36730.24</f>
        <v>36730.239999999998</v>
      </c>
      <c r="H9" s="104"/>
      <c r="I9" s="104"/>
      <c r="N9" s="1"/>
      <c r="O9" s="1"/>
      <c r="Q9" s="74">
        <f>12800+7386</f>
        <v>20186</v>
      </c>
      <c r="R9" s="15"/>
      <c r="S9" s="15"/>
      <c r="T9" s="1"/>
      <c r="V9" s="106">
        <v>1377</v>
      </c>
    </row>
    <row r="10" spans="1:23" ht="15" customHeight="1" x14ac:dyDescent="0.2">
      <c r="A10" t="s">
        <v>1809</v>
      </c>
      <c r="C10"/>
      <c r="G10" s="15"/>
      <c r="H10" s="74"/>
      <c r="I10" s="74"/>
      <c r="J10" s="74">
        <v>8736</v>
      </c>
      <c r="K10" s="15"/>
      <c r="L10" s="15"/>
      <c r="M10" s="15"/>
      <c r="N10" s="15"/>
      <c r="P10" s="15"/>
      <c r="Q10" s="15"/>
      <c r="R10" s="15"/>
      <c r="S10" s="15"/>
      <c r="T10" s="15"/>
    </row>
    <row r="11" spans="1:23" ht="15" customHeight="1" x14ac:dyDescent="0.2">
      <c r="A11" t="s">
        <v>1810</v>
      </c>
      <c r="B11" s="14"/>
      <c r="D11"/>
      <c r="E11" s="15"/>
      <c r="F11" s="74">
        <v>1248.5</v>
      </c>
      <c r="G11" s="15"/>
      <c r="H11" s="74"/>
      <c r="I11" s="74"/>
      <c r="J11" s="74">
        <f>4064.5</f>
        <v>4064.5</v>
      </c>
      <c r="K11" s="15"/>
      <c r="L11" s="15"/>
      <c r="M11" s="15"/>
      <c r="N11" s="15"/>
      <c r="O11" s="15"/>
      <c r="P11" s="15"/>
      <c r="Q11" s="14"/>
      <c r="R11" s="15"/>
    </row>
    <row r="12" spans="1:23" ht="15" customHeight="1" x14ac:dyDescent="0.2">
      <c r="A12" t="s">
        <v>1811</v>
      </c>
      <c r="C12"/>
      <c r="D12"/>
      <c r="E12" s="15"/>
      <c r="F12" s="74">
        <f>3200.13+259.21</f>
        <v>3459.34</v>
      </c>
      <c r="G12" s="74"/>
      <c r="H12" s="74"/>
      <c r="I12" s="74"/>
      <c r="L12" s="15"/>
      <c r="N12" s="15"/>
      <c r="O12" s="15"/>
      <c r="P12" s="15"/>
      <c r="T12" s="106">
        <v>5556.11</v>
      </c>
    </row>
    <row r="13" spans="1:23" ht="15" customHeight="1" x14ac:dyDescent="0.2">
      <c r="A13" t="s">
        <v>1812</v>
      </c>
      <c r="B13" s="15"/>
      <c r="C13" s="15"/>
      <c r="D13" s="15"/>
      <c r="E13" s="15"/>
      <c r="F13"/>
      <c r="G13" s="15"/>
      <c r="H13" s="74"/>
      <c r="I13" s="74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spans="1:23" ht="15" customHeight="1" x14ac:dyDescent="0.2">
      <c r="A14" t="s">
        <v>1813</v>
      </c>
      <c r="B14"/>
      <c r="C14"/>
      <c r="D14" s="15"/>
      <c r="E14"/>
      <c r="F14" s="15"/>
      <c r="G14" s="74">
        <v>2710.22</v>
      </c>
      <c r="H14" s="74">
        <f>21747.16-374.52</f>
        <v>21372.639999999999</v>
      </c>
      <c r="I14" s="74">
        <v>1450</v>
      </c>
      <c r="J14" s="15"/>
      <c r="K14" s="15"/>
      <c r="L14"/>
      <c r="O14" s="15"/>
      <c r="P14" s="106">
        <v>4337</v>
      </c>
    </row>
    <row r="15" spans="1:23" ht="15" customHeight="1" x14ac:dyDescent="0.2">
      <c r="A15" t="s">
        <v>1814</v>
      </c>
      <c r="B15"/>
      <c r="C15"/>
      <c r="J15" s="74">
        <v>22261.1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3" ht="15" customHeight="1" x14ac:dyDescent="0.2">
      <c r="A16" t="s">
        <v>1815</v>
      </c>
      <c r="B16"/>
      <c r="C16"/>
      <c r="D16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1:31" ht="15" customHeight="1" x14ac:dyDescent="0.2">
      <c r="A17" t="s">
        <v>1816</v>
      </c>
      <c r="B17"/>
      <c r="C17"/>
      <c r="E17" s="15"/>
      <c r="F17" s="15"/>
      <c r="G17" s="15"/>
      <c r="H17" s="15"/>
      <c r="I17" s="15"/>
      <c r="J17" s="15"/>
      <c r="K17" s="74">
        <v>4032</v>
      </c>
      <c r="L17" s="15"/>
      <c r="M17" s="15"/>
      <c r="N17" s="15"/>
      <c r="O17" s="15"/>
      <c r="P17" s="15"/>
      <c r="Q17" s="15"/>
      <c r="R17" s="15"/>
      <c r="S17" s="15"/>
      <c r="T17" s="15"/>
    </row>
    <row r="18" spans="1:31" ht="15" customHeight="1" x14ac:dyDescent="0.2">
      <c r="A18" t="s">
        <v>1412</v>
      </c>
      <c r="D18" s="13"/>
      <c r="E18" s="16"/>
      <c r="F18" s="15"/>
      <c r="G18" s="15"/>
      <c r="I18" s="15"/>
      <c r="J18" s="15"/>
      <c r="M18" s="15"/>
      <c r="N18" s="15"/>
      <c r="O18" s="17"/>
      <c r="P18" s="19"/>
      <c r="R18" s="15"/>
      <c r="S18" s="15"/>
      <c r="T18" s="107">
        <v>2000</v>
      </c>
    </row>
    <row r="19" spans="1:31" ht="15" customHeight="1" x14ac:dyDescent="0.2">
      <c r="E19" s="16"/>
      <c r="F19" s="15"/>
      <c r="G19" s="15"/>
      <c r="I19" s="15"/>
      <c r="J19" s="15"/>
      <c r="K19" s="15"/>
      <c r="M19" s="15"/>
      <c r="N19" s="1"/>
      <c r="O19" s="48"/>
      <c r="P19" s="19"/>
      <c r="R19" s="15"/>
      <c r="S19" s="15"/>
      <c r="T19" s="19"/>
    </row>
    <row r="20" spans="1:31" ht="15" customHeight="1" x14ac:dyDescent="0.2">
      <c r="E20" s="16"/>
      <c r="F20" s="15"/>
      <c r="G20" s="15"/>
      <c r="I20" s="15"/>
      <c r="J20" s="14"/>
      <c r="K20" s="15"/>
      <c r="M20" s="15"/>
      <c r="N20" s="1"/>
      <c r="O20" s="48"/>
      <c r="P20" s="19"/>
      <c r="R20" s="15"/>
      <c r="S20" s="15"/>
      <c r="T20" s="19"/>
    </row>
    <row r="21" spans="1:31" ht="15" customHeight="1" x14ac:dyDescent="0.2">
      <c r="D21" s="13"/>
      <c r="E21" s="47"/>
      <c r="F21" s="15"/>
      <c r="G21" s="15"/>
      <c r="I21" s="15"/>
      <c r="J21" s="14"/>
      <c r="M21" s="15"/>
      <c r="N21" s="15"/>
      <c r="P21" s="19"/>
      <c r="R21" s="15"/>
      <c r="S21" s="15"/>
      <c r="T21" s="12"/>
    </row>
    <row r="22" spans="1:31" ht="15" customHeight="1" x14ac:dyDescent="0.2">
      <c r="D22" s="13"/>
      <c r="E22" s="47"/>
      <c r="F22" s="15"/>
      <c r="G22" s="15"/>
      <c r="I22" s="15"/>
      <c r="J22" s="14"/>
      <c r="M22" s="15"/>
      <c r="N22" s="15"/>
      <c r="P22" s="19"/>
      <c r="R22" s="15"/>
      <c r="S22" s="15"/>
      <c r="T22" s="12"/>
    </row>
    <row r="23" spans="1:31" ht="15" customHeight="1" x14ac:dyDescent="0.2">
      <c r="A23" s="12"/>
      <c r="B23"/>
      <c r="C23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spans="1:31" ht="15" customHeight="1" x14ac:dyDescent="0.2">
      <c r="A24" s="21" t="s">
        <v>54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spans="1:31" ht="15" customHeight="1" x14ac:dyDescent="0.2">
      <c r="A25" s="80" t="s">
        <v>62</v>
      </c>
      <c r="B25" s="80" t="s">
        <v>42</v>
      </c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2"/>
    </row>
    <row r="26" spans="1:31" ht="15" customHeight="1" x14ac:dyDescent="0.2">
      <c r="A26" s="80" t="s">
        <v>50</v>
      </c>
      <c r="B26" s="83">
        <v>44197</v>
      </c>
      <c r="C26" s="84">
        <v>44200</v>
      </c>
      <c r="D26" s="84">
        <v>44201</v>
      </c>
      <c r="E26" s="84">
        <v>44202</v>
      </c>
      <c r="F26" s="84">
        <v>44203</v>
      </c>
      <c r="G26" s="84">
        <v>44204</v>
      </c>
      <c r="H26" s="84">
        <v>44207</v>
      </c>
      <c r="I26" s="84">
        <v>44208</v>
      </c>
      <c r="J26" s="84">
        <v>44209</v>
      </c>
      <c r="K26" s="84">
        <v>44210</v>
      </c>
      <c r="L26" s="84">
        <v>44211</v>
      </c>
      <c r="M26" s="84">
        <v>44214</v>
      </c>
      <c r="N26" s="84">
        <v>44215</v>
      </c>
      <c r="O26" s="84">
        <v>44216</v>
      </c>
      <c r="P26" s="84">
        <v>44217</v>
      </c>
      <c r="Q26" s="84">
        <v>44218</v>
      </c>
      <c r="R26" s="84">
        <v>44221</v>
      </c>
      <c r="S26" s="84">
        <v>44222</v>
      </c>
      <c r="T26" s="84">
        <v>44223</v>
      </c>
      <c r="U26" s="84">
        <v>44224</v>
      </c>
      <c r="V26" s="84">
        <v>44225</v>
      </c>
      <c r="W26" s="85" t="s">
        <v>71</v>
      </c>
    </row>
    <row r="27" spans="1:31" s="11" customFormat="1" ht="15" customHeight="1" x14ac:dyDescent="0.2">
      <c r="A27" s="86" t="s">
        <v>63</v>
      </c>
      <c r="B27" s="86">
        <v>725</v>
      </c>
      <c r="C27" s="87">
        <v>2536.73</v>
      </c>
      <c r="D27" s="87">
        <v>100</v>
      </c>
      <c r="E27" s="87"/>
      <c r="F27" s="87"/>
      <c r="G27" s="87"/>
      <c r="H27" s="87">
        <v>410.51</v>
      </c>
      <c r="I27" s="87"/>
      <c r="J27" s="87"/>
      <c r="K27" s="87"/>
      <c r="L27" s="87">
        <v>2000</v>
      </c>
      <c r="M27" s="87">
        <v>3000</v>
      </c>
      <c r="N27" s="87">
        <v>5000</v>
      </c>
      <c r="O27" s="87"/>
      <c r="P27" s="87">
        <v>229.45</v>
      </c>
      <c r="Q27" s="87"/>
      <c r="R27" s="87">
        <v>710</v>
      </c>
      <c r="S27" s="87">
        <v>1000</v>
      </c>
      <c r="T27" s="87">
        <v>393.03</v>
      </c>
      <c r="U27" s="87"/>
      <c r="V27" s="87"/>
      <c r="W27" s="85">
        <v>16104.720000000001</v>
      </c>
      <c r="X27"/>
      <c r="Y27"/>
      <c r="Z27"/>
      <c r="AA27"/>
      <c r="AB27"/>
      <c r="AC27"/>
      <c r="AD27"/>
      <c r="AE27"/>
    </row>
    <row r="28" spans="1:31" s="11" customFormat="1" ht="15" customHeight="1" x14ac:dyDescent="0.2">
      <c r="A28" s="88" t="s">
        <v>1817</v>
      </c>
      <c r="B28" s="88"/>
      <c r="C28">
        <v>4587.41</v>
      </c>
      <c r="D28">
        <v>2560</v>
      </c>
      <c r="E28"/>
      <c r="F28">
        <v>5181.25</v>
      </c>
      <c r="G28"/>
      <c r="H28">
        <v>96</v>
      </c>
      <c r="I28">
        <v>8337.7200000000012</v>
      </c>
      <c r="J28">
        <v>1630</v>
      </c>
      <c r="K28">
        <v>3039</v>
      </c>
      <c r="L28">
        <v>15779.25</v>
      </c>
      <c r="M28"/>
      <c r="N28"/>
      <c r="O28"/>
      <c r="P28"/>
      <c r="Q28"/>
      <c r="R28">
        <v>3286.23</v>
      </c>
      <c r="S28">
        <v>2861.56</v>
      </c>
      <c r="T28">
        <v>500</v>
      </c>
      <c r="U28">
        <v>1970.32</v>
      </c>
      <c r="V28">
        <v>3663</v>
      </c>
      <c r="W28" s="89">
        <v>53491.740000000005</v>
      </c>
      <c r="X28"/>
      <c r="Y28"/>
      <c r="Z28"/>
      <c r="AA28"/>
      <c r="AB28"/>
      <c r="AC28"/>
      <c r="AD28"/>
      <c r="AE28"/>
    </row>
    <row r="29" spans="1:31" s="11" customFormat="1" ht="15" customHeight="1" x14ac:dyDescent="0.2">
      <c r="A29" s="88" t="s">
        <v>1818</v>
      </c>
      <c r="B29" s="88"/>
      <c r="C29"/>
      <c r="D29"/>
      <c r="E29"/>
      <c r="F29"/>
      <c r="G29"/>
      <c r="H29"/>
      <c r="I29"/>
      <c r="J29"/>
      <c r="K29"/>
      <c r="L29">
        <v>3959.3900000000003</v>
      </c>
      <c r="M29"/>
      <c r="N29"/>
      <c r="O29"/>
      <c r="P29"/>
      <c r="Q29"/>
      <c r="R29"/>
      <c r="S29"/>
      <c r="T29"/>
      <c r="U29"/>
      <c r="V29"/>
      <c r="W29" s="89">
        <v>3959.3900000000003</v>
      </c>
      <c r="X29"/>
      <c r="Y29"/>
      <c r="Z29"/>
      <c r="AA29"/>
      <c r="AB29"/>
      <c r="AC29"/>
      <c r="AD29"/>
      <c r="AE29"/>
    </row>
    <row r="30" spans="1:31" s="11" customFormat="1" ht="15" customHeight="1" x14ac:dyDescent="0.2">
      <c r="A30" s="88" t="s">
        <v>1819</v>
      </c>
      <c r="B30" s="88"/>
      <c r="C30">
        <v>4428.99</v>
      </c>
      <c r="D30">
        <v>6385.35</v>
      </c>
      <c r="E30">
        <v>40569.159999999996</v>
      </c>
      <c r="F30">
        <v>36153.199999999997</v>
      </c>
      <c r="G30">
        <v>522</v>
      </c>
      <c r="H30">
        <v>1687.21</v>
      </c>
      <c r="I30">
        <v>41057.69</v>
      </c>
      <c r="J30">
        <v>9514.7000000000007</v>
      </c>
      <c r="K30">
        <v>3172.52</v>
      </c>
      <c r="L30">
        <v>2804</v>
      </c>
      <c r="M30">
        <v>1989.13</v>
      </c>
      <c r="N30">
        <v>3505.4</v>
      </c>
      <c r="O30">
        <v>13763.86</v>
      </c>
      <c r="P30">
        <v>3093.2</v>
      </c>
      <c r="Q30">
        <v>25494.82</v>
      </c>
      <c r="R30">
        <v>3700.1399999999994</v>
      </c>
      <c r="S30">
        <v>12472</v>
      </c>
      <c r="T30">
        <v>3413.5</v>
      </c>
      <c r="U30">
        <v>9077.51</v>
      </c>
      <c r="V30">
        <v>1722.08</v>
      </c>
      <c r="W30" s="89">
        <v>224526.46000000005</v>
      </c>
      <c r="X30"/>
      <c r="Y30"/>
      <c r="Z30"/>
      <c r="AA30"/>
      <c r="AB30"/>
      <c r="AC30"/>
      <c r="AD30"/>
      <c r="AE30"/>
    </row>
    <row r="31" spans="1:31" s="11" customFormat="1" ht="15" customHeight="1" x14ac:dyDescent="0.2">
      <c r="A31" s="90" t="s">
        <v>71</v>
      </c>
      <c r="B31" s="90">
        <v>725</v>
      </c>
      <c r="C31" s="91">
        <v>11553.13</v>
      </c>
      <c r="D31" s="91">
        <v>9045.35</v>
      </c>
      <c r="E31" s="91">
        <v>40569.159999999996</v>
      </c>
      <c r="F31" s="91">
        <v>41334.449999999997</v>
      </c>
      <c r="G31" s="91">
        <v>522</v>
      </c>
      <c r="H31" s="91">
        <v>2193.7200000000003</v>
      </c>
      <c r="I31" s="91">
        <v>49395.41</v>
      </c>
      <c r="J31" s="91">
        <v>11144.7</v>
      </c>
      <c r="K31" s="91">
        <v>6211.52</v>
      </c>
      <c r="L31" s="91">
        <v>24542.639999999999</v>
      </c>
      <c r="M31" s="91">
        <v>4989.13</v>
      </c>
      <c r="N31" s="91">
        <v>8505.4</v>
      </c>
      <c r="O31" s="91">
        <v>13763.86</v>
      </c>
      <c r="P31" s="91">
        <v>3322.6499999999996</v>
      </c>
      <c r="Q31" s="91">
        <v>25494.82</v>
      </c>
      <c r="R31" s="91">
        <v>7696.369999999999</v>
      </c>
      <c r="S31" s="91">
        <v>16333.56</v>
      </c>
      <c r="T31" s="91">
        <v>4306.53</v>
      </c>
      <c r="U31" s="91">
        <v>11047.83</v>
      </c>
      <c r="V31" s="91">
        <v>5385.08</v>
      </c>
      <c r="W31" s="92">
        <v>298082.31000000006</v>
      </c>
      <c r="X31"/>
      <c r="Y31"/>
      <c r="Z31"/>
      <c r="AA31"/>
      <c r="AB31"/>
      <c r="AC31"/>
      <c r="AD31"/>
      <c r="AE31"/>
    </row>
    <row r="32" spans="1:31" s="11" customFormat="1" ht="15" customHeigh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pans="1:31" s="11" customFormat="1" ht="15" customHeight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</row>
    <row r="34" spans="1:31" s="11" customFormat="1" ht="15" customHeigh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</row>
    <row r="35" spans="1:31" s="25" customFormat="1" ht="15" customHeight="1" thickBot="1" x14ac:dyDescent="0.25">
      <c r="A35" s="24" t="s">
        <v>35</v>
      </c>
      <c r="B35" s="24">
        <f>B4+B6-GETPIVOTDATA("valor",$A$25,"Pagto.",DATE(2021,1,1))</f>
        <v>15728</v>
      </c>
      <c r="C35" s="24">
        <f>C4+C6-GETPIVOTDATA("valor",$A$25,"Pagto.",DATE(2021,1,4))</f>
        <v>38623.21</v>
      </c>
      <c r="D35" s="24">
        <f>D4+D6-GETPIVOTDATA("valor",$A$25,"Pagto.",DATE(2021,1,5))</f>
        <v>29577.86</v>
      </c>
      <c r="E35" s="24">
        <f>E4+E6-GETPIVOTDATA("valor",$A$25,"Pagto.",DATE(2021,1,6))</f>
        <v>-10991.299999999996</v>
      </c>
      <c r="F35" s="24">
        <f>F4+F6-GETPIVOTDATA("valor",$A$25,"Pagto.",DATE(2021,1,7))</f>
        <v>-10887.669999999991</v>
      </c>
      <c r="G35" s="24">
        <f>G4+G6-GETPIVOTDATA("valor",$A$25,"Pagto.",DATE(2021,1,8))</f>
        <v>-8699.4499999999916</v>
      </c>
      <c r="H35" s="24">
        <f>H4+H6-GETPIVOTDATA("valor",$A$25,"Pagto.",DATE(2021,1,11))</f>
        <v>22749.470000000008</v>
      </c>
      <c r="I35" s="24">
        <f>I4+I6-GETPIVOTDATA("valor",$A$25,"Pagto.",DATE(2021,1,12))</f>
        <v>12884.48000000001</v>
      </c>
      <c r="J35" s="24">
        <f>J4+J6-GETPIVOTDATA("valor",$A$25,"Pagto.",DATE(2021,1,13))</f>
        <v>36801.380000000005</v>
      </c>
      <c r="K35" s="24">
        <f>K4+K6-GETPIVOTDATA("valor",$A$25,"Pagto.",DATE(2021,1,14))</f>
        <v>42621.86</v>
      </c>
      <c r="L35" s="24">
        <f>L4+L6-GETPIVOTDATA("valor",$A$25,"Pagto.",DATE(2021,1,15))</f>
        <v>23148.020000000004</v>
      </c>
      <c r="M35" s="24">
        <f>M4+M6-GETPIVOTDATA("valor",$A$25,"Pagto.",DATE(2021,1,18))</f>
        <v>18158.890000000003</v>
      </c>
      <c r="N35" s="24">
        <f>N4+N6-GETPIVOTDATA("valor",$A$25,"Pagto.",DATE(2021,1,19))</f>
        <v>9653.4900000000034</v>
      </c>
      <c r="O35" s="24">
        <f>O4+O6-GETPIVOTDATA("valor",$A$25,"Pagto.",DATE(2021,1,20))</f>
        <v>-4110.3699999999972</v>
      </c>
      <c r="P35" s="24">
        <f>P4+P6-GETPIVOTDATA("valor",$A$25,"Pagto.",DATE(2021,1,21))</f>
        <v>1703.9800000000032</v>
      </c>
      <c r="Q35" s="24">
        <f>Q4+Q6-GETPIVOTDATA("valor",$A$25,"Pagto.",DATE(2021,1,22))</f>
        <v>25264.900000000009</v>
      </c>
      <c r="R35" s="24">
        <f>R4+R6-GETPIVOTDATA("valor",$A$25,"Pagto.",DATE(2021,1,25))</f>
        <v>17568.53000000001</v>
      </c>
      <c r="S35" s="24">
        <f>S4+S6-GETPIVOTDATA("valor",$A$25,"Pagto.",DATE(2021,1,26))</f>
        <v>1234.9700000000103</v>
      </c>
      <c r="T35" s="24">
        <f>T4+T6-GETPIVOTDATA("valor",$A$25,"Pagto.",DATE(2021,1,27))</f>
        <v>4484.5500000000093</v>
      </c>
      <c r="U35" s="24">
        <f>U4+U6-GETPIVOTDATA("valor",$A$25,"Pagto.",DATE(2021,1,28))</f>
        <v>-6563.2799999999907</v>
      </c>
      <c r="V35" s="24">
        <f>V4+V6-GETPIVOTDATA("valor",$A$25,"Pagto.",DATE(2021,1,29))</f>
        <v>-10571.35999999999</v>
      </c>
      <c r="W35" s="24"/>
    </row>
    <row r="36" spans="1:31" ht="15" customHeight="1" thickTop="1" x14ac:dyDescent="0.2">
      <c r="B36"/>
      <c r="C36"/>
      <c r="D36"/>
      <c r="E36"/>
      <c r="F36"/>
      <c r="G36"/>
      <c r="H36"/>
      <c r="I36"/>
      <c r="J36"/>
      <c r="K36"/>
      <c r="L36"/>
    </row>
    <row r="37" spans="1:31" ht="15" customHeight="1" x14ac:dyDescent="0.2">
      <c r="B37"/>
      <c r="C37"/>
      <c r="D37"/>
      <c r="E37"/>
      <c r="F37"/>
      <c r="G37"/>
      <c r="H37"/>
      <c r="I37"/>
    </row>
    <row r="38" spans="1:31" ht="15" customHeight="1" x14ac:dyDescent="0.2">
      <c r="B38"/>
      <c r="C38"/>
      <c r="D38"/>
      <c r="E38"/>
      <c r="F38"/>
      <c r="G38"/>
      <c r="H38"/>
      <c r="I38"/>
    </row>
    <row r="39" spans="1:31" ht="15" customHeight="1" x14ac:dyDescent="0.2">
      <c r="B39"/>
      <c r="C39"/>
      <c r="D39"/>
      <c r="E39"/>
      <c r="F39"/>
      <c r="G39"/>
      <c r="H39"/>
      <c r="I39"/>
    </row>
    <row r="40" spans="1:31" ht="15" customHeight="1" x14ac:dyDescent="0.2">
      <c r="B40"/>
      <c r="C40"/>
      <c r="D40"/>
      <c r="E40"/>
      <c r="F40"/>
      <c r="G40"/>
      <c r="H40"/>
      <c r="I40"/>
    </row>
    <row r="41" spans="1:31" ht="15" customHeight="1" x14ac:dyDescent="0.2">
      <c r="B41"/>
      <c r="C41"/>
      <c r="D41"/>
      <c r="E41"/>
      <c r="F41"/>
      <c r="G41"/>
      <c r="H41"/>
      <c r="I41"/>
    </row>
    <row r="42" spans="1:31" ht="15" customHeight="1" x14ac:dyDescent="0.2">
      <c r="B42"/>
      <c r="C42"/>
      <c r="D42"/>
      <c r="E42"/>
      <c r="F42"/>
      <c r="G42"/>
      <c r="H42"/>
      <c r="I42"/>
    </row>
    <row r="43" spans="1:31" ht="15" customHeight="1" x14ac:dyDescent="0.2">
      <c r="B43"/>
      <c r="C43"/>
      <c r="D43"/>
      <c r="E43"/>
      <c r="F43"/>
      <c r="G43"/>
      <c r="H43"/>
      <c r="I43"/>
    </row>
    <row r="44" spans="1:31" ht="15" customHeight="1" x14ac:dyDescent="0.2">
      <c r="B44"/>
      <c r="C44"/>
      <c r="D44"/>
      <c r="E44"/>
      <c r="F44"/>
      <c r="G44"/>
      <c r="H44"/>
      <c r="I44"/>
    </row>
    <row r="45" spans="1:31" ht="15" customHeight="1" x14ac:dyDescent="0.2">
      <c r="B45"/>
      <c r="C45"/>
      <c r="D45"/>
      <c r="E45"/>
      <c r="F45"/>
      <c r="G45"/>
      <c r="H45"/>
      <c r="I45"/>
    </row>
    <row r="46" spans="1:31" ht="15" customHeight="1" x14ac:dyDescent="0.2">
      <c r="B46"/>
      <c r="C46"/>
      <c r="D46"/>
      <c r="E46"/>
      <c r="F46"/>
      <c r="G46"/>
      <c r="H46"/>
      <c r="I46"/>
    </row>
    <row r="47" spans="1:31" ht="15" customHeight="1" x14ac:dyDescent="0.2">
      <c r="B47"/>
      <c r="C47"/>
      <c r="D47"/>
      <c r="E47"/>
      <c r="F47"/>
      <c r="G47"/>
      <c r="H47"/>
      <c r="I47"/>
    </row>
  </sheetData>
  <conditionalFormatting sqref="A33 A4:XFD4 A35:XFD35">
    <cfRule type="cellIs" dxfId="2" priority="3" stopIfTrue="1" operator="lessThan">
      <formula>0</formula>
    </cfRule>
  </conditionalFormatting>
  <conditionalFormatting sqref="A1:XFD1">
    <cfRule type="cellIs" dxfId="1" priority="1" stopIfTrue="1" operator="equal">
      <formula>"Sábado"</formula>
    </cfRule>
    <cfRule type="cellIs" dxfId="0" priority="2" stopIfTrue="1" operator="equal">
      <formula>"Domingo"</formula>
    </cfRule>
  </conditionalFormatting>
  <pageMargins left="0.15748031496062992" right="0.19685039370078741" top="0.98425196850393704" bottom="0.98425196850393704" header="0.51181102362204722" footer="0.51181102362204722"/>
  <pageSetup paperSize="9" scale="62" firstPageNumber="0" orientation="landscape" horizontalDpi="300" verticalDpi="300" r:id="rId2"/>
  <headerFooter alignWithMargins="0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4"/>
  <sheetViews>
    <sheetView topLeftCell="A16" workbookViewId="0">
      <selection activeCell="C36" sqref="C36"/>
    </sheetView>
  </sheetViews>
  <sheetFormatPr defaultRowHeight="12.75" x14ac:dyDescent="0.2"/>
  <cols>
    <col min="1" max="1" width="57.85546875" bestFit="1" customWidth="1"/>
    <col min="2" max="3" width="10.140625" bestFit="1" customWidth="1"/>
  </cols>
  <sheetData>
    <row r="1" spans="1:4" x14ac:dyDescent="0.2">
      <c r="A1" s="35" t="s">
        <v>485</v>
      </c>
      <c r="B1" s="35" t="s">
        <v>486</v>
      </c>
      <c r="C1" s="35" t="s">
        <v>487</v>
      </c>
    </row>
    <row r="2" spans="1:4" x14ac:dyDescent="0.2">
      <c r="A2" s="56" t="s">
        <v>151</v>
      </c>
      <c r="B2" s="52">
        <v>44267</v>
      </c>
      <c r="C2" s="55">
        <v>1630</v>
      </c>
      <c r="D2" t="s">
        <v>91</v>
      </c>
    </row>
    <row r="3" spans="1:4" x14ac:dyDescent="0.2">
      <c r="A3" s="56" t="s">
        <v>154</v>
      </c>
      <c r="B3" s="52">
        <v>44133</v>
      </c>
      <c r="C3" s="55">
        <v>2000</v>
      </c>
      <c r="D3" t="s">
        <v>91</v>
      </c>
    </row>
    <row r="4" spans="1:4" x14ac:dyDescent="0.2">
      <c r="A4" s="56" t="s">
        <v>292</v>
      </c>
      <c r="B4" s="52">
        <v>44164</v>
      </c>
      <c r="C4" s="55">
        <v>4000</v>
      </c>
      <c r="D4" t="s">
        <v>91</v>
      </c>
    </row>
    <row r="5" spans="1:4" x14ac:dyDescent="0.2">
      <c r="A5" s="56" t="s">
        <v>496</v>
      </c>
      <c r="B5" s="52">
        <v>44194</v>
      </c>
      <c r="C5" s="55">
        <v>4000</v>
      </c>
      <c r="D5" t="s">
        <v>91</v>
      </c>
    </row>
    <row r="6" spans="1:4" x14ac:dyDescent="0.2">
      <c r="A6" s="56" t="s">
        <v>497</v>
      </c>
      <c r="B6" s="52">
        <v>44225</v>
      </c>
      <c r="C6" s="55">
        <v>4000</v>
      </c>
      <c r="D6" t="s">
        <v>91</v>
      </c>
    </row>
    <row r="7" spans="1:4" x14ac:dyDescent="0.2">
      <c r="A7" s="56" t="s">
        <v>498</v>
      </c>
      <c r="B7" s="52">
        <v>44255</v>
      </c>
      <c r="C7" s="55">
        <v>4000</v>
      </c>
      <c r="D7" t="s">
        <v>91</v>
      </c>
    </row>
    <row r="8" spans="1:4" x14ac:dyDescent="0.2">
      <c r="A8" s="56" t="s">
        <v>1161</v>
      </c>
      <c r="B8" s="52">
        <v>44284</v>
      </c>
      <c r="C8" s="55">
        <v>4000</v>
      </c>
      <c r="D8" t="s">
        <v>91</v>
      </c>
    </row>
    <row r="9" spans="1:4" x14ac:dyDescent="0.2">
      <c r="A9" s="56" t="s">
        <v>1162</v>
      </c>
      <c r="B9" s="52">
        <v>44315</v>
      </c>
      <c r="C9" s="55">
        <v>4000</v>
      </c>
      <c r="D9" t="s">
        <v>91</v>
      </c>
    </row>
    <row r="10" spans="1:4" x14ac:dyDescent="0.2">
      <c r="A10" s="56" t="s">
        <v>475</v>
      </c>
      <c r="B10" s="52">
        <v>43824</v>
      </c>
      <c r="C10" s="55">
        <v>1900</v>
      </c>
      <c r="D10" t="s">
        <v>91</v>
      </c>
    </row>
    <row r="11" spans="1:4" x14ac:dyDescent="0.2">
      <c r="A11" s="56" t="s">
        <v>476</v>
      </c>
      <c r="B11" s="52">
        <v>44221</v>
      </c>
      <c r="C11" s="55">
        <v>1900</v>
      </c>
      <c r="D11" t="s">
        <v>91</v>
      </c>
    </row>
    <row r="12" spans="1:4" x14ac:dyDescent="0.2">
      <c r="A12" s="56" t="s">
        <v>114</v>
      </c>
      <c r="B12" s="52">
        <v>44252</v>
      </c>
      <c r="C12" s="55">
        <v>1900</v>
      </c>
      <c r="D12" t="s">
        <v>91</v>
      </c>
    </row>
    <row r="13" spans="1:4" x14ac:dyDescent="0.2">
      <c r="A13" s="56" t="s">
        <v>113</v>
      </c>
      <c r="B13" s="52">
        <v>44279</v>
      </c>
      <c r="C13" s="55">
        <v>1900</v>
      </c>
      <c r="D13" t="s">
        <v>91</v>
      </c>
    </row>
    <row r="14" spans="1:4" x14ac:dyDescent="0.2">
      <c r="A14" s="56" t="s">
        <v>1160</v>
      </c>
      <c r="B14" s="52">
        <v>44306</v>
      </c>
      <c r="C14" s="55">
        <v>1900</v>
      </c>
      <c r="D14" t="s">
        <v>91</v>
      </c>
    </row>
    <row r="15" spans="1:4" x14ac:dyDescent="0.2">
      <c r="A15" s="56" t="s">
        <v>157</v>
      </c>
      <c r="B15" s="52">
        <v>44267</v>
      </c>
      <c r="C15" s="55">
        <v>1800</v>
      </c>
      <c r="D15" t="s">
        <v>91</v>
      </c>
    </row>
    <row r="16" spans="1:4" x14ac:dyDescent="0.2">
      <c r="A16" s="56" t="s">
        <v>293</v>
      </c>
      <c r="B16" s="52">
        <v>44267</v>
      </c>
      <c r="C16" s="55">
        <v>1800</v>
      </c>
      <c r="D16" t="s">
        <v>91</v>
      </c>
    </row>
    <row r="17" spans="1:4" x14ac:dyDescent="0.2">
      <c r="A17" s="56" t="s">
        <v>494</v>
      </c>
      <c r="B17" s="52">
        <v>44267</v>
      </c>
      <c r="C17" s="55">
        <v>1800</v>
      </c>
      <c r="D17" t="s">
        <v>91</v>
      </c>
    </row>
    <row r="18" spans="1:4" x14ac:dyDescent="0.2">
      <c r="A18" s="56" t="s">
        <v>110</v>
      </c>
      <c r="B18" s="52">
        <v>44283</v>
      </c>
      <c r="C18" s="55">
        <v>1800</v>
      </c>
      <c r="D18" t="s">
        <v>91</v>
      </c>
    </row>
    <row r="19" spans="1:4" x14ac:dyDescent="0.2">
      <c r="A19" s="56" t="s">
        <v>842</v>
      </c>
      <c r="B19" s="52">
        <v>44314</v>
      </c>
      <c r="C19" s="55">
        <v>1800</v>
      </c>
      <c r="D19" t="s">
        <v>91</v>
      </c>
    </row>
    <row r="20" spans="1:4" x14ac:dyDescent="0.2">
      <c r="A20" s="56" t="s">
        <v>111</v>
      </c>
      <c r="B20" s="52">
        <v>44344</v>
      </c>
      <c r="C20" s="55">
        <v>1800</v>
      </c>
      <c r="D20" t="s">
        <v>91</v>
      </c>
    </row>
    <row r="21" spans="1:4" x14ac:dyDescent="0.2">
      <c r="A21" s="56" t="s">
        <v>112</v>
      </c>
      <c r="B21" s="52">
        <v>44374</v>
      </c>
      <c r="C21" s="55">
        <v>1800</v>
      </c>
      <c r="D21" t="s">
        <v>91</v>
      </c>
    </row>
    <row r="22" spans="1:4" x14ac:dyDescent="0.2">
      <c r="A22" s="56" t="s">
        <v>477</v>
      </c>
      <c r="B22" s="52">
        <v>44103</v>
      </c>
      <c r="C22" s="55">
        <v>3750</v>
      </c>
      <c r="D22" t="s">
        <v>91</v>
      </c>
    </row>
    <row r="23" spans="1:4" x14ac:dyDescent="0.2">
      <c r="A23" s="56" t="s">
        <v>478</v>
      </c>
      <c r="B23" s="52">
        <v>44133</v>
      </c>
      <c r="C23" s="55">
        <v>3750</v>
      </c>
      <c r="D23" t="s">
        <v>91</v>
      </c>
    </row>
    <row r="24" spans="1:4" x14ac:dyDescent="0.2">
      <c r="A24" s="56" t="s">
        <v>479</v>
      </c>
      <c r="B24" s="52">
        <v>44164</v>
      </c>
      <c r="C24" s="55">
        <v>3750</v>
      </c>
      <c r="D24" t="s">
        <v>91</v>
      </c>
    </row>
    <row r="25" spans="1:4" x14ac:dyDescent="0.2">
      <c r="A25" s="56" t="s">
        <v>480</v>
      </c>
      <c r="B25" s="52">
        <v>44194</v>
      </c>
      <c r="C25" s="55">
        <v>3750</v>
      </c>
      <c r="D25" t="s">
        <v>91</v>
      </c>
    </row>
    <row r="26" spans="1:4" x14ac:dyDescent="0.2">
      <c r="A26" s="56" t="s">
        <v>481</v>
      </c>
      <c r="B26" s="52">
        <v>44225</v>
      </c>
      <c r="C26" s="55">
        <v>3750</v>
      </c>
      <c r="D26" t="s">
        <v>91</v>
      </c>
    </row>
    <row r="27" spans="1:4" x14ac:dyDescent="0.2">
      <c r="A27" s="56" t="s">
        <v>482</v>
      </c>
      <c r="B27" s="52">
        <v>44255</v>
      </c>
      <c r="C27" s="55">
        <v>3750</v>
      </c>
      <c r="D27" t="s">
        <v>91</v>
      </c>
    </row>
    <row r="28" spans="1:4" x14ac:dyDescent="0.2">
      <c r="A28" s="56" t="s">
        <v>92</v>
      </c>
      <c r="B28" s="52">
        <v>44282</v>
      </c>
      <c r="C28" s="55">
        <v>3750</v>
      </c>
      <c r="D28" t="s">
        <v>91</v>
      </c>
    </row>
    <row r="29" spans="1:4" x14ac:dyDescent="0.2">
      <c r="A29" s="56" t="s">
        <v>93</v>
      </c>
      <c r="B29" s="52">
        <v>44375</v>
      </c>
      <c r="C29" s="55">
        <v>3750</v>
      </c>
      <c r="D29" t="s">
        <v>91</v>
      </c>
    </row>
    <row r="30" spans="1:4" x14ac:dyDescent="0.2">
      <c r="A30" s="56" t="s">
        <v>94</v>
      </c>
      <c r="B30" s="52">
        <v>44405</v>
      </c>
      <c r="C30" s="55">
        <v>3750</v>
      </c>
      <c r="D30" t="s">
        <v>91</v>
      </c>
    </row>
    <row r="31" spans="1:4" x14ac:dyDescent="0.2">
      <c r="A31" s="56" t="s">
        <v>1268</v>
      </c>
      <c r="B31" s="52">
        <v>44436</v>
      </c>
      <c r="C31" s="55">
        <v>3750</v>
      </c>
      <c r="D31" t="s">
        <v>91</v>
      </c>
    </row>
    <row r="32" spans="1:4" x14ac:dyDescent="0.2">
      <c r="A32" s="56" t="s">
        <v>95</v>
      </c>
      <c r="B32" s="52">
        <v>44467</v>
      </c>
      <c r="C32" s="55">
        <v>3750</v>
      </c>
      <c r="D32" t="s">
        <v>91</v>
      </c>
    </row>
    <row r="33" spans="1:7" x14ac:dyDescent="0.2">
      <c r="A33" s="56" t="s">
        <v>277</v>
      </c>
      <c r="B33" s="52">
        <v>44498</v>
      </c>
      <c r="C33" s="55">
        <v>3750</v>
      </c>
      <c r="D33" t="s">
        <v>91</v>
      </c>
    </row>
    <row r="34" spans="1:7" x14ac:dyDescent="0.2">
      <c r="A34" s="56" t="s">
        <v>483</v>
      </c>
      <c r="B34" s="52">
        <v>44529</v>
      </c>
      <c r="C34" s="55">
        <v>850</v>
      </c>
      <c r="D34" t="s">
        <v>91</v>
      </c>
    </row>
    <row r="35" spans="1:7" x14ac:dyDescent="0.2">
      <c r="A35" s="56" t="s">
        <v>484</v>
      </c>
      <c r="B35" s="52">
        <v>44559</v>
      </c>
      <c r="C35" s="55">
        <v>850</v>
      </c>
      <c r="D35" t="s">
        <v>91</v>
      </c>
    </row>
    <row r="36" spans="1:7" x14ac:dyDescent="0.2">
      <c r="A36" s="56" t="s">
        <v>297</v>
      </c>
      <c r="B36" s="52">
        <v>44222</v>
      </c>
      <c r="C36" s="55">
        <v>2000</v>
      </c>
      <c r="D36" t="s">
        <v>91</v>
      </c>
    </row>
    <row r="37" spans="1:7" x14ac:dyDescent="0.2">
      <c r="A37" s="56" t="s">
        <v>491</v>
      </c>
      <c r="B37" s="52">
        <v>44253</v>
      </c>
      <c r="C37" s="55">
        <v>2000</v>
      </c>
      <c r="D37" t="s">
        <v>91</v>
      </c>
    </row>
    <row r="38" spans="1:7" x14ac:dyDescent="0.2">
      <c r="A38" s="56" t="s">
        <v>670</v>
      </c>
      <c r="B38" s="52">
        <v>44281</v>
      </c>
      <c r="C38" s="55">
        <v>2000</v>
      </c>
      <c r="D38" t="s">
        <v>91</v>
      </c>
    </row>
    <row r="39" spans="1:7" x14ac:dyDescent="0.2">
      <c r="A39" s="56" t="s">
        <v>773</v>
      </c>
      <c r="B39" s="52">
        <v>44312</v>
      </c>
      <c r="C39" s="55">
        <v>2000</v>
      </c>
      <c r="D39" t="s">
        <v>91</v>
      </c>
    </row>
    <row r="40" spans="1:7" x14ac:dyDescent="0.2">
      <c r="A40" s="56" t="s">
        <v>844</v>
      </c>
      <c r="B40" s="52">
        <v>44342</v>
      </c>
      <c r="C40" s="55">
        <v>2000</v>
      </c>
      <c r="D40" t="s">
        <v>91</v>
      </c>
    </row>
    <row r="41" spans="1:7" x14ac:dyDescent="0.2">
      <c r="A41" s="56" t="s">
        <v>949</v>
      </c>
      <c r="B41" s="52">
        <v>44373</v>
      </c>
      <c r="C41" s="55">
        <v>2000</v>
      </c>
      <c r="D41" t="s">
        <v>91</v>
      </c>
    </row>
    <row r="42" spans="1:7" x14ac:dyDescent="0.2">
      <c r="A42" s="56" t="s">
        <v>1159</v>
      </c>
      <c r="B42" s="52">
        <v>44403</v>
      </c>
      <c r="C42" s="55">
        <v>2000</v>
      </c>
      <c r="D42" t="s">
        <v>91</v>
      </c>
    </row>
    <row r="43" spans="1:7" x14ac:dyDescent="0.2">
      <c r="A43" s="56" t="s">
        <v>1195</v>
      </c>
      <c r="B43" s="52">
        <v>44434</v>
      </c>
      <c r="C43" s="55">
        <v>2000</v>
      </c>
      <c r="D43" t="s">
        <v>91</v>
      </c>
    </row>
    <row r="44" spans="1:7" x14ac:dyDescent="0.2">
      <c r="A44" s="56" t="s">
        <v>1266</v>
      </c>
      <c r="B44" s="52">
        <v>44467</v>
      </c>
      <c r="C44" s="55">
        <v>2000</v>
      </c>
      <c r="D44" t="s">
        <v>91</v>
      </c>
    </row>
    <row r="45" spans="1:7" x14ac:dyDescent="0.2">
      <c r="A45" s="56" t="s">
        <v>1267</v>
      </c>
      <c r="B45" s="52">
        <v>44498</v>
      </c>
      <c r="C45" s="55">
        <v>2000</v>
      </c>
      <c r="D45" t="s">
        <v>91</v>
      </c>
    </row>
    <row r="46" spans="1:7" ht="13.5" customHeight="1" x14ac:dyDescent="0.2">
      <c r="A46" s="56" t="s">
        <v>150</v>
      </c>
      <c r="B46" s="52">
        <v>44373</v>
      </c>
      <c r="C46" s="55">
        <v>1750</v>
      </c>
      <c r="D46" t="s">
        <v>91</v>
      </c>
      <c r="G46" s="1"/>
    </row>
    <row r="47" spans="1:7" ht="13.5" customHeight="1" x14ac:dyDescent="0.2">
      <c r="A47" s="56" t="s">
        <v>158</v>
      </c>
      <c r="B47" s="52">
        <v>44373</v>
      </c>
      <c r="C47" s="55">
        <v>1750</v>
      </c>
      <c r="D47" t="s">
        <v>91</v>
      </c>
      <c r="G47" s="1"/>
    </row>
    <row r="48" spans="1:7" ht="13.5" customHeight="1" x14ac:dyDescent="0.2">
      <c r="A48" s="56" t="s">
        <v>296</v>
      </c>
      <c r="B48" s="52">
        <v>44373</v>
      </c>
      <c r="C48" s="55">
        <v>1750</v>
      </c>
      <c r="D48" t="s">
        <v>91</v>
      </c>
      <c r="G48" s="1"/>
    </row>
    <row r="49" spans="1:7" ht="13.5" customHeight="1" x14ac:dyDescent="0.2">
      <c r="A49" s="56" t="s">
        <v>495</v>
      </c>
      <c r="B49" s="52">
        <v>44373</v>
      </c>
      <c r="C49" s="55">
        <v>1750</v>
      </c>
      <c r="D49" t="s">
        <v>91</v>
      </c>
      <c r="G49" s="1"/>
    </row>
    <row r="50" spans="1:7" ht="13.5" customHeight="1" x14ac:dyDescent="0.2">
      <c r="A50" s="56" t="s">
        <v>669</v>
      </c>
      <c r="B50" s="52">
        <v>44373</v>
      </c>
      <c r="C50" s="55">
        <v>1750</v>
      </c>
      <c r="D50" t="s">
        <v>91</v>
      </c>
      <c r="G50" s="1"/>
    </row>
    <row r="51" spans="1:7" ht="13.5" customHeight="1" x14ac:dyDescent="0.2">
      <c r="A51" s="56" t="s">
        <v>772</v>
      </c>
      <c r="B51" s="52">
        <v>44373</v>
      </c>
      <c r="C51" s="55">
        <v>1750</v>
      </c>
      <c r="D51" t="s">
        <v>91</v>
      </c>
      <c r="G51" s="1"/>
    </row>
    <row r="52" spans="1:7" ht="13.5" customHeight="1" x14ac:dyDescent="0.2">
      <c r="A52" s="56" t="s">
        <v>843</v>
      </c>
      <c r="B52" s="52">
        <v>44373</v>
      </c>
      <c r="C52" s="55">
        <v>1750</v>
      </c>
      <c r="D52" t="s">
        <v>91</v>
      </c>
      <c r="G52" s="1"/>
    </row>
    <row r="53" spans="1:7" x14ac:dyDescent="0.2">
      <c r="A53" s="56" t="s">
        <v>948</v>
      </c>
      <c r="B53" s="52">
        <v>44374</v>
      </c>
      <c r="C53" s="55">
        <v>1619.27</v>
      </c>
      <c r="D53" t="s">
        <v>91</v>
      </c>
    </row>
    <row r="54" spans="1:7" x14ac:dyDescent="0.2">
      <c r="C54" s="14">
        <f>SUM(C2:C53)</f>
        <v>130299.27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2"/>
  <sheetViews>
    <sheetView workbookViewId="0">
      <selection activeCell="B18" sqref="B18"/>
    </sheetView>
  </sheetViews>
  <sheetFormatPr defaultRowHeight="12.75" x14ac:dyDescent="0.2"/>
  <cols>
    <col min="1" max="1" width="44.5703125" bestFit="1" customWidth="1"/>
    <col min="2" max="2" width="13.85546875" bestFit="1" customWidth="1"/>
    <col min="3" max="3" width="13.28515625" bestFit="1" customWidth="1"/>
  </cols>
  <sheetData>
    <row r="1" spans="1:3" ht="15" x14ac:dyDescent="0.25">
      <c r="A1" s="128"/>
      <c r="B1" s="129"/>
      <c r="C1" s="130"/>
    </row>
    <row r="2" spans="1:3" ht="15" x14ac:dyDescent="0.25">
      <c r="A2" s="131" t="s">
        <v>1275</v>
      </c>
      <c r="B2" s="132"/>
      <c r="C2" s="132"/>
    </row>
    <row r="3" spans="1:3" ht="15" x14ac:dyDescent="0.25">
      <c r="A3" s="131"/>
      <c r="B3" s="132"/>
      <c r="C3" s="132"/>
    </row>
    <row r="4" spans="1:3" ht="15" x14ac:dyDescent="0.25">
      <c r="A4" s="131" t="s">
        <v>1276</v>
      </c>
      <c r="B4" s="132" t="s">
        <v>1277</v>
      </c>
      <c r="C4" s="132" t="s">
        <v>1278</v>
      </c>
    </row>
    <row r="5" spans="1:3" x14ac:dyDescent="0.2">
      <c r="A5" s="133" t="s">
        <v>1279</v>
      </c>
      <c r="B5" s="134">
        <v>12000</v>
      </c>
      <c r="C5" s="134">
        <v>5000</v>
      </c>
    </row>
    <row r="6" spans="1:3" x14ac:dyDescent="0.2">
      <c r="A6" s="133" t="s">
        <v>1280</v>
      </c>
      <c r="B6" s="134">
        <v>9000</v>
      </c>
      <c r="C6" s="134">
        <v>9000</v>
      </c>
    </row>
    <row r="7" spans="1:3" x14ac:dyDescent="0.2">
      <c r="A7" s="133" t="s">
        <v>1281</v>
      </c>
      <c r="B7" s="134">
        <v>10500</v>
      </c>
      <c r="C7" s="134">
        <v>7500</v>
      </c>
    </row>
    <row r="8" spans="1:3" x14ac:dyDescent="0.2">
      <c r="A8" s="133"/>
      <c r="B8" s="136">
        <f>SUM(B5:B7)</f>
        <v>31500</v>
      </c>
      <c r="C8" s="136">
        <f>SUM(C5:C7)</f>
        <v>21500</v>
      </c>
    </row>
    <row r="9" spans="1:3" x14ac:dyDescent="0.2">
      <c r="A9" s="135"/>
      <c r="B9" s="130"/>
      <c r="C9" s="130"/>
    </row>
    <row r="10" spans="1:3" ht="15" x14ac:dyDescent="0.2">
      <c r="A10" s="131" t="s">
        <v>1282</v>
      </c>
      <c r="B10" s="130"/>
      <c r="C10" s="130"/>
    </row>
    <row r="11" spans="1:3" x14ac:dyDescent="0.2">
      <c r="B11" s="130"/>
      <c r="C11" s="130"/>
    </row>
    <row r="12" spans="1:3" x14ac:dyDescent="0.2">
      <c r="B12" s="130"/>
      <c r="C12" s="13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26</vt:i4>
      </vt:variant>
      <vt:variant>
        <vt:lpstr>Intervalos Nomeados</vt:lpstr>
      </vt:variant>
      <vt:variant>
        <vt:i4>10</vt:i4>
      </vt:variant>
    </vt:vector>
  </HeadingPairs>
  <TitlesOfParts>
    <vt:vector size="36" baseType="lpstr">
      <vt:lpstr>12_21</vt:lpstr>
      <vt:lpstr>Fluxo_12_21</vt:lpstr>
      <vt:lpstr>11_21</vt:lpstr>
      <vt:lpstr>Fluxo_11_21</vt:lpstr>
      <vt:lpstr>10_21</vt:lpstr>
      <vt:lpstr>Fluxo_10_21</vt:lpstr>
      <vt:lpstr>09_21</vt:lpstr>
      <vt:lpstr>Fluxo_09_21</vt:lpstr>
      <vt:lpstr>08_21</vt:lpstr>
      <vt:lpstr>Fluxo_08_21</vt:lpstr>
      <vt:lpstr>07_21</vt:lpstr>
      <vt:lpstr>Fluxo_07_21</vt:lpstr>
      <vt:lpstr>06_21</vt:lpstr>
      <vt:lpstr>Fluxo_06_21</vt:lpstr>
      <vt:lpstr>05_21</vt:lpstr>
      <vt:lpstr>Fluxo_05_21</vt:lpstr>
      <vt:lpstr>04_21</vt:lpstr>
      <vt:lpstr>Fluxo_04_21</vt:lpstr>
      <vt:lpstr>03_21</vt:lpstr>
      <vt:lpstr>Fluxo_03_21</vt:lpstr>
      <vt:lpstr>02_21</vt:lpstr>
      <vt:lpstr>Fluxo_02_21</vt:lpstr>
      <vt:lpstr>01_21</vt:lpstr>
      <vt:lpstr>Fluxo_01_21</vt:lpstr>
      <vt:lpstr>RECLAM JUDICIAL</vt:lpstr>
      <vt:lpstr>Planilha1</vt:lpstr>
      <vt:lpstr>'01_21'!Area_de_impressao</vt:lpstr>
      <vt:lpstr>'02_21'!Area_de_impressao</vt:lpstr>
      <vt:lpstr>'04_21'!Area_de_impressao</vt:lpstr>
      <vt:lpstr>'05_21'!Area_de_impressao</vt:lpstr>
      <vt:lpstr>'06_21'!Area_de_impressao</vt:lpstr>
      <vt:lpstr>'09_21'!Area_de_impressao</vt:lpstr>
      <vt:lpstr>'10_21'!Area_de_impressao</vt:lpstr>
      <vt:lpstr>Fluxo_01_21!Area_de_impressao</vt:lpstr>
      <vt:lpstr>Fluxo_02_21!Area_de_impressao</vt:lpstr>
      <vt:lpstr>Fluxo_09_21!Area_de_impressao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 Deco</dc:creator>
  <cp:lastModifiedBy>Paulo</cp:lastModifiedBy>
  <cp:lastPrinted>2021-11-05T19:10:39Z</cp:lastPrinted>
  <dcterms:created xsi:type="dcterms:W3CDTF">2008-02-01T12:09:17Z</dcterms:created>
  <dcterms:modified xsi:type="dcterms:W3CDTF">2026-01-20T13:52:59Z</dcterms:modified>
</cp:coreProperties>
</file>